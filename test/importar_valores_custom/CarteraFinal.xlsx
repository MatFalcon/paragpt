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xl/persons/person.xml" ContentType="application/vnd.ms-excel.person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360" yWindow="15" windowWidth="20955" windowHeight="9720" activeTab="0"/>
  </bookViews>
  <sheets>
    <sheet name="Cartera" sheetId="1" state="visible" r:id="rId6"/>
  </sheets>
  <definedNames>
    <definedName name="_xlnm._FilterDatabase" localSheetId="0" hidden="1">Cartera!$A$1:$AG$3713</definedName>
    <definedName name="_____xlnm._FilterDatabase">#REF!</definedName>
    <definedName name="Print_Titles">#REF!</definedName>
    <definedName name="_____xlnm.Print_Titles_1">#REF!</definedName>
    <definedName name="____xlnm._FilterDatabase">#REF!</definedName>
    <definedName name="____xlnm.Print_Titles_1">#REF!</definedName>
    <definedName name="___xlnm._FilterDatabase">#REF!</definedName>
    <definedName name="___xlnm.Print_Titles_1">#REF!</definedName>
    <definedName name="__xlnm._FilterDatabase">#REF!</definedName>
    <definedName name="__xlnm.Print_Titles_1">#REF!</definedName>
    <definedName name="_bce2004">#REF!</definedName>
    <definedName name="_BCE2005">#REF!</definedName>
    <definedName name="_DAT1">#REF!</definedName>
    <definedName name="_DAT10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sys2005">#REF!</definedName>
    <definedName name="a">#REF!</definedName>
    <definedName name="AA">#REF!</definedName>
    <definedName name="AccessDatabase" hidden="1">"C:\Mis documentos\ACTIVOS.MDB"</definedName>
    <definedName name="ACT_FIJOS_VALOR">#REF!</definedName>
    <definedName name="AJUSTE_REAJ_FIS_AF">#REF!</definedName>
    <definedName name="anexo">#REF!</definedName>
    <definedName name="anexo04">#REF!</definedName>
    <definedName name="Print_Area">#REF!</definedName>
    <definedName name="AS2DocOpenMode" hidden="1">"AS2DocumentEdit"</definedName>
    <definedName name="asd">#REF!</definedName>
    <definedName name="_xlnm.Database">#REF!</definedName>
    <definedName name="BSH">#REF!</definedName>
    <definedName name="BuiltIn_Print_Area">#REF!</definedName>
    <definedName name="BuiltIn_Print_Area___0">#REF!</definedName>
    <definedName name="BVAN">#REF!</definedName>
    <definedName name="CALDECNM">#REF!</definedName>
    <definedName name="Caracter">#REF!</definedName>
    <definedName name="CIIU">#REF!</definedName>
    <definedName name="CIIUNM">#REF!</definedName>
    <definedName name="Citibank">#REF!</definedName>
    <definedName name="CLASEDEC">#REF!</definedName>
    <definedName name="CLASEDECNM">#REF!</definedName>
    <definedName name="COBRANZAS">#REF!</definedName>
    <definedName name="CODADMONNM">#REF!</definedName>
    <definedName name="CODDOCSNM">#REF!</definedName>
    <definedName name="CUENTAS">#REF!</definedName>
    <definedName name="DEPTOSNM">#REF!</definedName>
    <definedName name="dimension">#REF!</definedName>
    <definedName name="DIVIPOL">#REF!</definedName>
    <definedName name="DIVIPOL1">#REF!</definedName>
    <definedName name="DIVIPOLCOD">#REF!</definedName>
    <definedName name="DIVIPOLNM">#REF!</definedName>
    <definedName name="Excel_BuiltIn_Print_Titles">#REF!</definedName>
    <definedName name="Excel_BuiltIn_Print_Titles_1">#REF!</definedName>
    <definedName name="FACTURAS">#REF!</definedName>
    <definedName name="G">#REF!</definedName>
    <definedName name="gActEcono">#REF!</definedName>
    <definedName name="gAdmon">#REF!</definedName>
    <definedName name="gAño">#REF!</definedName>
    <definedName name="gApe1Dec">#REF!</definedName>
    <definedName name="gApe1Rev">#REF!</definedName>
    <definedName name="gApe2Dec">#REF!</definedName>
    <definedName name="gApe2Rev">#REF!</definedName>
    <definedName name="GB">#REF!</definedName>
    <definedName name="gCalDec">#REF!</definedName>
    <definedName name="gCedDec">#REF!</definedName>
    <definedName name="gCedRev">#REF!</definedName>
    <definedName name="gClaseDec">#REF!</definedName>
    <definedName name="gDeclaraPrimerVez">#REF!</definedName>
    <definedName name="gDepto">#REF!</definedName>
    <definedName name="gdfgg">#REF!</definedName>
    <definedName name="gDireccion">#REF!</definedName>
    <definedName name="gExentoRtaPres">#REF!</definedName>
    <definedName name="gFechaDecCor">#REF!</definedName>
    <definedName name="gMetValInv">#REF!</definedName>
    <definedName name="gMun">#REF!</definedName>
    <definedName name="gNIT">#REF!</definedName>
    <definedName name="gNom1Dec">#REF!</definedName>
    <definedName name="gNom1Rev">#REF!</definedName>
    <definedName name="gNom2Dec">#REF!</definedName>
    <definedName name="gNom2Rev">#REF!</definedName>
    <definedName name="gNumeroAutoadhesivo">#REF!</definedName>
    <definedName name="gPUC">#REF!</definedName>
    <definedName name="gRazonSocial">#REF!</definedName>
    <definedName name="gRentasMixtas">#REF!</definedName>
    <definedName name="gSisInv">#REF!</definedName>
    <definedName name="gTelefono">#REF!</definedName>
    <definedName name="gTipoContrib">#REF!</definedName>
    <definedName name="gTProf">#REF!</definedName>
    <definedName name="Honora">#REF!</definedName>
    <definedName name="Honorarios">#REF!</definedName>
    <definedName name="image">#REF!</definedName>
    <definedName name="imp">#REF!</definedName>
    <definedName name="ImptoRenta">#REF!</definedName>
    <definedName name="IMPUTACIONES">#REF!</definedName>
    <definedName name="INF">#REF!</definedName>
    <definedName name="inmuebles">#REF!</definedName>
    <definedName name="instalac">#REF!</definedName>
    <definedName name="leasing">#REF!</definedName>
    <definedName name="Lista1">#REF!</definedName>
    <definedName name="LST_BAL_CRE_CON">#REF!</definedName>
    <definedName name="LST_BAL_CUENTAS">#REF!</definedName>
    <definedName name="LST_BAL_DEB_CON">#REF!</definedName>
    <definedName name="LST_BAL_RENGLONES">#REF!</definedName>
    <definedName name="LST_BALANCE">#REF!</definedName>
    <definedName name="maquin">#REF!</definedName>
    <definedName name="mejoras">#REF!</definedName>
    <definedName name="mitabla">#REF!</definedName>
    <definedName name="mmm">#REF!</definedName>
    <definedName name="Moneda">#REF!</definedName>
    <definedName name="Monedas">#REF!</definedName>
    <definedName name="MOTCOR">#REF!</definedName>
    <definedName name="MOTCORNM">#REF!</definedName>
    <definedName name="myutiles">#REF!</definedName>
    <definedName name="nuevo">#REF!</definedName>
    <definedName name="Orden">#REF!</definedName>
    <definedName name="pActEcono">#REF!</definedName>
    <definedName name="pAdmon">#REF!</definedName>
    <definedName name="pCedDec">#REF!</definedName>
    <definedName name="pCedRev">#REF!</definedName>
    <definedName name="pClaseDec">#REF!</definedName>
    <definedName name="pCorreccionDeclaracion">#REF!</definedName>
    <definedName name="pepe">#REF!</definedName>
    <definedName name="pFechaCuota1">#REF!</definedName>
    <definedName name="pFechaCuota2">#REF!</definedName>
    <definedName name="pFechaCuota3">#REF!</definedName>
    <definedName name="pFechaCuota4">#REF!</definedName>
    <definedName name="pFechaCuota5">#REF!</definedName>
    <definedName name="PLANC">#REF!</definedName>
    <definedName name="PLANCUENT">#REF!</definedName>
    <definedName name="pNomDec">#REF!</definedName>
    <definedName name="pNomRev">#REF!</definedName>
    <definedName name="pNumeroAutoadhesivo">#REF!</definedName>
    <definedName name="pParafiscalesCausadoPagado">#REF!</definedName>
    <definedName name="PPP">#REF!</definedName>
    <definedName name="ppTipoContrib">#REF!</definedName>
    <definedName name="pPUC">#REF!</definedName>
    <definedName name="pSegSocialCausadoPagado">#REF!</definedName>
    <definedName name="pTipoContrib">#REF!</definedName>
    <definedName name="pTProf">#REF!</definedName>
    <definedName name="PUCS">#REF!</definedName>
    <definedName name="recep">#REF!</definedName>
    <definedName name="Respuestas">#REF!</definedName>
    <definedName name="ROBERTO">#REF!</definedName>
    <definedName name="rodados">#REF!</definedName>
    <definedName name="RTDOB">#REF!</definedName>
    <definedName name="rubro">#REF!</definedName>
    <definedName name="s">#REF!</definedName>
    <definedName name="software">#REF!</definedName>
    <definedName name="Subactivos">#REF!</definedName>
    <definedName name="subrubro">#REF!</definedName>
    <definedName name="Sucursales">#REF!</definedName>
    <definedName name="SUMAS">#REF!</definedName>
    <definedName name="SySaldos">#REF!</definedName>
    <definedName name="SYSB">#REF!</definedName>
    <definedName name="SySejant">#REF!</definedName>
    <definedName name="SYSF">#REF!</definedName>
    <definedName name="TABLA">#REF!</definedName>
    <definedName name="tablax">#REF!</definedName>
    <definedName name="TABLE_2">#REF!</definedName>
    <definedName name="team">#REF!</definedName>
    <definedName name="Termnegociacion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IPOCONTRIBNM">#REF!</definedName>
    <definedName name="Tipodearrendamiento">#REF!</definedName>
    <definedName name="TIPPUC">#REF!</definedName>
    <definedName name="TIPPUCNM">#REF!</definedName>
    <definedName name="totales">#REF!</definedName>
    <definedName name="VAN">#REF!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xxxxxxxxxxx">#REF!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tc={20A30C12-F2ED-4FAC-826D-F41593C73498}</author>
  </authors>
  <commentList>
    <comment ref="P3547" authorId="0" xr:uid="{20A30C12-F2ED-4FAC-826D-F41593C73498}">
      <text>
        <r>
          <rPr>
            <b/>
            <sz val="9"/>
            <rFont val="Tahoma"/>
          </rPr>
          <t xml:space="preserve">Axel Ariel Galeano Villamayor:</t>
        </r>
        <r>
          <rPr>
            <sz val="9"/>
            <rFont val="Tahoma"/>
          </rPr>
          <t xml:space="preserve">
VALORES ACREDITO 11,32 EL 17.12.24 REESTRUCTURACION RES.3108-24
</t>
        </r>
      </text>
    </comment>
  </commentList>
</comments>
</file>

<file path=xl/sharedStrings.xml><?xml version="1.0" encoding="utf-8"?>
<sst xmlns="http://schemas.openxmlformats.org/spreadsheetml/2006/main" count="750" uniqueCount="750">
  <si>
    <t xml:space="preserve">Cuenta contable</t>
  </si>
  <si>
    <t xml:space="preserve">Denominación cuenta contable</t>
  </si>
  <si>
    <t>Emisor</t>
  </si>
  <si>
    <t>Tipo</t>
  </si>
  <si>
    <t>Estado</t>
  </si>
  <si>
    <t>Grupo</t>
  </si>
  <si>
    <t xml:space="preserve">Casa de bolsa </t>
  </si>
  <si>
    <t>Serie</t>
  </si>
  <si>
    <t xml:space="preserve">Fecha Compra</t>
  </si>
  <si>
    <t xml:space="preserve">Fecha Vencimiento Serie</t>
  </si>
  <si>
    <t xml:space="preserve">Calificacion de riesgo</t>
  </si>
  <si>
    <t>Instrumento</t>
  </si>
  <si>
    <t xml:space="preserve">Tasa Interes</t>
  </si>
  <si>
    <t xml:space="preserve">Referencia Tasa</t>
  </si>
  <si>
    <t>Moneda</t>
  </si>
  <si>
    <t xml:space="preserve">Importe Valorizado</t>
  </si>
  <si>
    <t xml:space="preserve">Valor actual en PYG</t>
  </si>
  <si>
    <t xml:space="preserve">Valor actual en USD</t>
  </si>
  <si>
    <t xml:space="preserve">Estado de cupon / Capital</t>
  </si>
  <si>
    <t>Comitente</t>
  </si>
  <si>
    <t>Capital</t>
  </si>
  <si>
    <t>Intereses</t>
  </si>
  <si>
    <t xml:space="preserve">No. Cupón</t>
  </si>
  <si>
    <t xml:space="preserve">% Amortizacion</t>
  </si>
  <si>
    <t xml:space="preserve">Amortizacion de capital</t>
  </si>
  <si>
    <t>Consolidado</t>
  </si>
  <si>
    <t xml:space="preserve">Titulos Colocados</t>
  </si>
  <si>
    <t>Total</t>
  </si>
  <si>
    <t xml:space="preserve">Instrumento 3</t>
  </si>
  <si>
    <t xml:space="preserve">Mes Vto</t>
  </si>
  <si>
    <t xml:space="preserve">Año Vto</t>
  </si>
  <si>
    <t>Observaciones</t>
  </si>
  <si>
    <t xml:space="preserve">Acciones en Otras Empresas LP - PYG</t>
  </si>
  <si>
    <t xml:space="preserve">SUDAMERIS BANK S.A.E.C.A.</t>
  </si>
  <si>
    <t>Activo</t>
  </si>
  <si>
    <t xml:space="preserve">Grupo Sudameris</t>
  </si>
  <si>
    <t xml:space="preserve"> </t>
  </si>
  <si>
    <t xml:space="preserve">Acciones Ordinarias "A"</t>
  </si>
  <si>
    <t xml:space="preserve">No aplica | Acciones</t>
  </si>
  <si>
    <t xml:space="preserve">AA+py Estable</t>
  </si>
  <si>
    <t>Acciones</t>
  </si>
  <si>
    <t>Guaraníes</t>
  </si>
  <si>
    <t>Pendiente</t>
  </si>
  <si>
    <t>Otros</t>
  </si>
  <si>
    <t xml:space="preserve">Vencido | Cobrado</t>
  </si>
  <si>
    <t xml:space="preserve">BANCO BASA S.A.</t>
  </si>
  <si>
    <t xml:space="preserve">Grupo Cartes</t>
  </si>
  <si>
    <t xml:space="preserve">CAPITAL MARKETS CBSA</t>
  </si>
  <si>
    <t>PYBAM01F9268</t>
  </si>
  <si>
    <t xml:space="preserve">AA-py Estable</t>
  </si>
  <si>
    <t xml:space="preserve">Bonos Subordinados</t>
  </si>
  <si>
    <t xml:space="preserve">Dólares americanos</t>
  </si>
  <si>
    <t>Acreditado</t>
  </si>
  <si>
    <t>1/24</t>
  </si>
  <si>
    <t xml:space="preserve">CEMENTOS CONCEPCIÓN SOCIEDAD ANÓNIMA EMISORA</t>
  </si>
  <si>
    <t xml:space="preserve">ASU CAPITAL CBSA </t>
  </si>
  <si>
    <t>PYCEC01F3409</t>
  </si>
  <si>
    <t xml:space="preserve">pyAA- Estable </t>
  </si>
  <si>
    <t>Bonos</t>
  </si>
  <si>
    <t xml:space="preserve">Intereses Financieros a Cobrar CP - USD</t>
  </si>
  <si>
    <t xml:space="preserve">BANCO RIO SAECA</t>
  </si>
  <si>
    <t xml:space="preserve">Grupo Continental</t>
  </si>
  <si>
    <t xml:space="preserve">AVALON CBSA</t>
  </si>
  <si>
    <t>PYBRO02F1560</t>
  </si>
  <si>
    <t xml:space="preserve">A+py Estable</t>
  </si>
  <si>
    <t>/</t>
  </si>
  <si>
    <t xml:space="preserve">Acreditado en cuenta del Fondo de Garantia. Se solicitó devolución a la cuenta 677</t>
  </si>
  <si>
    <t xml:space="preserve">RIEDER &amp; CÍA. S.A.C.I.</t>
  </si>
  <si>
    <t xml:space="preserve">No aplica a grupos</t>
  </si>
  <si>
    <t xml:space="preserve">VALORES CBSA</t>
  </si>
  <si>
    <t>PYRIE03F8098</t>
  </si>
  <si>
    <t xml:space="preserve">pyBBB- Estable</t>
  </si>
  <si>
    <t>4/43</t>
  </si>
  <si>
    <t xml:space="preserve">Intereses Financieros a Cobrar LP - USD</t>
  </si>
  <si>
    <t xml:space="preserve">SOLAR BANCO S.A.E.</t>
  </si>
  <si>
    <t xml:space="preserve">CADIEM CBSA</t>
  </si>
  <si>
    <t>PYSAF01F1422</t>
  </si>
  <si>
    <t xml:space="preserve">Apy Estable</t>
  </si>
  <si>
    <t xml:space="preserve">Intereses Financieros a Cobrar LP - PYG</t>
  </si>
  <si>
    <t xml:space="preserve">TU FINANCIERA SAECA</t>
  </si>
  <si>
    <t>AA8063</t>
  </si>
  <si>
    <t xml:space="preserve">A-py Estable</t>
  </si>
  <si>
    <t>CDA</t>
  </si>
  <si>
    <t>13/17</t>
  </si>
  <si>
    <t>UH1802</t>
  </si>
  <si>
    <t xml:space="preserve">ENEX PARAGUAY S.A.E.</t>
  </si>
  <si>
    <t xml:space="preserve">BASA CBSA</t>
  </si>
  <si>
    <t>PYENE01F2836</t>
  </si>
  <si>
    <t>12/28</t>
  </si>
  <si>
    <t xml:space="preserve">UENO HOLDING S.A.E.C.A.</t>
  </si>
  <si>
    <t xml:space="preserve">Grupo Vazquez</t>
  </si>
  <si>
    <t xml:space="preserve">PUENTE CBSA</t>
  </si>
  <si>
    <t>PYLCR05F9125</t>
  </si>
  <si>
    <t xml:space="preserve">pyBBB + Sensible (-)</t>
  </si>
  <si>
    <t xml:space="preserve">FINANCIERA PARAGUAYO JAPONESA S.A.E.C.A.</t>
  </si>
  <si>
    <t xml:space="preserve">AB 6272</t>
  </si>
  <si>
    <t xml:space="preserve">A-py Fuerte (+)</t>
  </si>
  <si>
    <t>4/24</t>
  </si>
  <si>
    <t xml:space="preserve">Inversiones en Bonos LP - USD</t>
  </si>
  <si>
    <t xml:space="preserve">MINISTERIO DE HACIENDA</t>
  </si>
  <si>
    <t xml:space="preserve">Instrumentos Públicos</t>
  </si>
  <si>
    <t>PYTNA01F8541</t>
  </si>
  <si>
    <t xml:space="preserve">Bonos del Tesoro</t>
  </si>
  <si>
    <t xml:space="preserve">BANCO FAMILIAR S.A.E.C.A.</t>
  </si>
  <si>
    <t xml:space="preserve">FAMILIAR CBSA</t>
  </si>
  <si>
    <t>PYFAM10F6756</t>
  </si>
  <si>
    <t xml:space="preserve">Bonos Financieros</t>
  </si>
  <si>
    <t xml:space="preserve">Inversiones en Bonos LP - PYG</t>
  </si>
  <si>
    <t>PYBAM02F3500</t>
  </si>
  <si>
    <t>AA9801</t>
  </si>
  <si>
    <t>PYRIE11F8577</t>
  </si>
  <si>
    <t xml:space="preserve">FIC DE FINANZAS</t>
  </si>
  <si>
    <t xml:space="preserve">FAIS CBSA</t>
  </si>
  <si>
    <t>PYPTP01F0861</t>
  </si>
  <si>
    <t xml:space="preserve">VISION BANCO S.A.E.C.A.</t>
  </si>
  <si>
    <t>PYVIS03F4624</t>
  </si>
  <si>
    <t xml:space="preserve">ZETA BANCO S.A.E.C.A.</t>
  </si>
  <si>
    <t>AA2917</t>
  </si>
  <si>
    <t xml:space="preserve">Apy Fuerte (+)</t>
  </si>
  <si>
    <t xml:space="preserve">AC 1212</t>
  </si>
  <si>
    <t>pendiente</t>
  </si>
  <si>
    <t>AB0511</t>
  </si>
  <si>
    <t xml:space="preserve">BANCO CONTINENTAL S.A.E.C.A.</t>
  </si>
  <si>
    <t>PYCON08F4900</t>
  </si>
  <si>
    <t xml:space="preserve">AAApy Estable</t>
  </si>
  <si>
    <t xml:space="preserve">BANCO BILBAO VIZCAYA ARGENTARIA PARAGUAY S.A.</t>
  </si>
  <si>
    <t>PYBBV01F3798</t>
  </si>
  <si>
    <t xml:space="preserve">A+py Fuerte</t>
  </si>
  <si>
    <t>PYCON06F4720</t>
  </si>
  <si>
    <t>PYCON01F6605</t>
  </si>
  <si>
    <t xml:space="preserve">Acciones Preferidas "C"</t>
  </si>
  <si>
    <t>PYFIN02F6708</t>
  </si>
  <si>
    <t>PYCON06F7996</t>
  </si>
  <si>
    <t>BA</t>
  </si>
  <si>
    <t>3/43</t>
  </si>
  <si>
    <t xml:space="preserve">CORPORACION INTERAMERICANA DE INVERSIONES</t>
  </si>
  <si>
    <t>PYCII01F0645</t>
  </si>
  <si>
    <t>1/10</t>
  </si>
  <si>
    <t xml:space="preserve">TAPE PORA S.A.E.</t>
  </si>
  <si>
    <t>PYTPO01F0540</t>
  </si>
  <si>
    <t xml:space="preserve">BBB+py Estable</t>
  </si>
  <si>
    <t xml:space="preserve">REGIONAL CBSA</t>
  </si>
  <si>
    <t>PYSUD01F4473</t>
  </si>
  <si>
    <t xml:space="preserve">BANCO ATLAS S.A.</t>
  </si>
  <si>
    <t xml:space="preserve">Grupo Zuccolillo</t>
  </si>
  <si>
    <t xml:space="preserve">INVESTOR CBSA</t>
  </si>
  <si>
    <t>PYATS04F8873</t>
  </si>
  <si>
    <t>PYCEC01F0454</t>
  </si>
  <si>
    <t>PYCEC02F1121</t>
  </si>
  <si>
    <t xml:space="preserve">Fondos Mutuos - PYG - Basa</t>
  </si>
  <si>
    <t xml:space="preserve">FONDO MUTUO BASA</t>
  </si>
  <si>
    <t>Fondos</t>
  </si>
  <si>
    <t xml:space="preserve">No aplica | Fondos Mutuos</t>
  </si>
  <si>
    <t xml:space="preserve">AA + f  Estable</t>
  </si>
  <si>
    <t xml:space="preserve">Fondos Mutuos - USD - Basa</t>
  </si>
  <si>
    <t>PYTNA02F1255</t>
  </si>
  <si>
    <t xml:space="preserve">IZAGUIRRE BARRAIL INVERSORA S.A.E.C.A.</t>
  </si>
  <si>
    <t>PYIBI08F7867</t>
  </si>
  <si>
    <t xml:space="preserve">pyA Estable</t>
  </si>
  <si>
    <t>PYTNA01F1249</t>
  </si>
  <si>
    <t xml:space="preserve">VICENTE SCAVONE &amp; CÍA. S.A.E.</t>
  </si>
  <si>
    <t>PYVSC03F2756</t>
  </si>
  <si>
    <t xml:space="preserve">AApy Estable</t>
  </si>
  <si>
    <t xml:space="preserve">Diferencia con planilla contable</t>
  </si>
  <si>
    <t xml:space="preserve">TELEFONICA CELULAR DEL PARAGUAY S.A.E.</t>
  </si>
  <si>
    <t>PYTEL03F9370</t>
  </si>
  <si>
    <t>PYTEL02F9363</t>
  </si>
  <si>
    <t>PYTEL04F0097</t>
  </si>
  <si>
    <t>PYSUD01F9134</t>
  </si>
  <si>
    <t>13/16</t>
  </si>
  <si>
    <t>PYVIS04F6123</t>
  </si>
  <si>
    <t xml:space="preserve">MUNICIPALIDAD DE FERNANDO DE LA MORA</t>
  </si>
  <si>
    <t>PYMUF01F0293</t>
  </si>
  <si>
    <t xml:space="preserve">pyBB- Estable</t>
  </si>
  <si>
    <t>PYTNA02F4499</t>
  </si>
  <si>
    <t>AB0481</t>
  </si>
  <si>
    <t xml:space="preserve">TAPE RUVICHA S.A.E.C.A.</t>
  </si>
  <si>
    <t>PYTAP01F9836</t>
  </si>
  <si>
    <t xml:space="preserve">BBB-py Estable</t>
  </si>
  <si>
    <t xml:space="preserve">AGENCIA FINANCIERA DE DESARROLLO </t>
  </si>
  <si>
    <t>PYAFD02F2970</t>
  </si>
  <si>
    <t xml:space="preserve">Bonos Corporativos</t>
  </si>
  <si>
    <t xml:space="preserve">AB 6716</t>
  </si>
  <si>
    <t xml:space="preserve">BANCO ITAÚ PARAGUAY S.A.</t>
  </si>
  <si>
    <t xml:space="preserve">Grupo Itau Invest</t>
  </si>
  <si>
    <t>20/8</t>
  </si>
  <si>
    <t>PYSUD01F2204</t>
  </si>
  <si>
    <t>AA1740</t>
  </si>
  <si>
    <t>AA1159</t>
  </si>
  <si>
    <t xml:space="preserve">IMPERIAL COMPAÑÍA DISTRIBUIDORA DE PETRÓLEO Y DERIVADOS S.A.E.</t>
  </si>
  <si>
    <t xml:space="preserve">Grupo Hoeckle</t>
  </si>
  <si>
    <t>PYIPD01F1403</t>
  </si>
  <si>
    <t>1/40</t>
  </si>
  <si>
    <t>PYTPO01F0961</t>
  </si>
  <si>
    <t>PYFIN03F0940</t>
  </si>
  <si>
    <t>2/20</t>
  </si>
  <si>
    <t>1/28</t>
  </si>
  <si>
    <t xml:space="preserve">GAS CORONA S.A.E.C.A.</t>
  </si>
  <si>
    <t>PYGCO05F0769</t>
  </si>
  <si>
    <t xml:space="preserve">pyBBB + Estable</t>
  </si>
  <si>
    <t>2/12</t>
  </si>
  <si>
    <t>3/28</t>
  </si>
  <si>
    <t>4/28</t>
  </si>
  <si>
    <t>5/28</t>
  </si>
  <si>
    <t>6/28</t>
  </si>
  <si>
    <t>7/28</t>
  </si>
  <si>
    <t>8/28</t>
  </si>
  <si>
    <t>9/28</t>
  </si>
  <si>
    <t>10/28</t>
  </si>
  <si>
    <t xml:space="preserve">AB 795</t>
  </si>
  <si>
    <t>BD5867</t>
  </si>
  <si>
    <t>DB8625</t>
  </si>
  <si>
    <t xml:space="preserve">HILAGRO </t>
  </si>
  <si>
    <t>PYHIL01F3102</t>
  </si>
  <si>
    <t>PYSUD01F4937</t>
  </si>
  <si>
    <t>14/17</t>
  </si>
  <si>
    <t>13/28</t>
  </si>
  <si>
    <t>PYTNA01F8731</t>
  </si>
  <si>
    <t>1/20</t>
  </si>
  <si>
    <t>14/16</t>
  </si>
  <si>
    <t>7/20</t>
  </si>
  <si>
    <t>10/20</t>
  </si>
  <si>
    <t xml:space="preserve">BANCOP S.A.</t>
  </si>
  <si>
    <t>PYBCO02F8802</t>
  </si>
  <si>
    <t>11/10</t>
  </si>
  <si>
    <t>20/7</t>
  </si>
  <si>
    <t>PYVIS01F3008</t>
  </si>
  <si>
    <t xml:space="preserve">GRUPO INTERNACIONAL DE FINANZAS S.A.E.C.A.</t>
  </si>
  <si>
    <t>PYINT01F3106</t>
  </si>
  <si>
    <t>PYTNA03F3631</t>
  </si>
  <si>
    <t>1/14</t>
  </si>
  <si>
    <t>PYSAF02F4342</t>
  </si>
  <si>
    <t>2/24</t>
  </si>
  <si>
    <t>3/14</t>
  </si>
  <si>
    <t>PYVIS02F4609</t>
  </si>
  <si>
    <t>PYVIS03F3071</t>
  </si>
  <si>
    <t>PYVIS02F3015</t>
  </si>
  <si>
    <t>PYVIS05F3368</t>
  </si>
  <si>
    <t>PYTNA02F6064</t>
  </si>
  <si>
    <t xml:space="preserve">IMPORT CENTER S.A.</t>
  </si>
  <si>
    <t>PYIMC03F7931</t>
  </si>
  <si>
    <t>1/16</t>
  </si>
  <si>
    <t xml:space="preserve">ELECTROBAN S.A.E.C.A.</t>
  </si>
  <si>
    <t>PYELE02F6762</t>
  </si>
  <si>
    <t xml:space="preserve">pyBBB Sensible (-)</t>
  </si>
  <si>
    <t>2/16</t>
  </si>
  <si>
    <t>PYIBI11F8183</t>
  </si>
  <si>
    <t>1/23</t>
  </si>
  <si>
    <t>PYTNA01F8236</t>
  </si>
  <si>
    <t>1/8</t>
  </si>
  <si>
    <t>2/14</t>
  </si>
  <si>
    <t>PYTAU01F8740</t>
  </si>
  <si>
    <t>1/6</t>
  </si>
  <si>
    <t>3/16</t>
  </si>
  <si>
    <t xml:space="preserve">KUROSU &amp; CÍA. S.A.</t>
  </si>
  <si>
    <t>PYKUR03F8896</t>
  </si>
  <si>
    <t xml:space="preserve">pyAA Estable </t>
  </si>
  <si>
    <t>PYREG01F9215</t>
  </si>
  <si>
    <t>2/6</t>
  </si>
  <si>
    <t>3/24</t>
  </si>
  <si>
    <t>4/16</t>
  </si>
  <si>
    <t>2/23</t>
  </si>
  <si>
    <t>3/8</t>
  </si>
  <si>
    <t>2/40</t>
  </si>
  <si>
    <t>1/12</t>
  </si>
  <si>
    <t>PYCII02F0974</t>
  </si>
  <si>
    <t>3/12</t>
  </si>
  <si>
    <t>4/12</t>
  </si>
  <si>
    <t>5/16</t>
  </si>
  <si>
    <t>PYELE02F0567</t>
  </si>
  <si>
    <t>1/1</t>
  </si>
  <si>
    <t>2/10</t>
  </si>
  <si>
    <t>PYATS02F8842</t>
  </si>
  <si>
    <t>3/40</t>
  </si>
  <si>
    <t>6/6</t>
  </si>
  <si>
    <t>12/12</t>
  </si>
  <si>
    <t xml:space="preserve">ITAU INVEST CBSA</t>
  </si>
  <si>
    <t>PYTAU03F4028</t>
  </si>
  <si>
    <t>Ok</t>
  </si>
  <si>
    <t>6/20</t>
  </si>
  <si>
    <t>15/17</t>
  </si>
  <si>
    <t>14/28</t>
  </si>
  <si>
    <t xml:space="preserve">AA-py Fuerte </t>
  </si>
  <si>
    <t>15/16</t>
  </si>
  <si>
    <t>20/9</t>
  </si>
  <si>
    <t>16/17</t>
  </si>
  <si>
    <t>15/28</t>
  </si>
  <si>
    <t>17/17</t>
  </si>
  <si>
    <t xml:space="preserve">FIDEICOMISO LA SUSANA</t>
  </si>
  <si>
    <t>PYFSU05F6670</t>
  </si>
  <si>
    <t>PYFSU03F6656</t>
  </si>
  <si>
    <t>1/9</t>
  </si>
  <si>
    <t>4/9</t>
  </si>
  <si>
    <t>PYFSU04F6663</t>
  </si>
  <si>
    <t>5/10</t>
  </si>
  <si>
    <t>6/14</t>
  </si>
  <si>
    <t>7/14</t>
  </si>
  <si>
    <t>4/14</t>
  </si>
  <si>
    <t>5/9</t>
  </si>
  <si>
    <t>6/10</t>
  </si>
  <si>
    <t>3/9</t>
  </si>
  <si>
    <t>4/10</t>
  </si>
  <si>
    <t>5/14</t>
  </si>
  <si>
    <t>PYREG04F9493</t>
  </si>
  <si>
    <t xml:space="preserve">NUCLEO S.A.</t>
  </si>
  <si>
    <t>PYNUC02F9204</t>
  </si>
  <si>
    <t>1/19</t>
  </si>
  <si>
    <t>3/19</t>
  </si>
  <si>
    <t>7/19</t>
  </si>
  <si>
    <t>8/9</t>
  </si>
  <si>
    <t>9/10</t>
  </si>
  <si>
    <t>10/14</t>
  </si>
  <si>
    <t>11/24</t>
  </si>
  <si>
    <t>13/20</t>
  </si>
  <si>
    <t>14/19</t>
  </si>
  <si>
    <t>15/24</t>
  </si>
  <si>
    <t>16/14</t>
  </si>
  <si>
    <t>17/9</t>
  </si>
  <si>
    <t>18/10</t>
  </si>
  <si>
    <t>19/14</t>
  </si>
  <si>
    <t>20/20</t>
  </si>
  <si>
    <t>21/19</t>
  </si>
  <si>
    <t>22/24</t>
  </si>
  <si>
    <t>23/12</t>
  </si>
  <si>
    <t>24/19</t>
  </si>
  <si>
    <t>25/20</t>
  </si>
  <si>
    <t>26/24</t>
  </si>
  <si>
    <t>27/14</t>
  </si>
  <si>
    <t>28/19</t>
  </si>
  <si>
    <t>29/20</t>
  </si>
  <si>
    <t>30/9</t>
  </si>
  <si>
    <t>31/10</t>
  </si>
  <si>
    <t>32/14</t>
  </si>
  <si>
    <t>33/24</t>
  </si>
  <si>
    <t>34/12</t>
  </si>
  <si>
    <t>35/19</t>
  </si>
  <si>
    <t>36/20</t>
  </si>
  <si>
    <t>37/24</t>
  </si>
  <si>
    <t>38/14</t>
  </si>
  <si>
    <t>39/10</t>
  </si>
  <si>
    <t>40/14</t>
  </si>
  <si>
    <t>41/19</t>
  </si>
  <si>
    <t>42/20</t>
  </si>
  <si>
    <t>43/24</t>
  </si>
  <si>
    <t>5/20</t>
  </si>
  <si>
    <t>6/19</t>
  </si>
  <si>
    <t>3/20</t>
  </si>
  <si>
    <t>4/19</t>
  </si>
  <si>
    <t>5/24</t>
  </si>
  <si>
    <t>6/12</t>
  </si>
  <si>
    <t>8/19</t>
  </si>
  <si>
    <t>9/24</t>
  </si>
  <si>
    <t>2/19</t>
  </si>
  <si>
    <t>PYTNA02F1030</t>
  </si>
  <si>
    <t>12/17</t>
  </si>
  <si>
    <t>8/20</t>
  </si>
  <si>
    <t xml:space="preserve">Ueno Bank</t>
  </si>
  <si>
    <t>PYELC01F6385</t>
  </si>
  <si>
    <t>PYREG01F6419</t>
  </si>
  <si>
    <t>PYBAM02F8632</t>
  </si>
  <si>
    <t xml:space="preserve">Fondos Mutuos - PYG - Investor</t>
  </si>
  <si>
    <t xml:space="preserve">FONDO MUTUO INVESTOR</t>
  </si>
  <si>
    <t xml:space="preserve">Grupo Investor</t>
  </si>
  <si>
    <t>PYNUC01F9189</t>
  </si>
  <si>
    <t xml:space="preserve">Fondos Mutuos - USD - Investor</t>
  </si>
  <si>
    <t>PYBAM01F8484</t>
  </si>
  <si>
    <t>11/16</t>
  </si>
  <si>
    <t>11/28</t>
  </si>
  <si>
    <t xml:space="preserve">Rescate anticipado</t>
  </si>
  <si>
    <t>11/20</t>
  </si>
  <si>
    <t>16/16</t>
  </si>
  <si>
    <t>16/28</t>
  </si>
  <si>
    <t>20/10</t>
  </si>
  <si>
    <t xml:space="preserve">Inversiones en CDA LP - PYG</t>
  </si>
  <si>
    <t>PYATS01F6342</t>
  </si>
  <si>
    <t>PYREG02F6426</t>
  </si>
  <si>
    <t>PYRIE02F8081</t>
  </si>
  <si>
    <t xml:space="preserve">Fondos Mutuos - USD - Puente</t>
  </si>
  <si>
    <t xml:space="preserve">FONDO MUTUO PUENTE</t>
  </si>
  <si>
    <t xml:space="preserve">Grupo Puente</t>
  </si>
  <si>
    <t>PYATS03F8858</t>
  </si>
  <si>
    <t xml:space="preserve">SALLUSTRO &amp; CÍA. S.A.</t>
  </si>
  <si>
    <t>PYSAL01F9781</t>
  </si>
  <si>
    <t xml:space="preserve">pyBBB Estable</t>
  </si>
  <si>
    <t>2/43</t>
  </si>
  <si>
    <t>1/43</t>
  </si>
  <si>
    <t>12/16</t>
  </si>
  <si>
    <t>9/20</t>
  </si>
  <si>
    <t>17/28</t>
  </si>
  <si>
    <t xml:space="preserve">AUTOMOTORES Y MAQUINARIA S.A.E.C.A.</t>
  </si>
  <si>
    <t>PYATM01F8823</t>
  </si>
  <si>
    <t xml:space="preserve">pyAA - Estable</t>
  </si>
  <si>
    <t>PYIBI03F9595</t>
  </si>
  <si>
    <t>PYTEL01F9356</t>
  </si>
  <si>
    <t>2/28</t>
  </si>
  <si>
    <t>12/20</t>
  </si>
  <si>
    <t>18/28</t>
  </si>
  <si>
    <t>20/11</t>
  </si>
  <si>
    <t>19/28</t>
  </si>
  <si>
    <t xml:space="preserve">Acciones Preferidas "A"</t>
  </si>
  <si>
    <t>PYIBI06F4239</t>
  </si>
  <si>
    <t>1/50</t>
  </si>
  <si>
    <t>PYIBI02F2236</t>
  </si>
  <si>
    <t>1/30</t>
  </si>
  <si>
    <t>PYIBI05F3745</t>
  </si>
  <si>
    <t>1/22</t>
  </si>
  <si>
    <t>2/50</t>
  </si>
  <si>
    <t>PYIBI04F5774</t>
  </si>
  <si>
    <t>1/72</t>
  </si>
  <si>
    <t>2/30</t>
  </si>
  <si>
    <t>3/22</t>
  </si>
  <si>
    <t>4/50</t>
  </si>
  <si>
    <t>5/72</t>
  </si>
  <si>
    <t>6/30</t>
  </si>
  <si>
    <t>7/22</t>
  </si>
  <si>
    <t>8/50</t>
  </si>
  <si>
    <t>9/72</t>
  </si>
  <si>
    <t>10/30</t>
  </si>
  <si>
    <t>11/22</t>
  </si>
  <si>
    <t>12/50</t>
  </si>
  <si>
    <t>13/72</t>
  </si>
  <si>
    <t>14/30</t>
  </si>
  <si>
    <t>15/22</t>
  </si>
  <si>
    <t>16/50</t>
  </si>
  <si>
    <t>17/72</t>
  </si>
  <si>
    <t>18/30</t>
  </si>
  <si>
    <t>19/22</t>
  </si>
  <si>
    <t>20/50</t>
  </si>
  <si>
    <t>21/72</t>
  </si>
  <si>
    <t>22/30</t>
  </si>
  <si>
    <t>23/22</t>
  </si>
  <si>
    <t>24/50</t>
  </si>
  <si>
    <t>25/72</t>
  </si>
  <si>
    <t>26/30</t>
  </si>
  <si>
    <t>27/22</t>
  </si>
  <si>
    <t>28/50</t>
  </si>
  <si>
    <t>29/72</t>
  </si>
  <si>
    <t>30/30</t>
  </si>
  <si>
    <t>31/22</t>
  </si>
  <si>
    <t>32/50</t>
  </si>
  <si>
    <t>33/72</t>
  </si>
  <si>
    <t>34/30</t>
  </si>
  <si>
    <t>35/22</t>
  </si>
  <si>
    <t>36/50</t>
  </si>
  <si>
    <t>37/72</t>
  </si>
  <si>
    <t>38/30</t>
  </si>
  <si>
    <t>39/22</t>
  </si>
  <si>
    <t>40/50</t>
  </si>
  <si>
    <t>41/72</t>
  </si>
  <si>
    <t>42/30</t>
  </si>
  <si>
    <t>43/22</t>
  </si>
  <si>
    <t>44/50</t>
  </si>
  <si>
    <t>45/72</t>
  </si>
  <si>
    <t>46/30</t>
  </si>
  <si>
    <t>47/22</t>
  </si>
  <si>
    <t>48/13</t>
  </si>
  <si>
    <t>49/50</t>
  </si>
  <si>
    <t xml:space="preserve">MUNICIPALIDAD DE ASUNCIÓN</t>
  </si>
  <si>
    <t>PYMUA02F6732</t>
  </si>
  <si>
    <t>PYMUA03F6749</t>
  </si>
  <si>
    <t>2/72</t>
  </si>
  <si>
    <t>3/30</t>
  </si>
  <si>
    <t>4/22</t>
  </si>
  <si>
    <t>5/50</t>
  </si>
  <si>
    <t>6/72</t>
  </si>
  <si>
    <t>7/30</t>
  </si>
  <si>
    <t>8/22</t>
  </si>
  <si>
    <t>9/50</t>
  </si>
  <si>
    <t>10/72</t>
  </si>
  <si>
    <t>11/30</t>
  </si>
  <si>
    <t>12/22</t>
  </si>
  <si>
    <t>13/50</t>
  </si>
  <si>
    <t>14/72</t>
  </si>
  <si>
    <t>15/30</t>
  </si>
  <si>
    <t>16/22</t>
  </si>
  <si>
    <t>17/50</t>
  </si>
  <si>
    <t>18/72</t>
  </si>
  <si>
    <t>19/30</t>
  </si>
  <si>
    <t>20/22</t>
  </si>
  <si>
    <t>PYTAP12F7530</t>
  </si>
  <si>
    <t>3/72</t>
  </si>
  <si>
    <t>4/30</t>
  </si>
  <si>
    <t>5/22</t>
  </si>
  <si>
    <t>1/13</t>
  </si>
  <si>
    <t>3/10</t>
  </si>
  <si>
    <t>PYIBI04F3035</t>
  </si>
  <si>
    <t>1/3</t>
  </si>
  <si>
    <t>7/3</t>
  </si>
  <si>
    <t xml:space="preserve">Incumplimiento | Provisionado</t>
  </si>
  <si>
    <t xml:space="preserve">FRIGORIFICO SAN PEDRO S.A.</t>
  </si>
  <si>
    <t>PYFSP01F3975</t>
  </si>
  <si>
    <t>Rescisión</t>
  </si>
  <si>
    <t>3/13</t>
  </si>
  <si>
    <t xml:space="preserve">TRACTOPAR S.A.</t>
  </si>
  <si>
    <t>PYTPA03F4249</t>
  </si>
  <si>
    <t>11/50</t>
  </si>
  <si>
    <t>12/72</t>
  </si>
  <si>
    <t>13/30</t>
  </si>
  <si>
    <t>14/50</t>
  </si>
  <si>
    <t>15/72</t>
  </si>
  <si>
    <t>7/50</t>
  </si>
  <si>
    <t>8/72</t>
  </si>
  <si>
    <t>9/22</t>
  </si>
  <si>
    <t>10/50</t>
  </si>
  <si>
    <t>11/72</t>
  </si>
  <si>
    <t>PYFSP02F3982</t>
  </si>
  <si>
    <t>6/50</t>
  </si>
  <si>
    <t>7/72</t>
  </si>
  <si>
    <t>PYTPA04F3448</t>
  </si>
  <si>
    <t xml:space="preserve">Sin Calificación</t>
  </si>
  <si>
    <t>10/43</t>
  </si>
  <si>
    <t>16/13</t>
  </si>
  <si>
    <t>17/10</t>
  </si>
  <si>
    <t>18/14</t>
  </si>
  <si>
    <t>2/13</t>
  </si>
  <si>
    <t>6/22</t>
  </si>
  <si>
    <t>7/43</t>
  </si>
  <si>
    <t xml:space="preserve">COMPAÑÍA GENERAL DE SERVICIOS S.A.</t>
  </si>
  <si>
    <t xml:space="preserve">Titulo 29</t>
  </si>
  <si>
    <t xml:space="preserve">Bonos Cartulares</t>
  </si>
  <si>
    <t>PYVIS04F3294</t>
  </si>
  <si>
    <t>1/15</t>
  </si>
  <si>
    <t>7/13</t>
  </si>
  <si>
    <t>8/10</t>
  </si>
  <si>
    <t>9/14</t>
  </si>
  <si>
    <t>12/15</t>
  </si>
  <si>
    <t>13/43</t>
  </si>
  <si>
    <t>PYRIE01F0527</t>
  </si>
  <si>
    <t>4/15</t>
  </si>
  <si>
    <t>5/43</t>
  </si>
  <si>
    <t>10/13</t>
  </si>
  <si>
    <t>2/22</t>
  </si>
  <si>
    <t>5/15</t>
  </si>
  <si>
    <t>2/15</t>
  </si>
  <si>
    <t>Reestructurado</t>
  </si>
  <si>
    <t>PYCGS01F8629</t>
  </si>
  <si>
    <t>3/15</t>
  </si>
  <si>
    <t xml:space="preserve">Inversiones en Bonos CP - PYG</t>
  </si>
  <si>
    <t>pyBBB+</t>
  </si>
  <si>
    <t xml:space="preserve">REESTRUCTURACION RES.3108-24</t>
  </si>
  <si>
    <t>20/28</t>
  </si>
  <si>
    <t>20/12</t>
  </si>
  <si>
    <t>21/28</t>
  </si>
  <si>
    <t xml:space="preserve">No se ubican en la planilla contable ya que los ingresos se van a reconocer a medida que van ingresando. Emisor en incumplimiento sin flujo aprobado por SIV</t>
  </si>
  <si>
    <t xml:space="preserve">Cobrado | No renovado</t>
  </si>
  <si>
    <t>1/21</t>
  </si>
  <si>
    <t>1/61</t>
  </si>
  <si>
    <t>2/21</t>
  </si>
  <si>
    <t>2/61</t>
  </si>
  <si>
    <t>3/61</t>
  </si>
  <si>
    <t>4/61</t>
  </si>
  <si>
    <t>3/21</t>
  </si>
  <si>
    <t>5/61</t>
  </si>
  <si>
    <t>6/61</t>
  </si>
  <si>
    <t>7/61</t>
  </si>
  <si>
    <t>4/21</t>
  </si>
  <si>
    <t>8/61</t>
  </si>
  <si>
    <t>9/61</t>
  </si>
  <si>
    <t>10/61</t>
  </si>
  <si>
    <t>5/21</t>
  </si>
  <si>
    <t>11/61</t>
  </si>
  <si>
    <t>12/61</t>
  </si>
  <si>
    <t>13/61</t>
  </si>
  <si>
    <t>6/21</t>
  </si>
  <si>
    <t>14/61</t>
  </si>
  <si>
    <t>15/61</t>
  </si>
  <si>
    <t>16/61</t>
  </si>
  <si>
    <t>7/21</t>
  </si>
  <si>
    <t>17/61</t>
  </si>
  <si>
    <t>18/61</t>
  </si>
  <si>
    <t>19/61</t>
  </si>
  <si>
    <t>8/21</t>
  </si>
  <si>
    <t>20/61</t>
  </si>
  <si>
    <t>21/61</t>
  </si>
  <si>
    <t>9/21</t>
  </si>
  <si>
    <t>22/61</t>
  </si>
  <si>
    <t>23/61</t>
  </si>
  <si>
    <t>6/16</t>
  </si>
  <si>
    <t>24/61</t>
  </si>
  <si>
    <t>10/21</t>
  </si>
  <si>
    <t>25/61</t>
  </si>
  <si>
    <t>26/61</t>
  </si>
  <si>
    <t>7/16</t>
  </si>
  <si>
    <t>27/61</t>
  </si>
  <si>
    <t>11/21</t>
  </si>
  <si>
    <t>28/61</t>
  </si>
  <si>
    <t>29/61</t>
  </si>
  <si>
    <t>8/16</t>
  </si>
  <si>
    <t>3/6</t>
  </si>
  <si>
    <t>30/61</t>
  </si>
  <si>
    <t>12/21</t>
  </si>
  <si>
    <t>31/61</t>
  </si>
  <si>
    <t>32/61</t>
  </si>
  <si>
    <t>9/16</t>
  </si>
  <si>
    <t>33/61</t>
  </si>
  <si>
    <t>13/21</t>
  </si>
  <si>
    <t>34/61</t>
  </si>
  <si>
    <t>35/61</t>
  </si>
  <si>
    <t>10/16</t>
  </si>
  <si>
    <t>4/6</t>
  </si>
  <si>
    <t>36/61</t>
  </si>
  <si>
    <t>14/21</t>
  </si>
  <si>
    <t>37/61</t>
  </si>
  <si>
    <t>38/61</t>
  </si>
  <si>
    <t>39/61</t>
  </si>
  <si>
    <t>15/21</t>
  </si>
  <si>
    <t>40/61</t>
  </si>
  <si>
    <t xml:space="preserve">FINLATINA S.A. DE FINANZAS</t>
  </si>
  <si>
    <t>1/5</t>
  </si>
  <si>
    <t>2/3</t>
  </si>
  <si>
    <t>41/61</t>
  </si>
  <si>
    <t>5/6</t>
  </si>
  <si>
    <t>2/5</t>
  </si>
  <si>
    <t>42/61</t>
  </si>
  <si>
    <t>16/21</t>
  </si>
  <si>
    <t>43/61</t>
  </si>
  <si>
    <t>13/1</t>
  </si>
  <si>
    <t>44/61</t>
  </si>
  <si>
    <t>45/61</t>
  </si>
  <si>
    <t>17/21</t>
  </si>
  <si>
    <t>11/1</t>
  </si>
  <si>
    <t>46/61</t>
  </si>
  <si>
    <t>3/5</t>
  </si>
  <si>
    <t>13/2</t>
  </si>
  <si>
    <t>CEFISA</t>
  </si>
  <si>
    <t>47/61</t>
  </si>
  <si>
    <t>48/61</t>
  </si>
  <si>
    <t>18/21</t>
  </si>
  <si>
    <t>49/61</t>
  </si>
  <si>
    <t>4/5</t>
  </si>
  <si>
    <t>5/5</t>
  </si>
  <si>
    <t>4/13</t>
  </si>
  <si>
    <t>13/3</t>
  </si>
  <si>
    <t>50/61</t>
  </si>
  <si>
    <t xml:space="preserve">5453 F.G.</t>
  </si>
  <si>
    <t>19/21</t>
  </si>
  <si>
    <t>51/61</t>
  </si>
  <si>
    <t>11/2</t>
  </si>
  <si>
    <t>52/61</t>
  </si>
  <si>
    <t>5/13</t>
  </si>
  <si>
    <t>13/4</t>
  </si>
  <si>
    <t>3/3</t>
  </si>
  <si>
    <t>53/61</t>
  </si>
  <si>
    <t>20/21</t>
  </si>
  <si>
    <t>54/61</t>
  </si>
  <si>
    <t>55/61</t>
  </si>
  <si>
    <t>20/1</t>
  </si>
  <si>
    <t>6/13</t>
  </si>
  <si>
    <t>13/5</t>
  </si>
  <si>
    <t>56/61</t>
  </si>
  <si>
    <t>21/21</t>
  </si>
  <si>
    <t>57/61</t>
  </si>
  <si>
    <t>11/3</t>
  </si>
  <si>
    <t>58/61</t>
  </si>
  <si>
    <t>13/6</t>
  </si>
  <si>
    <t>59/61</t>
  </si>
  <si>
    <t>1/17</t>
  </si>
  <si>
    <t>60/61</t>
  </si>
  <si>
    <t>61/61</t>
  </si>
  <si>
    <t>20/2</t>
  </si>
  <si>
    <t>8/13</t>
  </si>
  <si>
    <t>13/7</t>
  </si>
  <si>
    <t>2/17</t>
  </si>
  <si>
    <t>11/4</t>
  </si>
  <si>
    <t>9/13</t>
  </si>
  <si>
    <t>13/8</t>
  </si>
  <si>
    <t>20/3</t>
  </si>
  <si>
    <t>13/9</t>
  </si>
  <si>
    <t>4/17</t>
  </si>
  <si>
    <t>11/5</t>
  </si>
  <si>
    <t>5/12</t>
  </si>
  <si>
    <t>11/13</t>
  </si>
  <si>
    <t>13/10</t>
  </si>
  <si>
    <t>5/17</t>
  </si>
  <si>
    <t>20/4</t>
  </si>
  <si>
    <t>12/13</t>
  </si>
  <si>
    <t>13/11</t>
  </si>
  <si>
    <t>13/13</t>
  </si>
  <si>
    <t>6/17</t>
  </si>
  <si>
    <t>11/6</t>
  </si>
  <si>
    <t>7/12</t>
  </si>
  <si>
    <t>13/12</t>
  </si>
  <si>
    <t>7/17</t>
  </si>
  <si>
    <t>20/5</t>
  </si>
  <si>
    <t>8/12</t>
  </si>
  <si>
    <t>8/17</t>
  </si>
  <si>
    <t>4/20</t>
  </si>
  <si>
    <t>11/7</t>
  </si>
  <si>
    <t>9/12</t>
  </si>
  <si>
    <t>9/17</t>
  </si>
  <si>
    <t>20/6</t>
  </si>
  <si>
    <t>10/12</t>
  </si>
  <si>
    <t>10/17</t>
  </si>
  <si>
    <t>11/8</t>
  </si>
  <si>
    <t>11/12</t>
  </si>
  <si>
    <t>11/17</t>
  </si>
  <si>
    <t>AA9311</t>
  </si>
  <si>
    <t>14/20</t>
  </si>
  <si>
    <t xml:space="preserve">Inversiones en CDA LP - USD</t>
  </si>
  <si>
    <t>22/28</t>
  </si>
  <si>
    <t>20/13</t>
  </si>
  <si>
    <t>23/28</t>
  </si>
  <si>
    <t>15/20</t>
  </si>
  <si>
    <t>24/28</t>
  </si>
  <si>
    <t>3/17</t>
  </si>
  <si>
    <t>AA7565</t>
  </si>
  <si>
    <t>20/14</t>
  </si>
  <si>
    <t xml:space="preserve">Fondos Mutuos - PYG - Itau</t>
  </si>
  <si>
    <t xml:space="preserve">FONDO MUTUO ITAU INVEST</t>
  </si>
  <si>
    <t xml:space="preserve">Fondos Mutuos - USD - Avalon</t>
  </si>
  <si>
    <t xml:space="preserve">FONDO MUTUO AVALON </t>
  </si>
  <si>
    <t>25/28</t>
  </si>
  <si>
    <t>16/20</t>
  </si>
  <si>
    <t>26/28</t>
  </si>
  <si>
    <t>20/15</t>
  </si>
  <si>
    <t>27/28</t>
  </si>
  <si>
    <t>17/20</t>
  </si>
  <si>
    <t>28/28</t>
  </si>
  <si>
    <t>20/16</t>
  </si>
  <si>
    <t>18/20</t>
  </si>
  <si>
    <t>20/17</t>
  </si>
  <si>
    <t>19/20</t>
  </si>
  <si>
    <t>20/18</t>
  </si>
  <si>
    <t>Directo</t>
  </si>
  <si>
    <t xml:space="preserve">Fondos Mutuos - PYG - Avalon</t>
  </si>
  <si>
    <t>11/9</t>
  </si>
  <si>
    <t xml:space="preserve">Fondos Mutuos - PYG - Familiar</t>
  </si>
  <si>
    <t xml:space="preserve">FONDO MUTUO FAMILIAR</t>
  </si>
  <si>
    <t xml:space="preserve">Grupo Familiar</t>
  </si>
  <si>
    <t>20/19</t>
  </si>
  <si>
    <t>CAVAPY</t>
  </si>
  <si>
    <t xml:space="preserve">Acciones | Cavapy</t>
  </si>
  <si>
    <t>Cavapy</t>
  </si>
  <si>
    <t xml:space="preserve">SUDAMERIS SECURITIES CBSA</t>
  </si>
  <si>
    <t xml:space="preserve">Prima de emisión</t>
  </si>
  <si>
    <t xml:space="preserve">Fondos Mutuos - USD - Familiar</t>
  </si>
  <si>
    <t xml:space="preserve">Fondos Mutuos - PYG - Cadiem</t>
  </si>
  <si>
    <t xml:space="preserve">FONDO MUTUO CADIEM</t>
  </si>
  <si>
    <t xml:space="preserve">GRUPO CADIEM</t>
  </si>
  <si>
    <t xml:space="preserve">Fondos Mutuos - USD - Cadiem</t>
  </si>
  <si>
    <t xml:space="preserve">Fondos Mutuos - PYG - Puente</t>
  </si>
  <si>
    <t xml:space="preserve">Fondos Mutuos - USD - Itau</t>
  </si>
  <si>
    <t xml:space="preserve">FONDO MUTUO ITAÚ INVEST</t>
  </si>
  <si>
    <t xml:space="preserve">ATLAS CBSA</t>
  </si>
  <si>
    <t>BC1646</t>
  </si>
  <si>
    <t xml:space="preserve">BANCO DE DESARROLLO DE AMERICA | CAF</t>
  </si>
  <si>
    <t>PYCAF02F9117</t>
  </si>
  <si>
    <t>AA</t>
  </si>
  <si>
    <t>Semetral</t>
  </si>
  <si>
    <t xml:space="preserve">Activo | Reestructurado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</si>
</sst>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 * #,##0_ ;_ * \-#,##0_ ;_ * &quot;-&quot;_ ;_ @_ "/>
    <numFmt numFmtId="165" formatCode="_(* #,##0_);_(* \(#,##0\);_(* &quot;-&quot;_);_(@_)"/>
    <numFmt numFmtId="166" formatCode="_-* #,##0.00_-;\-* #,##0.00_-;_-* &quot;-&quot;??_-;_-@_-"/>
    <numFmt numFmtId="167" formatCode="_ * #,##0.00_ ;_ * \-#,##0.00_ ;_ * &quot;-&quot;??_ ;_ @_ "/>
    <numFmt numFmtId="168" formatCode="_-* #,##0.00\ _€_-;\-* #,##0.00\ _€_-;_-* &quot;-&quot;??\ _€_-;_-@_-"/>
    <numFmt numFmtId="169" formatCode="_ * #,##0.00_ ;_ * \-#,##0.00_ ;_ * &quot;-&quot;_ ;_ @_ "/>
  </numFmts>
  <fonts count="6">
    <font>
      <sz val="11.000000"/>
      <color theme="1"/>
      <name val="Calibri"/>
      <scheme val="minor"/>
    </font>
    <font>
      <sz val="10.000000"/>
      <name val="Arial"/>
    </font>
    <font>
      <sz val="11.000000"/>
      <color rgb="FF9C5700"/>
      <name val="Calibri"/>
      <scheme val="minor"/>
    </font>
    <font>
      <sz val="10.000000"/>
      <color theme="1"/>
      <name val="Calibri"/>
      <scheme val="minor"/>
    </font>
    <font>
      <b/>
      <sz val="10.000000"/>
      <color theme="0"/>
      <name val="Calibri"/>
      <scheme val="minor"/>
    </font>
    <font>
      <b/>
      <sz val="10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501E53"/>
      </patternFill>
    </fill>
    <fill>
      <patternFill patternType="solid">
        <fgColor theme="2"/>
      </patternFill>
    </fill>
    <fill>
      <patternFill patternType="solid">
        <fgColor theme="7"/>
      </patternFill>
    </fill>
  </fills>
  <borders count="1">
    <border>
      <left style="none"/>
      <right style="none"/>
      <top style="none"/>
      <bottom style="none"/>
      <diagonal style="none"/>
    </border>
  </borders>
  <cellStyleXfs count="1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166" applyNumberFormat="1" applyFont="0" applyFill="0" applyBorder="0" applyProtection="0"/>
    <xf fontId="1" fillId="0" borderId="0" numFmtId="167" applyNumberFormat="1" applyFont="0" applyFill="0" applyBorder="0" applyProtection="0"/>
    <xf fontId="0" fillId="0" borderId="0" numFmtId="168" applyNumberFormat="1" applyFont="0" applyFill="0" applyBorder="0" applyProtection="0"/>
    <xf fontId="2" fillId="2" borderId="0" numFmtId="0" applyNumberFormat="0" applyFont="1" applyFill="1" applyBorder="0" applyProtection="0"/>
    <xf fontId="1" fillId="0" borderId="0" numFmtId="0" applyNumberFormat="0" applyFont="1" applyFill="0" applyBorder="0" applyProtection="0"/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30">
    <xf fontId="0" fillId="0" borderId="0" numFmtId="0" xfId="0"/>
    <xf fontId="0" fillId="0" borderId="0" numFmtId="0" xfId="0" applyAlignment="1">
      <alignment horizontal="left"/>
    </xf>
    <xf fontId="0" fillId="0" borderId="0" numFmtId="14" xfId="0" applyNumberFormat="1"/>
    <xf fontId="0" fillId="0" borderId="0" numFmtId="10" xfId="12" applyNumberFormat="1"/>
    <xf fontId="0" fillId="0" borderId="0" numFmtId="169" xfId="2" applyNumberFormat="1"/>
    <xf fontId="3" fillId="0" borderId="0" numFmtId="0" xfId="0" applyFont="1"/>
    <xf fontId="4" fillId="3" borderId="0" numFmtId="0" xfId="0" applyFont="1" applyFill="1"/>
    <xf fontId="5" fillId="4" borderId="0" numFmtId="0" xfId="0" applyFont="1" applyFill="1"/>
    <xf fontId="4" fillId="5" borderId="0" numFmtId="0" xfId="0" applyFont="1" applyFill="1"/>
    <xf fontId="3" fillId="0" borderId="0" numFmtId="0" xfId="0" applyFont="1" applyAlignment="1">
      <alignment horizontal="left"/>
    </xf>
    <xf fontId="3" fillId="0" borderId="0" numFmtId="14" xfId="0" applyNumberFormat="1" applyFont="1"/>
    <xf fontId="3" fillId="0" borderId="0" numFmtId="10" xfId="12" applyNumberFormat="1" applyFont="1"/>
    <xf fontId="3" fillId="0" borderId="0" numFmtId="164" xfId="2" applyNumberFormat="1" applyFont="1"/>
    <xf fontId="3" fillId="0" borderId="0" numFmtId="169" xfId="2" applyNumberFormat="1" applyFont="1"/>
    <xf fontId="3" fillId="0" borderId="0" numFmtId="0" xfId="0" applyFont="1" applyAlignment="1">
      <alignment horizontal="right"/>
    </xf>
    <xf fontId="3" fillId="0" borderId="0" numFmtId="3" xfId="0" applyNumberFormat="1" applyFont="1"/>
    <xf fontId="3" fillId="0" borderId="0" numFmtId="164" xfId="0" applyNumberFormat="1" applyFont="1"/>
    <xf fontId="3" fillId="0" borderId="0" numFmtId="169" xfId="0" applyNumberFormat="1" applyFont="1"/>
    <xf fontId="3" fillId="0" borderId="0" numFmtId="169" xfId="2" applyNumberFormat="1" applyFont="1" applyAlignment="1">
      <alignment horizontal="right"/>
    </xf>
    <xf fontId="3" fillId="0" borderId="0" numFmtId="164" xfId="2" applyNumberFormat="1" applyFont="1" applyAlignment="1">
      <alignment horizontal="left"/>
    </xf>
    <xf fontId="3" fillId="0" borderId="0" numFmtId="14" xfId="0" applyNumberFormat="1" applyFont="1" applyAlignment="1">
      <alignment horizontal="right"/>
    </xf>
    <xf fontId="3" fillId="0" borderId="0" numFmtId="14" xfId="2" applyNumberFormat="1" applyFont="1"/>
    <xf fontId="5" fillId="0" borderId="0" numFmtId="164" xfId="0" applyNumberFormat="1" applyFont="1"/>
    <xf fontId="5" fillId="0" borderId="0" numFmtId="0" xfId="0" applyFont="1"/>
    <xf fontId="3" fillId="0" borderId="0" numFmtId="164" xfId="9" applyNumberFormat="1" applyFont="1"/>
    <xf fontId="3" fillId="0" borderId="0" numFmtId="2" xfId="2" applyNumberFormat="1" applyFont="1" applyAlignment="1">
      <alignment horizontal="right"/>
    </xf>
    <xf fontId="3" fillId="0" borderId="0" numFmtId="164" xfId="2" applyNumberFormat="1" applyFont="1" applyAlignment="1">
      <alignment horizontal="right"/>
    </xf>
    <xf fontId="3" fillId="0" borderId="0" numFmtId="4" xfId="0" applyNumberFormat="1" applyFont="1"/>
    <xf fontId="3" fillId="0" borderId="0" numFmtId="0" xfId="0" applyFont="1" applyAlignment="1">
      <alignment vertical="center"/>
    </xf>
    <xf fontId="3" fillId="0" borderId="0" numFmtId="10" xfId="0" applyNumberFormat="1" applyFont="1"/>
  </cellXfs>
  <cellStyles count="13">
    <cellStyle name="          _x000d__x000a_386grabber=VGA.3GR_x000d__x000a_" xfId="1"/>
    <cellStyle name="Millares [0]" xfId="2" builtinId="6"/>
    <cellStyle name="Millares [0] 2" xfId="3"/>
    <cellStyle name="Millares [0] 2 2" xfId="4"/>
    <cellStyle name="Millares [0] 3" xfId="5"/>
    <cellStyle name="Millares 2" xfId="6"/>
    <cellStyle name="Millares 2 2" xfId="7"/>
    <cellStyle name="Millares 3" xfId="8"/>
    <cellStyle name="Neutral" xfId="9" builtinId="28"/>
    <cellStyle name="Normal" xfId="0" builtinId="0"/>
    <cellStyle name="Normal 10 2 2" xfId="10"/>
    <cellStyle name="Normal 708" xfId="11"/>
    <cellStyle name="Porcentaje" xfId="12" builtinId="5"/>
  </cellStyles>
  <dxfs count="0"/>
  <tableStyles count="1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 Ariel Galeano Villamayor" id="{DD4578DF-6AD6-6102-310A-380BEF0956F1}" userId="S::agaleano@bolsadevalores.com.py::c010df08-7ff2-4ab3-bb35-be588040821c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547" dT="2025-01-06T16:42:40.54Z" personId="{DD4578DF-6AD6-6102-310A-380BEF0956F1}" id="{20A30C12-F2ED-4FAC-826D-F41593C73498}" done="0">
    <text xml:space="preserve">VALORES ACREDITO 11,32 EL 17.12.24 REESTRUCTURACION RES.3108-24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showGridLines="0" zoomScale="85" workbookViewId="0">
      <pane xSplit="8" ySplit="1" topLeftCell="I2" activePane="bottomRight" state="frozen"/>
      <selection activeCell="Q5" activeCellId="0" sqref="Q5:Q3717"/>
    </sheetView>
  </sheetViews>
  <sheetFormatPr baseColWidth="10" defaultColWidth="11.453125" defaultRowHeight="14.25"/>
  <cols>
    <col customWidth="1" min="1" max="1" width="8.54296875"/>
    <col customWidth="1" min="2" max="2" width="15"/>
    <col customWidth="1" min="3" max="3" width="23.1796875"/>
    <col customWidth="1" min="4" max="4" width="10.08984375"/>
    <col customWidth="1" min="5" max="5" width="7.90625"/>
    <col customWidth="1" min="6" max="7" width="14.36328125"/>
    <col customWidth="1" min="8" max="8" style="1" width="13.6328125"/>
    <col customWidth="1" min="9" max="10" style="2" width="14.6328125"/>
    <col customWidth="1" min="11" max="11" width="11.36328125"/>
    <col customWidth="1" min="12" max="12" width="8.54296875"/>
    <col customWidth="1" min="13" max="13" style="3" width="7.54296875"/>
    <col customWidth="1" min="14" max="14" width="8.54296875"/>
    <col customWidth="1" min="15" max="15" width="10.08984375"/>
    <col customWidth="1" min="16" max="16" style="4" width="18.54296875"/>
    <col customWidth="1" min="17" max="17" width="17.08984375"/>
    <col customWidth="1" min="18" max="18" width="7.54296875"/>
    <col customWidth="1" min="33" max="33" width="26.36328125"/>
  </cols>
  <sheetData>
    <row r="1" s="5" customFormat="1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11</v>
      </c>
      <c r="AD1" s="8" t="s">
        <v>28</v>
      </c>
      <c r="AE1" s="8" t="s">
        <v>29</v>
      </c>
      <c r="AF1" s="8" t="s">
        <v>30</v>
      </c>
      <c r="AG1" s="8" t="s">
        <v>31</v>
      </c>
    </row>
    <row r="2" s="5" customFormat="1" ht="13">
      <c r="A2" s="5">
        <v>12303</v>
      </c>
      <c r="B2" s="5" t="s">
        <v>32</v>
      </c>
      <c r="C2" s="5" t="s">
        <v>33</v>
      </c>
      <c r="D2" s="5" t="s">
        <v>20</v>
      </c>
      <c r="E2" s="5" t="s">
        <v>34</v>
      </c>
      <c r="F2" s="5" t="s">
        <v>35</v>
      </c>
      <c r="G2" s="5" t="s">
        <v>36</v>
      </c>
      <c r="H2" s="9" t="s">
        <v>37</v>
      </c>
      <c r="I2" s="10">
        <v>43581</v>
      </c>
      <c r="J2" s="10" t="s">
        <v>38</v>
      </c>
      <c r="K2" s="5" t="s">
        <v>39</v>
      </c>
      <c r="L2" s="5" t="s">
        <v>40</v>
      </c>
      <c r="M2" s="11">
        <v>0.070000000000000007</v>
      </c>
      <c r="N2" s="5" t="e">
        <f>IF(AND(M2&gt;#REF!,Cartera!O2="Guaraníes"),"Rendimiento significativo",IF(AND(M2&gt;#REF!,Cartera!O2="Dólares americanos"),"Rendimiento significativo","Rendimiento no significativo"))</f>
        <v>#REF!</v>
      </c>
      <c r="O2" s="5" t="s">
        <v>41</v>
      </c>
      <c r="P2" s="12">
        <v>3100000</v>
      </c>
      <c r="Q2" s="12">
        <f>IF(O2="Guaraníes",P2,P2*#REF!)</f>
        <v>3100000</v>
      </c>
      <c r="R2" s="12" t="e">
        <f>IF(O2="Guaraníes",P2/#REF!,P2)</f>
        <v>#REF!</v>
      </c>
      <c r="S2" s="5" t="s">
        <v>42</v>
      </c>
      <c r="T2" s="5"/>
      <c r="U2" s="5"/>
      <c r="V2" s="5"/>
      <c r="W2" s="5"/>
      <c r="X2" s="5"/>
      <c r="Y2" s="5"/>
      <c r="Z2" s="5"/>
      <c r="AA2" s="5"/>
      <c r="AB2" s="5"/>
      <c r="AC2" s="5" t="str">
        <f t="shared" ref="AC2:AC63" si="0">IF(ISNUMBER(SEARCH("Acciones",L2)),"Acciones",IF(ISNUMBER(SEARCH("Bono",L2)),"Bonos",IF(ISNUMBER(SEARCH("CDA",L2)),"CDA",IF(ISNUMBER(SEARCH("Fondo",L2)),"Fondo",0))))</f>
        <v>Acciones</v>
      </c>
      <c r="AD2" s="5" t="s">
        <v>43</v>
      </c>
      <c r="AE2" s="5">
        <f t="shared" ref="AE2:AE12" si="1">IFERROR((MONTH(J2)),0)</f>
        <v>0</v>
      </c>
      <c r="AF2" s="5">
        <f t="shared" ref="AF2:AF12" si="2">IFERROR((YEAR(J2)),0)</f>
        <v>0</v>
      </c>
    </row>
    <row r="3" s="5" customFormat="1" ht="13">
      <c r="A3" s="5" t="s">
        <v>44</v>
      </c>
      <c r="B3" s="5" t="s">
        <v>44</v>
      </c>
      <c r="C3" s="5" t="s">
        <v>45</v>
      </c>
      <c r="D3" s="5" t="s">
        <v>21</v>
      </c>
      <c r="E3" s="5" t="s">
        <v>44</v>
      </c>
      <c r="F3" s="5" t="s">
        <v>46</v>
      </c>
      <c r="G3" s="5" t="s">
        <v>47</v>
      </c>
      <c r="H3" s="9" t="s">
        <v>48</v>
      </c>
      <c r="I3" s="10"/>
      <c r="J3" s="10">
        <v>44767</v>
      </c>
      <c r="K3" s="5" t="s">
        <v>49</v>
      </c>
      <c r="L3" s="5" t="s">
        <v>50</v>
      </c>
      <c r="M3" s="11">
        <v>0.052499999999999998</v>
      </c>
      <c r="N3" s="5" t="e">
        <f>IF(AND(M3&gt;#REF!,Cartera!O3="Guaraníes"),"Rendimiento significativo",IF(AND(M3&gt;#REF!,Cartera!O3="Dólares americanos"),"Rendimiento significativo","Rendimiento no significativo"))</f>
        <v>#REF!</v>
      </c>
      <c r="O3" s="5" t="s">
        <v>51</v>
      </c>
      <c r="P3" s="13">
        <v>174.52055000000001</v>
      </c>
      <c r="Q3" s="12" t="e">
        <f>IF(O3="Guaraníes",P3,P3*#REF!)</f>
        <v>#REF!</v>
      </c>
      <c r="R3" s="12">
        <f>IF(O3="Guaraníes",P3/#REF!,P3)</f>
        <v>174.52055000000001</v>
      </c>
      <c r="S3" s="5" t="s">
        <v>52</v>
      </c>
      <c r="T3" s="5">
        <v>4</v>
      </c>
      <c r="U3" s="5"/>
      <c r="V3" s="5"/>
      <c r="W3" s="5" t="s">
        <v>53</v>
      </c>
      <c r="X3" s="5">
        <v>0</v>
      </c>
      <c r="Y3" s="5">
        <v>0</v>
      </c>
      <c r="Z3" s="5">
        <v>17.452055000000001</v>
      </c>
      <c r="AA3" s="5">
        <v>10</v>
      </c>
      <c r="AB3" s="5">
        <v>174.52054999999999</v>
      </c>
      <c r="AC3" s="5" t="str">
        <f t="shared" si="0"/>
        <v>Bonos</v>
      </c>
      <c r="AD3" s="5" t="s">
        <v>43</v>
      </c>
      <c r="AE3" s="5">
        <f t="shared" si="1"/>
        <v>7</v>
      </c>
      <c r="AF3" s="5">
        <f t="shared" si="2"/>
        <v>2022</v>
      </c>
    </row>
    <row r="4" s="5" customFormat="1" ht="13">
      <c r="A4" s="5" t="s">
        <v>44</v>
      </c>
      <c r="B4" s="5" t="s">
        <v>44</v>
      </c>
      <c r="C4" s="5" t="s">
        <v>54</v>
      </c>
      <c r="D4" s="5" t="s">
        <v>21</v>
      </c>
      <c r="E4" s="5" t="s">
        <v>44</v>
      </c>
      <c r="F4" s="5" t="s">
        <v>46</v>
      </c>
      <c r="G4" s="5" t="s">
        <v>55</v>
      </c>
      <c r="H4" s="9" t="s">
        <v>56</v>
      </c>
      <c r="I4" s="10">
        <v>44680</v>
      </c>
      <c r="J4" s="10">
        <v>44771</v>
      </c>
      <c r="K4" s="5" t="s">
        <v>57</v>
      </c>
      <c r="L4" s="5" t="s">
        <v>58</v>
      </c>
      <c r="M4" s="11">
        <v>0.059999999999999998</v>
      </c>
      <c r="N4" s="5" t="e">
        <f>IF(AND(M4&gt;#REF!,Cartera!O4="Guaraníes"),"Rendimiento significativo",IF(AND(M4&gt;#REF!,Cartera!O4="Dólares americanos"),"Rendimiento significativo","Rendimiento no significativo"))</f>
        <v>#REF!</v>
      </c>
      <c r="O4" s="5" t="s">
        <v>51</v>
      </c>
      <c r="P4" s="13">
        <v>747.95000000000005</v>
      </c>
      <c r="Q4" s="12" t="e">
        <f>IF(O4="Guaraníes",P4,P4*#REF!)</f>
        <v>#REF!</v>
      </c>
      <c r="R4" s="12">
        <f>IF(O4="Guaraníes",P4/#REF!,P4)</f>
        <v>747.95000000000005</v>
      </c>
      <c r="S4" s="5" t="s">
        <v>52</v>
      </c>
      <c r="T4" s="5">
        <v>17035</v>
      </c>
      <c r="U4" s="5"/>
      <c r="V4" s="5">
        <v>14.960000000000001</v>
      </c>
      <c r="W4" s="5"/>
      <c r="X4" s="5"/>
      <c r="Y4" s="5"/>
      <c r="Z4" s="5"/>
      <c r="AA4" s="5">
        <v>50</v>
      </c>
      <c r="AB4" s="5"/>
      <c r="AC4" s="5" t="str">
        <f t="shared" si="0"/>
        <v>Bonos</v>
      </c>
      <c r="AD4" s="5" t="s">
        <v>43</v>
      </c>
      <c r="AE4" s="5">
        <f t="shared" si="1"/>
        <v>7</v>
      </c>
      <c r="AF4" s="5">
        <f t="shared" si="2"/>
        <v>2022</v>
      </c>
    </row>
    <row r="5" s="5" customFormat="1" ht="13">
      <c r="A5" s="5" t="s">
        <v>44</v>
      </c>
      <c r="B5" s="5" t="s">
        <v>44</v>
      </c>
      <c r="C5" s="5" t="s">
        <v>54</v>
      </c>
      <c r="D5" s="5" t="s">
        <v>21</v>
      </c>
      <c r="E5" s="5" t="s">
        <v>44</v>
      </c>
      <c r="F5" s="5" t="s">
        <v>46</v>
      </c>
      <c r="G5" s="5" t="s">
        <v>55</v>
      </c>
      <c r="H5" s="9" t="s">
        <v>56</v>
      </c>
      <c r="I5" s="10">
        <v>44680</v>
      </c>
      <c r="J5" s="10">
        <v>44862</v>
      </c>
      <c r="K5" s="5" t="s">
        <v>57</v>
      </c>
      <c r="L5" s="5" t="s">
        <v>58</v>
      </c>
      <c r="M5" s="11">
        <v>0.059999999999999998</v>
      </c>
      <c r="N5" s="5" t="e">
        <f>IF(AND(M5&gt;#REF!,Cartera!O5="Guaraníes"),"Rendimiento significativo",IF(AND(M5&gt;#REF!,Cartera!O5="Dólares americanos"),"Rendimiento significativo","Rendimiento no significativo"))</f>
        <v>#REF!</v>
      </c>
      <c r="O5" s="5" t="s">
        <v>51</v>
      </c>
      <c r="P5" s="13">
        <v>747.95000000000005</v>
      </c>
      <c r="Q5" s="12" t="e">
        <f>IF(O5="Guaraníes",P5,P5*#REF!)</f>
        <v>#REF!</v>
      </c>
      <c r="R5" s="12">
        <f>IF(O5="Guaraníes",P5/#REF!,P5)</f>
        <v>747.95000000000005</v>
      </c>
      <c r="S5" s="5" t="s">
        <v>52</v>
      </c>
      <c r="T5" s="5">
        <v>17035</v>
      </c>
      <c r="V5" s="5">
        <v>14.960000000000001</v>
      </c>
      <c r="AA5" s="5">
        <v>50</v>
      </c>
      <c r="AC5" s="5" t="str">
        <f t="shared" si="0"/>
        <v>Bonos</v>
      </c>
      <c r="AD5" s="5" t="s">
        <v>43</v>
      </c>
      <c r="AE5" s="5">
        <f t="shared" si="1"/>
        <v>10</v>
      </c>
      <c r="AF5" s="5">
        <f t="shared" si="2"/>
        <v>2022</v>
      </c>
    </row>
    <row r="6" s="5" customFormat="1" ht="13">
      <c r="A6" s="5" t="s">
        <v>44</v>
      </c>
      <c r="B6" s="5" t="s">
        <v>44</v>
      </c>
      <c r="C6" s="5" t="s">
        <v>54</v>
      </c>
      <c r="D6" s="5" t="s">
        <v>21</v>
      </c>
      <c r="E6" s="5" t="s">
        <v>44</v>
      </c>
      <c r="F6" s="5" t="s">
        <v>46</v>
      </c>
      <c r="G6" s="5" t="s">
        <v>55</v>
      </c>
      <c r="H6" s="9" t="s">
        <v>56</v>
      </c>
      <c r="I6" s="10">
        <v>44680</v>
      </c>
      <c r="J6" s="10">
        <v>44953</v>
      </c>
      <c r="K6" s="5" t="s">
        <v>57</v>
      </c>
      <c r="L6" s="5" t="s">
        <v>58</v>
      </c>
      <c r="M6" s="11">
        <v>0.059999999999999998</v>
      </c>
      <c r="N6" s="5" t="e">
        <f>IF(AND(M6&gt;#REF!,Cartera!O6="Guaraníes"),"Rendimiento significativo",IF(AND(M6&gt;#REF!,Cartera!O6="Dólares americanos"),"Rendimiento significativo","Rendimiento no significativo"))</f>
        <v>#REF!</v>
      </c>
      <c r="O6" s="5" t="s">
        <v>51</v>
      </c>
      <c r="P6" s="13">
        <v>747.95000000000005</v>
      </c>
      <c r="Q6" s="12" t="e">
        <f>IF(O6="Guaraníes",P6,P6*#REF!)</f>
        <v>#REF!</v>
      </c>
      <c r="R6" s="12">
        <f>IF(O6="Guaraníes",P6/#REF!,P6)</f>
        <v>747.95000000000005</v>
      </c>
      <c r="S6" s="5" t="s">
        <v>52</v>
      </c>
      <c r="T6" s="5">
        <v>17035</v>
      </c>
      <c r="V6" s="5">
        <v>14.960000000000001</v>
      </c>
      <c r="AA6" s="5">
        <v>50</v>
      </c>
      <c r="AC6" s="5" t="str">
        <f t="shared" si="0"/>
        <v>Bonos</v>
      </c>
      <c r="AD6" s="5" t="s">
        <v>43</v>
      </c>
      <c r="AE6" s="5">
        <f t="shared" si="1"/>
        <v>1</v>
      </c>
      <c r="AF6" s="5">
        <f t="shared" si="2"/>
        <v>2023</v>
      </c>
    </row>
    <row r="7" s="5" customFormat="1" ht="13">
      <c r="A7" s="5" t="s">
        <v>44</v>
      </c>
      <c r="B7" s="5" t="s">
        <v>44</v>
      </c>
      <c r="C7" s="5" t="s">
        <v>54</v>
      </c>
      <c r="D7" s="5" t="s">
        <v>21</v>
      </c>
      <c r="E7" s="5" t="s">
        <v>44</v>
      </c>
      <c r="F7" s="5" t="s">
        <v>46</v>
      </c>
      <c r="G7" s="5" t="s">
        <v>55</v>
      </c>
      <c r="H7" s="9" t="s">
        <v>56</v>
      </c>
      <c r="I7" s="10">
        <v>44680</v>
      </c>
      <c r="J7" s="10">
        <v>45044</v>
      </c>
      <c r="K7" s="5" t="s">
        <v>57</v>
      </c>
      <c r="L7" s="5" t="s">
        <v>58</v>
      </c>
      <c r="M7" s="11">
        <v>0.059999999999999998</v>
      </c>
      <c r="N7" s="5" t="e">
        <f>IF(AND(M7&gt;#REF!,Cartera!O7="Guaraníes"),"Rendimiento significativo",IF(AND(M7&gt;#REF!,Cartera!O7="Dólares americanos"),"Rendimiento significativo","Rendimiento no significativo"))</f>
        <v>#REF!</v>
      </c>
      <c r="O7" s="5" t="s">
        <v>51</v>
      </c>
      <c r="P7" s="13">
        <v>747.95000000000005</v>
      </c>
      <c r="Q7" s="12" t="e">
        <f>IF(O7="Guaraníes",P7,P7*#REF!)</f>
        <v>#REF!</v>
      </c>
      <c r="R7" s="12">
        <f>IF(O7="Guaraníes",P7/#REF!,P7)</f>
        <v>747.95000000000005</v>
      </c>
      <c r="S7" s="5" t="s">
        <v>52</v>
      </c>
      <c r="T7" s="5">
        <v>17035</v>
      </c>
      <c r="V7" s="5">
        <v>14.960000000000001</v>
      </c>
      <c r="AA7" s="5">
        <v>50</v>
      </c>
      <c r="AC7" s="5" t="str">
        <f t="shared" si="0"/>
        <v>Bonos</v>
      </c>
      <c r="AD7" s="5" t="s">
        <v>43</v>
      </c>
      <c r="AE7" s="5">
        <f t="shared" si="1"/>
        <v>4</v>
      </c>
      <c r="AF7" s="5">
        <f t="shared" si="2"/>
        <v>2023</v>
      </c>
    </row>
    <row r="8" s="5" customFormat="1" ht="13">
      <c r="A8" s="5" t="s">
        <v>44</v>
      </c>
      <c r="B8" s="5" t="s">
        <v>44</v>
      </c>
      <c r="C8" s="5" t="s">
        <v>54</v>
      </c>
      <c r="D8" s="5" t="s">
        <v>21</v>
      </c>
      <c r="E8" s="5" t="s">
        <v>44</v>
      </c>
      <c r="F8" s="5" t="s">
        <v>46</v>
      </c>
      <c r="G8" s="5" t="s">
        <v>55</v>
      </c>
      <c r="H8" s="9" t="s">
        <v>56</v>
      </c>
      <c r="I8" s="10">
        <v>44680</v>
      </c>
      <c r="J8" s="10">
        <v>45135</v>
      </c>
      <c r="K8" s="5" t="s">
        <v>57</v>
      </c>
      <c r="L8" s="5" t="s">
        <v>58</v>
      </c>
      <c r="M8" s="11">
        <v>0.059999999999999998</v>
      </c>
      <c r="N8" s="5" t="e">
        <f>IF(AND(M8&gt;#REF!,Cartera!O8="Guaraníes"),"Rendimiento significativo",IF(AND(M8&gt;#REF!,Cartera!O8="Dólares americanos"),"Rendimiento significativo","Rendimiento no significativo"))</f>
        <v>#REF!</v>
      </c>
      <c r="O8" s="5" t="s">
        <v>51</v>
      </c>
      <c r="P8" s="13">
        <v>747.95000000000005</v>
      </c>
      <c r="Q8" s="12" t="e">
        <f>IF(O8="Guaraníes",P8,P8*#REF!)</f>
        <v>#REF!</v>
      </c>
      <c r="R8" s="12">
        <f>IF(O8="Guaraníes",P8/#REF!,P8)</f>
        <v>747.95000000000005</v>
      </c>
      <c r="S8" s="5" t="s">
        <v>52</v>
      </c>
      <c r="T8" s="5">
        <v>17035</v>
      </c>
      <c r="V8" s="5">
        <v>14.960000000000001</v>
      </c>
      <c r="AA8" s="5">
        <v>50</v>
      </c>
      <c r="AC8" s="5" t="str">
        <f t="shared" si="0"/>
        <v>Bonos</v>
      </c>
      <c r="AD8" s="5" t="s">
        <v>43</v>
      </c>
      <c r="AE8" s="5">
        <f t="shared" si="1"/>
        <v>7</v>
      </c>
      <c r="AF8" s="5">
        <f t="shared" si="2"/>
        <v>2023</v>
      </c>
    </row>
    <row r="9" s="5" customFormat="1" ht="13">
      <c r="A9" s="5" t="s">
        <v>44</v>
      </c>
      <c r="B9" s="5" t="s">
        <v>44</v>
      </c>
      <c r="C9" s="5" t="s">
        <v>54</v>
      </c>
      <c r="D9" s="5" t="s">
        <v>21</v>
      </c>
      <c r="E9" s="5" t="s">
        <v>44</v>
      </c>
      <c r="F9" s="5" t="s">
        <v>46</v>
      </c>
      <c r="G9" s="5" t="s">
        <v>55</v>
      </c>
      <c r="H9" s="9" t="s">
        <v>56</v>
      </c>
      <c r="I9" s="10">
        <v>44680</v>
      </c>
      <c r="J9" s="10">
        <v>45226</v>
      </c>
      <c r="K9" s="5" t="s">
        <v>57</v>
      </c>
      <c r="L9" s="5" t="s">
        <v>58</v>
      </c>
      <c r="M9" s="11">
        <v>0.059999999999999998</v>
      </c>
      <c r="N9" s="5" t="e">
        <f>IF(AND(M9&gt;#REF!,Cartera!O9="Guaraníes"),"Rendimiento significativo",IF(AND(M9&gt;#REF!,Cartera!O9="Dólares americanos"),"Rendimiento significativo","Rendimiento no significativo"))</f>
        <v>#REF!</v>
      </c>
      <c r="O9" s="5" t="s">
        <v>51</v>
      </c>
      <c r="P9" s="13">
        <v>747.9452</v>
      </c>
      <c r="Q9" s="12" t="e">
        <f>IF(O9="Guaraníes",P9,P9*#REF!)</f>
        <v>#REF!</v>
      </c>
      <c r="R9" s="12">
        <f>IF(O9="Guaraníes",P9/#REF!,P9)</f>
        <v>747.9452</v>
      </c>
      <c r="S9" s="5" t="s">
        <v>52</v>
      </c>
      <c r="T9" s="5">
        <v>17035</v>
      </c>
      <c r="V9" s="5">
        <v>14.960000000000001</v>
      </c>
      <c r="AA9" s="5">
        <v>50</v>
      </c>
      <c r="AC9" s="5" t="str">
        <f t="shared" si="0"/>
        <v>Bonos</v>
      </c>
      <c r="AD9" s="5" t="s">
        <v>43</v>
      </c>
      <c r="AE9" s="5">
        <f t="shared" si="1"/>
        <v>10</v>
      </c>
      <c r="AF9" s="5">
        <f t="shared" si="2"/>
        <v>2023</v>
      </c>
    </row>
    <row r="10" s="5" customFormat="1" ht="13">
      <c r="A10" s="5" t="s">
        <v>44</v>
      </c>
      <c r="B10" s="5" t="s">
        <v>44</v>
      </c>
      <c r="C10" s="5" t="s">
        <v>54</v>
      </c>
      <c r="D10" s="5" t="s">
        <v>21</v>
      </c>
      <c r="E10" s="5" t="s">
        <v>44</v>
      </c>
      <c r="F10" s="5" t="s">
        <v>46</v>
      </c>
      <c r="G10" s="5" t="s">
        <v>55</v>
      </c>
      <c r="H10" s="9" t="s">
        <v>56</v>
      </c>
      <c r="I10" s="10">
        <v>44680</v>
      </c>
      <c r="J10" s="10">
        <v>45317</v>
      </c>
      <c r="K10" s="5" t="s">
        <v>57</v>
      </c>
      <c r="L10" s="5" t="s">
        <v>58</v>
      </c>
      <c r="M10" s="11">
        <v>0.059999999999999998</v>
      </c>
      <c r="N10" s="5" t="e">
        <f>IF(AND(M10&gt;#REF!,Cartera!O10="Guaraníes"),"Rendimiento significativo",IF(AND(M10&gt;#REF!,Cartera!O10="Dólares americanos"),"Rendimiento significativo","Rendimiento no significativo"))</f>
        <v>#REF!</v>
      </c>
      <c r="O10" s="5" t="s">
        <v>51</v>
      </c>
      <c r="P10" s="13">
        <v>747.9452</v>
      </c>
      <c r="Q10" s="12" t="e">
        <f>IF(O10="Guaraníes",P10,P10*#REF!)</f>
        <v>#REF!</v>
      </c>
      <c r="R10" s="12">
        <f>IF(O10="Guaraníes",P10/#REF!,P10)</f>
        <v>747.9452</v>
      </c>
      <c r="S10" s="5" t="s">
        <v>52</v>
      </c>
      <c r="T10" s="5">
        <v>17035</v>
      </c>
      <c r="V10" s="5">
        <v>14.960000000000001</v>
      </c>
      <c r="AA10" s="5">
        <v>50</v>
      </c>
      <c r="AC10" s="5" t="str">
        <f t="shared" si="0"/>
        <v>Bonos</v>
      </c>
      <c r="AD10" s="5" t="s">
        <v>43</v>
      </c>
      <c r="AE10" s="5">
        <f t="shared" si="1"/>
        <v>1</v>
      </c>
      <c r="AF10" s="5">
        <f t="shared" si="2"/>
        <v>2024</v>
      </c>
    </row>
    <row r="11" s="5" customFormat="1" ht="13">
      <c r="A11" s="5" t="s">
        <v>44</v>
      </c>
      <c r="B11" s="5" t="s">
        <v>44</v>
      </c>
      <c r="C11" s="5" t="s">
        <v>54</v>
      </c>
      <c r="D11" s="5" t="s">
        <v>21</v>
      </c>
      <c r="E11" s="5" t="s">
        <v>44</v>
      </c>
      <c r="F11" s="5" t="s">
        <v>46</v>
      </c>
      <c r="G11" s="5" t="s">
        <v>55</v>
      </c>
      <c r="H11" s="9" t="s">
        <v>56</v>
      </c>
      <c r="I11" s="10">
        <v>44680</v>
      </c>
      <c r="J11" s="10">
        <v>45408</v>
      </c>
      <c r="K11" s="5" t="s">
        <v>57</v>
      </c>
      <c r="L11" s="5" t="s">
        <v>58</v>
      </c>
      <c r="M11" s="11">
        <v>0.059999999999999998</v>
      </c>
      <c r="N11" s="5" t="e">
        <f>IF(AND(M11&gt;#REF!,Cartera!O11="Guaraníes"),"Rendimiento significativo",IF(AND(M11&gt;#REF!,Cartera!O11="Dólares americanos"),"Rendimiento significativo","Rendimiento no significativo"))</f>
        <v>#REF!</v>
      </c>
      <c r="O11" s="5" t="s">
        <v>51</v>
      </c>
      <c r="P11" s="13">
        <v>747.9452</v>
      </c>
      <c r="Q11" s="12" t="e">
        <f>IF(O11="Guaraníes",P11,P11*#REF!)</f>
        <v>#REF!</v>
      </c>
      <c r="R11" s="12">
        <f>IF(O11="Guaraníes",P11/#REF!,P11)</f>
        <v>747.9452</v>
      </c>
      <c r="S11" s="5" t="s">
        <v>52</v>
      </c>
      <c r="T11" s="5">
        <v>17035</v>
      </c>
      <c r="V11" s="5">
        <v>14.960000000000001</v>
      </c>
      <c r="AA11" s="5">
        <v>50</v>
      </c>
      <c r="AC11" s="5" t="str">
        <f t="shared" si="0"/>
        <v>Bonos</v>
      </c>
      <c r="AD11" s="5" t="s">
        <v>43</v>
      </c>
      <c r="AE11" s="5">
        <f t="shared" si="1"/>
        <v>4</v>
      </c>
      <c r="AF11" s="5">
        <f t="shared" si="2"/>
        <v>2024</v>
      </c>
    </row>
    <row r="12" s="5" customFormat="1" ht="15.75" customHeight="1">
      <c r="A12" s="5" t="s">
        <v>44</v>
      </c>
      <c r="B12" s="5" t="s">
        <v>44</v>
      </c>
      <c r="C12" s="5" t="s">
        <v>54</v>
      </c>
      <c r="D12" s="5" t="s">
        <v>21</v>
      </c>
      <c r="E12" s="5" t="s">
        <v>44</v>
      </c>
      <c r="F12" s="5" t="s">
        <v>46</v>
      </c>
      <c r="G12" s="5" t="s">
        <v>55</v>
      </c>
      <c r="H12" s="9" t="s">
        <v>56</v>
      </c>
      <c r="I12" s="10">
        <v>44680</v>
      </c>
      <c r="J12" s="10">
        <v>45499</v>
      </c>
      <c r="K12" s="5" t="s">
        <v>57</v>
      </c>
      <c r="L12" s="5" t="s">
        <v>58</v>
      </c>
      <c r="M12" s="11">
        <v>0.059999999999999998</v>
      </c>
      <c r="N12" s="5" t="e">
        <f>IF(AND(M12&gt;#REF!,Cartera!O12="Guaraníes"),"Rendimiento significativo",IF(AND(M12&gt;#REF!,Cartera!O12="Dólares americanos"),"Rendimiento significativo","Rendimiento no significativo"))</f>
        <v>#REF!</v>
      </c>
      <c r="O12" s="5" t="s">
        <v>51</v>
      </c>
      <c r="P12" s="13">
        <v>747.9452</v>
      </c>
      <c r="Q12" s="12" t="e">
        <f>IF(O12="Guaraníes",P12,P12*#REF!)</f>
        <v>#REF!</v>
      </c>
      <c r="R12" s="12">
        <f>IF(O12="Guaraníes",P12/#REF!,P12)</f>
        <v>747.9452</v>
      </c>
      <c r="S12" s="5" t="s">
        <v>52</v>
      </c>
      <c r="T12" s="5">
        <v>17035</v>
      </c>
      <c r="V12" s="5">
        <v>14.960000000000001</v>
      </c>
      <c r="AA12" s="5">
        <v>50</v>
      </c>
      <c r="AC12" s="5" t="str">
        <f t="shared" si="0"/>
        <v>Bonos</v>
      </c>
      <c r="AD12" s="5" t="s">
        <v>43</v>
      </c>
      <c r="AE12" s="5">
        <f t="shared" si="1"/>
        <v>7</v>
      </c>
      <c r="AF12" s="5">
        <f t="shared" si="2"/>
        <v>2024</v>
      </c>
    </row>
    <row r="13" s="5" customFormat="1" ht="13">
      <c r="A13" s="5">
        <v>11401</v>
      </c>
      <c r="B13" s="5" t="s">
        <v>59</v>
      </c>
      <c r="C13" s="5" t="s">
        <v>60</v>
      </c>
      <c r="D13" s="5" t="s">
        <v>21</v>
      </c>
      <c r="E13" s="5" t="s">
        <v>34</v>
      </c>
      <c r="F13" s="5" t="s">
        <v>61</v>
      </c>
      <c r="G13" s="5" t="s">
        <v>62</v>
      </c>
      <c r="H13" s="9" t="s">
        <v>63</v>
      </c>
      <c r="I13" s="10"/>
      <c r="J13" s="10">
        <v>45425</v>
      </c>
      <c r="K13" s="5" t="s">
        <v>64</v>
      </c>
      <c r="L13" s="5" t="s">
        <v>50</v>
      </c>
      <c r="M13" s="11">
        <v>0.052499999999999998</v>
      </c>
      <c r="N13" s="5" t="e">
        <f>IF(AND(M13&gt;#REF!,Cartera!O141="Guaraníes"),"Rendimiento significativo",IF(AND(M13&gt;#REF!,Cartera!O141="Dólares americanos"),"Rendimiento significativo","Rendimiento no significativo"))</f>
        <v>#REF!</v>
      </c>
      <c r="O13" s="5" t="s">
        <v>51</v>
      </c>
      <c r="P13" s="13">
        <v>785.34245999999996</v>
      </c>
      <c r="Q13" s="12" t="e">
        <f>IF(O13="Guaraníes",P13,P13*#REF!)</f>
        <v>#REF!</v>
      </c>
      <c r="R13" s="12">
        <f>IF(O13="Guaraníes",P13/#REF!,P13)</f>
        <v>785.34245999999996</v>
      </c>
      <c r="S13" s="5" t="s">
        <v>42</v>
      </c>
      <c r="T13" s="5">
        <v>8</v>
      </c>
      <c r="W13" s="5" t="s">
        <v>65</v>
      </c>
      <c r="X13" s="5">
        <v>0</v>
      </c>
      <c r="Y13" s="5">
        <v>0</v>
      </c>
      <c r="Z13" s="5">
        <v>26.178082</v>
      </c>
      <c r="AA13" s="5">
        <v>30</v>
      </c>
      <c r="AB13" s="5">
        <v>785.34245999999996</v>
      </c>
      <c r="AC13" s="5" t="str">
        <f t="shared" si="0"/>
        <v>Bonos</v>
      </c>
      <c r="AD13" s="5" t="s">
        <v>43</v>
      </c>
      <c r="AE13" s="5">
        <f t="shared" ref="AE13:AE76" si="3">IFERROR((MONTH(J13)),0)</f>
        <v>5</v>
      </c>
      <c r="AF13" s="5">
        <f t="shared" ref="AF13:AF76" si="4">IFERROR((YEAR(J13)),0)</f>
        <v>2024</v>
      </c>
      <c r="AG13" s="5" t="s">
        <v>66</v>
      </c>
    </row>
    <row r="14" s="5" customFormat="1" ht="13">
      <c r="A14" s="5" t="s">
        <v>44</v>
      </c>
      <c r="B14" s="5" t="s">
        <v>44</v>
      </c>
      <c r="C14" s="5" t="s">
        <v>67</v>
      </c>
      <c r="D14" s="5" t="s">
        <v>21</v>
      </c>
      <c r="E14" s="5" t="s">
        <v>44</v>
      </c>
      <c r="F14" s="9" t="s">
        <v>68</v>
      </c>
      <c r="G14" s="9" t="s">
        <v>69</v>
      </c>
      <c r="H14" s="10" t="s">
        <v>70</v>
      </c>
      <c r="I14" s="10"/>
      <c r="J14" s="10">
        <v>45525</v>
      </c>
      <c r="K14" s="5" t="s">
        <v>71</v>
      </c>
      <c r="L14" s="11" t="s">
        <v>58</v>
      </c>
      <c r="M14" s="11">
        <v>0.067500000000000004</v>
      </c>
      <c r="N14" s="5" t="e">
        <f>IF(AND(M14&gt;#REF!,Cartera!O2376="Guaraníes"),"Rendimiento significativo",IF(AND(M14&gt;#REF!,Cartera!O2376="Dólares americanos"),"Rendimiento significativo","Rendimiento no significativo"))</f>
        <v>#REF!</v>
      </c>
      <c r="O14" s="13" t="s">
        <v>51</v>
      </c>
      <c r="P14" s="13">
        <v>49.090000000000003</v>
      </c>
      <c r="Q14" s="12" t="e">
        <f>IF(O14="Guaraníes",P14,P14*#REF!)</f>
        <v>#REF!</v>
      </c>
      <c r="R14" s="5">
        <f>IF(O14="Guaraníes",P14/#REF!,P14)</f>
        <v>49.090000000000003</v>
      </c>
      <c r="S14" s="5" t="s">
        <v>52</v>
      </c>
      <c r="T14" s="5">
        <v>593</v>
      </c>
      <c r="W14" s="5" t="s">
        <v>72</v>
      </c>
      <c r="X14" s="5">
        <v>4.1666666667000003</v>
      </c>
      <c r="Y14" s="5">
        <v>41.666666999999997</v>
      </c>
      <c r="Z14" s="5">
        <v>47.036529999999999</v>
      </c>
      <c r="AA14" s="5">
        <v>8</v>
      </c>
      <c r="AB14" s="5">
        <v>376.29223999999999</v>
      </c>
      <c r="AC14" s="5" t="str">
        <f t="shared" si="0"/>
        <v>Bonos</v>
      </c>
      <c r="AD14" s="5" t="s">
        <v>43</v>
      </c>
      <c r="AE14" s="5">
        <f t="shared" si="3"/>
        <v>8</v>
      </c>
      <c r="AF14" s="5">
        <f t="shared" si="4"/>
        <v>2024</v>
      </c>
    </row>
    <row r="15" s="5" customFormat="1" ht="13">
      <c r="A15" s="5">
        <v>12315</v>
      </c>
      <c r="B15" s="5" t="s">
        <v>73</v>
      </c>
      <c r="C15" s="5" t="s">
        <v>74</v>
      </c>
      <c r="D15" s="5" t="s">
        <v>21</v>
      </c>
      <c r="E15" s="5" t="s">
        <v>34</v>
      </c>
      <c r="F15" s="5" t="s">
        <v>68</v>
      </c>
      <c r="G15" s="5" t="s">
        <v>75</v>
      </c>
      <c r="H15" s="9" t="s">
        <v>76</v>
      </c>
      <c r="I15" s="10"/>
      <c r="J15" s="10">
        <v>45659</v>
      </c>
      <c r="K15" s="5" t="s">
        <v>77</v>
      </c>
      <c r="L15" s="5" t="s">
        <v>50</v>
      </c>
      <c r="M15" s="11">
        <v>0.055</v>
      </c>
      <c r="N15" s="5" t="e">
        <f>IF(AND(M15&gt;#REF!,Cartera!O901="Guaraníes"),"Rendimiento significativo",IF(AND(M15&gt;#REF!,Cartera!O901="Dólares americanos"),"Rendimiento significativo","Rendimiento no significativo"))</f>
        <v>#REF!</v>
      </c>
      <c r="O15" s="5" t="s">
        <v>51</v>
      </c>
      <c r="P15" s="13">
        <v>420.41097000000002</v>
      </c>
      <c r="Q15" s="12" t="e">
        <f>IF(O15="Guaraníes",P15,P15*#REF!)</f>
        <v>#REF!</v>
      </c>
      <c r="R15" s="12">
        <f>IF(O15="Guaraníes",P15/#REF!,P15)</f>
        <v>420.41097000000002</v>
      </c>
      <c r="S15" s="5" t="s">
        <v>42</v>
      </c>
      <c r="T15" s="5">
        <v>25</v>
      </c>
      <c r="W15" s="5" t="s">
        <v>65</v>
      </c>
      <c r="X15" s="5">
        <v>0</v>
      </c>
      <c r="Y15" s="5">
        <v>0</v>
      </c>
      <c r="Z15" s="5">
        <v>14.013699000000001</v>
      </c>
      <c r="AA15" s="5">
        <v>30</v>
      </c>
      <c r="AB15" s="5">
        <v>420.41000000000003</v>
      </c>
      <c r="AC15" s="5" t="str">
        <f t="shared" si="0"/>
        <v>Bonos</v>
      </c>
      <c r="AD15" s="5" t="s">
        <v>43</v>
      </c>
      <c r="AE15" s="5">
        <f t="shared" si="3"/>
        <v>1</v>
      </c>
      <c r="AF15" s="5">
        <f t="shared" si="4"/>
        <v>2025</v>
      </c>
    </row>
    <row r="16" s="5" customFormat="1" ht="13">
      <c r="A16" s="5">
        <v>12316</v>
      </c>
      <c r="B16" s="5" t="s">
        <v>78</v>
      </c>
      <c r="C16" s="5" t="s">
        <v>79</v>
      </c>
      <c r="D16" s="5" t="s">
        <v>21</v>
      </c>
      <c r="E16" s="5" t="s">
        <v>34</v>
      </c>
      <c r="F16" s="5" t="s">
        <v>68</v>
      </c>
      <c r="H16" s="9" t="s">
        <v>80</v>
      </c>
      <c r="I16" s="10">
        <v>45013</v>
      </c>
      <c r="J16" s="10">
        <v>45659</v>
      </c>
      <c r="K16" s="5" t="s">
        <v>81</v>
      </c>
      <c r="L16" s="5" t="s">
        <v>82</v>
      </c>
      <c r="M16" s="11">
        <v>0.098000000000000004</v>
      </c>
      <c r="N16" s="5" t="e">
        <f>IF(AND(M16&gt;#REF!,Cartera!O3105="Guaraníes"),"Rendimiento significativo",IF(AND(M16&gt;#REF!,Cartera!O3105="Dólares americanos"),"Rendimiento significativo","Rendimiento no significativo"))</f>
        <v>#REF!</v>
      </c>
      <c r="O16" s="5" t="s">
        <v>41</v>
      </c>
      <c r="P16" s="12">
        <v>4310993</v>
      </c>
      <c r="Q16" s="13">
        <f>IF(O16="Guaraníes",P16,P16*#REF!)</f>
        <v>4310993</v>
      </c>
      <c r="R16" s="12" t="e">
        <f>IF(O16="Guaraníes",P16/#REF!,P16)</f>
        <v>#REF!</v>
      </c>
      <c r="S16" s="5" t="s">
        <v>42</v>
      </c>
      <c r="AC16" s="5" t="str">
        <f t="shared" si="0"/>
        <v>CDA</v>
      </c>
      <c r="AD16" s="5" t="s">
        <v>43</v>
      </c>
      <c r="AE16" s="5">
        <f t="shared" si="3"/>
        <v>1</v>
      </c>
      <c r="AF16" s="5">
        <f t="shared" si="4"/>
        <v>2025</v>
      </c>
    </row>
    <row r="17" s="5" customFormat="1" ht="13">
      <c r="A17" s="5">
        <v>12316</v>
      </c>
      <c r="B17" s="5" t="s">
        <v>78</v>
      </c>
      <c r="C17" s="5" t="s">
        <v>74</v>
      </c>
      <c r="D17" s="5" t="s">
        <v>21</v>
      </c>
      <c r="E17" s="5" t="s">
        <v>34</v>
      </c>
      <c r="F17" s="5" t="s">
        <v>68</v>
      </c>
      <c r="H17" s="9">
        <v>1093</v>
      </c>
      <c r="I17" s="10"/>
      <c r="J17" s="10">
        <v>45667</v>
      </c>
      <c r="K17" s="5" t="s">
        <v>77</v>
      </c>
      <c r="L17" s="5" t="s">
        <v>82</v>
      </c>
      <c r="M17" s="11">
        <v>0.065000000000000002</v>
      </c>
      <c r="N17" s="5" t="e">
        <f>IF(AND(M17&gt;#REF!,Cartera!O2944="Guaraníes"),"Rendimiento significativo",IF(AND(M17&gt;#REF!,Cartera!O2944="Dólares americanos"),"Rendimiento significativo","Rendimiento no significativo"))</f>
        <v>#REF!</v>
      </c>
      <c r="O17" s="5" t="s">
        <v>41</v>
      </c>
      <c r="P17" s="12">
        <v>3134247</v>
      </c>
      <c r="Q17" s="13">
        <f>IF(O17="Guaraníes",P17,P17*#REF!)</f>
        <v>3134247</v>
      </c>
      <c r="R17" s="12" t="e">
        <f>IF(O17="Guaraníes",P17/#REF!,P17)</f>
        <v>#REF!</v>
      </c>
      <c r="S17" s="5" t="s">
        <v>42</v>
      </c>
      <c r="V17" s="5">
        <v>3134247</v>
      </c>
      <c r="W17" s="5" t="s">
        <v>83</v>
      </c>
      <c r="AC17" s="5" t="str">
        <f t="shared" si="0"/>
        <v>CDA</v>
      </c>
      <c r="AD17" s="5" t="s">
        <v>43</v>
      </c>
      <c r="AE17" s="5">
        <f t="shared" si="3"/>
        <v>1</v>
      </c>
      <c r="AF17" s="5">
        <f t="shared" si="4"/>
        <v>2025</v>
      </c>
    </row>
    <row r="18" s="5" customFormat="1" ht="13">
      <c r="A18" s="5">
        <v>12315</v>
      </c>
      <c r="B18" s="5" t="s">
        <v>73</v>
      </c>
      <c r="C18" s="5" t="s">
        <v>60</v>
      </c>
      <c r="D18" s="5" t="s">
        <v>21</v>
      </c>
      <c r="E18" s="5" t="s">
        <v>34</v>
      </c>
      <c r="F18" s="5" t="s">
        <v>68</v>
      </c>
      <c r="H18" s="9" t="s">
        <v>84</v>
      </c>
      <c r="I18" s="10">
        <v>45393</v>
      </c>
      <c r="J18" s="10">
        <v>45669</v>
      </c>
      <c r="K18" s="5" t="s">
        <v>64</v>
      </c>
      <c r="L18" s="5" t="s">
        <v>82</v>
      </c>
      <c r="M18" s="11">
        <v>0.055</v>
      </c>
      <c r="N18" s="5" t="e">
        <f>IF(AND(M18&gt;#REF!,Cartera!O3574="Guaraníes"),"Rendimiento significativo",IF(AND(M18&gt;#REF!,Cartera!O3574="Dólares americanos"),"Rendimiento significativo","Rendimiento no significativo"))</f>
        <v>#REF!</v>
      </c>
      <c r="O18" s="5" t="s">
        <v>51</v>
      </c>
      <c r="P18" s="13">
        <v>291.12</v>
      </c>
      <c r="Q18" s="12" t="e">
        <f>IF(O18="Guaraníes",P18,P18*#REF!)</f>
        <v>#REF!</v>
      </c>
      <c r="R18" s="12">
        <f>IF(O18="Guaraníes",P18/#REF!,P18)</f>
        <v>291.12</v>
      </c>
      <c r="S18" s="5" t="s">
        <v>42</v>
      </c>
      <c r="AC18" s="5" t="str">
        <f t="shared" si="0"/>
        <v>CDA</v>
      </c>
      <c r="AD18" s="5" t="s">
        <v>43</v>
      </c>
      <c r="AE18" s="5">
        <f t="shared" si="3"/>
        <v>1</v>
      </c>
      <c r="AF18" s="5">
        <f t="shared" si="4"/>
        <v>2025</v>
      </c>
    </row>
    <row r="19" s="5" customFormat="1" ht="13">
      <c r="A19" s="5">
        <v>12315</v>
      </c>
      <c r="B19" s="5" t="s">
        <v>73</v>
      </c>
      <c r="C19" s="5" t="s">
        <v>85</v>
      </c>
      <c r="D19" s="5" t="s">
        <v>21</v>
      </c>
      <c r="E19" s="5" t="s">
        <v>34</v>
      </c>
      <c r="F19" s="5" t="s">
        <v>68</v>
      </c>
      <c r="G19" s="5" t="s">
        <v>86</v>
      </c>
      <c r="H19" s="9" t="s">
        <v>87</v>
      </c>
      <c r="I19" s="10"/>
      <c r="J19" s="10">
        <v>45673</v>
      </c>
      <c r="K19" s="5" t="s">
        <v>39</v>
      </c>
      <c r="L19" s="5" t="s">
        <v>58</v>
      </c>
      <c r="M19" s="11">
        <v>0.059999999999999998</v>
      </c>
      <c r="N19" s="5" t="e">
        <f>IF(AND(M19&gt;#REF!,Cartera!O263="Guaraníes"),"Rendimiento significativo",IF(AND(M19&gt;#REF!,Cartera!O263="Dólares americanos"),"Rendimiento significativo","Rendimiento no significativo"))</f>
        <v>#REF!</v>
      </c>
      <c r="O19" s="5" t="s">
        <v>51</v>
      </c>
      <c r="P19" s="13">
        <v>747.9452</v>
      </c>
      <c r="Q19" s="12" t="e">
        <f>IF(O19="Guaraníes",P19,P19*#REF!)</f>
        <v>#REF!</v>
      </c>
      <c r="R19" s="12">
        <f>IF(O19="Guaraníes",P19/#REF!,P19)</f>
        <v>747.9452</v>
      </c>
      <c r="S19" s="5" t="s">
        <v>42</v>
      </c>
      <c r="T19" s="5">
        <v>10834</v>
      </c>
      <c r="W19" s="5" t="s">
        <v>88</v>
      </c>
      <c r="X19" s="5">
        <v>0</v>
      </c>
      <c r="Y19" s="5">
        <v>0</v>
      </c>
      <c r="Z19" s="5">
        <v>14.958904</v>
      </c>
      <c r="AA19" s="5">
        <v>50</v>
      </c>
      <c r="AB19" s="5">
        <v>747.9452</v>
      </c>
      <c r="AC19" s="5" t="str">
        <f t="shared" si="0"/>
        <v>Bonos</v>
      </c>
      <c r="AD19" s="5" t="s">
        <v>43</v>
      </c>
      <c r="AE19" s="5">
        <f t="shared" si="3"/>
        <v>1</v>
      </c>
      <c r="AF19" s="5">
        <f t="shared" si="4"/>
        <v>2025</v>
      </c>
    </row>
    <row r="20" s="5" customFormat="1" ht="13">
      <c r="A20" s="5">
        <v>12315</v>
      </c>
      <c r="B20" s="5" t="s">
        <v>73</v>
      </c>
      <c r="C20" s="5" t="s">
        <v>89</v>
      </c>
      <c r="D20" s="5" t="s">
        <v>21</v>
      </c>
      <c r="E20" s="5" t="s">
        <v>34</v>
      </c>
      <c r="F20" s="5" t="s">
        <v>90</v>
      </c>
      <c r="G20" s="5" t="s">
        <v>91</v>
      </c>
      <c r="H20" s="9" t="s">
        <v>92</v>
      </c>
      <c r="I20" s="10"/>
      <c r="J20" s="10">
        <v>45673</v>
      </c>
      <c r="K20" s="5" t="s">
        <v>93</v>
      </c>
      <c r="L20" s="5" t="s">
        <v>58</v>
      </c>
      <c r="M20" s="11">
        <v>0.080000000000000002</v>
      </c>
      <c r="N20" s="5" t="e">
        <f>IF(AND(M20&gt;#REF!,Cartera!O1864="Guaraníes"),"Rendimiento significativo",IF(AND(M20&gt;#REF!,Cartera!O1864="Dólares americanos"),"Rendimiento significativo","Rendimiento no significativo"))</f>
        <v>#REF!</v>
      </c>
      <c r="O20" s="5" t="s">
        <v>51</v>
      </c>
      <c r="P20" s="13">
        <v>299.17807500000004</v>
      </c>
      <c r="Q20" s="12" t="e">
        <f>IF(O20="Guaraníes",P20,P20*#REF!)</f>
        <v>#REF!</v>
      </c>
      <c r="R20" s="12">
        <f>IF(O20="Guaraníes",P20/#REF!,P20)</f>
        <v>299.17807500000004</v>
      </c>
      <c r="S20" s="5" t="s">
        <v>42</v>
      </c>
      <c r="T20" s="5">
        <v>3253</v>
      </c>
      <c r="W20" s="5" t="s">
        <v>65</v>
      </c>
      <c r="X20" s="5">
        <v>0</v>
      </c>
      <c r="Y20" s="5">
        <v>0</v>
      </c>
      <c r="Z20" s="5">
        <v>19.945205000000001</v>
      </c>
      <c r="AA20" s="5">
        <v>15</v>
      </c>
      <c r="AB20" s="5">
        <v>299.17807499999998</v>
      </c>
      <c r="AC20" s="5" t="str">
        <f t="shared" si="0"/>
        <v>Bonos</v>
      </c>
      <c r="AD20" s="5" t="s">
        <v>43</v>
      </c>
      <c r="AE20" s="5">
        <f t="shared" si="3"/>
        <v>1</v>
      </c>
      <c r="AF20" s="5">
        <f t="shared" si="4"/>
        <v>2025</v>
      </c>
    </row>
    <row r="21" s="5" customFormat="1" ht="13">
      <c r="A21" s="5">
        <v>12316</v>
      </c>
      <c r="B21" s="5" t="s">
        <v>78</v>
      </c>
      <c r="C21" s="5" t="s">
        <v>33</v>
      </c>
      <c r="D21" s="5" t="s">
        <v>21</v>
      </c>
      <c r="E21" s="5" t="s">
        <v>34</v>
      </c>
      <c r="F21" s="5" t="s">
        <v>35</v>
      </c>
      <c r="H21" s="9">
        <v>86</v>
      </c>
      <c r="I21" s="10">
        <v>45043</v>
      </c>
      <c r="J21" s="10">
        <v>45673</v>
      </c>
      <c r="K21" s="5" t="s">
        <v>39</v>
      </c>
      <c r="L21" s="5" t="s">
        <v>82</v>
      </c>
      <c r="M21" s="11">
        <v>0.089999999999999997</v>
      </c>
      <c r="N21" s="5" t="e">
        <f>IF(AND(M21&gt;#REF!,Cartera!O3186="Guaraníes"),"Rendimiento significativo",IF(AND(M21&gt;#REF!,Cartera!O3186="Dólares americanos"),"Rendimiento significativo","Rendimiento no significativo"))</f>
        <v>#REF!</v>
      </c>
      <c r="O21" s="5" t="s">
        <v>41</v>
      </c>
      <c r="P21" s="12">
        <v>11095890</v>
      </c>
      <c r="Q21" s="13">
        <f>IF(O21="Guaraníes",P21,P21*#REF!)</f>
        <v>11095890</v>
      </c>
      <c r="R21" s="12" t="e">
        <f>IF(O21="Guaraníes",P21/#REF!,P21)</f>
        <v>#REF!</v>
      </c>
      <c r="S21" s="5" t="s">
        <v>42</v>
      </c>
      <c r="AC21" s="5" t="str">
        <f t="shared" si="0"/>
        <v>CDA</v>
      </c>
      <c r="AD21" s="5" t="s">
        <v>43</v>
      </c>
      <c r="AE21" s="5">
        <f t="shared" si="3"/>
        <v>1</v>
      </c>
      <c r="AF21" s="5">
        <f t="shared" si="4"/>
        <v>2025</v>
      </c>
    </row>
    <row r="22" s="5" customFormat="1" ht="13">
      <c r="A22" s="5">
        <v>12316</v>
      </c>
      <c r="B22" s="5" t="s">
        <v>78</v>
      </c>
      <c r="C22" s="5" t="s">
        <v>94</v>
      </c>
      <c r="D22" s="5" t="s">
        <v>21</v>
      </c>
      <c r="E22" s="5" t="s">
        <v>34</v>
      </c>
      <c r="F22" s="5" t="s">
        <v>68</v>
      </c>
      <c r="H22" s="9" t="s">
        <v>95</v>
      </c>
      <c r="I22" s="10">
        <v>45404</v>
      </c>
      <c r="J22" s="10">
        <v>45674</v>
      </c>
      <c r="K22" s="5" t="s">
        <v>96</v>
      </c>
      <c r="L22" s="5" t="s">
        <v>82</v>
      </c>
      <c r="M22" s="11">
        <v>0.085000000000000006</v>
      </c>
      <c r="N22" s="5" t="e">
        <f>IF(AND(M22&gt;#REF!,Cartera!O3588="Guaraníes"),"Rendimiento significativo",IF(AND(M22&gt;#REF!,Cartera!O3588="Dólares americanos"),"Rendimiento significativo","Rendimiento no significativo"))</f>
        <v>#REF!</v>
      </c>
      <c r="O22" s="5" t="s">
        <v>41</v>
      </c>
      <c r="P22" s="12">
        <v>4191781</v>
      </c>
      <c r="Q22" s="12">
        <f>IF(O22="Guaraníes",P22,P22*#REF!)</f>
        <v>4191781</v>
      </c>
      <c r="R22" s="12" t="e">
        <f>IF(O22="Guaraníes",P22/#REF!,P22)</f>
        <v>#REF!</v>
      </c>
      <c r="S22" s="5" t="s">
        <v>42</v>
      </c>
      <c r="AC22" s="5" t="str">
        <f t="shared" si="0"/>
        <v>CDA</v>
      </c>
      <c r="AD22" s="5" t="s">
        <v>43</v>
      </c>
      <c r="AE22" s="5">
        <f t="shared" si="3"/>
        <v>1</v>
      </c>
      <c r="AF22" s="5">
        <f t="shared" si="4"/>
        <v>2025</v>
      </c>
    </row>
    <row r="23" s="5" customFormat="1" ht="13">
      <c r="A23" s="5">
        <v>12315</v>
      </c>
      <c r="B23" s="5" t="s">
        <v>73</v>
      </c>
      <c r="C23" s="5" t="s">
        <v>45</v>
      </c>
      <c r="D23" s="5" t="s">
        <v>21</v>
      </c>
      <c r="E23" s="5" t="s">
        <v>34</v>
      </c>
      <c r="F23" s="5" t="s">
        <v>46</v>
      </c>
      <c r="G23" s="5" t="s">
        <v>47</v>
      </c>
      <c r="H23" s="9" t="s">
        <v>48</v>
      </c>
      <c r="I23" s="10"/>
      <c r="J23" s="10">
        <v>45677</v>
      </c>
      <c r="K23" s="5" t="s">
        <v>49</v>
      </c>
      <c r="L23" s="5" t="s">
        <v>50</v>
      </c>
      <c r="M23" s="11">
        <v>0.052499999999999998</v>
      </c>
      <c r="N23" s="5" t="e">
        <f>IF(AND(M23&gt;#REF!,Cartera!O1133="Guaraníes"),"Rendimiento significativo",IF(AND(M23&gt;#REF!,Cartera!O1133="Dólares americanos"),"Rendimiento significativo","Rendimiento no significativo"))</f>
        <v>#REF!</v>
      </c>
      <c r="O23" s="5" t="s">
        <v>51</v>
      </c>
      <c r="P23" s="13">
        <v>174.52055000000001</v>
      </c>
      <c r="Q23" s="12" t="e">
        <f>IF(O23="Guaraníes",P23,P23*#REF!)</f>
        <v>#REF!</v>
      </c>
      <c r="R23" s="12">
        <f>IF(O23="Guaraníes",P23/#REF!,P23)</f>
        <v>174.52055000000001</v>
      </c>
      <c r="S23" s="5" t="s">
        <v>42</v>
      </c>
      <c r="T23" s="5">
        <v>4</v>
      </c>
      <c r="W23" s="5" t="s">
        <v>97</v>
      </c>
      <c r="X23" s="5">
        <v>0</v>
      </c>
      <c r="Y23" s="5">
        <v>0</v>
      </c>
      <c r="Z23" s="5">
        <v>17.452055000000001</v>
      </c>
      <c r="AA23" s="5">
        <v>10</v>
      </c>
      <c r="AB23" s="5">
        <v>174.52054999999999</v>
      </c>
      <c r="AC23" s="5" t="str">
        <f t="shared" si="0"/>
        <v>Bonos</v>
      </c>
      <c r="AD23" s="5" t="s">
        <v>43</v>
      </c>
      <c r="AE23" s="5">
        <f t="shared" si="3"/>
        <v>1</v>
      </c>
      <c r="AF23" s="5">
        <f t="shared" si="4"/>
        <v>2025</v>
      </c>
    </row>
    <row r="24" s="5" customFormat="1" ht="13">
      <c r="A24" s="5">
        <v>12315</v>
      </c>
      <c r="B24" s="5" t="s">
        <v>73</v>
      </c>
      <c r="C24" s="5" t="s">
        <v>45</v>
      </c>
      <c r="D24" s="5" t="s">
        <v>21</v>
      </c>
      <c r="E24" s="5" t="s">
        <v>34</v>
      </c>
      <c r="F24" s="5" t="s">
        <v>46</v>
      </c>
      <c r="G24" s="5" t="s">
        <v>86</v>
      </c>
      <c r="H24" s="9" t="s">
        <v>48</v>
      </c>
      <c r="I24" s="10"/>
      <c r="J24" s="10">
        <v>45677</v>
      </c>
      <c r="K24" s="5" t="s">
        <v>49</v>
      </c>
      <c r="L24" s="5" t="s">
        <v>50</v>
      </c>
      <c r="M24" s="11">
        <v>0.070000000000000007</v>
      </c>
      <c r="N24" s="5" t="e">
        <f>IF(AND(M24&gt;#REF!,Cartera!O3111="Guaraníes"),"Rendimiento significativo",IF(AND(M24&gt;#REF!,Cartera!O3111="Dólares americanos"),"Rendimiento significativo","Rendimiento no significativo"))</f>
        <v>#REF!</v>
      </c>
      <c r="O24" s="5" t="s">
        <v>51</v>
      </c>
      <c r="P24" s="13">
        <v>872.60000000000002</v>
      </c>
      <c r="Q24" s="13" t="e">
        <f>IF(O24="Guaraníes",P24,P24*#REF!)</f>
        <v>#REF!</v>
      </c>
      <c r="R24" s="12">
        <f>IF(O24="Guaraníes",P24/#REF!,P24)</f>
        <v>872.60000000000002</v>
      </c>
      <c r="S24" s="5" t="s">
        <v>42</v>
      </c>
      <c r="T24" s="5">
        <v>10834</v>
      </c>
      <c r="AC24" s="5" t="str">
        <f t="shared" si="0"/>
        <v>Bonos</v>
      </c>
      <c r="AD24" s="5" t="s">
        <v>43</v>
      </c>
      <c r="AE24" s="5">
        <f t="shared" si="3"/>
        <v>1</v>
      </c>
      <c r="AF24" s="5">
        <f t="shared" si="4"/>
        <v>2025</v>
      </c>
    </row>
    <row r="25" s="5" customFormat="1" ht="13">
      <c r="A25" s="5">
        <v>12302</v>
      </c>
      <c r="B25" s="5" t="s">
        <v>98</v>
      </c>
      <c r="C25" s="5" t="s">
        <v>54</v>
      </c>
      <c r="D25" s="5" t="s">
        <v>20</v>
      </c>
      <c r="E25" s="5" t="s">
        <v>34</v>
      </c>
      <c r="F25" s="5" t="s">
        <v>46</v>
      </c>
      <c r="G25" s="5" t="s">
        <v>55</v>
      </c>
      <c r="H25" s="9" t="s">
        <v>56</v>
      </c>
      <c r="I25" s="10">
        <v>44680</v>
      </c>
      <c r="J25" s="10">
        <v>46864</v>
      </c>
      <c r="K25" s="5" t="s">
        <v>57</v>
      </c>
      <c r="L25" s="5" t="s">
        <v>58</v>
      </c>
      <c r="M25" s="11">
        <v>0.059999999999999998</v>
      </c>
      <c r="N25" s="5" t="e">
        <f>IF(AND(M25&gt;#REF!,Cartera!O25="Guaraníes"),"Rendimiento significativo",IF(AND(M25&gt;#REF!,Cartera!O25="Dólares americanos"),"Rendimiento significativo","Rendimiento no significativo"))</f>
        <v>#REF!</v>
      </c>
      <c r="O25" s="5" t="s">
        <v>51</v>
      </c>
      <c r="P25" s="13">
        <v>50000</v>
      </c>
      <c r="Q25" s="12" t="e">
        <f>IF(O25="Guaraníes",P25,P25*#REF!)</f>
        <v>#REF!</v>
      </c>
      <c r="R25" s="12">
        <f>IF(O25="Guaraníes",P25/#REF!,P25)</f>
        <v>50000</v>
      </c>
      <c r="S25" s="5" t="s">
        <v>42</v>
      </c>
      <c r="T25" s="5">
        <v>17035</v>
      </c>
      <c r="V25" s="5">
        <v>14.960000000000001</v>
      </c>
      <c r="AA25" s="5">
        <v>50</v>
      </c>
      <c r="AC25" s="5" t="str">
        <f t="shared" si="0"/>
        <v>Bonos</v>
      </c>
      <c r="AD25" s="5" t="s">
        <v>43</v>
      </c>
      <c r="AE25" s="5">
        <f t="shared" si="3"/>
        <v>4</v>
      </c>
      <c r="AF25" s="5">
        <f t="shared" si="4"/>
        <v>2028</v>
      </c>
    </row>
    <row r="26" s="5" customFormat="1" ht="13">
      <c r="A26" s="5" t="s">
        <v>44</v>
      </c>
      <c r="B26" s="5" t="s">
        <v>44</v>
      </c>
      <c r="C26" s="5" t="s">
        <v>99</v>
      </c>
      <c r="D26" s="5" t="s">
        <v>21</v>
      </c>
      <c r="E26" s="5" t="s">
        <v>44</v>
      </c>
      <c r="F26" s="5" t="s">
        <v>100</v>
      </c>
      <c r="G26" s="5" t="s">
        <v>55</v>
      </c>
      <c r="H26" s="9" t="s">
        <v>101</v>
      </c>
      <c r="I26" s="10">
        <v>44691</v>
      </c>
      <c r="J26" s="10">
        <v>44732</v>
      </c>
      <c r="K26" s="5" t="s">
        <v>102</v>
      </c>
      <c r="L26" s="5" t="s">
        <v>102</v>
      </c>
      <c r="M26" s="11">
        <v>0.077499999999999999</v>
      </c>
      <c r="N26" s="5" t="e">
        <f>IF(AND(M26&gt;#REF!,Cartera!O26="Guaraníes"),"Rendimiento significativo",IF(AND(M26&gt;#REF!,Cartera!O26="Dólares americanos"),"Rendimiento significativo","Rendimiento no significativo"))</f>
        <v>#REF!</v>
      </c>
      <c r="O26" s="5" t="s">
        <v>41</v>
      </c>
      <c r="P26" s="12">
        <v>11625000</v>
      </c>
      <c r="Q26" s="12">
        <f>IF(O26="Guaraníes",P26,P26*#REF!)</f>
        <v>11625000</v>
      </c>
      <c r="R26" s="12" t="e">
        <f>IF(O26="Guaraníes",P26/#REF!,P26)</f>
        <v>#REF!</v>
      </c>
      <c r="S26" s="5" t="s">
        <v>52</v>
      </c>
      <c r="V26" s="5">
        <v>38750</v>
      </c>
      <c r="AA26" s="5">
        <v>300</v>
      </c>
      <c r="AC26" s="5" t="str">
        <f t="shared" si="0"/>
        <v>Bonos</v>
      </c>
      <c r="AD26" s="5" t="s">
        <v>43</v>
      </c>
      <c r="AE26" s="5">
        <f t="shared" si="3"/>
        <v>6</v>
      </c>
      <c r="AF26" s="5">
        <f t="shared" si="4"/>
        <v>2022</v>
      </c>
    </row>
    <row r="27" s="5" customFormat="1" ht="13">
      <c r="A27" s="5" t="s">
        <v>44</v>
      </c>
      <c r="B27" s="5" t="s">
        <v>44</v>
      </c>
      <c r="C27" s="5" t="s">
        <v>99</v>
      </c>
      <c r="D27" s="5" t="s">
        <v>21</v>
      </c>
      <c r="E27" s="5" t="s">
        <v>44</v>
      </c>
      <c r="F27" s="5" t="s">
        <v>100</v>
      </c>
      <c r="G27" s="5" t="s">
        <v>55</v>
      </c>
      <c r="H27" s="9" t="s">
        <v>101</v>
      </c>
      <c r="I27" s="10">
        <v>44691</v>
      </c>
      <c r="J27" s="10">
        <v>44915</v>
      </c>
      <c r="K27" s="5" t="s">
        <v>102</v>
      </c>
      <c r="L27" s="5" t="s">
        <v>102</v>
      </c>
      <c r="M27" s="11">
        <v>0.077499999999999999</v>
      </c>
      <c r="N27" s="5" t="e">
        <f>IF(AND(M27&gt;#REF!,Cartera!O27="Guaraníes"),"Rendimiento significativo",IF(AND(M27&gt;#REF!,Cartera!O27="Dólares americanos"),"Rendimiento significativo","Rendimiento no significativo"))</f>
        <v>#REF!</v>
      </c>
      <c r="O27" s="5" t="s">
        <v>41</v>
      </c>
      <c r="P27" s="12">
        <v>11625000</v>
      </c>
      <c r="Q27" s="12">
        <f>IF(O27="Guaraníes",P27,P27*#REF!)</f>
        <v>11625000</v>
      </c>
      <c r="R27" s="12" t="e">
        <f>IF(O27="Guaraníes",P27/#REF!,P27)</f>
        <v>#REF!</v>
      </c>
      <c r="S27" s="5" t="s">
        <v>52</v>
      </c>
      <c r="V27" s="5">
        <v>38750</v>
      </c>
      <c r="AA27" s="5">
        <v>300</v>
      </c>
      <c r="AC27" s="5" t="str">
        <f t="shared" si="0"/>
        <v>Bonos</v>
      </c>
      <c r="AD27" s="5" t="s">
        <v>43</v>
      </c>
      <c r="AE27" s="5">
        <f t="shared" si="3"/>
        <v>12</v>
      </c>
      <c r="AF27" s="5">
        <f t="shared" si="4"/>
        <v>2022</v>
      </c>
    </row>
    <row r="28" s="5" customFormat="1" ht="13">
      <c r="A28" s="5" t="s">
        <v>44</v>
      </c>
      <c r="B28" s="5" t="s">
        <v>44</v>
      </c>
      <c r="C28" s="5" t="s">
        <v>99</v>
      </c>
      <c r="D28" s="5" t="s">
        <v>21</v>
      </c>
      <c r="E28" s="5" t="s">
        <v>44</v>
      </c>
      <c r="F28" s="5" t="s">
        <v>100</v>
      </c>
      <c r="G28" s="5" t="s">
        <v>55</v>
      </c>
      <c r="H28" s="9" t="s">
        <v>101</v>
      </c>
      <c r="I28" s="10">
        <v>44691</v>
      </c>
      <c r="J28" s="10">
        <v>45097</v>
      </c>
      <c r="K28" s="5" t="s">
        <v>102</v>
      </c>
      <c r="L28" s="5" t="s">
        <v>102</v>
      </c>
      <c r="M28" s="11">
        <v>0.077499999999999999</v>
      </c>
      <c r="N28" s="5" t="e">
        <f>IF(AND(M28&gt;#REF!,Cartera!O28="Guaraníes"),"Rendimiento significativo",IF(AND(M28&gt;#REF!,Cartera!O28="Dólares americanos"),"Rendimiento significativo","Rendimiento no significativo"))</f>
        <v>#REF!</v>
      </c>
      <c r="O28" s="5" t="s">
        <v>41</v>
      </c>
      <c r="P28" s="12">
        <v>11625000</v>
      </c>
      <c r="Q28" s="12">
        <f>IF(O28="Guaraníes",P28,P28*#REF!)</f>
        <v>11625000</v>
      </c>
      <c r="R28" s="12" t="e">
        <f>IF(O28="Guaraníes",P28/#REF!,P28)</f>
        <v>#REF!</v>
      </c>
      <c r="S28" s="5" t="s">
        <v>52</v>
      </c>
      <c r="V28" s="5">
        <v>38750</v>
      </c>
      <c r="AA28" s="5">
        <v>300</v>
      </c>
      <c r="AC28" s="5" t="str">
        <f t="shared" si="0"/>
        <v>Bonos</v>
      </c>
      <c r="AD28" s="5" t="s">
        <v>43</v>
      </c>
      <c r="AE28" s="5">
        <f t="shared" si="3"/>
        <v>6</v>
      </c>
      <c r="AF28" s="5">
        <f t="shared" si="4"/>
        <v>2023</v>
      </c>
    </row>
    <row r="29" s="5" customFormat="1" ht="13">
      <c r="A29" s="5" t="s">
        <v>44</v>
      </c>
      <c r="B29" s="5" t="s">
        <v>44</v>
      </c>
      <c r="C29" s="5" t="s">
        <v>99</v>
      </c>
      <c r="D29" s="5" t="s">
        <v>21</v>
      </c>
      <c r="E29" s="5" t="s">
        <v>44</v>
      </c>
      <c r="F29" s="5" t="s">
        <v>100</v>
      </c>
      <c r="G29" s="5" t="s">
        <v>55</v>
      </c>
      <c r="H29" s="9" t="s">
        <v>101</v>
      </c>
      <c r="I29" s="10">
        <v>44691</v>
      </c>
      <c r="J29" s="10">
        <v>45280</v>
      </c>
      <c r="K29" s="5" t="s">
        <v>102</v>
      </c>
      <c r="L29" s="5" t="s">
        <v>102</v>
      </c>
      <c r="M29" s="11">
        <v>0.077499999999999999</v>
      </c>
      <c r="N29" s="5" t="e">
        <f>IF(AND(M29&gt;#REF!,Cartera!O29="Guaraníes"),"Rendimiento significativo",IF(AND(M29&gt;#REF!,Cartera!O29="Dólares americanos"),"Rendimiento significativo","Rendimiento no significativo"))</f>
        <v>#REF!</v>
      </c>
      <c r="O29" s="5" t="s">
        <v>41</v>
      </c>
      <c r="P29" s="12">
        <v>11625000</v>
      </c>
      <c r="Q29" s="12">
        <f>IF(O29="Guaraníes",P29,P29*#REF!)</f>
        <v>11625000</v>
      </c>
      <c r="R29" s="12" t="e">
        <f>IF(O29="Guaraníes",P29/#REF!,P29)</f>
        <v>#REF!</v>
      </c>
      <c r="S29" s="5" t="s">
        <v>52</v>
      </c>
      <c r="V29" s="5">
        <v>38750</v>
      </c>
      <c r="AA29" s="5">
        <v>300</v>
      </c>
      <c r="AC29" s="5" t="str">
        <f t="shared" si="0"/>
        <v>Bonos</v>
      </c>
      <c r="AD29" s="5" t="s">
        <v>43</v>
      </c>
      <c r="AE29" s="5">
        <f t="shared" si="3"/>
        <v>12</v>
      </c>
      <c r="AF29" s="5">
        <f t="shared" si="4"/>
        <v>2023</v>
      </c>
    </row>
    <row r="30" s="5" customFormat="1" ht="13">
      <c r="A30" s="5" t="s">
        <v>44</v>
      </c>
      <c r="B30" s="5" t="s">
        <v>44</v>
      </c>
      <c r="C30" s="5" t="s">
        <v>99</v>
      </c>
      <c r="D30" s="5" t="s">
        <v>21</v>
      </c>
      <c r="E30" s="5" t="s">
        <v>44</v>
      </c>
      <c r="F30" s="5" t="s">
        <v>100</v>
      </c>
      <c r="G30" s="5" t="s">
        <v>55</v>
      </c>
      <c r="H30" s="9" t="s">
        <v>101</v>
      </c>
      <c r="I30" s="10">
        <v>44691</v>
      </c>
      <c r="J30" s="10">
        <v>45463</v>
      </c>
      <c r="K30" s="5" t="s">
        <v>102</v>
      </c>
      <c r="L30" s="5" t="s">
        <v>102</v>
      </c>
      <c r="M30" s="11">
        <v>0.077499999999999999</v>
      </c>
      <c r="N30" s="5" t="e">
        <f>IF(AND(M30&gt;#REF!,Cartera!O30="Guaraníes"),"Rendimiento significativo",IF(AND(M30&gt;#REF!,Cartera!O30="Dólares americanos"),"Rendimiento significativo","Rendimiento no significativo"))</f>
        <v>#REF!</v>
      </c>
      <c r="O30" s="5" t="s">
        <v>41</v>
      </c>
      <c r="P30" s="12">
        <v>11625000</v>
      </c>
      <c r="Q30" s="12">
        <f>IF(O30="Guaraníes",P30,P30*#REF!)</f>
        <v>11625000</v>
      </c>
      <c r="R30" s="12" t="e">
        <f>IF(O30="Guaraníes",P30/#REF!,P30)</f>
        <v>#REF!</v>
      </c>
      <c r="S30" s="5" t="s">
        <v>52</v>
      </c>
      <c r="V30" s="5">
        <v>38750</v>
      </c>
      <c r="AA30" s="5">
        <v>300</v>
      </c>
      <c r="AC30" s="5" t="str">
        <f t="shared" si="0"/>
        <v>Bonos</v>
      </c>
      <c r="AD30" s="5" t="s">
        <v>43</v>
      </c>
      <c r="AE30" s="5">
        <f t="shared" si="3"/>
        <v>6</v>
      </c>
      <c r="AF30" s="5">
        <f t="shared" si="4"/>
        <v>2024</v>
      </c>
    </row>
    <row r="31" s="5" customFormat="1" ht="13">
      <c r="A31" s="5" t="s">
        <v>44</v>
      </c>
      <c r="B31" s="5" t="s">
        <v>44</v>
      </c>
      <c r="C31" s="5" t="s">
        <v>103</v>
      </c>
      <c r="D31" s="5" t="s">
        <v>21</v>
      </c>
      <c r="E31" s="5" t="s">
        <v>44</v>
      </c>
      <c r="F31" s="5" t="s">
        <v>68</v>
      </c>
      <c r="G31" s="5" t="s">
        <v>104</v>
      </c>
      <c r="H31" s="9" t="s">
        <v>105</v>
      </c>
      <c r="I31" s="10">
        <v>45266</v>
      </c>
      <c r="J31" s="10">
        <v>45630</v>
      </c>
      <c r="K31" s="5" t="s">
        <v>64</v>
      </c>
      <c r="L31" s="5" t="s">
        <v>106</v>
      </c>
      <c r="M31" s="11">
        <v>0.079500000000000001</v>
      </c>
      <c r="N31" s="5" t="e">
        <f>IF(AND(M31&gt;#REF!,Cartera!O3523="Guaraníes"),"Rendimiento significativo",IF(AND(M31&gt;#REF!,Cartera!O3523="Dólares americanos"),"Rendimiento significativo","Rendimiento no significativo"))</f>
        <v>#REF!</v>
      </c>
      <c r="O31" s="5" t="s">
        <v>41</v>
      </c>
      <c r="P31" s="12">
        <v>1982054.7944999998</v>
      </c>
      <c r="Q31" s="12">
        <f>IF(O31="Guaraníes",P31,P31*#REF!)</f>
        <v>1982054.7944999998</v>
      </c>
      <c r="R31" s="12" t="e">
        <f>IF(O31="Guaraníes",P31/#REF!,P31)</f>
        <v>#REF!</v>
      </c>
      <c r="S31" s="5" t="s">
        <v>52</v>
      </c>
      <c r="T31" s="5">
        <v>26543</v>
      </c>
      <c r="AC31" s="5" t="str">
        <f t="shared" si="0"/>
        <v>Bonos</v>
      </c>
      <c r="AD31" s="5" t="s">
        <v>43</v>
      </c>
      <c r="AE31" s="5">
        <f t="shared" si="3"/>
        <v>12</v>
      </c>
      <c r="AF31" s="5">
        <f t="shared" si="4"/>
        <v>2024</v>
      </c>
    </row>
    <row r="32" s="5" customFormat="1" ht="13">
      <c r="A32" s="5">
        <v>12301</v>
      </c>
      <c r="B32" s="5" t="s">
        <v>107</v>
      </c>
      <c r="C32" s="5" t="s">
        <v>99</v>
      </c>
      <c r="D32" s="5" t="s">
        <v>20</v>
      </c>
      <c r="E32" s="5" t="s">
        <v>34</v>
      </c>
      <c r="F32" s="5" t="s">
        <v>100</v>
      </c>
      <c r="G32" s="5" t="s">
        <v>55</v>
      </c>
      <c r="H32" s="9" t="s">
        <v>101</v>
      </c>
      <c r="I32" s="10">
        <v>44691</v>
      </c>
      <c r="J32" s="10">
        <v>45828</v>
      </c>
      <c r="K32" s="5" t="s">
        <v>102</v>
      </c>
      <c r="L32" s="5" t="s">
        <v>102</v>
      </c>
      <c r="M32" s="11">
        <v>0.077499999999999999</v>
      </c>
      <c r="N32" s="5" t="e">
        <f>IF(AND(M32&gt;#REF!,Cartera!O32="Guaraníes"),"Rendimiento significativo",IF(AND(M32&gt;#REF!,Cartera!O32="Dólares americanos"),"Rendimiento significativo","Rendimiento no significativo"))</f>
        <v>#REF!</v>
      </c>
      <c r="O32" s="5" t="s">
        <v>41</v>
      </c>
      <c r="P32" s="12">
        <v>300000000</v>
      </c>
      <c r="Q32" s="12">
        <f>IF(O32="Guaraníes",P32,P32*#REF!)</f>
        <v>300000000</v>
      </c>
      <c r="R32" s="12" t="e">
        <f>IF(O32="Guaraníes",P32/#REF!,P32)</f>
        <v>#REF!</v>
      </c>
      <c r="S32" s="5" t="s">
        <v>42</v>
      </c>
      <c r="V32" s="5">
        <v>38750</v>
      </c>
      <c r="AA32" s="5">
        <v>300</v>
      </c>
      <c r="AC32" s="5" t="str">
        <f t="shared" si="0"/>
        <v>Bonos</v>
      </c>
      <c r="AD32" s="5" t="s">
        <v>43</v>
      </c>
      <c r="AE32" s="5">
        <f t="shared" si="3"/>
        <v>6</v>
      </c>
      <c r="AF32" s="5">
        <f t="shared" si="4"/>
        <v>2025</v>
      </c>
    </row>
    <row r="33" s="5" customFormat="1" ht="13">
      <c r="A33" s="5" t="s">
        <v>44</v>
      </c>
      <c r="B33" s="5" t="s">
        <v>44</v>
      </c>
      <c r="C33" s="5" t="s">
        <v>45</v>
      </c>
      <c r="D33" s="5" t="s">
        <v>21</v>
      </c>
      <c r="E33" s="5" t="s">
        <v>44</v>
      </c>
      <c r="F33" s="5" t="s">
        <v>46</v>
      </c>
      <c r="G33" s="5" t="s">
        <v>55</v>
      </c>
      <c r="H33" s="9" t="s">
        <v>108</v>
      </c>
      <c r="I33" s="10">
        <v>44704</v>
      </c>
      <c r="J33" s="10">
        <v>44795</v>
      </c>
      <c r="K33" s="5" t="s">
        <v>49</v>
      </c>
      <c r="L33" s="5" t="s">
        <v>58</v>
      </c>
      <c r="M33" s="11">
        <v>0.059999999999999998</v>
      </c>
      <c r="N33" s="5" t="e">
        <f>IF(AND(M33&gt;#REF!,Cartera!O33="Guaraníes"),"Rendimiento significativo",IF(AND(M33&gt;#REF!,Cartera!O33="Dólares americanos"),"Rendimiento significativo","Rendimiento no significativo"))</f>
        <v>#REF!</v>
      </c>
      <c r="O33" s="5" t="s">
        <v>51</v>
      </c>
      <c r="P33" s="13">
        <v>373.9726</v>
      </c>
      <c r="Q33" s="12" t="e">
        <f>IF(O33="Guaraníes",P33,P33*#REF!)</f>
        <v>#REF!</v>
      </c>
      <c r="R33" s="12">
        <f>IF(O33="Guaraníes",P33/#REF!,P33)</f>
        <v>373.9726</v>
      </c>
      <c r="S33" s="5" t="s">
        <v>52</v>
      </c>
      <c r="V33" s="5">
        <v>14.958904</v>
      </c>
      <c r="AA33" s="5">
        <v>25</v>
      </c>
      <c r="AC33" s="5" t="str">
        <f t="shared" si="0"/>
        <v>Bonos</v>
      </c>
      <c r="AD33" s="5" t="s">
        <v>43</v>
      </c>
      <c r="AE33" s="5">
        <f t="shared" si="3"/>
        <v>8</v>
      </c>
      <c r="AF33" s="5">
        <f t="shared" si="4"/>
        <v>2022</v>
      </c>
    </row>
    <row r="34" s="5" customFormat="1" ht="13">
      <c r="A34" s="5" t="s">
        <v>44</v>
      </c>
      <c r="B34" s="5" t="s">
        <v>44</v>
      </c>
      <c r="C34" s="5" t="s">
        <v>45</v>
      </c>
      <c r="D34" s="5" t="s">
        <v>21</v>
      </c>
      <c r="E34" s="5" t="s">
        <v>44</v>
      </c>
      <c r="F34" s="5" t="s">
        <v>46</v>
      </c>
      <c r="G34" s="5" t="s">
        <v>55</v>
      </c>
      <c r="H34" s="9" t="s">
        <v>108</v>
      </c>
      <c r="I34" s="10">
        <v>44704</v>
      </c>
      <c r="J34" s="10">
        <v>44886</v>
      </c>
      <c r="K34" s="5" t="s">
        <v>49</v>
      </c>
      <c r="L34" s="5" t="s">
        <v>58</v>
      </c>
      <c r="M34" s="11">
        <v>0.059999999999999998</v>
      </c>
      <c r="N34" s="5" t="e">
        <f>IF(AND(M34&gt;#REF!,Cartera!O34="Guaraníes"),"Rendimiento significativo",IF(AND(M34&gt;#REF!,Cartera!O34="Dólares americanos"),"Rendimiento significativo","Rendimiento no significativo"))</f>
        <v>#REF!</v>
      </c>
      <c r="O34" s="5" t="s">
        <v>51</v>
      </c>
      <c r="P34" s="13">
        <v>373.9726</v>
      </c>
      <c r="Q34" s="12" t="e">
        <f>IF(O34="Guaraníes",P34,P34*#REF!)</f>
        <v>#REF!</v>
      </c>
      <c r="R34" s="12">
        <f>IF(O34="Guaraníes",P34/#REF!,P34)</f>
        <v>373.9726</v>
      </c>
      <c r="S34" s="5" t="s">
        <v>52</v>
      </c>
      <c r="V34" s="5">
        <v>14.958904</v>
      </c>
      <c r="AA34" s="5">
        <v>25</v>
      </c>
      <c r="AC34" s="5" t="str">
        <f t="shared" si="0"/>
        <v>Bonos</v>
      </c>
      <c r="AD34" s="5" t="s">
        <v>43</v>
      </c>
      <c r="AE34" s="5">
        <f t="shared" si="3"/>
        <v>11</v>
      </c>
      <c r="AF34" s="5">
        <f t="shared" si="4"/>
        <v>2022</v>
      </c>
    </row>
    <row r="35" s="5" customFormat="1" ht="13">
      <c r="A35" s="5" t="s">
        <v>44</v>
      </c>
      <c r="B35" s="5" t="s">
        <v>44</v>
      </c>
      <c r="C35" s="5" t="s">
        <v>45</v>
      </c>
      <c r="D35" s="5" t="s">
        <v>21</v>
      </c>
      <c r="E35" s="5" t="s">
        <v>44</v>
      </c>
      <c r="F35" s="5" t="s">
        <v>46</v>
      </c>
      <c r="G35" s="5" t="s">
        <v>55</v>
      </c>
      <c r="H35" s="9" t="s">
        <v>108</v>
      </c>
      <c r="I35" s="10">
        <v>44704</v>
      </c>
      <c r="J35" s="10">
        <v>44977</v>
      </c>
      <c r="K35" s="5" t="s">
        <v>49</v>
      </c>
      <c r="L35" s="5" t="s">
        <v>58</v>
      </c>
      <c r="M35" s="11">
        <v>0.059999999999999998</v>
      </c>
      <c r="N35" s="5" t="e">
        <f>IF(AND(M35&gt;#REF!,Cartera!O35="Guaraníes"),"Rendimiento significativo",IF(AND(M35&gt;#REF!,Cartera!O35="Dólares americanos"),"Rendimiento significativo","Rendimiento no significativo"))</f>
        <v>#REF!</v>
      </c>
      <c r="O35" s="5" t="s">
        <v>51</v>
      </c>
      <c r="P35" s="13">
        <v>373.9726</v>
      </c>
      <c r="Q35" s="12" t="e">
        <f>IF(O35="Guaraníes",P35,P35*#REF!)</f>
        <v>#REF!</v>
      </c>
      <c r="R35" s="12">
        <f>IF(O35="Guaraníes",P35/#REF!,P35)</f>
        <v>373.9726</v>
      </c>
      <c r="S35" s="5" t="s">
        <v>52</v>
      </c>
      <c r="V35" s="5">
        <v>14.958904</v>
      </c>
      <c r="AA35" s="5">
        <v>25</v>
      </c>
      <c r="AC35" s="5" t="str">
        <f t="shared" si="0"/>
        <v>Bonos</v>
      </c>
      <c r="AD35" s="5" t="s">
        <v>43</v>
      </c>
      <c r="AE35" s="5">
        <f t="shared" si="3"/>
        <v>2</v>
      </c>
      <c r="AF35" s="5">
        <f t="shared" si="4"/>
        <v>2023</v>
      </c>
    </row>
    <row r="36" s="5" customFormat="1" ht="13">
      <c r="A36" s="5" t="s">
        <v>44</v>
      </c>
      <c r="B36" s="5" t="s">
        <v>44</v>
      </c>
      <c r="C36" s="5" t="s">
        <v>45</v>
      </c>
      <c r="D36" s="5" t="s">
        <v>21</v>
      </c>
      <c r="E36" s="5" t="s">
        <v>44</v>
      </c>
      <c r="F36" s="5" t="s">
        <v>46</v>
      </c>
      <c r="G36" s="5" t="s">
        <v>55</v>
      </c>
      <c r="H36" s="9" t="s">
        <v>108</v>
      </c>
      <c r="I36" s="10">
        <v>44704</v>
      </c>
      <c r="J36" s="10">
        <v>45068</v>
      </c>
      <c r="K36" s="5" t="s">
        <v>49</v>
      </c>
      <c r="L36" s="5" t="s">
        <v>58</v>
      </c>
      <c r="M36" s="11">
        <v>0.059999999999999998</v>
      </c>
      <c r="N36" s="5" t="e">
        <f>IF(AND(M36&gt;#REF!,Cartera!O36="Guaraníes"),"Rendimiento significativo",IF(AND(M36&gt;#REF!,Cartera!O36="Dólares americanos"),"Rendimiento significativo","Rendimiento no significativo"))</f>
        <v>#REF!</v>
      </c>
      <c r="O36" s="5" t="s">
        <v>51</v>
      </c>
      <c r="P36" s="13">
        <v>373.9726</v>
      </c>
      <c r="Q36" s="12" t="e">
        <f>IF(O36="Guaraníes",P36,P36*#REF!)</f>
        <v>#REF!</v>
      </c>
      <c r="R36" s="12">
        <f>IF(O36="Guaraníes",P36/#REF!,P36)</f>
        <v>373.9726</v>
      </c>
      <c r="S36" s="5" t="s">
        <v>52</v>
      </c>
      <c r="V36" s="5">
        <v>14.958904</v>
      </c>
      <c r="AA36" s="5">
        <v>25</v>
      </c>
      <c r="AC36" s="5" t="str">
        <f t="shared" si="0"/>
        <v>Bonos</v>
      </c>
      <c r="AD36" s="5" t="s">
        <v>43</v>
      </c>
      <c r="AE36" s="5">
        <f t="shared" si="3"/>
        <v>5</v>
      </c>
      <c r="AF36" s="5">
        <f t="shared" si="4"/>
        <v>2023</v>
      </c>
    </row>
    <row r="37" s="5" customFormat="1" ht="13">
      <c r="A37" s="5" t="s">
        <v>44</v>
      </c>
      <c r="B37" s="5" t="s">
        <v>44</v>
      </c>
      <c r="C37" s="5" t="s">
        <v>45</v>
      </c>
      <c r="D37" s="5" t="s">
        <v>21</v>
      </c>
      <c r="E37" s="5" t="s">
        <v>44</v>
      </c>
      <c r="F37" s="5" t="s">
        <v>46</v>
      </c>
      <c r="G37" s="5" t="s">
        <v>55</v>
      </c>
      <c r="H37" s="9" t="s">
        <v>108</v>
      </c>
      <c r="I37" s="10">
        <v>44704</v>
      </c>
      <c r="J37" s="10">
        <v>45159</v>
      </c>
      <c r="K37" s="5" t="s">
        <v>49</v>
      </c>
      <c r="L37" s="5" t="s">
        <v>58</v>
      </c>
      <c r="M37" s="11">
        <v>0.059999999999999998</v>
      </c>
      <c r="N37" s="5" t="e">
        <f>IF(AND(M37&gt;#REF!,Cartera!O37="Guaraníes"),"Rendimiento significativo",IF(AND(M37&gt;#REF!,Cartera!O37="Dólares americanos"),"Rendimiento significativo","Rendimiento no significativo"))</f>
        <v>#REF!</v>
      </c>
      <c r="O37" s="5" t="s">
        <v>51</v>
      </c>
      <c r="P37" s="13">
        <v>373.9726</v>
      </c>
      <c r="Q37" s="12" t="e">
        <f>IF(O37="Guaraníes",P37,P37*#REF!)</f>
        <v>#REF!</v>
      </c>
      <c r="R37" s="12">
        <f>IF(O37="Guaraníes",P37/#REF!,P37)</f>
        <v>373.9726</v>
      </c>
      <c r="S37" s="5" t="s">
        <v>52</v>
      </c>
      <c r="V37" s="5">
        <v>14.958904</v>
      </c>
      <c r="AA37" s="5">
        <v>25</v>
      </c>
      <c r="AC37" s="5" t="str">
        <f t="shared" si="0"/>
        <v>Bonos</v>
      </c>
      <c r="AD37" s="5" t="s">
        <v>43</v>
      </c>
      <c r="AE37" s="5">
        <f t="shared" si="3"/>
        <v>8</v>
      </c>
      <c r="AF37" s="5">
        <f t="shared" si="4"/>
        <v>2023</v>
      </c>
    </row>
    <row r="38" s="5" customFormat="1" ht="13">
      <c r="A38" s="5" t="s">
        <v>44</v>
      </c>
      <c r="B38" s="5" t="s">
        <v>44</v>
      </c>
      <c r="C38" s="5" t="s">
        <v>45</v>
      </c>
      <c r="D38" s="5" t="s">
        <v>21</v>
      </c>
      <c r="E38" s="5" t="s">
        <v>44</v>
      </c>
      <c r="F38" s="5" t="s">
        <v>46</v>
      </c>
      <c r="G38" s="5" t="s">
        <v>55</v>
      </c>
      <c r="H38" s="9" t="s">
        <v>108</v>
      </c>
      <c r="I38" s="10">
        <v>44704</v>
      </c>
      <c r="J38" s="10">
        <v>45250</v>
      </c>
      <c r="K38" s="5" t="s">
        <v>49</v>
      </c>
      <c r="L38" s="5" t="s">
        <v>58</v>
      </c>
      <c r="M38" s="11">
        <v>0.059999999999999998</v>
      </c>
      <c r="N38" s="5" t="e">
        <f>IF(AND(M38&gt;#REF!,Cartera!O38="Guaraníes"),"Rendimiento significativo",IF(AND(M38&gt;#REF!,Cartera!O38="Dólares americanos"),"Rendimiento significativo","Rendimiento no significativo"))</f>
        <v>#REF!</v>
      </c>
      <c r="O38" s="5" t="s">
        <v>51</v>
      </c>
      <c r="P38" s="13">
        <v>373.9726</v>
      </c>
      <c r="Q38" s="12" t="e">
        <f>IF(O38="Guaraníes",P38,P38*#REF!)</f>
        <v>#REF!</v>
      </c>
      <c r="R38" s="12">
        <f>IF(O38="Guaraníes",P38/#REF!,P38)</f>
        <v>373.9726</v>
      </c>
      <c r="S38" s="5" t="s">
        <v>52</v>
      </c>
      <c r="V38" s="5">
        <v>14.958904</v>
      </c>
      <c r="AA38" s="5">
        <v>25</v>
      </c>
      <c r="AC38" s="5" t="str">
        <f t="shared" si="0"/>
        <v>Bonos</v>
      </c>
      <c r="AD38" s="5" t="s">
        <v>43</v>
      </c>
      <c r="AE38" s="5">
        <f t="shared" si="3"/>
        <v>11</v>
      </c>
      <c r="AF38" s="5">
        <f t="shared" si="4"/>
        <v>2023</v>
      </c>
    </row>
    <row r="39" s="5" customFormat="1" ht="13">
      <c r="A39" s="5" t="s">
        <v>44</v>
      </c>
      <c r="B39" s="5" t="s">
        <v>44</v>
      </c>
      <c r="C39" s="5" t="s">
        <v>45</v>
      </c>
      <c r="D39" s="5" t="s">
        <v>21</v>
      </c>
      <c r="E39" s="5" t="s">
        <v>44</v>
      </c>
      <c r="F39" s="5" t="s">
        <v>46</v>
      </c>
      <c r="G39" s="5" t="s">
        <v>55</v>
      </c>
      <c r="H39" s="9" t="s">
        <v>108</v>
      </c>
      <c r="I39" s="10">
        <v>44704</v>
      </c>
      <c r="J39" s="10">
        <v>45341</v>
      </c>
      <c r="K39" s="5" t="s">
        <v>49</v>
      </c>
      <c r="L39" s="5" t="s">
        <v>58</v>
      </c>
      <c r="M39" s="11">
        <v>0.059999999999999998</v>
      </c>
      <c r="N39" s="5" t="e">
        <f>IF(AND(M39&gt;#REF!,Cartera!O39="Guaraníes"),"Rendimiento significativo",IF(AND(M39&gt;#REF!,Cartera!O39="Dólares americanos"),"Rendimiento significativo","Rendimiento no significativo"))</f>
        <v>#REF!</v>
      </c>
      <c r="O39" s="5" t="s">
        <v>51</v>
      </c>
      <c r="P39" s="13">
        <v>373.9726</v>
      </c>
      <c r="Q39" s="12" t="e">
        <f>IF(O39="Guaraníes",P39,P39*#REF!)</f>
        <v>#REF!</v>
      </c>
      <c r="R39" s="12">
        <f>IF(O39="Guaraníes",P39/#REF!,P39)</f>
        <v>373.9726</v>
      </c>
      <c r="S39" s="5" t="s">
        <v>52</v>
      </c>
      <c r="V39" s="5">
        <v>14.958904</v>
      </c>
      <c r="AA39" s="5">
        <v>25</v>
      </c>
      <c r="AC39" s="5" t="str">
        <f t="shared" si="0"/>
        <v>Bonos</v>
      </c>
      <c r="AD39" s="5" t="s">
        <v>43</v>
      </c>
      <c r="AE39" s="5">
        <f t="shared" si="3"/>
        <v>2</v>
      </c>
      <c r="AF39" s="5">
        <f t="shared" si="4"/>
        <v>2024</v>
      </c>
    </row>
    <row r="40" s="5" customFormat="1" ht="13">
      <c r="A40" s="5" t="s">
        <v>44</v>
      </c>
      <c r="B40" s="5" t="s">
        <v>44</v>
      </c>
      <c r="C40" s="5" t="s">
        <v>45</v>
      </c>
      <c r="D40" s="5" t="s">
        <v>21</v>
      </c>
      <c r="E40" s="5" t="s">
        <v>44</v>
      </c>
      <c r="F40" s="5" t="s">
        <v>46</v>
      </c>
      <c r="G40" s="5" t="s">
        <v>55</v>
      </c>
      <c r="H40" s="9" t="s">
        <v>108</v>
      </c>
      <c r="I40" s="10">
        <v>44704</v>
      </c>
      <c r="J40" s="10">
        <v>45432</v>
      </c>
      <c r="K40" s="5" t="s">
        <v>49</v>
      </c>
      <c r="L40" s="5" t="s">
        <v>58</v>
      </c>
      <c r="M40" s="11">
        <v>0.059999999999999998</v>
      </c>
      <c r="N40" s="5" t="e">
        <f>IF(AND(M40&gt;#REF!,Cartera!O40="Guaraníes"),"Rendimiento significativo",IF(AND(M40&gt;#REF!,Cartera!O40="Dólares americanos"),"Rendimiento significativo","Rendimiento no significativo"))</f>
        <v>#REF!</v>
      </c>
      <c r="O40" s="5" t="s">
        <v>51</v>
      </c>
      <c r="P40" s="13">
        <v>373.9726</v>
      </c>
      <c r="Q40" s="12" t="e">
        <f>IF(O40="Guaraníes",P40,P40*#REF!)</f>
        <v>#REF!</v>
      </c>
      <c r="R40" s="12">
        <f>IF(O40="Guaraníes",P40/#REF!,P40)</f>
        <v>373.9726</v>
      </c>
      <c r="S40" s="5" t="s">
        <v>52</v>
      </c>
      <c r="V40" s="5">
        <v>14.958904</v>
      </c>
      <c r="AA40" s="5">
        <v>25</v>
      </c>
      <c r="AC40" s="5" t="str">
        <f t="shared" si="0"/>
        <v>Bonos</v>
      </c>
      <c r="AD40" s="5" t="s">
        <v>43</v>
      </c>
      <c r="AE40" s="5">
        <f t="shared" si="3"/>
        <v>5</v>
      </c>
      <c r="AF40" s="5">
        <f t="shared" si="4"/>
        <v>2024</v>
      </c>
    </row>
    <row r="41" s="5" customFormat="1" ht="13">
      <c r="A41" s="5" t="s">
        <v>44</v>
      </c>
      <c r="B41" s="5" t="s">
        <v>44</v>
      </c>
      <c r="C41" s="5" t="s">
        <v>79</v>
      </c>
      <c r="D41" s="5" t="s">
        <v>21</v>
      </c>
      <c r="E41" s="5" t="s">
        <v>44</v>
      </c>
      <c r="F41" s="5" t="s">
        <v>68</v>
      </c>
      <c r="H41" s="9" t="s">
        <v>109</v>
      </c>
      <c r="I41" s="10">
        <v>45314</v>
      </c>
      <c r="J41" s="10">
        <v>45405</v>
      </c>
      <c r="K41" s="5" t="s">
        <v>81</v>
      </c>
      <c r="L41" s="5" t="s">
        <v>82</v>
      </c>
      <c r="M41" s="11">
        <v>0.098000000000000004</v>
      </c>
      <c r="N41" s="5" t="e">
        <f>IF(AND(M41&gt;#REF!,Cartera!O3527="Guaraníes"),"Rendimiento significativo",IF(AND(M41&gt;#REF!,Cartera!O3527="Dólares americanos"),"Rendimiento significativo","Rendimiento no significativo"))</f>
        <v>#REF!</v>
      </c>
      <c r="O41" s="5" t="s">
        <v>41</v>
      </c>
      <c r="P41" s="12">
        <v>2579548</v>
      </c>
      <c r="Q41" s="12">
        <f>IF(O41="Guaraníes",P41,P41*#REF!)</f>
        <v>2579548</v>
      </c>
      <c r="R41" s="12" t="e">
        <f>IF(O41="Guaraníes",P41/#REF!,P41)</f>
        <v>#REF!</v>
      </c>
      <c r="S41" s="5" t="s">
        <v>52</v>
      </c>
      <c r="AC41" s="5" t="str">
        <f t="shared" si="0"/>
        <v>CDA</v>
      </c>
      <c r="AD41" s="5" t="s">
        <v>43</v>
      </c>
      <c r="AE41" s="5">
        <f t="shared" si="3"/>
        <v>4</v>
      </c>
      <c r="AF41" s="5">
        <f t="shared" si="4"/>
        <v>2024</v>
      </c>
    </row>
    <row r="42" s="5" customFormat="1" ht="13">
      <c r="A42" s="5" t="s">
        <v>44</v>
      </c>
      <c r="B42" s="5" t="s">
        <v>44</v>
      </c>
      <c r="C42" s="5" t="s">
        <v>67</v>
      </c>
      <c r="D42" s="5" t="s">
        <v>21</v>
      </c>
      <c r="E42" s="5" t="s">
        <v>44</v>
      </c>
      <c r="F42" s="5" t="s">
        <v>68</v>
      </c>
      <c r="G42" s="5" t="s">
        <v>91</v>
      </c>
      <c r="H42" s="9" t="s">
        <v>110</v>
      </c>
      <c r="I42" s="10"/>
      <c r="J42" s="10">
        <v>45301</v>
      </c>
      <c r="K42" s="5" t="s">
        <v>71</v>
      </c>
      <c r="L42" s="5" t="s">
        <v>58</v>
      </c>
      <c r="M42" s="11">
        <v>0.089999999999999997</v>
      </c>
      <c r="N42" s="5" t="e">
        <f>IF(AND(M42&gt;#REF!,Cartera!O1819="Guaraníes"),"Rendimiento significativo",IF(AND(M42&gt;#REF!,Cartera!O1819="Dólares americanos"),"Rendimiento significativo","Rendimiento no significativo"))</f>
        <v>#REF!</v>
      </c>
      <c r="O42" s="5" t="s">
        <v>51</v>
      </c>
      <c r="P42" s="13">
        <v>235.78766999999999</v>
      </c>
      <c r="Q42" s="12" t="e">
        <f>IF(O42="Guaraníes",P42,P42*#REF!)</f>
        <v>#REF!</v>
      </c>
      <c r="R42" s="12">
        <f>IF(O42="Guaraníes",P42/#REF!,P42)</f>
        <v>235.78766999999999</v>
      </c>
      <c r="S42" s="5" t="s">
        <v>52</v>
      </c>
      <c r="T42" s="5">
        <v>3253</v>
      </c>
      <c r="W42" s="5" t="s">
        <v>65</v>
      </c>
      <c r="X42" s="5">
        <v>0</v>
      </c>
      <c r="Y42" s="5">
        <v>0</v>
      </c>
      <c r="Z42" s="5">
        <v>15.719177999999999</v>
      </c>
      <c r="AA42" s="5">
        <v>15</v>
      </c>
      <c r="AB42" s="5">
        <v>235.78766999999999</v>
      </c>
      <c r="AC42" s="5" t="str">
        <f t="shared" si="0"/>
        <v>Bonos</v>
      </c>
      <c r="AD42" s="5" t="s">
        <v>43</v>
      </c>
      <c r="AE42" s="5">
        <f t="shared" si="3"/>
        <v>1</v>
      </c>
      <c r="AF42" s="5">
        <f t="shared" si="4"/>
        <v>2024</v>
      </c>
    </row>
    <row r="43" s="5" customFormat="1" ht="13">
      <c r="A43" s="5">
        <v>12315</v>
      </c>
      <c r="B43" s="5" t="s">
        <v>73</v>
      </c>
      <c r="C43" s="5" t="s">
        <v>111</v>
      </c>
      <c r="D43" s="5" t="s">
        <v>21</v>
      </c>
      <c r="E43" s="5" t="s">
        <v>34</v>
      </c>
      <c r="F43" s="5" t="s">
        <v>68</v>
      </c>
      <c r="H43" s="9"/>
      <c r="I43" s="10">
        <v>45497</v>
      </c>
      <c r="J43" s="10">
        <v>45677</v>
      </c>
      <c r="L43" s="5" t="s">
        <v>82</v>
      </c>
      <c r="M43" s="11">
        <v>0.058000000000000003</v>
      </c>
      <c r="O43" s="5" t="s">
        <v>51</v>
      </c>
      <c r="P43" s="14">
        <v>286.02999999999997</v>
      </c>
      <c r="Q43" s="12" t="e">
        <f>IF(O43="Guaraníes",P43,P43*#REF!)</f>
        <v>#REF!</v>
      </c>
      <c r="R43" s="12">
        <f>IF(O43="Guaraníes",P43/#REF!,P43)</f>
        <v>286.02999999999997</v>
      </c>
      <c r="S43" s="5" t="s">
        <v>42</v>
      </c>
      <c r="AC43" s="5" t="str">
        <f t="shared" si="0"/>
        <v>CDA</v>
      </c>
      <c r="AD43" s="5" t="s">
        <v>43</v>
      </c>
      <c r="AE43" s="5">
        <f t="shared" si="3"/>
        <v>1</v>
      </c>
      <c r="AF43" s="5">
        <f t="shared" si="4"/>
        <v>2025</v>
      </c>
    </row>
    <row r="44" s="5" customFormat="1" ht="13">
      <c r="A44" s="5">
        <v>12316</v>
      </c>
      <c r="B44" s="5" t="s">
        <v>78</v>
      </c>
      <c r="C44" s="5" t="s">
        <v>111</v>
      </c>
      <c r="D44" s="5" t="s">
        <v>21</v>
      </c>
      <c r="E44" s="5" t="s">
        <v>34</v>
      </c>
      <c r="F44" s="12" t="s">
        <v>68</v>
      </c>
      <c r="G44" s="12"/>
      <c r="H44" s="9"/>
      <c r="I44" s="10">
        <v>45497</v>
      </c>
      <c r="J44" s="10">
        <v>45677</v>
      </c>
      <c r="K44" s="12"/>
      <c r="L44" s="5" t="s">
        <v>82</v>
      </c>
      <c r="M44" s="11">
        <v>0.073999999999999996</v>
      </c>
      <c r="O44" s="5" t="s">
        <v>41</v>
      </c>
      <c r="P44" s="15">
        <v>3193151</v>
      </c>
      <c r="Q44" s="12">
        <f>IF(O44="Guaraníes",P44,P44*#REF!)</f>
        <v>3193151</v>
      </c>
      <c r="R44" s="12" t="e">
        <f>IF(O44="Guaraníes",P44/#REF!,P44)</f>
        <v>#REF!</v>
      </c>
      <c r="S44" s="5" t="s">
        <v>42</v>
      </c>
      <c r="AC44" s="5" t="str">
        <f t="shared" si="0"/>
        <v>CDA</v>
      </c>
      <c r="AD44" s="5" t="s">
        <v>43</v>
      </c>
      <c r="AE44" s="5">
        <f t="shared" si="3"/>
        <v>1</v>
      </c>
      <c r="AF44" s="5">
        <f t="shared" si="4"/>
        <v>2025</v>
      </c>
    </row>
    <row r="45" s="5" customFormat="1" ht="13">
      <c r="A45" s="5">
        <v>12315</v>
      </c>
      <c r="B45" s="5" t="s">
        <v>73</v>
      </c>
      <c r="C45" s="5" t="s">
        <v>89</v>
      </c>
      <c r="D45" s="5" t="s">
        <v>21</v>
      </c>
      <c r="E45" s="5" t="s">
        <v>34</v>
      </c>
      <c r="F45" s="5" t="s">
        <v>68</v>
      </c>
      <c r="G45" s="5" t="s">
        <v>112</v>
      </c>
      <c r="H45" s="9" t="s">
        <v>113</v>
      </c>
      <c r="I45" s="10"/>
      <c r="J45" s="10">
        <v>45679</v>
      </c>
      <c r="K45" s="5" t="s">
        <v>64</v>
      </c>
      <c r="L45" s="5" t="s">
        <v>58</v>
      </c>
      <c r="M45" s="11">
        <v>0.085000000000000006</v>
      </c>
      <c r="N45" s="5" t="e">
        <f>IF(AND(M45&gt;#REF!,Cartera!O1210="Guaraníes"),"Rendimiento significativo",IF(AND(M45&gt;#REF!,Cartera!O1210="Dólares americanos"),"Rendimiento significativo","Rendimiento no significativo"))</f>
        <v>#REF!</v>
      </c>
      <c r="O45" s="5" t="s">
        <v>51</v>
      </c>
      <c r="P45" s="13">
        <v>423.83561999999995</v>
      </c>
      <c r="Q45" s="12" t="e">
        <f>IF(O45="Guaraníes",P45,P45*#REF!)</f>
        <v>#REF!</v>
      </c>
      <c r="R45" s="12">
        <f>IF(O45="Guaraníes",P45/#REF!,P45)</f>
        <v>423.83561999999995</v>
      </c>
      <c r="S45" s="5" t="s">
        <v>42</v>
      </c>
      <c r="T45" s="5">
        <v>2475</v>
      </c>
      <c r="W45" s="5" t="s">
        <v>65</v>
      </c>
      <c r="X45" s="5">
        <v>0</v>
      </c>
      <c r="Y45" s="5">
        <v>0</v>
      </c>
      <c r="Z45" s="5">
        <v>21.191780999999999</v>
      </c>
      <c r="AA45" s="5">
        <v>20</v>
      </c>
      <c r="AB45" s="5">
        <v>423.83562000000001</v>
      </c>
      <c r="AC45" s="5" t="str">
        <f t="shared" si="0"/>
        <v>Bonos</v>
      </c>
      <c r="AD45" s="5" t="s">
        <v>43</v>
      </c>
      <c r="AE45" s="5">
        <f t="shared" si="3"/>
        <v>1</v>
      </c>
      <c r="AF45" s="5">
        <f t="shared" si="4"/>
        <v>2025</v>
      </c>
    </row>
    <row r="46" s="5" customFormat="1" ht="13">
      <c r="A46" s="5">
        <v>12316</v>
      </c>
      <c r="B46" s="5" t="s">
        <v>78</v>
      </c>
      <c r="C46" s="5" t="s">
        <v>114</v>
      </c>
      <c r="D46" s="5" t="s">
        <v>21</v>
      </c>
      <c r="E46" s="5" t="s">
        <v>34</v>
      </c>
      <c r="F46" s="5" t="s">
        <v>68</v>
      </c>
      <c r="G46" s="5" t="s">
        <v>75</v>
      </c>
      <c r="H46" s="9" t="s">
        <v>115</v>
      </c>
      <c r="I46" s="10"/>
      <c r="J46" s="10">
        <v>45680</v>
      </c>
      <c r="K46" s="5" t="s">
        <v>77</v>
      </c>
      <c r="L46" s="5" t="s">
        <v>50</v>
      </c>
      <c r="M46" s="11">
        <v>0.125</v>
      </c>
      <c r="N46" s="5" t="e">
        <f>IF(AND(M46&gt;#REF!,Cartera!O902="Guaraníes"),"Rendimiento significativo",IF(AND(M46&gt;#REF!,Cartera!O902="Dólares americanos"),"Rendimiento significativo","Rendimiento no significativo"))</f>
        <v>#REF!</v>
      </c>
      <c r="O46" s="5" t="s">
        <v>41</v>
      </c>
      <c r="P46" s="12">
        <v>897534.24656999996</v>
      </c>
      <c r="Q46" s="12">
        <f>IF(O46="Guaraníes",P46,P46*#REF!)</f>
        <v>897534.24656999996</v>
      </c>
      <c r="R46" s="12" t="e">
        <f>IF(O46="Guaraníes",P46/#REF!,P46)</f>
        <v>#REF!</v>
      </c>
      <c r="S46" s="5" t="s">
        <v>42</v>
      </c>
      <c r="T46" s="5">
        <v>25</v>
      </c>
      <c r="W46" s="5" t="s">
        <v>65</v>
      </c>
      <c r="X46" s="5">
        <v>0</v>
      </c>
      <c r="Y46" s="5">
        <v>0</v>
      </c>
      <c r="Z46" s="5">
        <v>29917.808218999999</v>
      </c>
      <c r="AA46" s="5">
        <v>30</v>
      </c>
      <c r="AB46" s="5">
        <v>897534.24656999996</v>
      </c>
      <c r="AC46" s="5" t="str">
        <f t="shared" si="0"/>
        <v>Bonos</v>
      </c>
      <c r="AD46" s="5" t="s">
        <v>43</v>
      </c>
      <c r="AE46" s="5">
        <f t="shared" si="3"/>
        <v>1</v>
      </c>
      <c r="AF46" s="5">
        <f t="shared" si="4"/>
        <v>2025</v>
      </c>
    </row>
    <row r="47" s="5" customFormat="1" ht="13">
      <c r="A47" s="5">
        <v>12316</v>
      </c>
      <c r="B47" s="5" t="s">
        <v>78</v>
      </c>
      <c r="C47" s="5" t="s">
        <v>79</v>
      </c>
      <c r="D47" s="5" t="s">
        <v>21</v>
      </c>
      <c r="E47" s="5" t="s">
        <v>34</v>
      </c>
      <c r="F47" s="5" t="s">
        <v>68</v>
      </c>
      <c r="H47" s="9" t="s">
        <v>109</v>
      </c>
      <c r="I47" s="10">
        <v>45314</v>
      </c>
      <c r="J47" s="10">
        <v>45680</v>
      </c>
      <c r="K47" s="5" t="s">
        <v>81</v>
      </c>
      <c r="L47" s="5" t="s">
        <v>82</v>
      </c>
      <c r="M47" s="11">
        <v>0.098000000000000004</v>
      </c>
      <c r="N47" s="5" t="e">
        <f>IF(AND(M47&gt;#REF!,Cartera!O3530="Guaraníes"),"Rendimiento significativo",IF(AND(M47&gt;#REF!,Cartera!O3530="Dólares americanos"),"Rendimiento significativo","Rendimiento no significativo"))</f>
        <v>#REF!</v>
      </c>
      <c r="O47" s="5" t="s">
        <v>41</v>
      </c>
      <c r="P47" s="12">
        <v>2579548</v>
      </c>
      <c r="Q47" s="12">
        <f>IF(O47="Guaraníes",P47,P47*#REF!)</f>
        <v>2579548</v>
      </c>
      <c r="R47" s="12" t="e">
        <f>IF(O47="Guaraníes",P47/#REF!,P47)</f>
        <v>#REF!</v>
      </c>
      <c r="S47" s="5" t="s">
        <v>42</v>
      </c>
      <c r="AC47" s="5" t="str">
        <f t="shared" si="0"/>
        <v>CDA</v>
      </c>
      <c r="AD47" s="5" t="s">
        <v>43</v>
      </c>
      <c r="AE47" s="5">
        <f t="shared" si="3"/>
        <v>1</v>
      </c>
      <c r="AF47" s="5">
        <f t="shared" si="4"/>
        <v>2025</v>
      </c>
    </row>
    <row r="48" s="5" customFormat="1" ht="13">
      <c r="A48" s="5">
        <v>12315</v>
      </c>
      <c r="B48" s="5" t="s">
        <v>73</v>
      </c>
      <c r="C48" s="5" t="s">
        <v>54</v>
      </c>
      <c r="D48" s="5" t="s">
        <v>21</v>
      </c>
      <c r="E48" s="5" t="s">
        <v>34</v>
      </c>
      <c r="F48" s="5" t="s">
        <v>46</v>
      </c>
      <c r="G48" s="5" t="s">
        <v>55</v>
      </c>
      <c r="H48" s="9" t="s">
        <v>56</v>
      </c>
      <c r="I48" s="10">
        <v>44680</v>
      </c>
      <c r="J48" s="10">
        <v>45681</v>
      </c>
      <c r="K48" s="5" t="s">
        <v>57</v>
      </c>
      <c r="L48" s="5" t="s">
        <v>58</v>
      </c>
      <c r="M48" s="11">
        <v>0.059999999999999998</v>
      </c>
      <c r="N48" s="5" t="e">
        <f>IF(AND(M48&gt;#REF!,Cartera!O14="Guaraníes"),"Rendimiento significativo",IF(AND(M48&gt;#REF!,Cartera!O14="Dólares americanos"),"Rendimiento significativo","Rendimiento no significativo"))</f>
        <v>#REF!</v>
      </c>
      <c r="O48" s="5" t="s">
        <v>51</v>
      </c>
      <c r="P48" s="13">
        <v>747.9452</v>
      </c>
      <c r="Q48" s="12" t="e">
        <f>IF(O48="Guaraníes",P48,P48*#REF!)</f>
        <v>#REF!</v>
      </c>
      <c r="R48" s="12">
        <f>IF(O48="Guaraníes",P48/#REF!,P48)</f>
        <v>747.9452</v>
      </c>
      <c r="S48" s="5" t="s">
        <v>42</v>
      </c>
      <c r="T48" s="5">
        <v>17035</v>
      </c>
      <c r="V48" s="5">
        <v>14.960000000000001</v>
      </c>
      <c r="AA48" s="5">
        <v>50</v>
      </c>
      <c r="AC48" s="5" t="str">
        <f t="shared" si="0"/>
        <v>Bonos</v>
      </c>
      <c r="AD48" s="5" t="s">
        <v>43</v>
      </c>
      <c r="AE48" s="5">
        <f t="shared" si="3"/>
        <v>1</v>
      </c>
      <c r="AF48" s="5">
        <f t="shared" si="4"/>
        <v>2025</v>
      </c>
    </row>
    <row r="49" s="5" customFormat="1" ht="13">
      <c r="A49" s="5">
        <v>12315</v>
      </c>
      <c r="B49" s="5" t="s">
        <v>73</v>
      </c>
      <c r="C49" s="5" t="s">
        <v>116</v>
      </c>
      <c r="D49" s="5" t="s">
        <v>21</v>
      </c>
      <c r="E49" s="5" t="s">
        <v>34</v>
      </c>
      <c r="F49" s="5" t="s">
        <v>68</v>
      </c>
      <c r="H49" s="9" t="s">
        <v>117</v>
      </c>
      <c r="I49" s="10">
        <v>45321</v>
      </c>
      <c r="J49" s="10">
        <v>45681</v>
      </c>
      <c r="K49" s="5" t="s">
        <v>118</v>
      </c>
      <c r="L49" s="5" t="s">
        <v>82</v>
      </c>
      <c r="M49" s="11">
        <v>0.055</v>
      </c>
      <c r="N49" s="5" t="e">
        <f>IF(AND(M49&gt;#REF!,Cartera!O3535="Guaraníes"),"Rendimiento significativo",IF(AND(M49&gt;#REF!,Cartera!O3535="Dólares americanos"),"Rendimiento significativo","Rendimiento no significativo"))</f>
        <v>#REF!</v>
      </c>
      <c r="O49" s="5" t="s">
        <v>51</v>
      </c>
      <c r="P49" s="13">
        <v>530.40999999999997</v>
      </c>
      <c r="Q49" s="12" t="e">
        <f>IF(O49="Guaraníes",P49,P49*#REF!)</f>
        <v>#REF!</v>
      </c>
      <c r="R49" s="12">
        <f>IF(O49="Guaraníes",P49/#REF!,P49)</f>
        <v>530.40999999999997</v>
      </c>
      <c r="S49" s="5" t="s">
        <v>42</v>
      </c>
      <c r="AC49" s="5" t="str">
        <f t="shared" si="0"/>
        <v>CDA</v>
      </c>
      <c r="AD49" s="5" t="s">
        <v>43</v>
      </c>
      <c r="AE49" s="5">
        <f t="shared" si="3"/>
        <v>1</v>
      </c>
      <c r="AF49" s="5">
        <f t="shared" si="4"/>
        <v>2025</v>
      </c>
    </row>
    <row r="50" s="5" customFormat="1" ht="13">
      <c r="A50" s="5">
        <v>12316</v>
      </c>
      <c r="B50" s="5" t="s">
        <v>78</v>
      </c>
      <c r="C50" s="5" t="s">
        <v>79</v>
      </c>
      <c r="D50" s="5" t="s">
        <v>21</v>
      </c>
      <c r="E50" s="5" t="s">
        <v>34</v>
      </c>
      <c r="F50" s="12" t="s">
        <v>68</v>
      </c>
      <c r="G50" s="12"/>
      <c r="H50" s="9" t="s">
        <v>119</v>
      </c>
      <c r="I50" s="10">
        <v>45497</v>
      </c>
      <c r="J50" s="10">
        <v>45681</v>
      </c>
      <c r="K50" s="12"/>
      <c r="L50" s="5" t="s">
        <v>82</v>
      </c>
      <c r="M50" s="11">
        <v>0.083500000000000005</v>
      </c>
      <c r="N50" s="5"/>
      <c r="O50" s="5" t="s">
        <v>41</v>
      </c>
      <c r="P50" s="12">
        <v>3151267</v>
      </c>
      <c r="Q50" s="12">
        <f>IF(O50="Guaraníes",P50,P50*#REF!)</f>
        <v>3151267</v>
      </c>
      <c r="R50" s="13" t="e">
        <f>IF(O50="Guaraníes",P50/#REF!,P50)</f>
        <v>#REF!</v>
      </c>
      <c r="S50" s="5" t="s">
        <v>120</v>
      </c>
      <c r="AC50" s="5" t="str">
        <f t="shared" si="0"/>
        <v>CDA</v>
      </c>
      <c r="AD50" s="5" t="s">
        <v>43</v>
      </c>
      <c r="AE50" s="5">
        <f t="shared" si="3"/>
        <v>1</v>
      </c>
      <c r="AF50" s="5">
        <f t="shared" si="4"/>
        <v>2025</v>
      </c>
    </row>
    <row r="51" s="5" customFormat="1" ht="13">
      <c r="A51" s="5">
        <v>12315</v>
      </c>
      <c r="B51" s="5" t="s">
        <v>73</v>
      </c>
      <c r="C51" s="5" t="s">
        <v>79</v>
      </c>
      <c r="D51" s="5" t="s">
        <v>21</v>
      </c>
      <c r="E51" s="5" t="s">
        <v>34</v>
      </c>
      <c r="F51" s="16" t="s">
        <v>68</v>
      </c>
      <c r="G51" s="16"/>
      <c r="H51" s="9" t="s">
        <v>121</v>
      </c>
      <c r="I51" s="10">
        <v>45497</v>
      </c>
      <c r="J51" s="10">
        <v>45681</v>
      </c>
      <c r="L51" s="5" t="s">
        <v>82</v>
      </c>
      <c r="M51" s="11">
        <v>0.042000000000000003</v>
      </c>
      <c r="N51" s="5"/>
      <c r="O51" s="5" t="s">
        <v>51</v>
      </c>
      <c r="P51" s="13">
        <v>211</v>
      </c>
      <c r="Q51" s="12" t="e">
        <f>IF(O51="Guaraníes",P51,P51*#REF!)</f>
        <v>#REF!</v>
      </c>
      <c r="R51" s="13">
        <f>IF(O51="Guaraníes",P51/#REF!,P51)</f>
        <v>211</v>
      </c>
      <c r="S51" s="5" t="s">
        <v>120</v>
      </c>
      <c r="AC51" s="5" t="str">
        <f t="shared" si="0"/>
        <v>CDA</v>
      </c>
      <c r="AD51" s="5" t="s">
        <v>43</v>
      </c>
      <c r="AE51" s="5">
        <f t="shared" si="3"/>
        <v>1</v>
      </c>
      <c r="AF51" s="5">
        <f t="shared" si="4"/>
        <v>2025</v>
      </c>
    </row>
    <row r="52" s="5" customFormat="1" ht="13">
      <c r="A52" s="5">
        <v>12302</v>
      </c>
      <c r="B52" s="5" t="s">
        <v>98</v>
      </c>
      <c r="C52" s="5" t="s">
        <v>45</v>
      </c>
      <c r="D52" s="5" t="s">
        <v>20</v>
      </c>
      <c r="E52" s="5" t="s">
        <v>34</v>
      </c>
      <c r="F52" s="5" t="s">
        <v>46</v>
      </c>
      <c r="G52" s="5" t="s">
        <v>55</v>
      </c>
      <c r="H52" s="9" t="s">
        <v>108</v>
      </c>
      <c r="I52" s="10">
        <v>44704</v>
      </c>
      <c r="J52" s="10">
        <v>46524</v>
      </c>
      <c r="K52" s="5" t="s">
        <v>49</v>
      </c>
      <c r="L52" s="5" t="s">
        <v>106</v>
      </c>
      <c r="M52" s="11">
        <v>0.059999999999999998</v>
      </c>
      <c r="N52" s="5" t="e">
        <f>IF(AND(M52&gt;#REF!,Cartera!O52="Guaraníes"),"Rendimiento significativo",IF(AND(M52&gt;#REF!,Cartera!O52="Dólares americanos"),"Rendimiento significativo","Rendimiento no significativo"))</f>
        <v>#REF!</v>
      </c>
      <c r="O52" s="5" t="s">
        <v>51</v>
      </c>
      <c r="P52" s="13">
        <v>25000</v>
      </c>
      <c r="Q52" s="12" t="e">
        <f>IF(O52="Guaraníes",P52,P52*#REF!)</f>
        <v>#REF!</v>
      </c>
      <c r="R52" s="12">
        <f>IF(O52="Guaraníes",P52/#REF!,P52)</f>
        <v>25000</v>
      </c>
      <c r="S52" s="5" t="s">
        <v>42</v>
      </c>
      <c r="V52" s="5">
        <v>14.958904</v>
      </c>
      <c r="AA52" s="5">
        <v>25</v>
      </c>
      <c r="AC52" s="5" t="str">
        <f t="shared" si="0"/>
        <v>Bonos</v>
      </c>
      <c r="AD52" s="5" t="s">
        <v>43</v>
      </c>
      <c r="AE52" s="5">
        <f t="shared" si="3"/>
        <v>5</v>
      </c>
      <c r="AF52" s="5">
        <f t="shared" si="4"/>
        <v>2027</v>
      </c>
    </row>
    <row r="53" s="5" customFormat="1" ht="13">
      <c r="A53" s="5" t="s">
        <v>44</v>
      </c>
      <c r="B53" s="5" t="s">
        <v>44</v>
      </c>
      <c r="C53" s="5" t="s">
        <v>122</v>
      </c>
      <c r="D53" s="5" t="s">
        <v>21</v>
      </c>
      <c r="E53" s="5" t="s">
        <v>44</v>
      </c>
      <c r="F53" s="5" t="s">
        <v>61</v>
      </c>
      <c r="G53" s="5" t="s">
        <v>62</v>
      </c>
      <c r="H53" s="9" t="s">
        <v>123</v>
      </c>
      <c r="I53" s="10"/>
      <c r="J53" s="10">
        <v>42375</v>
      </c>
      <c r="K53" s="5" t="s">
        <v>124</v>
      </c>
      <c r="L53" s="5" t="s">
        <v>58</v>
      </c>
      <c r="M53" s="11">
        <v>0.13</v>
      </c>
      <c r="N53" s="5" t="e">
        <f>IF(AND(M53&gt;#REF!,Cartera!O53="Guaraníes"),"Rendimiento significativo",IF(AND(M53&gt;#REF!,Cartera!O53="Dólares americanos"),"Rendimiento significativo","Rendimiento no significativo"))</f>
        <v>#REF!</v>
      </c>
      <c r="O53" s="5" t="s">
        <v>41</v>
      </c>
      <c r="P53" s="12">
        <v>3276712.3287499999</v>
      </c>
      <c r="Q53" s="12">
        <f>IF(O53="Guaraníes",P53,P53*#REF!)</f>
        <v>3276712.3287499999</v>
      </c>
      <c r="R53" s="12" t="e">
        <f>IF(O53="Guaraníes",P53/#REF!,P53)</f>
        <v>#REF!</v>
      </c>
      <c r="S53" s="5" t="s">
        <v>52</v>
      </c>
      <c r="T53" s="5">
        <v>8</v>
      </c>
      <c r="W53" s="5" t="s">
        <v>65</v>
      </c>
      <c r="X53" s="5">
        <v>0</v>
      </c>
      <c r="Y53" s="5">
        <v>0</v>
      </c>
      <c r="Z53" s="5">
        <v>65534.246574999997</v>
      </c>
      <c r="AA53" s="5">
        <v>50</v>
      </c>
      <c r="AB53" s="5">
        <v>3276712.3287499999</v>
      </c>
      <c r="AC53" s="5" t="str">
        <f t="shared" si="0"/>
        <v>Bonos</v>
      </c>
      <c r="AD53" s="5" t="s">
        <v>43</v>
      </c>
      <c r="AE53" s="5">
        <f t="shared" si="3"/>
        <v>1</v>
      </c>
      <c r="AF53" s="5">
        <f t="shared" si="4"/>
        <v>2016</v>
      </c>
    </row>
    <row r="54" s="5" customFormat="1" ht="13">
      <c r="A54" s="5" t="s">
        <v>44</v>
      </c>
      <c r="B54" s="5" t="s">
        <v>44</v>
      </c>
      <c r="C54" s="5" t="s">
        <v>125</v>
      </c>
      <c r="D54" s="5" t="s">
        <v>21</v>
      </c>
      <c r="E54" s="5" t="s">
        <v>44</v>
      </c>
      <c r="F54" s="5" t="s">
        <v>68</v>
      </c>
      <c r="G54" s="5" t="s">
        <v>62</v>
      </c>
      <c r="H54" s="9" t="s">
        <v>126</v>
      </c>
      <c r="I54" s="10"/>
      <c r="J54" s="10">
        <v>42506</v>
      </c>
      <c r="K54" s="5" t="s">
        <v>127</v>
      </c>
      <c r="L54" s="5" t="s">
        <v>58</v>
      </c>
      <c r="M54" s="11">
        <v>0.067500000000000004</v>
      </c>
      <c r="N54" s="5" t="e">
        <f>IF(AND(M54&gt;#REF!,Cartera!O54="Guaraníes"),"Rendimiento significativo",IF(AND(M54&gt;#REF!,Cartera!O54="Dólares americanos"),"Rendimiento significativo","Rendimiento no significativo"))</f>
        <v>#REF!</v>
      </c>
      <c r="O54" s="5" t="s">
        <v>51</v>
      </c>
      <c r="P54" s="13">
        <v>1346.3013599999999</v>
      </c>
      <c r="Q54" s="12" t="e">
        <f>IF(O54="Guaraníes",P54,P54*#REF!)</f>
        <v>#REF!</v>
      </c>
      <c r="R54" s="12">
        <f>IF(O54="Guaraníes",P54/#REF!,P54)</f>
        <v>1346.3013599999999</v>
      </c>
      <c r="S54" s="5" t="s">
        <v>52</v>
      </c>
      <c r="T54" s="5">
        <v>8</v>
      </c>
      <c r="W54" s="5" t="s">
        <v>65</v>
      </c>
      <c r="X54" s="5">
        <v>0</v>
      </c>
      <c r="Y54" s="5">
        <v>0</v>
      </c>
      <c r="Z54" s="5">
        <v>33.657533999999998</v>
      </c>
      <c r="AA54" s="5">
        <v>40</v>
      </c>
      <c r="AB54" s="5">
        <v>1346.3013599999999</v>
      </c>
      <c r="AC54" s="5" t="str">
        <f t="shared" si="0"/>
        <v>Bonos</v>
      </c>
      <c r="AD54" s="5" t="s">
        <v>43</v>
      </c>
      <c r="AE54" s="5">
        <f t="shared" si="3"/>
        <v>5</v>
      </c>
      <c r="AF54" s="5">
        <f t="shared" si="4"/>
        <v>2016</v>
      </c>
    </row>
    <row r="55" s="5" customFormat="1" ht="13">
      <c r="A55" s="5" t="s">
        <v>44</v>
      </c>
      <c r="B55" s="5" t="s">
        <v>44</v>
      </c>
      <c r="C55" s="5" t="s">
        <v>122</v>
      </c>
      <c r="D55" s="5" t="s">
        <v>21</v>
      </c>
      <c r="E55" s="5" t="s">
        <v>44</v>
      </c>
      <c r="F55" s="5" t="s">
        <v>61</v>
      </c>
      <c r="G55" s="5" t="s">
        <v>62</v>
      </c>
      <c r="H55" s="9" t="s">
        <v>128</v>
      </c>
      <c r="I55" s="10"/>
      <c r="J55" s="10">
        <v>42543</v>
      </c>
      <c r="K55" s="5" t="s">
        <v>124</v>
      </c>
      <c r="L55" s="5" t="s">
        <v>50</v>
      </c>
      <c r="M55" s="11">
        <v>0.14499999999999999</v>
      </c>
      <c r="N55" s="5" t="e">
        <f>IF(AND(M55&gt;#REF!,Cartera!O55="Guaraníes"),"Rendimiento significativo",IF(AND(M55&gt;#REF!,Cartera!O55="Dólares americanos"),"Rendimiento significativo","Rendimiento no significativo"))</f>
        <v>#REF!</v>
      </c>
      <c r="O55" s="5" t="s">
        <v>41</v>
      </c>
      <c r="P55" s="12">
        <v>7269863.0137</v>
      </c>
      <c r="Q55" s="12">
        <f>IF(O55="Guaraníes",P55,P55*#REF!)</f>
        <v>7269863.0137</v>
      </c>
      <c r="R55" s="12" t="e">
        <f>IF(O55="Guaraníes",P55/#REF!,P55)</f>
        <v>#REF!</v>
      </c>
      <c r="S55" s="5" t="s">
        <v>52</v>
      </c>
      <c r="T55" s="5">
        <v>8</v>
      </c>
      <c r="W55" s="5" t="s">
        <v>65</v>
      </c>
      <c r="X55" s="5">
        <v>0</v>
      </c>
      <c r="Y55" s="5">
        <v>0</v>
      </c>
      <c r="Z55" s="5">
        <v>72698.630137</v>
      </c>
      <c r="AA55" s="5">
        <v>100</v>
      </c>
      <c r="AB55" s="5">
        <v>7269863.0137</v>
      </c>
      <c r="AC55" s="5" t="str">
        <f t="shared" si="0"/>
        <v>Bonos</v>
      </c>
      <c r="AD55" s="5" t="s">
        <v>43</v>
      </c>
      <c r="AE55" s="5">
        <f t="shared" si="3"/>
        <v>6</v>
      </c>
      <c r="AF55" s="5">
        <f t="shared" si="4"/>
        <v>2016</v>
      </c>
    </row>
    <row r="56" s="5" customFormat="1" ht="13">
      <c r="A56" s="5" t="s">
        <v>44</v>
      </c>
      <c r="B56" s="5" t="s">
        <v>44</v>
      </c>
      <c r="C56" s="5" t="s">
        <v>122</v>
      </c>
      <c r="D56" s="5" t="s">
        <v>21</v>
      </c>
      <c r="E56" s="5" t="s">
        <v>44</v>
      </c>
      <c r="F56" s="5" t="s">
        <v>61</v>
      </c>
      <c r="G56" s="5" t="s">
        <v>62</v>
      </c>
      <c r="H56" s="9" t="s">
        <v>123</v>
      </c>
      <c r="I56" s="10"/>
      <c r="J56" s="10">
        <v>42557</v>
      </c>
      <c r="K56" s="5" t="s">
        <v>124</v>
      </c>
      <c r="L56" s="5" t="s">
        <v>58</v>
      </c>
      <c r="M56" s="11">
        <v>0.13</v>
      </c>
      <c r="N56" s="5" t="e">
        <f>IF(AND(M56&gt;#REF!,Cartera!O56="Guaraníes"),"Rendimiento significativo",IF(AND(M56&gt;#REF!,Cartera!O56="Dólares americanos"),"Rendimiento significativo","Rendimiento no significativo"))</f>
        <v>#REF!</v>
      </c>
      <c r="O56" s="5" t="s">
        <v>41</v>
      </c>
      <c r="P56" s="12">
        <v>3241095.8903999999</v>
      </c>
      <c r="Q56" s="12">
        <f>IF(O56="Guaraníes",P56,P56*#REF!)</f>
        <v>3241095.8903999999</v>
      </c>
      <c r="R56" s="12" t="e">
        <f>IF(O56="Guaraníes",P56/#REF!,P56)</f>
        <v>#REF!</v>
      </c>
      <c r="S56" s="5" t="s">
        <v>52</v>
      </c>
      <c r="T56" s="5">
        <v>8</v>
      </c>
      <c r="W56" s="5" t="s">
        <v>65</v>
      </c>
      <c r="X56" s="5">
        <v>0</v>
      </c>
      <c r="Y56" s="5">
        <v>0</v>
      </c>
      <c r="Z56" s="5">
        <v>64821.917807999998</v>
      </c>
      <c r="AA56" s="5">
        <v>50</v>
      </c>
      <c r="AB56" s="5">
        <v>3241095.8903999999</v>
      </c>
      <c r="AC56" s="5" t="str">
        <f t="shared" si="0"/>
        <v>Bonos</v>
      </c>
      <c r="AD56" s="5" t="s">
        <v>43</v>
      </c>
      <c r="AE56" s="5">
        <f t="shared" si="3"/>
        <v>7</v>
      </c>
      <c r="AF56" s="5">
        <f t="shared" si="4"/>
        <v>2016</v>
      </c>
    </row>
    <row r="57" s="5" customFormat="1" ht="13">
      <c r="A57" s="5" t="s">
        <v>44</v>
      </c>
      <c r="B57" s="5" t="s">
        <v>44</v>
      </c>
      <c r="C57" s="5" t="s">
        <v>125</v>
      </c>
      <c r="D57" s="5" t="s">
        <v>21</v>
      </c>
      <c r="E57" s="5" t="s">
        <v>44</v>
      </c>
      <c r="F57" s="5" t="s">
        <v>68</v>
      </c>
      <c r="G57" s="5" t="s">
        <v>62</v>
      </c>
      <c r="H57" s="9" t="s">
        <v>126</v>
      </c>
      <c r="I57" s="10"/>
      <c r="J57" s="10">
        <v>42688</v>
      </c>
      <c r="K57" s="5" t="s">
        <v>127</v>
      </c>
      <c r="L57" s="5" t="s">
        <v>58</v>
      </c>
      <c r="M57" s="11">
        <v>0.067500000000000004</v>
      </c>
      <c r="N57" s="5" t="e">
        <f>IF(AND(M57&gt;#REF!,Cartera!O57="Guaraníes"),"Rendimiento significativo",IF(AND(M57&gt;#REF!,Cartera!O57="Dólares americanos"),"Rendimiento significativo","Rendimiento no significativo"))</f>
        <v>#REF!</v>
      </c>
      <c r="O57" s="5" t="s">
        <v>51</v>
      </c>
      <c r="P57" s="13">
        <v>1346.3013599999999</v>
      </c>
      <c r="Q57" s="12" t="e">
        <f>IF(O57="Guaraníes",P57,P57*#REF!)</f>
        <v>#REF!</v>
      </c>
      <c r="R57" s="12">
        <f>IF(O57="Guaraníes",P57/#REF!,P57)</f>
        <v>1346.3013599999999</v>
      </c>
      <c r="S57" s="5" t="s">
        <v>52</v>
      </c>
      <c r="T57" s="5">
        <v>8</v>
      </c>
      <c r="W57" s="5" t="s">
        <v>65</v>
      </c>
      <c r="X57" s="5">
        <v>0</v>
      </c>
      <c r="Y57" s="5">
        <v>0</v>
      </c>
      <c r="Z57" s="5">
        <v>33.657533999999998</v>
      </c>
      <c r="AA57" s="5">
        <v>40</v>
      </c>
      <c r="AB57" s="5">
        <v>1346.3013599999999</v>
      </c>
      <c r="AC57" s="5" t="str">
        <f t="shared" si="0"/>
        <v>Bonos</v>
      </c>
      <c r="AD57" s="5" t="s">
        <v>43</v>
      </c>
      <c r="AE57" s="5">
        <f t="shared" si="3"/>
        <v>11</v>
      </c>
      <c r="AF57" s="5">
        <f t="shared" si="4"/>
        <v>2016</v>
      </c>
    </row>
    <row r="58" s="5" customFormat="1" ht="13">
      <c r="A58" s="5" t="s">
        <v>44</v>
      </c>
      <c r="B58" s="5" t="s">
        <v>44</v>
      </c>
      <c r="C58" s="5" t="s">
        <v>122</v>
      </c>
      <c r="D58" s="5" t="s">
        <v>21</v>
      </c>
      <c r="E58" s="5" t="s">
        <v>44</v>
      </c>
      <c r="F58" s="5" t="s">
        <v>61</v>
      </c>
      <c r="G58" s="5" t="s">
        <v>62</v>
      </c>
      <c r="H58" s="9" t="s">
        <v>128</v>
      </c>
      <c r="I58" s="10"/>
      <c r="J58" s="10">
        <v>42726</v>
      </c>
      <c r="K58" s="5" t="s">
        <v>124</v>
      </c>
      <c r="L58" s="5" t="s">
        <v>50</v>
      </c>
      <c r="M58" s="11">
        <v>0.14499999999999999</v>
      </c>
      <c r="N58" s="5" t="e">
        <f>IF(AND(M58&gt;#REF!,Cartera!O58="Guaraníes"),"Rendimiento significativo",IF(AND(M58&gt;#REF!,Cartera!O58="Dólares americanos"),"Rendimiento significativo","Rendimiento no significativo"))</f>
        <v>#REF!</v>
      </c>
      <c r="O58" s="5" t="s">
        <v>41</v>
      </c>
      <c r="P58" s="12">
        <v>7269863.0137</v>
      </c>
      <c r="Q58" s="12">
        <f>IF(O58="Guaraníes",P58,P58*#REF!)</f>
        <v>7269863.0137</v>
      </c>
      <c r="R58" s="12" t="e">
        <f>IF(O58="Guaraníes",P58/#REF!,P58)</f>
        <v>#REF!</v>
      </c>
      <c r="S58" s="5" t="s">
        <v>52</v>
      </c>
      <c r="T58" s="5">
        <v>8</v>
      </c>
      <c r="W58" s="5" t="s">
        <v>65</v>
      </c>
      <c r="X58" s="5">
        <v>0</v>
      </c>
      <c r="Y58" s="5">
        <v>0</v>
      </c>
      <c r="Z58" s="5">
        <v>72698.630137</v>
      </c>
      <c r="AA58" s="5">
        <v>100</v>
      </c>
      <c r="AB58" s="5">
        <v>7269863.0137</v>
      </c>
      <c r="AC58" s="5" t="str">
        <f t="shared" si="0"/>
        <v>Bonos</v>
      </c>
      <c r="AD58" s="5" t="s">
        <v>43</v>
      </c>
      <c r="AE58" s="5">
        <f t="shared" si="3"/>
        <v>12</v>
      </c>
      <c r="AF58" s="5">
        <f t="shared" si="4"/>
        <v>2016</v>
      </c>
    </row>
    <row r="59" s="5" customFormat="1" ht="13">
      <c r="A59" s="5" t="s">
        <v>44</v>
      </c>
      <c r="B59" s="5" t="s">
        <v>44</v>
      </c>
      <c r="C59" s="5" t="s">
        <v>122</v>
      </c>
      <c r="D59" s="5" t="s">
        <v>21</v>
      </c>
      <c r="E59" s="5" t="s">
        <v>44</v>
      </c>
      <c r="F59" s="5" t="s">
        <v>61</v>
      </c>
      <c r="G59" s="5" t="s">
        <v>62</v>
      </c>
      <c r="H59" s="9" t="s">
        <v>123</v>
      </c>
      <c r="I59" s="10"/>
      <c r="J59" s="10">
        <v>42741</v>
      </c>
      <c r="K59" s="5" t="s">
        <v>124</v>
      </c>
      <c r="L59" s="5" t="s">
        <v>58</v>
      </c>
      <c r="M59" s="11">
        <v>0.13</v>
      </c>
      <c r="N59" s="5" t="e">
        <f>IF(AND(M59&gt;#REF!,Cartera!O59="Guaraníes"),"Rendimiento significativo",IF(AND(M59&gt;#REF!,Cartera!O59="Dólares americanos"),"Rendimiento significativo","Rendimiento no significativo"))</f>
        <v>#REF!</v>
      </c>
      <c r="O59" s="5" t="s">
        <v>41</v>
      </c>
      <c r="P59" s="12">
        <v>3276712.3287499999</v>
      </c>
      <c r="Q59" s="12">
        <f>IF(O59="Guaraníes",P59,P59*#REF!)</f>
        <v>3276712.3287499999</v>
      </c>
      <c r="R59" s="12" t="e">
        <f>IF(O59="Guaraníes",P59/#REF!,P59)</f>
        <v>#REF!</v>
      </c>
      <c r="S59" s="5" t="s">
        <v>52</v>
      </c>
      <c r="T59" s="5">
        <v>8</v>
      </c>
      <c r="W59" s="5" t="s">
        <v>65</v>
      </c>
      <c r="X59" s="5">
        <v>0</v>
      </c>
      <c r="Y59" s="5">
        <v>0</v>
      </c>
      <c r="Z59" s="5">
        <v>65534.246574999997</v>
      </c>
      <c r="AA59" s="5">
        <v>50</v>
      </c>
      <c r="AB59" s="5">
        <v>3276712.3287499999</v>
      </c>
      <c r="AC59" s="5" t="str">
        <f t="shared" si="0"/>
        <v>Bonos</v>
      </c>
      <c r="AD59" s="5" t="s">
        <v>43</v>
      </c>
      <c r="AE59" s="5">
        <f t="shared" si="3"/>
        <v>1</v>
      </c>
      <c r="AF59" s="5">
        <f t="shared" si="4"/>
        <v>2017</v>
      </c>
    </row>
    <row r="60" s="5" customFormat="1" ht="13">
      <c r="A60" s="5" t="s">
        <v>44</v>
      </c>
      <c r="B60" s="5" t="s">
        <v>44</v>
      </c>
      <c r="C60" s="5" t="s">
        <v>122</v>
      </c>
      <c r="D60" s="5" t="s">
        <v>21</v>
      </c>
      <c r="E60" s="5" t="s">
        <v>44</v>
      </c>
      <c r="F60" s="5" t="s">
        <v>61</v>
      </c>
      <c r="G60" s="5" t="s">
        <v>62</v>
      </c>
      <c r="H60" s="9" t="s">
        <v>129</v>
      </c>
      <c r="I60" s="10"/>
      <c r="J60" s="10">
        <v>42755</v>
      </c>
      <c r="K60" s="5" t="s">
        <v>124</v>
      </c>
      <c r="L60" s="5" t="s">
        <v>58</v>
      </c>
      <c r="M60" s="11">
        <v>0.12</v>
      </c>
      <c r="N60" s="5" t="e">
        <f>IF(AND(M60&gt;#REF!,Cartera!O60="Guaraníes"),"Rendimiento significativo",IF(AND(M60&gt;#REF!,Cartera!O60="Dólares americanos"),"Rendimiento significativo","Rendimiento no significativo"))</f>
        <v>#REF!</v>
      </c>
      <c r="O60" s="5" t="s">
        <v>41</v>
      </c>
      <c r="P60" s="12">
        <v>2991780.8218999999</v>
      </c>
      <c r="Q60" s="12">
        <f>IF(O60="Guaraníes",P60,P60*#REF!)</f>
        <v>2991780.8218999999</v>
      </c>
      <c r="R60" s="12" t="e">
        <f>IF(O60="Guaraníes",P60/#REF!,P60)</f>
        <v>#REF!</v>
      </c>
      <c r="S60" s="5" t="s">
        <v>52</v>
      </c>
      <c r="T60" s="5">
        <v>8</v>
      </c>
      <c r="W60" s="5" t="s">
        <v>65</v>
      </c>
      <c r="X60" s="5">
        <v>0</v>
      </c>
      <c r="Y60" s="5">
        <v>0</v>
      </c>
      <c r="Z60" s="5">
        <v>59835.616437999997</v>
      </c>
      <c r="AA60" s="5">
        <v>50</v>
      </c>
      <c r="AB60" s="5">
        <v>2991780.8218999999</v>
      </c>
      <c r="AC60" s="5" t="str">
        <f t="shared" si="0"/>
        <v>Bonos</v>
      </c>
      <c r="AD60" s="5" t="s">
        <v>43</v>
      </c>
      <c r="AE60" s="5">
        <f t="shared" si="3"/>
        <v>1</v>
      </c>
      <c r="AF60" s="5">
        <f t="shared" si="4"/>
        <v>2017</v>
      </c>
    </row>
    <row r="61" s="5" customFormat="1" ht="13">
      <c r="A61" s="5" t="s">
        <v>44</v>
      </c>
      <c r="B61" s="5" t="s">
        <v>44</v>
      </c>
      <c r="C61" s="5" t="s">
        <v>125</v>
      </c>
      <c r="D61" s="5" t="s">
        <v>21</v>
      </c>
      <c r="E61" s="5" t="s">
        <v>44</v>
      </c>
      <c r="F61" s="5" t="s">
        <v>68</v>
      </c>
      <c r="G61" s="5" t="s">
        <v>62</v>
      </c>
      <c r="H61" s="9" t="s">
        <v>126</v>
      </c>
      <c r="I61" s="10"/>
      <c r="J61" s="10">
        <v>42871</v>
      </c>
      <c r="K61" s="5" t="s">
        <v>127</v>
      </c>
      <c r="L61" s="5" t="s">
        <v>58</v>
      </c>
      <c r="M61" s="11">
        <v>0.067500000000000004</v>
      </c>
      <c r="N61" s="5" t="e">
        <f>IF(AND(M61&gt;#REF!,Cartera!O61="Guaraníes"),"Rendimiento significativo",IF(AND(M61&gt;#REF!,Cartera!O61="Dólares americanos"),"Rendimiento significativo","Rendimiento no significativo"))</f>
        <v>#REF!</v>
      </c>
      <c r="O61" s="5" t="s">
        <v>51</v>
      </c>
      <c r="P61" s="13">
        <v>1353.6986400000001</v>
      </c>
      <c r="Q61" s="12" t="e">
        <f>IF(O61="Guaraníes",P61,P61*#REF!)</f>
        <v>#REF!</v>
      </c>
      <c r="R61" s="12">
        <f>IF(O61="Guaraníes",P61/#REF!,P61)</f>
        <v>1353.6986400000001</v>
      </c>
      <c r="S61" s="5" t="s">
        <v>52</v>
      </c>
      <c r="T61" s="5">
        <v>8</v>
      </c>
      <c r="W61" s="5" t="s">
        <v>65</v>
      </c>
      <c r="X61" s="5">
        <v>0</v>
      </c>
      <c r="Y61" s="5">
        <v>0</v>
      </c>
      <c r="Z61" s="5">
        <v>33.842466000000002</v>
      </c>
      <c r="AA61" s="5">
        <v>40</v>
      </c>
      <c r="AB61" s="5">
        <v>1353.6986400000001</v>
      </c>
      <c r="AC61" s="5" t="str">
        <f t="shared" si="0"/>
        <v>Bonos</v>
      </c>
      <c r="AD61" s="5" t="s">
        <v>43</v>
      </c>
      <c r="AE61" s="5">
        <f t="shared" si="3"/>
        <v>5</v>
      </c>
      <c r="AF61" s="5">
        <f t="shared" si="4"/>
        <v>2017</v>
      </c>
    </row>
    <row r="62" s="5" customFormat="1" ht="13">
      <c r="A62" s="5" t="s">
        <v>44</v>
      </c>
      <c r="B62" s="5" t="s">
        <v>44</v>
      </c>
      <c r="C62" s="5" t="s">
        <v>122</v>
      </c>
      <c r="D62" s="5" t="s">
        <v>21</v>
      </c>
      <c r="E62" s="5" t="s">
        <v>44</v>
      </c>
      <c r="F62" s="5" t="s">
        <v>61</v>
      </c>
      <c r="G62" s="5" t="s">
        <v>62</v>
      </c>
      <c r="H62" s="9" t="s">
        <v>128</v>
      </c>
      <c r="I62" s="10"/>
      <c r="J62" s="10">
        <v>42908</v>
      </c>
      <c r="K62" s="5" t="s">
        <v>124</v>
      </c>
      <c r="L62" s="5" t="s">
        <v>50</v>
      </c>
      <c r="M62" s="11">
        <v>0.14499999999999999</v>
      </c>
      <c r="N62" s="5" t="e">
        <f>IF(AND(M62&gt;#REF!,Cartera!O62="Guaraníes"),"Rendimiento significativo",IF(AND(M62&gt;#REF!,Cartera!O62="Dólares americanos"),"Rendimiento significativo","Rendimiento no significativo"))</f>
        <v>#REF!</v>
      </c>
      <c r="O62" s="5" t="s">
        <v>41</v>
      </c>
      <c r="P62" s="12">
        <v>7230136.9863</v>
      </c>
      <c r="Q62" s="12">
        <f>IF(O62="Guaraníes",P62,P62*#REF!)</f>
        <v>7230136.9863</v>
      </c>
      <c r="R62" s="12" t="e">
        <f>IF(O62="Guaraníes",P62/#REF!,P62)</f>
        <v>#REF!</v>
      </c>
      <c r="S62" s="5" t="s">
        <v>52</v>
      </c>
      <c r="T62" s="5">
        <v>8</v>
      </c>
      <c r="W62" s="5" t="s">
        <v>65</v>
      </c>
      <c r="X62" s="5">
        <v>0</v>
      </c>
      <c r="Y62" s="5">
        <v>0</v>
      </c>
      <c r="Z62" s="5">
        <v>72301.369863</v>
      </c>
      <c r="AA62" s="5">
        <v>100</v>
      </c>
      <c r="AB62" s="5">
        <v>7230136.9863</v>
      </c>
      <c r="AC62" s="5" t="str">
        <f t="shared" si="0"/>
        <v>Bonos</v>
      </c>
      <c r="AD62" s="5" t="s">
        <v>43</v>
      </c>
      <c r="AE62" s="5">
        <f t="shared" si="3"/>
        <v>6</v>
      </c>
      <c r="AF62" s="5">
        <f t="shared" si="4"/>
        <v>2017</v>
      </c>
    </row>
    <row r="63" s="5" customFormat="1" ht="13">
      <c r="A63" s="5" t="s">
        <v>44</v>
      </c>
      <c r="B63" s="5" t="s">
        <v>44</v>
      </c>
      <c r="C63" s="5" t="s">
        <v>122</v>
      </c>
      <c r="D63" s="5" t="s">
        <v>21</v>
      </c>
      <c r="E63" s="5" t="s">
        <v>44</v>
      </c>
      <c r="F63" s="5" t="s">
        <v>61</v>
      </c>
      <c r="G63" s="5" t="s">
        <v>62</v>
      </c>
      <c r="H63" s="9" t="s">
        <v>123</v>
      </c>
      <c r="I63" s="10"/>
      <c r="J63" s="10">
        <v>42923</v>
      </c>
      <c r="K63" s="5" t="s">
        <v>124</v>
      </c>
      <c r="L63" s="5" t="s">
        <v>58</v>
      </c>
      <c r="M63" s="11">
        <v>0.13</v>
      </c>
      <c r="N63" s="5" t="e">
        <f>IF(AND(M63&gt;#REF!,Cartera!O63="Guaraníes"),"Rendimiento significativo",IF(AND(M63&gt;#REF!,Cartera!O63="Dólares americanos"),"Rendimiento significativo","Rendimiento no significativo"))</f>
        <v>#REF!</v>
      </c>
      <c r="O63" s="5" t="s">
        <v>41</v>
      </c>
      <c r="P63" s="12">
        <v>3241095.8903999999</v>
      </c>
      <c r="Q63" s="12">
        <f>IF(O63="Guaraníes",P63,P63*#REF!)</f>
        <v>3241095.8903999999</v>
      </c>
      <c r="R63" s="12" t="e">
        <f>IF(O63="Guaraníes",P63/#REF!,P63)</f>
        <v>#REF!</v>
      </c>
      <c r="S63" s="5" t="s">
        <v>52</v>
      </c>
      <c r="T63" s="5">
        <v>8</v>
      </c>
      <c r="W63" s="5" t="s">
        <v>65</v>
      </c>
      <c r="X63" s="5">
        <v>0</v>
      </c>
      <c r="Y63" s="5">
        <v>0</v>
      </c>
      <c r="Z63" s="5">
        <v>64821.917807999998</v>
      </c>
      <c r="AA63" s="5">
        <v>50</v>
      </c>
      <c r="AB63" s="5">
        <v>3241095.8903999999</v>
      </c>
      <c r="AC63" s="5" t="str">
        <f t="shared" si="0"/>
        <v>Bonos</v>
      </c>
      <c r="AD63" s="5" t="s">
        <v>43</v>
      </c>
      <c r="AE63" s="5">
        <f t="shared" si="3"/>
        <v>7</v>
      </c>
      <c r="AF63" s="5">
        <f t="shared" si="4"/>
        <v>2017</v>
      </c>
    </row>
    <row r="64" s="5" customFormat="1" ht="13">
      <c r="A64" s="5" t="s">
        <v>44</v>
      </c>
      <c r="B64" s="5" t="s">
        <v>44</v>
      </c>
      <c r="C64" s="5" t="s">
        <v>122</v>
      </c>
      <c r="D64" s="5" t="s">
        <v>21</v>
      </c>
      <c r="E64" s="5" t="s">
        <v>44</v>
      </c>
      <c r="F64" s="5" t="s">
        <v>61</v>
      </c>
      <c r="G64" s="5" t="s">
        <v>62</v>
      </c>
      <c r="H64" s="9" t="s">
        <v>129</v>
      </c>
      <c r="I64" s="10"/>
      <c r="J64" s="10">
        <v>42937</v>
      </c>
      <c r="K64" s="5" t="s">
        <v>124</v>
      </c>
      <c r="L64" s="5" t="s">
        <v>58</v>
      </c>
      <c r="M64" s="11">
        <v>0.12</v>
      </c>
      <c r="N64" s="5" t="e">
        <f>IF(AND(M64&gt;#REF!,Cartera!O64="Guaraníes"),"Rendimiento significativo",IF(AND(M64&gt;#REF!,Cartera!O64="Dólares americanos"),"Rendimiento significativo","Rendimiento no significativo"))</f>
        <v>#REF!</v>
      </c>
      <c r="O64" s="5" t="s">
        <v>41</v>
      </c>
      <c r="P64" s="12">
        <v>2991780.8218999999</v>
      </c>
      <c r="Q64" s="12">
        <f>IF(O64="Guaraníes",P64,P64*#REF!)</f>
        <v>2991780.8218999999</v>
      </c>
      <c r="R64" s="12" t="e">
        <f>IF(O64="Guaraníes",P64/#REF!,P64)</f>
        <v>#REF!</v>
      </c>
      <c r="S64" s="5" t="s">
        <v>52</v>
      </c>
      <c r="T64" s="5">
        <v>8</v>
      </c>
      <c r="W64" s="5" t="s">
        <v>65</v>
      </c>
      <c r="X64" s="5">
        <v>0</v>
      </c>
      <c r="Y64" s="5">
        <v>0</v>
      </c>
      <c r="Z64" s="5">
        <v>59835.616437999997</v>
      </c>
      <c r="AA64" s="5">
        <v>50</v>
      </c>
      <c r="AB64" s="5">
        <v>2991780.8218999999</v>
      </c>
      <c r="AC64" s="5" t="str">
        <f t="shared" ref="AC64:AC127" si="5">IF(ISNUMBER(SEARCH("Acciones",L64)),"Acciones",IF(ISNUMBER(SEARCH("Bono",L64)),"Bonos",IF(ISNUMBER(SEARCH("CDA",L64)),"CDA",IF(ISNUMBER(SEARCH("Fondo",L64)),"Fondo",0))))</f>
        <v>Bonos</v>
      </c>
      <c r="AD64" s="5" t="s">
        <v>43</v>
      </c>
      <c r="AE64" s="5">
        <f t="shared" si="3"/>
        <v>7</v>
      </c>
      <c r="AF64" s="5">
        <f t="shared" si="4"/>
        <v>2017</v>
      </c>
    </row>
    <row r="65" s="5" customFormat="1" ht="13">
      <c r="A65" s="5">
        <v>12303</v>
      </c>
      <c r="B65" s="5" t="s">
        <v>32</v>
      </c>
      <c r="C65" s="5" t="s">
        <v>122</v>
      </c>
      <c r="D65" s="5" t="s">
        <v>20</v>
      </c>
      <c r="E65" s="5" t="s">
        <v>34</v>
      </c>
      <c r="F65" s="5" t="s">
        <v>61</v>
      </c>
      <c r="H65" s="9" t="s">
        <v>130</v>
      </c>
      <c r="I65" s="10">
        <v>42940</v>
      </c>
      <c r="J65" s="10" t="s">
        <v>38</v>
      </c>
      <c r="K65" s="5" t="s">
        <v>124</v>
      </c>
      <c r="L65" s="5" t="s">
        <v>40</v>
      </c>
      <c r="M65" s="11">
        <v>0.01</v>
      </c>
      <c r="N65" s="5" t="e">
        <f>IF(AND(M65&gt;#REF!,Cartera!O65="Guaraníes"),"Rendimiento significativo",IF(AND(M65&gt;#REF!,Cartera!O65="Dólares americanos"),"Rendimiento significativo","Rendimiento no significativo"))</f>
        <v>#REF!</v>
      </c>
      <c r="O65" s="5" t="s">
        <v>41</v>
      </c>
      <c r="P65" s="12">
        <v>114200000</v>
      </c>
      <c r="Q65" s="12">
        <f>IF(O65="Guaraníes",P65,P65*#REF!)</f>
        <v>114200000</v>
      </c>
      <c r="R65" s="12" t="e">
        <f>IF(O65="Guaraníes",P65/#REF!,P65)</f>
        <v>#REF!</v>
      </c>
      <c r="S65" s="5" t="s">
        <v>42</v>
      </c>
      <c r="AC65" s="5" t="str">
        <f t="shared" si="5"/>
        <v>Acciones</v>
      </c>
      <c r="AD65" s="5" t="s">
        <v>43</v>
      </c>
      <c r="AE65" s="5">
        <f t="shared" si="3"/>
        <v>0</v>
      </c>
      <c r="AF65" s="5">
        <f t="shared" si="4"/>
        <v>0</v>
      </c>
    </row>
    <row r="66" s="5" customFormat="1" ht="13">
      <c r="A66" s="5" t="s">
        <v>44</v>
      </c>
      <c r="B66" s="5" t="s">
        <v>44</v>
      </c>
      <c r="C66" s="5" t="s">
        <v>116</v>
      </c>
      <c r="D66" s="5" t="s">
        <v>21</v>
      </c>
      <c r="E66" s="5" t="s">
        <v>44</v>
      </c>
      <c r="F66" s="5" t="s">
        <v>68</v>
      </c>
      <c r="G66" s="5" t="s">
        <v>62</v>
      </c>
      <c r="H66" s="9" t="s">
        <v>131</v>
      </c>
      <c r="I66" s="10"/>
      <c r="J66" s="10">
        <v>42955</v>
      </c>
      <c r="K66" s="5" t="s">
        <v>118</v>
      </c>
      <c r="L66" s="5" t="s">
        <v>58</v>
      </c>
      <c r="M66" s="11">
        <v>0.070000000000000007</v>
      </c>
      <c r="N66" s="5" t="e">
        <f>IF(AND(M66&gt;#REF!,Cartera!O66="Guaraníes"),"Rendimiento significativo",IF(AND(M66&gt;#REF!,Cartera!O66="Dólares americanos"),"Rendimiento significativo","Rendimiento no significativo"))</f>
        <v>#REF!</v>
      </c>
      <c r="O66" s="5" t="s">
        <v>51</v>
      </c>
      <c r="P66" s="13">
        <v>56.095890000000004</v>
      </c>
      <c r="Q66" s="12" t="e">
        <f>IF(O66="Guaraníes",P66,P66*#REF!)</f>
        <v>#REF!</v>
      </c>
      <c r="R66" s="12">
        <f>IF(O66="Guaraníes",P66/#REF!,P66)</f>
        <v>56.095890000000004</v>
      </c>
      <c r="S66" s="5" t="s">
        <v>52</v>
      </c>
      <c r="T66" s="5">
        <v>8</v>
      </c>
      <c r="W66" s="5" t="s">
        <v>65</v>
      </c>
      <c r="X66" s="5">
        <v>0</v>
      </c>
      <c r="Y66" s="5">
        <v>0</v>
      </c>
      <c r="Z66" s="5">
        <v>18.698630000000001</v>
      </c>
      <c r="AA66" s="5">
        <v>3</v>
      </c>
      <c r="AB66" s="5">
        <v>56.095889999999997</v>
      </c>
      <c r="AC66" s="5" t="str">
        <f t="shared" si="5"/>
        <v>Bonos</v>
      </c>
      <c r="AD66" s="5" t="s">
        <v>43</v>
      </c>
      <c r="AE66" s="5">
        <f t="shared" si="3"/>
        <v>8</v>
      </c>
      <c r="AF66" s="5">
        <f t="shared" si="4"/>
        <v>2017</v>
      </c>
    </row>
    <row r="67" s="5" customFormat="1" ht="13">
      <c r="A67" s="5" t="s">
        <v>44</v>
      </c>
      <c r="B67" s="5" t="s">
        <v>44</v>
      </c>
      <c r="C67" s="5" t="s">
        <v>116</v>
      </c>
      <c r="D67" s="5" t="s">
        <v>21</v>
      </c>
      <c r="E67" s="5" t="s">
        <v>44</v>
      </c>
      <c r="F67" s="5" t="s">
        <v>68</v>
      </c>
      <c r="G67" s="5" t="s">
        <v>62</v>
      </c>
      <c r="H67" s="9" t="s">
        <v>131</v>
      </c>
      <c r="I67" s="10"/>
      <c r="J67" s="10">
        <v>43046</v>
      </c>
      <c r="K67" s="5" t="s">
        <v>118</v>
      </c>
      <c r="L67" s="5" t="s">
        <v>58</v>
      </c>
      <c r="M67" s="11">
        <v>0.070000000000000007</v>
      </c>
      <c r="N67" s="5" t="e">
        <f>IF(AND(M67&gt;#REF!,Cartera!O67="Guaraníes"),"Rendimiento significativo",IF(AND(M67&gt;#REF!,Cartera!O67="Dólares americanos"),"Rendimiento significativo","Rendimiento no significativo"))</f>
        <v>#REF!</v>
      </c>
      <c r="O67" s="5" t="s">
        <v>51</v>
      </c>
      <c r="P67" s="13">
        <v>56.095890000000004</v>
      </c>
      <c r="Q67" s="12" t="e">
        <f>IF(O67="Guaraníes",P67,P67*#REF!)</f>
        <v>#REF!</v>
      </c>
      <c r="R67" s="12">
        <f>IF(O67="Guaraníes",P67/#REF!,P67)</f>
        <v>56.095890000000004</v>
      </c>
      <c r="S67" s="5" t="s">
        <v>52</v>
      </c>
      <c r="T67" s="5">
        <v>8</v>
      </c>
      <c r="W67" s="5" t="s">
        <v>65</v>
      </c>
      <c r="X67" s="5">
        <v>0</v>
      </c>
      <c r="Y67" s="5">
        <v>0</v>
      </c>
      <c r="Z67" s="5">
        <v>18.698630000000001</v>
      </c>
      <c r="AA67" s="5">
        <v>3</v>
      </c>
      <c r="AB67" s="5">
        <v>56.095889999999997</v>
      </c>
      <c r="AC67" s="5" t="str">
        <f t="shared" si="5"/>
        <v>Bonos</v>
      </c>
      <c r="AD67" s="5" t="s">
        <v>43</v>
      </c>
      <c r="AE67" s="5">
        <f t="shared" si="3"/>
        <v>11</v>
      </c>
      <c r="AF67" s="5">
        <f t="shared" si="4"/>
        <v>2017</v>
      </c>
    </row>
    <row r="68" s="5" customFormat="1" ht="13">
      <c r="A68" s="5" t="s">
        <v>44</v>
      </c>
      <c r="B68" s="5" t="s">
        <v>44</v>
      </c>
      <c r="C68" s="5" t="s">
        <v>125</v>
      </c>
      <c r="D68" s="5" t="s">
        <v>21</v>
      </c>
      <c r="E68" s="5" t="s">
        <v>44</v>
      </c>
      <c r="F68" s="5" t="s">
        <v>68</v>
      </c>
      <c r="G68" s="5" t="s">
        <v>62</v>
      </c>
      <c r="H68" s="9" t="s">
        <v>126</v>
      </c>
      <c r="I68" s="10"/>
      <c r="J68" s="10">
        <v>43052</v>
      </c>
      <c r="K68" s="5" t="s">
        <v>127</v>
      </c>
      <c r="L68" s="5" t="s">
        <v>58</v>
      </c>
      <c r="M68" s="11">
        <v>0.067500000000000004</v>
      </c>
      <c r="N68" s="5" t="e">
        <f>IF(AND(M68&gt;#REF!,Cartera!O68="Guaraníes"),"Rendimiento significativo",IF(AND(M68&gt;#REF!,Cartera!O68="Dólares americanos"),"Rendimiento significativo","Rendimiento no significativo"))</f>
        <v>#REF!</v>
      </c>
      <c r="O68" s="5" t="s">
        <v>51</v>
      </c>
      <c r="P68" s="13">
        <v>1338.9041199999999</v>
      </c>
      <c r="Q68" s="12" t="e">
        <f>IF(O68="Guaraníes",P68,P68*#REF!)</f>
        <v>#REF!</v>
      </c>
      <c r="R68" s="12">
        <f>IF(O68="Guaraníes",P68/#REF!,P68)</f>
        <v>1338.9041199999999</v>
      </c>
      <c r="S68" s="5" t="s">
        <v>52</v>
      </c>
      <c r="T68" s="5">
        <v>8</v>
      </c>
      <c r="W68" s="5" t="s">
        <v>65</v>
      </c>
      <c r="X68" s="5">
        <v>0</v>
      </c>
      <c r="Y68" s="5">
        <v>0</v>
      </c>
      <c r="Z68" s="5">
        <v>33.472602999999999</v>
      </c>
      <c r="AA68" s="5">
        <v>40</v>
      </c>
      <c r="AB68" s="5">
        <v>1338.9041199999999</v>
      </c>
      <c r="AC68" s="5" t="str">
        <f t="shared" si="5"/>
        <v>Bonos</v>
      </c>
      <c r="AD68" s="5" t="s">
        <v>43</v>
      </c>
      <c r="AE68" s="5">
        <f t="shared" si="3"/>
        <v>11</v>
      </c>
      <c r="AF68" s="5">
        <f t="shared" si="4"/>
        <v>2017</v>
      </c>
    </row>
    <row r="69" s="5" customFormat="1" ht="13">
      <c r="A69" s="5" t="s">
        <v>44</v>
      </c>
      <c r="B69" s="5" t="s">
        <v>44</v>
      </c>
      <c r="C69" s="5" t="s">
        <v>122</v>
      </c>
      <c r="D69" s="5" t="s">
        <v>21</v>
      </c>
      <c r="E69" s="5" t="s">
        <v>44</v>
      </c>
      <c r="F69" s="5" t="s">
        <v>61</v>
      </c>
      <c r="G69" s="5" t="s">
        <v>62</v>
      </c>
      <c r="H69" s="9" t="s">
        <v>128</v>
      </c>
      <c r="I69" s="10"/>
      <c r="J69" s="10">
        <v>43091</v>
      </c>
      <c r="K69" s="5" t="s">
        <v>124</v>
      </c>
      <c r="L69" s="5" t="s">
        <v>50</v>
      </c>
      <c r="M69" s="11">
        <v>0.14499999999999999</v>
      </c>
      <c r="N69" s="5" t="e">
        <f>IF(AND(M69&gt;#REF!,Cartera!O69="Guaraníes"),"Rendimiento significativo",IF(AND(M69&gt;#REF!,Cartera!O69="Dólares americanos"),"Rendimiento significativo","Rendimiento no significativo"))</f>
        <v>#REF!</v>
      </c>
      <c r="O69" s="5" t="s">
        <v>41</v>
      </c>
      <c r="P69" s="12">
        <v>7269863.0137</v>
      </c>
      <c r="Q69" s="12">
        <f>IF(O69="Guaraníes",P69,P69*#REF!)</f>
        <v>7269863.0137</v>
      </c>
      <c r="R69" s="12" t="e">
        <f>IF(O69="Guaraníes",P69/#REF!,P69)</f>
        <v>#REF!</v>
      </c>
      <c r="S69" s="5" t="s">
        <v>52</v>
      </c>
      <c r="T69" s="5">
        <v>8</v>
      </c>
      <c r="W69" s="5" t="s">
        <v>65</v>
      </c>
      <c r="X69" s="5">
        <v>0</v>
      </c>
      <c r="Y69" s="5">
        <v>0</v>
      </c>
      <c r="Z69" s="5">
        <v>72698.630137</v>
      </c>
      <c r="AA69" s="5">
        <v>100</v>
      </c>
      <c r="AB69" s="5">
        <v>7269863.0137</v>
      </c>
      <c r="AC69" s="5" t="str">
        <f t="shared" si="5"/>
        <v>Bonos</v>
      </c>
      <c r="AD69" s="5" t="s">
        <v>43</v>
      </c>
      <c r="AE69" s="5">
        <f t="shared" si="3"/>
        <v>12</v>
      </c>
      <c r="AF69" s="5">
        <f t="shared" si="4"/>
        <v>2017</v>
      </c>
    </row>
    <row r="70" s="5" customFormat="1" ht="13">
      <c r="A70" s="5" t="s">
        <v>44</v>
      </c>
      <c r="B70" s="5" t="s">
        <v>44</v>
      </c>
      <c r="C70" s="5" t="s">
        <v>122</v>
      </c>
      <c r="D70" s="5" t="s">
        <v>21</v>
      </c>
      <c r="E70" s="5" t="s">
        <v>44</v>
      </c>
      <c r="F70" s="5" t="s">
        <v>61</v>
      </c>
      <c r="G70" s="5" t="s">
        <v>62</v>
      </c>
      <c r="H70" s="9" t="s">
        <v>123</v>
      </c>
      <c r="I70" s="10"/>
      <c r="J70" s="10">
        <v>43105</v>
      </c>
      <c r="K70" s="5" t="s">
        <v>124</v>
      </c>
      <c r="L70" s="5" t="s">
        <v>58</v>
      </c>
      <c r="M70" s="11">
        <v>0.13</v>
      </c>
      <c r="N70" s="5" t="e">
        <f>IF(AND(M70&gt;#REF!,Cartera!O70="Guaraníes"),"Rendimiento significativo",IF(AND(M70&gt;#REF!,Cartera!O70="Dólares americanos"),"Rendimiento significativo","Rendimiento no significativo"))</f>
        <v>#REF!</v>
      </c>
      <c r="O70" s="5" t="s">
        <v>41</v>
      </c>
      <c r="P70" s="12">
        <v>3241095.8903999999</v>
      </c>
      <c r="Q70" s="12">
        <f>IF(O70="Guaraníes",P70,P70*#REF!)</f>
        <v>3241095.8903999999</v>
      </c>
      <c r="R70" s="12" t="e">
        <f>IF(O70="Guaraníes",P70/#REF!,P70)</f>
        <v>#REF!</v>
      </c>
      <c r="S70" s="5" t="s">
        <v>52</v>
      </c>
      <c r="T70" s="5">
        <v>8</v>
      </c>
      <c r="W70" s="5" t="s">
        <v>65</v>
      </c>
      <c r="X70" s="5">
        <v>0</v>
      </c>
      <c r="Y70" s="5">
        <v>0</v>
      </c>
      <c r="Z70" s="5">
        <v>64821.917807999998</v>
      </c>
      <c r="AA70" s="5">
        <v>50</v>
      </c>
      <c r="AB70" s="5">
        <v>3241095.8903999999</v>
      </c>
      <c r="AC70" s="5" t="str">
        <f t="shared" si="5"/>
        <v>Bonos</v>
      </c>
      <c r="AD70" s="5" t="s">
        <v>43</v>
      </c>
      <c r="AE70" s="5">
        <f t="shared" si="3"/>
        <v>1</v>
      </c>
      <c r="AF70" s="5">
        <f t="shared" si="4"/>
        <v>2018</v>
      </c>
    </row>
    <row r="71" s="5" customFormat="1" ht="13">
      <c r="A71" s="5" t="s">
        <v>44</v>
      </c>
      <c r="B71" s="5" t="s">
        <v>44</v>
      </c>
      <c r="C71" s="5" t="s">
        <v>122</v>
      </c>
      <c r="D71" s="5" t="s">
        <v>21</v>
      </c>
      <c r="E71" s="5" t="s">
        <v>44</v>
      </c>
      <c r="F71" s="5" t="s">
        <v>61</v>
      </c>
      <c r="G71" s="5" t="s">
        <v>62</v>
      </c>
      <c r="H71" s="9" t="s">
        <v>129</v>
      </c>
      <c r="I71" s="10"/>
      <c r="J71" s="10">
        <v>43119</v>
      </c>
      <c r="K71" s="5" t="s">
        <v>124</v>
      </c>
      <c r="L71" s="5" t="s">
        <v>58</v>
      </c>
      <c r="M71" s="11">
        <v>0.12</v>
      </c>
      <c r="N71" s="5" t="e">
        <f>IF(AND(M71&gt;#REF!,Cartera!O71="Guaraníes"),"Rendimiento significativo",IF(AND(M71&gt;#REF!,Cartera!O71="Dólares americanos"),"Rendimiento significativo","Rendimiento no significativo"))</f>
        <v>#REF!</v>
      </c>
      <c r="O71" s="5" t="s">
        <v>41</v>
      </c>
      <c r="P71" s="12">
        <v>2991780.8218999999</v>
      </c>
      <c r="Q71" s="12">
        <f>IF(O71="Guaraníes",P71,P71*#REF!)</f>
        <v>2991780.8218999999</v>
      </c>
      <c r="R71" s="12" t="e">
        <f>IF(O71="Guaraníes",P71/#REF!,P71)</f>
        <v>#REF!</v>
      </c>
      <c r="S71" s="5" t="s">
        <v>52</v>
      </c>
      <c r="T71" s="5">
        <v>8</v>
      </c>
      <c r="W71" s="5" t="s">
        <v>65</v>
      </c>
      <c r="X71" s="5">
        <v>0</v>
      </c>
      <c r="Y71" s="5">
        <v>0</v>
      </c>
      <c r="Z71" s="5">
        <v>59835.616437999997</v>
      </c>
      <c r="AA71" s="5">
        <v>50</v>
      </c>
      <c r="AB71" s="5">
        <v>2991780.8218999999</v>
      </c>
      <c r="AC71" s="5" t="str">
        <f t="shared" si="5"/>
        <v>Bonos</v>
      </c>
      <c r="AD71" s="5" t="s">
        <v>43</v>
      </c>
      <c r="AE71" s="5">
        <f t="shared" si="3"/>
        <v>1</v>
      </c>
      <c r="AF71" s="5">
        <f t="shared" si="4"/>
        <v>2018</v>
      </c>
    </row>
    <row r="72" s="5" customFormat="1" ht="13">
      <c r="A72" s="5" t="s">
        <v>44</v>
      </c>
      <c r="B72" s="5" t="s">
        <v>44</v>
      </c>
      <c r="C72" s="5" t="s">
        <v>116</v>
      </c>
      <c r="D72" s="5" t="s">
        <v>21</v>
      </c>
      <c r="E72" s="5" t="s">
        <v>44</v>
      </c>
      <c r="F72" s="5" t="s">
        <v>68</v>
      </c>
      <c r="G72" s="5" t="s">
        <v>62</v>
      </c>
      <c r="H72" s="9" t="s">
        <v>131</v>
      </c>
      <c r="I72" s="10"/>
      <c r="J72" s="10">
        <v>43137</v>
      </c>
      <c r="K72" s="5" t="s">
        <v>118</v>
      </c>
      <c r="L72" s="5" t="s">
        <v>58</v>
      </c>
      <c r="M72" s="11">
        <v>0.070000000000000007</v>
      </c>
      <c r="N72" s="5" t="e">
        <f>IF(AND(M72&gt;#REF!,Cartera!O72="Guaraníes"),"Rendimiento significativo",IF(AND(M72&gt;#REF!,Cartera!O72="Dólares americanos"),"Rendimiento significativo","Rendimiento no significativo"))</f>
        <v>#REF!</v>
      </c>
      <c r="O72" s="5" t="s">
        <v>51</v>
      </c>
      <c r="P72" s="13">
        <v>56.095890000000004</v>
      </c>
      <c r="Q72" s="12" t="e">
        <f>IF(O72="Guaraníes",P72,P72*#REF!)</f>
        <v>#REF!</v>
      </c>
      <c r="R72" s="12">
        <f>IF(O72="Guaraníes",P72/#REF!,P72)</f>
        <v>56.095890000000004</v>
      </c>
      <c r="S72" s="5" t="s">
        <v>52</v>
      </c>
      <c r="T72" s="5">
        <v>8</v>
      </c>
      <c r="W72" s="5" t="s">
        <v>65</v>
      </c>
      <c r="X72" s="5">
        <v>0</v>
      </c>
      <c r="Y72" s="5">
        <v>0</v>
      </c>
      <c r="Z72" s="5">
        <v>18.698630000000001</v>
      </c>
      <c r="AA72" s="5">
        <v>3</v>
      </c>
      <c r="AB72" s="5">
        <v>56.095889999999997</v>
      </c>
      <c r="AC72" s="5" t="str">
        <f t="shared" si="5"/>
        <v>Bonos</v>
      </c>
      <c r="AD72" s="5" t="s">
        <v>43</v>
      </c>
      <c r="AE72" s="5">
        <f t="shared" si="3"/>
        <v>2</v>
      </c>
      <c r="AF72" s="5">
        <f t="shared" si="4"/>
        <v>2018</v>
      </c>
    </row>
    <row r="73" s="5" customFormat="1" ht="13">
      <c r="A73" s="5">
        <v>12303</v>
      </c>
      <c r="B73" s="5" t="s">
        <v>32</v>
      </c>
      <c r="C73" s="5" t="s">
        <v>122</v>
      </c>
      <c r="D73" s="5" t="s">
        <v>20</v>
      </c>
      <c r="E73" s="5" t="s">
        <v>34</v>
      </c>
      <c r="F73" s="5" t="s">
        <v>61</v>
      </c>
      <c r="H73" s="9" t="s">
        <v>130</v>
      </c>
      <c r="I73" s="10">
        <v>43222</v>
      </c>
      <c r="J73" s="10" t="s">
        <v>38</v>
      </c>
      <c r="K73" s="5" t="s">
        <v>124</v>
      </c>
      <c r="L73" s="5" t="s">
        <v>40</v>
      </c>
      <c r="M73" s="11">
        <v>0.01</v>
      </c>
      <c r="N73" s="5" t="e">
        <f>IF(AND(M73&gt;#REF!,Cartera!O73="Guaraníes"),"Rendimiento significativo",IF(AND(M73&gt;#REF!,Cartera!O73="Dólares americanos"),"Rendimiento significativo","Rendimiento no significativo"))</f>
        <v>#REF!</v>
      </c>
      <c r="O73" s="5" t="s">
        <v>41</v>
      </c>
      <c r="P73" s="12">
        <v>10100000</v>
      </c>
      <c r="Q73" s="12">
        <f>IF(O73="Guaraníes",P73,P73*#REF!)</f>
        <v>10100000</v>
      </c>
      <c r="R73" s="12" t="e">
        <f>IF(O73="Guaraníes",P73/#REF!,P73)</f>
        <v>#REF!</v>
      </c>
      <c r="S73" s="5" t="s">
        <v>42</v>
      </c>
      <c r="AC73" s="5" t="str">
        <f t="shared" si="5"/>
        <v>Acciones</v>
      </c>
      <c r="AD73" s="5" t="s">
        <v>43</v>
      </c>
      <c r="AE73" s="5">
        <f t="shared" si="3"/>
        <v>0</v>
      </c>
      <c r="AF73" s="5">
        <f t="shared" si="4"/>
        <v>0</v>
      </c>
    </row>
    <row r="74" s="5" customFormat="1" ht="13">
      <c r="A74" s="5" t="s">
        <v>44</v>
      </c>
      <c r="B74" s="5" t="s">
        <v>44</v>
      </c>
      <c r="C74" s="5" t="s">
        <v>116</v>
      </c>
      <c r="D74" s="5" t="s">
        <v>21</v>
      </c>
      <c r="E74" s="5" t="s">
        <v>44</v>
      </c>
      <c r="F74" s="5" t="s">
        <v>68</v>
      </c>
      <c r="G74" s="5" t="s">
        <v>62</v>
      </c>
      <c r="H74" s="9" t="s">
        <v>131</v>
      </c>
      <c r="I74" s="10"/>
      <c r="J74" s="10">
        <v>43228</v>
      </c>
      <c r="K74" s="5" t="s">
        <v>118</v>
      </c>
      <c r="L74" s="5" t="s">
        <v>58</v>
      </c>
      <c r="M74" s="11">
        <v>0.070000000000000007</v>
      </c>
      <c r="N74" s="5" t="e">
        <f>IF(AND(M74&gt;#REF!,Cartera!O74="Guaraníes"),"Rendimiento significativo",IF(AND(M74&gt;#REF!,Cartera!O74="Dólares americanos"),"Rendimiento significativo","Rendimiento no significativo"))</f>
        <v>#REF!</v>
      </c>
      <c r="O74" s="5" t="s">
        <v>51</v>
      </c>
      <c r="P74" s="13">
        <v>56.095890000000004</v>
      </c>
      <c r="Q74" s="12" t="e">
        <f>IF(O74="Guaraníes",P74,P74*#REF!)</f>
        <v>#REF!</v>
      </c>
      <c r="R74" s="12">
        <f>IF(O74="Guaraníes",P74/#REF!,P74)</f>
        <v>56.095890000000004</v>
      </c>
      <c r="S74" s="5" t="s">
        <v>52</v>
      </c>
      <c r="T74" s="5">
        <v>8</v>
      </c>
      <c r="W74" s="5" t="s">
        <v>65</v>
      </c>
      <c r="X74" s="5">
        <v>0</v>
      </c>
      <c r="Y74" s="5">
        <v>0</v>
      </c>
      <c r="Z74" s="5">
        <v>18.698630000000001</v>
      </c>
      <c r="AA74" s="5">
        <v>3</v>
      </c>
      <c r="AB74" s="5">
        <v>56.095889999999997</v>
      </c>
      <c r="AC74" s="5" t="str">
        <f t="shared" si="5"/>
        <v>Bonos</v>
      </c>
      <c r="AD74" s="5" t="s">
        <v>43</v>
      </c>
      <c r="AE74" s="5">
        <f t="shared" si="3"/>
        <v>5</v>
      </c>
      <c r="AF74" s="5">
        <f t="shared" si="4"/>
        <v>2018</v>
      </c>
    </row>
    <row r="75" s="5" customFormat="1" ht="13">
      <c r="A75" s="5" t="s">
        <v>44</v>
      </c>
      <c r="B75" s="5" t="s">
        <v>44</v>
      </c>
      <c r="C75" s="5" t="s">
        <v>125</v>
      </c>
      <c r="D75" s="5" t="s">
        <v>21</v>
      </c>
      <c r="E75" s="5" t="s">
        <v>44</v>
      </c>
      <c r="F75" s="5" t="s">
        <v>68</v>
      </c>
      <c r="G75" s="5" t="s">
        <v>62</v>
      </c>
      <c r="H75" s="9" t="s">
        <v>126</v>
      </c>
      <c r="I75" s="10"/>
      <c r="J75" s="10">
        <v>43231</v>
      </c>
      <c r="K75" s="5" t="s">
        <v>127</v>
      </c>
      <c r="L75" s="5" t="s">
        <v>58</v>
      </c>
      <c r="M75" s="11">
        <v>0.067500000000000004</v>
      </c>
      <c r="N75" s="5" t="e">
        <f>IF(AND(M75&gt;#REF!,Cartera!O75="Guaraníes"),"Rendimiento significativo",IF(AND(M75&gt;#REF!,Cartera!O75="Dólares americanos"),"Rendimiento significativo","Rendimiento no significativo"))</f>
        <v>#REF!</v>
      </c>
      <c r="O75" s="5" t="s">
        <v>51</v>
      </c>
      <c r="P75" s="13">
        <v>1324.1095999999998</v>
      </c>
      <c r="Q75" s="12" t="e">
        <f>IF(O75="Guaraníes",P75,P75*#REF!)</f>
        <v>#REF!</v>
      </c>
      <c r="R75" s="12">
        <f>IF(O75="Guaraníes",P75/#REF!,P75)</f>
        <v>1324.1095999999998</v>
      </c>
      <c r="S75" s="5" t="s">
        <v>52</v>
      </c>
      <c r="T75" s="5">
        <v>8</v>
      </c>
      <c r="W75" s="5" t="s">
        <v>65</v>
      </c>
      <c r="X75" s="5">
        <v>0</v>
      </c>
      <c r="Y75" s="5">
        <v>0</v>
      </c>
      <c r="Z75" s="5">
        <v>33.102739999999997</v>
      </c>
      <c r="AA75" s="5">
        <v>40</v>
      </c>
      <c r="AB75" s="5">
        <v>1324.1096</v>
      </c>
      <c r="AC75" s="5" t="str">
        <f t="shared" si="5"/>
        <v>Bonos</v>
      </c>
      <c r="AD75" s="5" t="s">
        <v>43</v>
      </c>
      <c r="AE75" s="5">
        <f t="shared" si="3"/>
        <v>5</v>
      </c>
      <c r="AF75" s="5">
        <f t="shared" si="4"/>
        <v>2018</v>
      </c>
    </row>
    <row r="76" s="5" customFormat="1" ht="13">
      <c r="A76" s="5" t="s">
        <v>44</v>
      </c>
      <c r="B76" s="5" t="s">
        <v>44</v>
      </c>
      <c r="C76" s="5" t="s">
        <v>122</v>
      </c>
      <c r="D76" s="5" t="s">
        <v>21</v>
      </c>
      <c r="E76" s="5" t="s">
        <v>44</v>
      </c>
      <c r="F76" s="5" t="s">
        <v>61</v>
      </c>
      <c r="G76" s="5" t="s">
        <v>62</v>
      </c>
      <c r="H76" s="9" t="s">
        <v>128</v>
      </c>
      <c r="I76" s="10"/>
      <c r="J76" s="10">
        <v>43273</v>
      </c>
      <c r="K76" s="5" t="s">
        <v>124</v>
      </c>
      <c r="L76" s="5" t="s">
        <v>50</v>
      </c>
      <c r="M76" s="11">
        <v>0.14499999999999999</v>
      </c>
      <c r="N76" s="5" t="e">
        <f>IF(AND(M76&gt;#REF!,Cartera!O76="Guaraníes"),"Rendimiento significativo",IF(AND(M76&gt;#REF!,Cartera!O76="Dólares americanos"),"Rendimiento significativo","Rendimiento no significativo"))</f>
        <v>#REF!</v>
      </c>
      <c r="O76" s="5" t="s">
        <v>41</v>
      </c>
      <c r="P76" s="12">
        <v>7230136.9863</v>
      </c>
      <c r="Q76" s="12">
        <f>IF(O76="Guaraníes",P76,P76*#REF!)</f>
        <v>7230136.9863</v>
      </c>
      <c r="R76" s="12" t="e">
        <f>IF(O76="Guaraníes",P76/#REF!,P76)</f>
        <v>#REF!</v>
      </c>
      <c r="S76" s="5" t="s">
        <v>52</v>
      </c>
      <c r="T76" s="5">
        <v>8</v>
      </c>
      <c r="W76" s="5" t="s">
        <v>65</v>
      </c>
      <c r="X76" s="5">
        <v>0</v>
      </c>
      <c r="Y76" s="5">
        <v>0</v>
      </c>
      <c r="Z76" s="5">
        <v>72301.369863</v>
      </c>
      <c r="AA76" s="5">
        <v>100</v>
      </c>
      <c r="AB76" s="5">
        <v>7230136.9863</v>
      </c>
      <c r="AC76" s="5" t="str">
        <f t="shared" si="5"/>
        <v>Bonos</v>
      </c>
      <c r="AD76" s="5" t="s">
        <v>43</v>
      </c>
      <c r="AE76" s="5">
        <f t="shared" si="3"/>
        <v>6</v>
      </c>
      <c r="AF76" s="5">
        <f t="shared" si="4"/>
        <v>2018</v>
      </c>
    </row>
    <row r="77" s="5" customFormat="1" ht="13">
      <c r="A77" s="5" t="s">
        <v>44</v>
      </c>
      <c r="B77" s="5" t="s">
        <v>44</v>
      </c>
      <c r="C77" s="5" t="s">
        <v>122</v>
      </c>
      <c r="D77" s="5" t="s">
        <v>21</v>
      </c>
      <c r="E77" s="5" t="s">
        <v>44</v>
      </c>
      <c r="F77" s="5" t="s">
        <v>61</v>
      </c>
      <c r="G77" s="5" t="s">
        <v>62</v>
      </c>
      <c r="H77" s="9" t="s">
        <v>123</v>
      </c>
      <c r="I77" s="10"/>
      <c r="J77" s="10">
        <v>43287</v>
      </c>
      <c r="K77" s="5" t="s">
        <v>124</v>
      </c>
      <c r="L77" s="5" t="s">
        <v>58</v>
      </c>
      <c r="M77" s="11">
        <v>0.13</v>
      </c>
      <c r="N77" s="5" t="e">
        <f>IF(AND(M77&gt;#REF!,Cartera!O77="Guaraníes"),"Rendimiento significativo",IF(AND(M77&gt;#REF!,Cartera!O77="Dólares americanos"),"Rendimiento significativo","Rendimiento no significativo"))</f>
        <v>#REF!</v>
      </c>
      <c r="O77" s="5" t="s">
        <v>41</v>
      </c>
      <c r="P77" s="12">
        <v>3241095.8903999999</v>
      </c>
      <c r="Q77" s="12">
        <f>IF(O77="Guaraníes",P77,P77*#REF!)</f>
        <v>3241095.8903999999</v>
      </c>
      <c r="R77" s="12" t="e">
        <f>IF(O77="Guaraníes",P77/#REF!,P77)</f>
        <v>#REF!</v>
      </c>
      <c r="S77" s="5" t="s">
        <v>52</v>
      </c>
      <c r="T77" s="5">
        <v>8</v>
      </c>
      <c r="W77" s="5" t="s">
        <v>65</v>
      </c>
      <c r="X77" s="5">
        <v>0</v>
      </c>
      <c r="Y77" s="5">
        <v>0</v>
      </c>
      <c r="Z77" s="5">
        <v>64821.917807999998</v>
      </c>
      <c r="AA77" s="5">
        <v>50</v>
      </c>
      <c r="AB77" s="5">
        <v>3241095.8903999999</v>
      </c>
      <c r="AC77" s="5" t="str">
        <f t="shared" si="5"/>
        <v>Bonos</v>
      </c>
      <c r="AD77" s="5" t="s">
        <v>43</v>
      </c>
      <c r="AE77" s="5">
        <f t="shared" ref="AE77:AE140" si="6">IFERROR((MONTH(J77)),0)</f>
        <v>7</v>
      </c>
      <c r="AF77" s="5">
        <f t="shared" ref="AF77:AF140" si="7">IFERROR((YEAR(J77)),0)</f>
        <v>2018</v>
      </c>
    </row>
    <row r="78" s="5" customFormat="1" ht="13">
      <c r="A78" s="5" t="s">
        <v>44</v>
      </c>
      <c r="B78" s="5" t="s">
        <v>44</v>
      </c>
      <c r="C78" s="5" t="s">
        <v>122</v>
      </c>
      <c r="D78" s="5" t="s">
        <v>21</v>
      </c>
      <c r="E78" s="5" t="s">
        <v>44</v>
      </c>
      <c r="F78" s="5" t="s">
        <v>61</v>
      </c>
      <c r="G78" s="5" t="s">
        <v>62</v>
      </c>
      <c r="H78" s="9" t="s">
        <v>129</v>
      </c>
      <c r="I78" s="10"/>
      <c r="J78" s="10">
        <v>43301</v>
      </c>
      <c r="K78" s="5" t="s">
        <v>124</v>
      </c>
      <c r="L78" s="5" t="s">
        <v>58</v>
      </c>
      <c r="M78" s="11">
        <v>0.12</v>
      </c>
      <c r="N78" s="5" t="e">
        <f>IF(AND(M78&gt;#REF!,Cartera!O78="Guaraníes"),"Rendimiento significativo",IF(AND(M78&gt;#REF!,Cartera!O78="Dólares americanos"),"Rendimiento significativo","Rendimiento no significativo"))</f>
        <v>#REF!</v>
      </c>
      <c r="O78" s="5" t="s">
        <v>41</v>
      </c>
      <c r="P78" s="12">
        <v>2991780.8218999999</v>
      </c>
      <c r="Q78" s="12">
        <f>IF(O78="Guaraníes",P78,P78*#REF!)</f>
        <v>2991780.8218999999</v>
      </c>
      <c r="R78" s="12" t="e">
        <f>IF(O78="Guaraníes",P78/#REF!,P78)</f>
        <v>#REF!</v>
      </c>
      <c r="S78" s="5" t="s">
        <v>52</v>
      </c>
      <c r="T78" s="5">
        <v>8</v>
      </c>
      <c r="W78" s="5" t="s">
        <v>65</v>
      </c>
      <c r="X78" s="5">
        <v>0</v>
      </c>
      <c r="Y78" s="5">
        <v>0</v>
      </c>
      <c r="Z78" s="5">
        <v>59835.616437999997</v>
      </c>
      <c r="AA78" s="5">
        <v>50</v>
      </c>
      <c r="AB78" s="5">
        <v>2991780.8218999999</v>
      </c>
      <c r="AC78" s="5" t="str">
        <f t="shared" si="5"/>
        <v>Bonos</v>
      </c>
      <c r="AD78" s="5" t="s">
        <v>43</v>
      </c>
      <c r="AE78" s="5">
        <f t="shared" si="6"/>
        <v>7</v>
      </c>
      <c r="AF78" s="5">
        <f t="shared" si="7"/>
        <v>2018</v>
      </c>
    </row>
    <row r="79" s="5" customFormat="1" ht="13">
      <c r="A79" s="5" t="s">
        <v>44</v>
      </c>
      <c r="B79" s="5" t="s">
        <v>44</v>
      </c>
      <c r="C79" s="5" t="s">
        <v>116</v>
      </c>
      <c r="D79" s="5" t="s">
        <v>21</v>
      </c>
      <c r="E79" s="5" t="s">
        <v>44</v>
      </c>
      <c r="F79" s="5" t="s">
        <v>68</v>
      </c>
      <c r="G79" s="5" t="s">
        <v>62</v>
      </c>
      <c r="H79" s="9" t="s">
        <v>131</v>
      </c>
      <c r="I79" s="10"/>
      <c r="J79" s="10">
        <v>43319</v>
      </c>
      <c r="K79" s="5" t="s">
        <v>118</v>
      </c>
      <c r="L79" s="5" t="s">
        <v>58</v>
      </c>
      <c r="M79" s="11">
        <v>0.070000000000000007</v>
      </c>
      <c r="N79" s="5" t="e">
        <f>IF(AND(M79&gt;#REF!,Cartera!O79="Guaraníes"),"Rendimiento significativo",IF(AND(M79&gt;#REF!,Cartera!O79="Dólares americanos"),"Rendimiento significativo","Rendimiento no significativo"))</f>
        <v>#REF!</v>
      </c>
      <c r="O79" s="5" t="s">
        <v>51</v>
      </c>
      <c r="P79" s="13">
        <v>56.095890000000004</v>
      </c>
      <c r="Q79" s="12" t="e">
        <f>IF(O79="Guaraníes",P79,P79*#REF!)</f>
        <v>#REF!</v>
      </c>
      <c r="R79" s="12">
        <f>IF(O79="Guaraníes",P79/#REF!,P79)</f>
        <v>56.095890000000004</v>
      </c>
      <c r="S79" s="5" t="s">
        <v>52</v>
      </c>
      <c r="T79" s="5">
        <v>8</v>
      </c>
      <c r="W79" s="5" t="s">
        <v>65</v>
      </c>
      <c r="X79" s="5">
        <v>0</v>
      </c>
      <c r="Y79" s="5">
        <v>0</v>
      </c>
      <c r="Z79" s="5">
        <v>18.698630000000001</v>
      </c>
      <c r="AA79" s="5">
        <v>3</v>
      </c>
      <c r="AB79" s="5">
        <v>56.095889999999997</v>
      </c>
      <c r="AC79" s="5" t="str">
        <f t="shared" si="5"/>
        <v>Bonos</v>
      </c>
      <c r="AD79" s="5" t="s">
        <v>43</v>
      </c>
      <c r="AE79" s="5">
        <f t="shared" si="6"/>
        <v>8</v>
      </c>
      <c r="AF79" s="5">
        <f t="shared" si="7"/>
        <v>2018</v>
      </c>
    </row>
    <row r="80" s="5" customFormat="1" ht="13">
      <c r="A80" s="5" t="s">
        <v>44</v>
      </c>
      <c r="B80" s="5" t="s">
        <v>44</v>
      </c>
      <c r="C80" s="5" t="s">
        <v>116</v>
      </c>
      <c r="D80" s="5" t="s">
        <v>21</v>
      </c>
      <c r="E80" s="5" t="s">
        <v>44</v>
      </c>
      <c r="F80" s="5" t="s">
        <v>68</v>
      </c>
      <c r="G80" s="5" t="s">
        <v>62</v>
      </c>
      <c r="H80" s="9" t="s">
        <v>131</v>
      </c>
      <c r="I80" s="10"/>
      <c r="J80" s="10">
        <v>43410</v>
      </c>
      <c r="K80" s="5" t="s">
        <v>118</v>
      </c>
      <c r="L80" s="5" t="s">
        <v>58</v>
      </c>
      <c r="M80" s="11">
        <v>0.070000000000000007</v>
      </c>
      <c r="N80" s="5" t="e">
        <f>IF(AND(M80&gt;#REF!,Cartera!O80="Guaraníes"),"Rendimiento significativo",IF(AND(M80&gt;#REF!,Cartera!O80="Dólares americanos"),"Rendimiento significativo","Rendimiento no significativo"))</f>
        <v>#REF!</v>
      </c>
      <c r="O80" s="5" t="s">
        <v>51</v>
      </c>
      <c r="P80" s="13">
        <v>56.095890000000004</v>
      </c>
      <c r="Q80" s="12" t="e">
        <f>IF(O80="Guaraníes",P80,P80*#REF!)</f>
        <v>#REF!</v>
      </c>
      <c r="R80" s="12">
        <f>IF(O80="Guaraníes",P80/#REF!,P80)</f>
        <v>56.095890000000004</v>
      </c>
      <c r="S80" s="5" t="s">
        <v>52</v>
      </c>
      <c r="T80" s="5">
        <v>8</v>
      </c>
      <c r="W80" s="5" t="s">
        <v>65</v>
      </c>
      <c r="X80" s="5">
        <v>0</v>
      </c>
      <c r="Y80" s="5">
        <v>0</v>
      </c>
      <c r="Z80" s="5">
        <v>18.698630000000001</v>
      </c>
      <c r="AA80" s="5">
        <v>3</v>
      </c>
      <c r="AB80" s="5">
        <v>56.095889999999997</v>
      </c>
      <c r="AC80" s="5" t="str">
        <f t="shared" si="5"/>
        <v>Bonos</v>
      </c>
      <c r="AD80" s="5" t="s">
        <v>43</v>
      </c>
      <c r="AE80" s="5">
        <f t="shared" si="6"/>
        <v>11</v>
      </c>
      <c r="AF80" s="5">
        <f t="shared" si="7"/>
        <v>2018</v>
      </c>
    </row>
    <row r="81" s="5" customFormat="1" ht="13">
      <c r="A81" s="5" t="s">
        <v>44</v>
      </c>
      <c r="B81" s="5" t="s">
        <v>44</v>
      </c>
      <c r="C81" s="5" t="s">
        <v>125</v>
      </c>
      <c r="D81" s="5" t="s">
        <v>21</v>
      </c>
      <c r="E81" s="5" t="s">
        <v>44</v>
      </c>
      <c r="F81" s="5" t="s">
        <v>68</v>
      </c>
      <c r="G81" s="5" t="s">
        <v>62</v>
      </c>
      <c r="H81" s="9" t="s">
        <v>126</v>
      </c>
      <c r="I81" s="10"/>
      <c r="J81" s="10">
        <v>43413</v>
      </c>
      <c r="K81" s="5" t="s">
        <v>127</v>
      </c>
      <c r="L81" s="5" t="s">
        <v>58</v>
      </c>
      <c r="M81" s="11">
        <v>0.067500000000000004</v>
      </c>
      <c r="N81" s="5" t="e">
        <f>IF(AND(M81&gt;#REF!,Cartera!O81="Guaraníes"),"Rendimiento significativo",IF(AND(M81&gt;#REF!,Cartera!O81="Dólares americanos"),"Rendimiento significativo","Rendimiento no significativo"))</f>
        <v>#REF!</v>
      </c>
      <c r="O81" s="5" t="s">
        <v>51</v>
      </c>
      <c r="P81" s="13">
        <v>1346.3013599999999</v>
      </c>
      <c r="Q81" s="12" t="e">
        <f>IF(O81="Guaraníes",P81,P81*#REF!)</f>
        <v>#REF!</v>
      </c>
      <c r="R81" s="12">
        <f>IF(O81="Guaraníes",P81/#REF!,P81)</f>
        <v>1346.3013599999999</v>
      </c>
      <c r="S81" s="5" t="s">
        <v>52</v>
      </c>
      <c r="T81" s="5">
        <v>8</v>
      </c>
      <c r="W81" s="5" t="s">
        <v>65</v>
      </c>
      <c r="X81" s="5">
        <v>0</v>
      </c>
      <c r="Y81" s="5">
        <v>0</v>
      </c>
      <c r="Z81" s="5">
        <v>33.657533999999998</v>
      </c>
      <c r="AA81" s="5">
        <v>40</v>
      </c>
      <c r="AB81" s="5">
        <v>1346.3013599999999</v>
      </c>
      <c r="AC81" s="5" t="str">
        <f t="shared" si="5"/>
        <v>Bonos</v>
      </c>
      <c r="AD81" s="5" t="s">
        <v>43</v>
      </c>
      <c r="AE81" s="5">
        <f t="shared" si="6"/>
        <v>11</v>
      </c>
      <c r="AF81" s="5">
        <f t="shared" si="7"/>
        <v>2018</v>
      </c>
    </row>
    <row r="82" s="5" customFormat="1" ht="13">
      <c r="A82" s="5" t="s">
        <v>44</v>
      </c>
      <c r="B82" s="5" t="s">
        <v>44</v>
      </c>
      <c r="C82" s="5" t="s">
        <v>122</v>
      </c>
      <c r="D82" s="5" t="s">
        <v>21</v>
      </c>
      <c r="E82" s="5" t="s">
        <v>44</v>
      </c>
      <c r="F82" s="5" t="s">
        <v>61</v>
      </c>
      <c r="G82" s="5" t="s">
        <v>62</v>
      </c>
      <c r="H82" s="9" t="s">
        <v>128</v>
      </c>
      <c r="I82" s="10"/>
      <c r="J82" s="10">
        <v>43455</v>
      </c>
      <c r="K82" s="5" t="s">
        <v>124</v>
      </c>
      <c r="L82" s="5" t="s">
        <v>50</v>
      </c>
      <c r="M82" s="11">
        <v>0.14499999999999999</v>
      </c>
      <c r="N82" s="5" t="e">
        <f>IF(AND(M82&gt;#REF!,Cartera!O82="Guaraníes"),"Rendimiento significativo",IF(AND(M82&gt;#REF!,Cartera!O82="Dólares americanos"),"Rendimiento significativo","Rendimiento no significativo"))</f>
        <v>#REF!</v>
      </c>
      <c r="O82" s="5" t="s">
        <v>41</v>
      </c>
      <c r="P82" s="12">
        <v>7230136.9863</v>
      </c>
      <c r="Q82" s="12">
        <f>IF(O82="Guaraníes",P82,P82*#REF!)</f>
        <v>7230136.9863</v>
      </c>
      <c r="R82" s="12" t="e">
        <f>IF(O82="Guaraníes",P82/#REF!,P82)</f>
        <v>#REF!</v>
      </c>
      <c r="S82" s="5" t="s">
        <v>52</v>
      </c>
      <c r="T82" s="5">
        <v>8</v>
      </c>
      <c r="W82" s="5" t="s">
        <v>65</v>
      </c>
      <c r="X82" s="5">
        <v>0</v>
      </c>
      <c r="Y82" s="5">
        <v>0</v>
      </c>
      <c r="Z82" s="5">
        <v>72301.369863</v>
      </c>
      <c r="AA82" s="5">
        <v>100</v>
      </c>
      <c r="AB82" s="5">
        <v>7230136.9863</v>
      </c>
      <c r="AC82" s="5" t="str">
        <f t="shared" si="5"/>
        <v>Bonos</v>
      </c>
      <c r="AD82" s="5" t="s">
        <v>43</v>
      </c>
      <c r="AE82" s="5">
        <f t="shared" si="6"/>
        <v>12</v>
      </c>
      <c r="AF82" s="5">
        <f t="shared" si="7"/>
        <v>2018</v>
      </c>
    </row>
    <row r="83" s="5" customFormat="1" ht="13">
      <c r="A83" s="5" t="s">
        <v>44</v>
      </c>
      <c r="B83" s="5" t="s">
        <v>44</v>
      </c>
      <c r="C83" s="5" t="s">
        <v>122</v>
      </c>
      <c r="D83" s="5" t="s">
        <v>21</v>
      </c>
      <c r="E83" s="5" t="s">
        <v>44</v>
      </c>
      <c r="F83" s="5" t="s">
        <v>61</v>
      </c>
      <c r="G83" s="5" t="s">
        <v>62</v>
      </c>
      <c r="H83" s="9" t="s">
        <v>123</v>
      </c>
      <c r="I83" s="10"/>
      <c r="J83" s="10">
        <v>43469</v>
      </c>
      <c r="K83" s="5" t="s">
        <v>124</v>
      </c>
      <c r="L83" s="5" t="s">
        <v>58</v>
      </c>
      <c r="M83" s="11">
        <v>0.13</v>
      </c>
      <c r="N83" s="5" t="e">
        <f>IF(AND(M83&gt;#REF!,Cartera!O83="Guaraníes"),"Rendimiento significativo",IF(AND(M83&gt;#REF!,Cartera!O83="Dólares americanos"),"Rendimiento significativo","Rendimiento no significativo"))</f>
        <v>#REF!</v>
      </c>
      <c r="O83" s="5" t="s">
        <v>41</v>
      </c>
      <c r="P83" s="12">
        <v>3241095.8903999999</v>
      </c>
      <c r="Q83" s="12">
        <f>IF(O83="Guaraníes",P83,P83*#REF!)</f>
        <v>3241095.8903999999</v>
      </c>
      <c r="R83" s="12" t="e">
        <f>IF(O83="Guaraníes",P83/#REF!,P83)</f>
        <v>#REF!</v>
      </c>
      <c r="S83" s="5" t="s">
        <v>52</v>
      </c>
      <c r="T83" s="5">
        <v>8</v>
      </c>
      <c r="W83" s="5" t="s">
        <v>65</v>
      </c>
      <c r="X83" s="5">
        <v>0</v>
      </c>
      <c r="Y83" s="5">
        <v>0</v>
      </c>
      <c r="Z83" s="5">
        <v>64821.917807999998</v>
      </c>
      <c r="AA83" s="5">
        <v>50</v>
      </c>
      <c r="AB83" s="5">
        <v>3241095.8903999999</v>
      </c>
      <c r="AC83" s="5" t="str">
        <f t="shared" si="5"/>
        <v>Bonos</v>
      </c>
      <c r="AD83" s="5" t="s">
        <v>43</v>
      </c>
      <c r="AE83" s="5">
        <f t="shared" si="6"/>
        <v>1</v>
      </c>
      <c r="AF83" s="5">
        <f t="shared" si="7"/>
        <v>2019</v>
      </c>
    </row>
    <row r="84" s="5" customFormat="1" ht="13">
      <c r="A84" s="5" t="s">
        <v>44</v>
      </c>
      <c r="B84" s="5" t="s">
        <v>44</v>
      </c>
      <c r="C84" s="5" t="s">
        <v>122</v>
      </c>
      <c r="D84" s="5" t="s">
        <v>21</v>
      </c>
      <c r="E84" s="5" t="s">
        <v>44</v>
      </c>
      <c r="F84" s="5" t="s">
        <v>61</v>
      </c>
      <c r="G84" s="5" t="s">
        <v>62</v>
      </c>
      <c r="H84" s="9" t="s">
        <v>129</v>
      </c>
      <c r="I84" s="10"/>
      <c r="J84" s="10">
        <v>43483</v>
      </c>
      <c r="K84" s="5" t="s">
        <v>124</v>
      </c>
      <c r="L84" s="5" t="s">
        <v>58</v>
      </c>
      <c r="M84" s="11">
        <v>0.12</v>
      </c>
      <c r="N84" s="5" t="e">
        <f>IF(AND(M84&gt;#REF!,Cartera!O84="Guaraníes"),"Rendimiento significativo",IF(AND(M84&gt;#REF!,Cartera!O84="Dólares americanos"),"Rendimiento significativo","Rendimiento no significativo"))</f>
        <v>#REF!</v>
      </c>
      <c r="O84" s="5" t="s">
        <v>41</v>
      </c>
      <c r="P84" s="12">
        <v>2991780.8218999999</v>
      </c>
      <c r="Q84" s="12">
        <f>IF(O84="Guaraníes",P84,P84*#REF!)</f>
        <v>2991780.8218999999</v>
      </c>
      <c r="R84" s="12" t="e">
        <f>IF(O84="Guaraníes",P84/#REF!,P84)</f>
        <v>#REF!</v>
      </c>
      <c r="S84" s="5" t="s">
        <v>52</v>
      </c>
      <c r="T84" s="5">
        <v>8</v>
      </c>
      <c r="W84" s="5" t="s">
        <v>65</v>
      </c>
      <c r="X84" s="5">
        <v>0</v>
      </c>
      <c r="Y84" s="5">
        <v>0</v>
      </c>
      <c r="Z84" s="5">
        <v>59835.616437999997</v>
      </c>
      <c r="AA84" s="5">
        <v>50</v>
      </c>
      <c r="AB84" s="5">
        <v>2991780.8218999999</v>
      </c>
      <c r="AC84" s="5" t="str">
        <f t="shared" si="5"/>
        <v>Bonos</v>
      </c>
      <c r="AD84" s="5" t="s">
        <v>43</v>
      </c>
      <c r="AE84" s="5">
        <f t="shared" si="6"/>
        <v>1</v>
      </c>
      <c r="AF84" s="5">
        <f t="shared" si="7"/>
        <v>2019</v>
      </c>
    </row>
    <row r="85" s="5" customFormat="1" ht="13">
      <c r="A85" s="5" t="s">
        <v>44</v>
      </c>
      <c r="B85" s="5" t="s">
        <v>44</v>
      </c>
      <c r="C85" s="5" t="s">
        <v>116</v>
      </c>
      <c r="D85" s="5" t="s">
        <v>21</v>
      </c>
      <c r="E85" s="5" t="s">
        <v>44</v>
      </c>
      <c r="F85" s="5" t="s">
        <v>68</v>
      </c>
      <c r="G85" s="5" t="s">
        <v>62</v>
      </c>
      <c r="H85" s="9" t="s">
        <v>131</v>
      </c>
      <c r="I85" s="10"/>
      <c r="J85" s="10">
        <v>43501</v>
      </c>
      <c r="K85" s="5" t="s">
        <v>118</v>
      </c>
      <c r="L85" s="5" t="s">
        <v>58</v>
      </c>
      <c r="M85" s="11">
        <v>0.070000000000000007</v>
      </c>
      <c r="N85" s="5" t="e">
        <f>IF(AND(M85&gt;#REF!,Cartera!O85="Guaraníes"),"Rendimiento significativo",IF(AND(M85&gt;#REF!,Cartera!O85="Dólares americanos"),"Rendimiento significativo","Rendimiento no significativo"))</f>
        <v>#REF!</v>
      </c>
      <c r="O85" s="5" t="s">
        <v>51</v>
      </c>
      <c r="P85" s="13">
        <v>56.095890000000004</v>
      </c>
      <c r="Q85" s="12" t="e">
        <f>IF(O85="Guaraníes",P85,P85*#REF!)</f>
        <v>#REF!</v>
      </c>
      <c r="R85" s="12">
        <f>IF(O85="Guaraníes",P85/#REF!,P85)</f>
        <v>56.095890000000004</v>
      </c>
      <c r="S85" s="5" t="s">
        <v>52</v>
      </c>
      <c r="T85" s="5">
        <v>8</v>
      </c>
      <c r="W85" s="5" t="s">
        <v>65</v>
      </c>
      <c r="X85" s="5">
        <v>0</v>
      </c>
      <c r="Y85" s="5">
        <v>0</v>
      </c>
      <c r="Z85" s="5">
        <v>18.698630000000001</v>
      </c>
      <c r="AA85" s="5">
        <v>3</v>
      </c>
      <c r="AB85" s="5">
        <v>56.095889999999997</v>
      </c>
      <c r="AC85" s="5" t="str">
        <f t="shared" si="5"/>
        <v>Bonos</v>
      </c>
      <c r="AD85" s="5" t="s">
        <v>43</v>
      </c>
      <c r="AE85" s="5">
        <f t="shared" si="6"/>
        <v>2</v>
      </c>
      <c r="AF85" s="5">
        <f t="shared" si="7"/>
        <v>2019</v>
      </c>
    </row>
    <row r="86" s="5" customFormat="1" ht="13">
      <c r="A86" s="5">
        <v>12303</v>
      </c>
      <c r="B86" s="5" t="s">
        <v>32</v>
      </c>
      <c r="C86" s="5" t="s">
        <v>122</v>
      </c>
      <c r="D86" s="5" t="s">
        <v>20</v>
      </c>
      <c r="E86" s="5" t="s">
        <v>34</v>
      </c>
      <c r="F86" s="5" t="s">
        <v>61</v>
      </c>
      <c r="H86" s="9" t="s">
        <v>130</v>
      </c>
      <c r="I86" s="10">
        <v>43587</v>
      </c>
      <c r="J86" s="10" t="s">
        <v>38</v>
      </c>
      <c r="K86" s="5" t="s">
        <v>124</v>
      </c>
      <c r="L86" s="5" t="s">
        <v>40</v>
      </c>
      <c r="M86" s="11">
        <v>0.01</v>
      </c>
      <c r="N86" s="5" t="e">
        <f>IF(AND(M86&gt;#REF!,Cartera!O86="Guaraníes"),"Rendimiento significativo",IF(AND(M86&gt;#REF!,Cartera!O86="Dólares americanos"),"Rendimiento significativo","Rendimiento no significativo"))</f>
        <v>#REF!</v>
      </c>
      <c r="O86" s="5" t="s">
        <v>41</v>
      </c>
      <c r="P86" s="12">
        <v>7200000</v>
      </c>
      <c r="Q86" s="12">
        <f>IF(O86="Guaraníes",P86,P86*#REF!)</f>
        <v>7200000</v>
      </c>
      <c r="R86" s="12" t="e">
        <f>IF(O86="Guaraníes",P86/#REF!,P86)</f>
        <v>#REF!</v>
      </c>
      <c r="S86" s="5" t="s">
        <v>42</v>
      </c>
      <c r="AC86" s="5" t="str">
        <f t="shared" si="5"/>
        <v>Acciones</v>
      </c>
      <c r="AD86" s="5" t="s">
        <v>43</v>
      </c>
      <c r="AE86" s="5">
        <f t="shared" si="6"/>
        <v>0</v>
      </c>
      <c r="AF86" s="5">
        <f t="shared" si="7"/>
        <v>0</v>
      </c>
    </row>
    <row r="87" s="5" customFormat="1" ht="13">
      <c r="A87" s="5" t="s">
        <v>44</v>
      </c>
      <c r="B87" s="5" t="s">
        <v>44</v>
      </c>
      <c r="C87" s="5" t="s">
        <v>116</v>
      </c>
      <c r="D87" s="5" t="s">
        <v>21</v>
      </c>
      <c r="E87" s="5" t="s">
        <v>44</v>
      </c>
      <c r="F87" s="5" t="s">
        <v>68</v>
      </c>
      <c r="G87" s="5" t="s">
        <v>62</v>
      </c>
      <c r="H87" s="9" t="s">
        <v>131</v>
      </c>
      <c r="I87" s="10"/>
      <c r="J87" s="10">
        <v>43593</v>
      </c>
      <c r="K87" s="5" t="s">
        <v>118</v>
      </c>
      <c r="L87" s="5" t="s">
        <v>58</v>
      </c>
      <c r="M87" s="11">
        <v>0.070000000000000007</v>
      </c>
      <c r="N87" s="5" t="e">
        <f>IF(AND(M87&gt;#REF!,Cartera!O87="Guaraníes"),"Rendimiento significativo",IF(AND(M87&gt;#REF!,Cartera!O87="Dólares americanos"),"Rendimiento significativo","Rendimiento no significativo"))</f>
        <v>#REF!</v>
      </c>
      <c r="O87" s="5" t="s">
        <v>51</v>
      </c>
      <c r="P87" s="13">
        <v>56.712329999999994</v>
      </c>
      <c r="Q87" s="12" t="e">
        <f>IF(O87="Guaraníes",P87,P87*#REF!)</f>
        <v>#REF!</v>
      </c>
      <c r="R87" s="12">
        <f>IF(O87="Guaraníes",P87/#REF!,P87)</f>
        <v>56.712329999999994</v>
      </c>
      <c r="S87" s="5" t="s">
        <v>52</v>
      </c>
      <c r="T87" s="5">
        <v>8</v>
      </c>
      <c r="W87" s="5" t="s">
        <v>65</v>
      </c>
      <c r="X87" s="5">
        <v>0</v>
      </c>
      <c r="Y87" s="5">
        <v>0</v>
      </c>
      <c r="Z87" s="5">
        <v>18.904109999999999</v>
      </c>
      <c r="AA87" s="5">
        <v>3</v>
      </c>
      <c r="AB87" s="5">
        <v>56.712330000000001</v>
      </c>
      <c r="AC87" s="5" t="str">
        <f t="shared" si="5"/>
        <v>Bonos</v>
      </c>
      <c r="AD87" s="5" t="s">
        <v>43</v>
      </c>
      <c r="AE87" s="5">
        <f t="shared" si="6"/>
        <v>5</v>
      </c>
      <c r="AF87" s="5">
        <f t="shared" si="7"/>
        <v>2019</v>
      </c>
    </row>
    <row r="88" s="5" customFormat="1" ht="13">
      <c r="A88" s="5" t="s">
        <v>44</v>
      </c>
      <c r="B88" s="5" t="s">
        <v>44</v>
      </c>
      <c r="C88" s="5" t="s">
        <v>125</v>
      </c>
      <c r="D88" s="5" t="s">
        <v>21</v>
      </c>
      <c r="E88" s="5" t="s">
        <v>44</v>
      </c>
      <c r="F88" s="5" t="s">
        <v>68</v>
      </c>
      <c r="G88" s="5" t="s">
        <v>62</v>
      </c>
      <c r="H88" s="9" t="s">
        <v>126</v>
      </c>
      <c r="I88" s="10"/>
      <c r="J88" s="10">
        <v>43595</v>
      </c>
      <c r="K88" s="5" t="s">
        <v>127</v>
      </c>
      <c r="L88" s="5" t="s">
        <v>58</v>
      </c>
      <c r="M88" s="11">
        <v>0.067500000000000004</v>
      </c>
      <c r="N88" s="5" t="e">
        <f>IF(AND(M88&gt;#REF!,Cartera!O88="Guaraníes"),"Rendimiento significativo",IF(AND(M88&gt;#REF!,Cartera!O88="Dólares americanos"),"Rendimiento significativo","Rendimiento no significativo"))</f>
        <v>#REF!</v>
      </c>
      <c r="O88" s="5" t="s">
        <v>51</v>
      </c>
      <c r="P88" s="13">
        <v>1346.3013599999999</v>
      </c>
      <c r="Q88" s="12" t="e">
        <f>IF(O88="Guaraníes",P88,P88*#REF!)</f>
        <v>#REF!</v>
      </c>
      <c r="R88" s="12">
        <f>IF(O88="Guaraníes",P88/#REF!,P88)</f>
        <v>1346.3013599999999</v>
      </c>
      <c r="S88" s="5" t="s">
        <v>52</v>
      </c>
      <c r="T88" s="5">
        <v>8</v>
      </c>
      <c r="W88" s="5" t="s">
        <v>65</v>
      </c>
      <c r="X88" s="5">
        <v>0</v>
      </c>
      <c r="Y88" s="5">
        <v>0</v>
      </c>
      <c r="Z88" s="5">
        <v>33.657533999999998</v>
      </c>
      <c r="AA88" s="5">
        <v>40</v>
      </c>
      <c r="AB88" s="5">
        <v>1346.3013599999999</v>
      </c>
      <c r="AC88" s="5" t="str">
        <f t="shared" si="5"/>
        <v>Bonos</v>
      </c>
      <c r="AD88" s="5" t="s">
        <v>43</v>
      </c>
      <c r="AE88" s="5">
        <f t="shared" si="6"/>
        <v>5</v>
      </c>
      <c r="AF88" s="5">
        <f t="shared" si="7"/>
        <v>2019</v>
      </c>
    </row>
    <row r="89" s="5" customFormat="1" ht="13">
      <c r="A89" s="5" t="s">
        <v>44</v>
      </c>
      <c r="B89" s="5" t="s">
        <v>44</v>
      </c>
      <c r="C89" s="5" t="s">
        <v>122</v>
      </c>
      <c r="D89" s="5" t="s">
        <v>21</v>
      </c>
      <c r="E89" s="5" t="s">
        <v>44</v>
      </c>
      <c r="F89" s="5" t="s">
        <v>61</v>
      </c>
      <c r="G89" s="5" t="s">
        <v>62</v>
      </c>
      <c r="H89" s="9" t="s">
        <v>128</v>
      </c>
      <c r="I89" s="10"/>
      <c r="J89" s="10">
        <v>43640</v>
      </c>
      <c r="K89" s="5" t="s">
        <v>124</v>
      </c>
      <c r="L89" s="5" t="s">
        <v>50</v>
      </c>
      <c r="M89" s="11">
        <v>0.14499999999999999</v>
      </c>
      <c r="N89" s="5" t="e">
        <f>IF(AND(M89&gt;#REF!,Cartera!O89="Guaraníes"),"Rendimiento significativo",IF(AND(M89&gt;#REF!,Cartera!O89="Dólares americanos"),"Rendimiento significativo","Rendimiento no significativo"))</f>
        <v>#REF!</v>
      </c>
      <c r="O89" s="5" t="s">
        <v>41</v>
      </c>
      <c r="P89" s="12">
        <v>7349315.0685000001</v>
      </c>
      <c r="Q89" s="12">
        <f>IF(O89="Guaraníes",P89,P89*#REF!)</f>
        <v>7349315.0685000001</v>
      </c>
      <c r="R89" s="12" t="e">
        <f>IF(O89="Guaraníes",P89/#REF!,P89)</f>
        <v>#REF!</v>
      </c>
      <c r="S89" s="5" t="s">
        <v>52</v>
      </c>
      <c r="T89" s="5">
        <v>8</v>
      </c>
      <c r="W89" s="5" t="s">
        <v>65</v>
      </c>
      <c r="X89" s="5">
        <v>0</v>
      </c>
      <c r="Y89" s="5">
        <v>0</v>
      </c>
      <c r="Z89" s="5">
        <v>73493.150685000001</v>
      </c>
      <c r="AA89" s="5">
        <v>100</v>
      </c>
      <c r="AB89" s="5">
        <v>7349315.0685000001</v>
      </c>
      <c r="AC89" s="5" t="str">
        <f t="shared" si="5"/>
        <v>Bonos</v>
      </c>
      <c r="AD89" s="5" t="s">
        <v>43</v>
      </c>
      <c r="AE89" s="5">
        <f t="shared" si="6"/>
        <v>6</v>
      </c>
      <c r="AF89" s="5">
        <f t="shared" si="7"/>
        <v>2019</v>
      </c>
    </row>
    <row r="90" s="5" customFormat="1" ht="13">
      <c r="A90" s="5" t="s">
        <v>44</v>
      </c>
      <c r="B90" s="5" t="s">
        <v>44</v>
      </c>
      <c r="C90" s="5" t="s">
        <v>122</v>
      </c>
      <c r="D90" s="5" t="s">
        <v>21</v>
      </c>
      <c r="E90" s="5" t="s">
        <v>44</v>
      </c>
      <c r="F90" s="5" t="s">
        <v>61</v>
      </c>
      <c r="G90" s="5" t="s">
        <v>62</v>
      </c>
      <c r="H90" s="9" t="s">
        <v>123</v>
      </c>
      <c r="I90" s="10"/>
      <c r="J90" s="10">
        <v>43651</v>
      </c>
      <c r="K90" s="5" t="s">
        <v>124</v>
      </c>
      <c r="L90" s="5" t="s">
        <v>58</v>
      </c>
      <c r="M90" s="11">
        <v>0.13</v>
      </c>
      <c r="N90" s="5" t="e">
        <f>IF(AND(M90&gt;#REF!,Cartera!O90="Guaraníes"),"Rendimiento significativo",IF(AND(M90&gt;#REF!,Cartera!O90="Dólares americanos"),"Rendimiento significativo","Rendimiento no significativo"))</f>
        <v>#REF!</v>
      </c>
      <c r="O90" s="5" t="s">
        <v>41</v>
      </c>
      <c r="P90" s="12">
        <v>3241095.8903999999</v>
      </c>
      <c r="Q90" s="12">
        <f>IF(O90="Guaraníes",P90,P90*#REF!)</f>
        <v>3241095.8903999999</v>
      </c>
      <c r="R90" s="12" t="e">
        <f>IF(O90="Guaraníes",P90/#REF!,P90)</f>
        <v>#REF!</v>
      </c>
      <c r="S90" s="5" t="s">
        <v>52</v>
      </c>
      <c r="T90" s="5">
        <v>8</v>
      </c>
      <c r="W90" s="5" t="s">
        <v>65</v>
      </c>
      <c r="X90" s="5">
        <v>0</v>
      </c>
      <c r="Y90" s="5">
        <v>0</v>
      </c>
      <c r="Z90" s="5">
        <v>64821.917807999998</v>
      </c>
      <c r="AA90" s="5">
        <v>50</v>
      </c>
      <c r="AB90" s="5">
        <v>3241095.8903999999</v>
      </c>
      <c r="AC90" s="5" t="str">
        <f t="shared" si="5"/>
        <v>Bonos</v>
      </c>
      <c r="AD90" s="5" t="s">
        <v>43</v>
      </c>
      <c r="AE90" s="5">
        <f t="shared" si="6"/>
        <v>7</v>
      </c>
      <c r="AF90" s="5">
        <f t="shared" si="7"/>
        <v>2019</v>
      </c>
    </row>
    <row r="91" s="5" customFormat="1" ht="13">
      <c r="A91" s="5" t="s">
        <v>44</v>
      </c>
      <c r="B91" s="5" t="s">
        <v>44</v>
      </c>
      <c r="C91" s="5" t="s">
        <v>122</v>
      </c>
      <c r="D91" s="5" t="s">
        <v>21</v>
      </c>
      <c r="E91" s="5" t="s">
        <v>44</v>
      </c>
      <c r="F91" s="5" t="s">
        <v>61</v>
      </c>
      <c r="G91" s="5" t="s">
        <v>62</v>
      </c>
      <c r="H91" s="9" t="s">
        <v>129</v>
      </c>
      <c r="I91" s="10"/>
      <c r="J91" s="10">
        <v>43665</v>
      </c>
      <c r="K91" s="5" t="s">
        <v>124</v>
      </c>
      <c r="L91" s="5" t="s">
        <v>58</v>
      </c>
      <c r="M91" s="11">
        <v>0.12</v>
      </c>
      <c r="N91" s="5" t="e">
        <f>IF(AND(M91&gt;#REF!,Cartera!O91="Guaraníes"),"Rendimiento significativo",IF(AND(M91&gt;#REF!,Cartera!O91="Dólares americanos"),"Rendimiento significativo","Rendimiento no significativo"))</f>
        <v>#REF!</v>
      </c>
      <c r="O91" s="5" t="s">
        <v>41</v>
      </c>
      <c r="P91" s="12">
        <v>2991780.8218999999</v>
      </c>
      <c r="Q91" s="12">
        <f>IF(O91="Guaraníes",P91,P91*#REF!)</f>
        <v>2991780.8218999999</v>
      </c>
      <c r="R91" s="12" t="e">
        <f>IF(O91="Guaraníes",P91/#REF!,P91)</f>
        <v>#REF!</v>
      </c>
      <c r="S91" s="5" t="s">
        <v>52</v>
      </c>
      <c r="T91" s="5">
        <v>8</v>
      </c>
      <c r="W91" s="5" t="s">
        <v>65</v>
      </c>
      <c r="X91" s="5">
        <v>0</v>
      </c>
      <c r="Y91" s="5">
        <v>0</v>
      </c>
      <c r="Z91" s="5">
        <v>59835.616437999997</v>
      </c>
      <c r="AA91" s="5">
        <v>50</v>
      </c>
      <c r="AB91" s="5">
        <v>2991780.8218999999</v>
      </c>
      <c r="AC91" s="5" t="str">
        <f t="shared" si="5"/>
        <v>Bonos</v>
      </c>
      <c r="AD91" s="5" t="s">
        <v>43</v>
      </c>
      <c r="AE91" s="5">
        <f t="shared" si="6"/>
        <v>7</v>
      </c>
      <c r="AF91" s="5">
        <f t="shared" si="7"/>
        <v>2019</v>
      </c>
    </row>
    <row r="92" s="5" customFormat="1" ht="13">
      <c r="A92" s="5" t="s">
        <v>44</v>
      </c>
      <c r="B92" s="5" t="s">
        <v>44</v>
      </c>
      <c r="C92" s="5" t="s">
        <v>116</v>
      </c>
      <c r="D92" s="5" t="s">
        <v>21</v>
      </c>
      <c r="E92" s="5" t="s">
        <v>44</v>
      </c>
      <c r="F92" s="5" t="s">
        <v>68</v>
      </c>
      <c r="G92" s="5" t="s">
        <v>62</v>
      </c>
      <c r="H92" s="9" t="s">
        <v>131</v>
      </c>
      <c r="I92" s="10"/>
      <c r="J92" s="10">
        <v>43683</v>
      </c>
      <c r="K92" s="5" t="s">
        <v>118</v>
      </c>
      <c r="L92" s="5" t="s">
        <v>58</v>
      </c>
      <c r="M92" s="11">
        <v>0.070000000000000007</v>
      </c>
      <c r="N92" s="5" t="e">
        <f>IF(AND(M92&gt;#REF!,Cartera!O92="Guaraníes"),"Rendimiento significativo",IF(AND(M92&gt;#REF!,Cartera!O92="Dólares americanos"),"Rendimiento significativo","Rendimiento no significativo"))</f>
        <v>#REF!</v>
      </c>
      <c r="O92" s="5" t="s">
        <v>51</v>
      </c>
      <c r="P92" s="13">
        <v>55.479453000000007</v>
      </c>
      <c r="Q92" s="12" t="e">
        <f>IF(O92="Guaraníes",P92,P92*#REF!)</f>
        <v>#REF!</v>
      </c>
      <c r="R92" s="12">
        <f>IF(O92="Guaraníes",P92/#REF!,P92)</f>
        <v>55.479453000000007</v>
      </c>
      <c r="S92" s="5" t="s">
        <v>52</v>
      </c>
      <c r="T92" s="5">
        <v>8</v>
      </c>
      <c r="W92" s="5" t="s">
        <v>65</v>
      </c>
      <c r="X92" s="5">
        <v>0</v>
      </c>
      <c r="Y92" s="5">
        <v>0</v>
      </c>
      <c r="Z92" s="5">
        <v>18.493151000000001</v>
      </c>
      <c r="AA92" s="5">
        <v>3</v>
      </c>
      <c r="AB92" s="5">
        <v>55.479452999999999</v>
      </c>
      <c r="AC92" s="5" t="str">
        <f t="shared" si="5"/>
        <v>Bonos</v>
      </c>
      <c r="AD92" s="5" t="s">
        <v>43</v>
      </c>
      <c r="AE92" s="5">
        <f t="shared" si="6"/>
        <v>8</v>
      </c>
      <c r="AF92" s="5">
        <f t="shared" si="7"/>
        <v>2019</v>
      </c>
    </row>
    <row r="93" s="5" customFormat="1" ht="13">
      <c r="A93" s="5" t="s">
        <v>44</v>
      </c>
      <c r="B93" s="5" t="s">
        <v>44</v>
      </c>
      <c r="C93" s="5" t="s">
        <v>116</v>
      </c>
      <c r="D93" s="5" t="s">
        <v>21</v>
      </c>
      <c r="E93" s="5" t="s">
        <v>44</v>
      </c>
      <c r="F93" s="5" t="s">
        <v>68</v>
      </c>
      <c r="G93" s="5" t="s">
        <v>62</v>
      </c>
      <c r="H93" s="9" t="s">
        <v>131</v>
      </c>
      <c r="I93" s="10"/>
      <c r="J93" s="10">
        <v>43774</v>
      </c>
      <c r="K93" s="5" t="s">
        <v>118</v>
      </c>
      <c r="L93" s="5" t="s">
        <v>58</v>
      </c>
      <c r="M93" s="11">
        <v>0.070000000000000007</v>
      </c>
      <c r="N93" s="5" t="e">
        <f>IF(AND(M93&gt;#REF!,Cartera!O93="Guaraníes"),"Rendimiento significativo",IF(AND(M93&gt;#REF!,Cartera!O93="Dólares americanos"),"Rendimiento significativo","Rendimiento no significativo"))</f>
        <v>#REF!</v>
      </c>
      <c r="O93" s="5" t="s">
        <v>51</v>
      </c>
      <c r="P93" s="13">
        <v>56.095890000000004</v>
      </c>
      <c r="Q93" s="12" t="e">
        <f>IF(O93="Guaraníes",P93,P93*#REF!)</f>
        <v>#REF!</v>
      </c>
      <c r="R93" s="12">
        <f>IF(O93="Guaraníes",P93/#REF!,P93)</f>
        <v>56.095890000000004</v>
      </c>
      <c r="S93" s="5" t="s">
        <v>52</v>
      </c>
      <c r="T93" s="5">
        <v>8</v>
      </c>
      <c r="W93" s="5" t="s">
        <v>65</v>
      </c>
      <c r="X93" s="5">
        <v>0</v>
      </c>
      <c r="Y93" s="5">
        <v>0</v>
      </c>
      <c r="Z93" s="5">
        <v>18.698630000000001</v>
      </c>
      <c r="AA93" s="5">
        <v>3</v>
      </c>
      <c r="AB93" s="5">
        <v>56.095889999999997</v>
      </c>
      <c r="AC93" s="5" t="str">
        <f t="shared" si="5"/>
        <v>Bonos</v>
      </c>
      <c r="AD93" s="5" t="s">
        <v>43</v>
      </c>
      <c r="AE93" s="5">
        <f t="shared" si="6"/>
        <v>11</v>
      </c>
      <c r="AF93" s="5">
        <f t="shared" si="7"/>
        <v>2019</v>
      </c>
    </row>
    <row r="94" s="5" customFormat="1" ht="13">
      <c r="A94" s="5" t="s">
        <v>44</v>
      </c>
      <c r="B94" s="5" t="s">
        <v>44</v>
      </c>
      <c r="C94" s="5" t="s">
        <v>125</v>
      </c>
      <c r="D94" s="5" t="s">
        <v>21</v>
      </c>
      <c r="E94" s="5" t="s">
        <v>44</v>
      </c>
      <c r="F94" s="5" t="s">
        <v>68</v>
      </c>
      <c r="G94" s="5" t="s">
        <v>62</v>
      </c>
      <c r="H94" s="9" t="s">
        <v>126</v>
      </c>
      <c r="I94" s="10"/>
      <c r="J94" s="10">
        <v>43777</v>
      </c>
      <c r="K94" s="5" t="s">
        <v>127</v>
      </c>
      <c r="L94" s="5" t="s">
        <v>58</v>
      </c>
      <c r="M94" s="11">
        <v>0.067500000000000004</v>
      </c>
      <c r="N94" s="5" t="e">
        <f>IF(AND(M94&gt;#REF!,Cartera!O94="Guaraníes"),"Rendimiento significativo",IF(AND(M94&gt;#REF!,Cartera!O94="Dólares americanos"),"Rendimiento significativo","Rendimiento no significativo"))</f>
        <v>#REF!</v>
      </c>
      <c r="O94" s="5" t="s">
        <v>51</v>
      </c>
      <c r="P94" s="13">
        <v>1346.3013599999999</v>
      </c>
      <c r="Q94" s="12" t="e">
        <f>IF(O94="Guaraníes",P94,P94*#REF!)</f>
        <v>#REF!</v>
      </c>
      <c r="R94" s="12">
        <f>IF(O94="Guaraníes",P94/#REF!,P94)</f>
        <v>1346.3013599999999</v>
      </c>
      <c r="S94" s="5" t="s">
        <v>52</v>
      </c>
      <c r="T94" s="5">
        <v>8</v>
      </c>
      <c r="W94" s="5" t="s">
        <v>65</v>
      </c>
      <c r="X94" s="5">
        <v>0</v>
      </c>
      <c r="Y94" s="5">
        <v>0</v>
      </c>
      <c r="Z94" s="5">
        <v>33.657533999999998</v>
      </c>
      <c r="AA94" s="5">
        <v>40</v>
      </c>
      <c r="AB94" s="5">
        <v>1346.3013599999999</v>
      </c>
      <c r="AC94" s="5" t="str">
        <f t="shared" si="5"/>
        <v>Bonos</v>
      </c>
      <c r="AD94" s="5" t="s">
        <v>43</v>
      </c>
      <c r="AE94" s="5">
        <f t="shared" si="6"/>
        <v>11</v>
      </c>
      <c r="AF94" s="5">
        <f t="shared" si="7"/>
        <v>2019</v>
      </c>
    </row>
    <row r="95" s="5" customFormat="1" ht="13">
      <c r="A95" s="5" t="s">
        <v>44</v>
      </c>
      <c r="B95" s="5" t="s">
        <v>44</v>
      </c>
      <c r="C95" s="5" t="s">
        <v>122</v>
      </c>
      <c r="D95" s="5" t="s">
        <v>21</v>
      </c>
      <c r="E95" s="5" t="s">
        <v>44</v>
      </c>
      <c r="F95" s="5" t="s">
        <v>61</v>
      </c>
      <c r="G95" s="5" t="s">
        <v>62</v>
      </c>
      <c r="H95" s="9" t="s">
        <v>128</v>
      </c>
      <c r="I95" s="10"/>
      <c r="J95" s="10">
        <v>43822</v>
      </c>
      <c r="K95" s="5" t="s">
        <v>124</v>
      </c>
      <c r="L95" s="5" t="s">
        <v>50</v>
      </c>
      <c r="M95" s="11">
        <v>0.14499999999999999</v>
      </c>
      <c r="N95" s="5" t="e">
        <f>IF(AND(M95&gt;#REF!,Cartera!O95="Guaraníes"),"Rendimiento significativo",IF(AND(M95&gt;#REF!,Cartera!O95="Dólares americanos"),"Rendimiento significativo","Rendimiento no significativo"))</f>
        <v>#REF!</v>
      </c>
      <c r="O95" s="5" t="s">
        <v>41</v>
      </c>
      <c r="P95" s="12">
        <v>7230136.9863</v>
      </c>
      <c r="Q95" s="12">
        <f>IF(O95="Guaraníes",P95,P95*#REF!)</f>
        <v>7230136.9863</v>
      </c>
      <c r="R95" s="12" t="e">
        <f>IF(O95="Guaraníes",P95/#REF!,P95)</f>
        <v>#REF!</v>
      </c>
      <c r="S95" s="5" t="s">
        <v>52</v>
      </c>
      <c r="T95" s="5">
        <v>8</v>
      </c>
      <c r="W95" s="5" t="s">
        <v>65</v>
      </c>
      <c r="X95" s="5">
        <v>0</v>
      </c>
      <c r="Y95" s="5">
        <v>0</v>
      </c>
      <c r="Z95" s="5">
        <v>72301.369863</v>
      </c>
      <c r="AA95" s="5">
        <v>100</v>
      </c>
      <c r="AB95" s="5">
        <v>7230136.9863</v>
      </c>
      <c r="AC95" s="5" t="str">
        <f t="shared" si="5"/>
        <v>Bonos</v>
      </c>
      <c r="AD95" s="5" t="s">
        <v>43</v>
      </c>
      <c r="AE95" s="5">
        <f t="shared" si="6"/>
        <v>12</v>
      </c>
      <c r="AF95" s="5">
        <f t="shared" si="7"/>
        <v>2019</v>
      </c>
    </row>
    <row r="96" s="5" customFormat="1" ht="13">
      <c r="A96" s="5" t="s">
        <v>44</v>
      </c>
      <c r="B96" s="5" t="s">
        <v>44</v>
      </c>
      <c r="C96" s="5" t="s">
        <v>122</v>
      </c>
      <c r="D96" s="5" t="s">
        <v>21</v>
      </c>
      <c r="E96" s="5" t="s">
        <v>44</v>
      </c>
      <c r="F96" s="5" t="s">
        <v>61</v>
      </c>
      <c r="G96" s="5" t="s">
        <v>62</v>
      </c>
      <c r="H96" s="9" t="s">
        <v>123</v>
      </c>
      <c r="I96" s="10"/>
      <c r="J96" s="10">
        <v>43833</v>
      </c>
      <c r="K96" s="5" t="s">
        <v>124</v>
      </c>
      <c r="L96" s="5" t="s">
        <v>58</v>
      </c>
      <c r="M96" s="11">
        <v>0.13</v>
      </c>
      <c r="N96" s="5" t="e">
        <f>IF(AND(M96&gt;#REF!,Cartera!O96="Guaraníes"),"Rendimiento significativo",IF(AND(M96&gt;#REF!,Cartera!O96="Dólares americanos"),"Rendimiento significativo","Rendimiento no significativo"))</f>
        <v>#REF!</v>
      </c>
      <c r="O96" s="5" t="s">
        <v>41</v>
      </c>
      <c r="P96" s="12">
        <v>3241095.8903999999</v>
      </c>
      <c r="Q96" s="12">
        <f>IF(O96="Guaraníes",P96,P96*#REF!)</f>
        <v>3241095.8903999999</v>
      </c>
      <c r="R96" s="12" t="e">
        <f>IF(O96="Guaraníes",P96/#REF!,P96)</f>
        <v>#REF!</v>
      </c>
      <c r="S96" s="5" t="s">
        <v>52</v>
      </c>
      <c r="T96" s="5">
        <v>8</v>
      </c>
      <c r="W96" s="5" t="s">
        <v>65</v>
      </c>
      <c r="X96" s="5">
        <v>0</v>
      </c>
      <c r="Y96" s="5">
        <v>0</v>
      </c>
      <c r="Z96" s="5">
        <v>64821.917807999998</v>
      </c>
      <c r="AA96" s="5">
        <v>50</v>
      </c>
      <c r="AB96" s="5">
        <v>3241095.8903999999</v>
      </c>
      <c r="AC96" s="5" t="str">
        <f t="shared" si="5"/>
        <v>Bonos</v>
      </c>
      <c r="AD96" s="5" t="s">
        <v>43</v>
      </c>
      <c r="AE96" s="5">
        <f t="shared" si="6"/>
        <v>1</v>
      </c>
      <c r="AF96" s="5">
        <f t="shared" si="7"/>
        <v>2020</v>
      </c>
    </row>
    <row r="97" s="5" customFormat="1" ht="13">
      <c r="A97" s="5" t="s">
        <v>44</v>
      </c>
      <c r="B97" s="5" t="s">
        <v>44</v>
      </c>
      <c r="C97" s="5" t="s">
        <v>122</v>
      </c>
      <c r="D97" s="5" t="s">
        <v>21</v>
      </c>
      <c r="E97" s="5" t="s">
        <v>44</v>
      </c>
      <c r="F97" s="5" t="s">
        <v>61</v>
      </c>
      <c r="G97" s="5" t="s">
        <v>62</v>
      </c>
      <c r="H97" s="9" t="s">
        <v>129</v>
      </c>
      <c r="I97" s="10"/>
      <c r="J97" s="10">
        <v>43847</v>
      </c>
      <c r="K97" s="5" t="s">
        <v>124</v>
      </c>
      <c r="L97" s="5" t="s">
        <v>58</v>
      </c>
      <c r="M97" s="11">
        <v>0.12</v>
      </c>
      <c r="N97" s="5" t="e">
        <f>IF(AND(M97&gt;#REF!,Cartera!O97="Guaraníes"),"Rendimiento significativo",IF(AND(M97&gt;#REF!,Cartera!O97="Dólares americanos"),"Rendimiento significativo","Rendimiento no significativo"))</f>
        <v>#REF!</v>
      </c>
      <c r="O97" s="5" t="s">
        <v>41</v>
      </c>
      <c r="P97" s="12">
        <v>2991780.8218999999</v>
      </c>
      <c r="Q97" s="12">
        <f>IF(O97="Guaraníes",P97,P97*#REF!)</f>
        <v>2991780.8218999999</v>
      </c>
      <c r="R97" s="12" t="e">
        <f>IF(O97="Guaraníes",P97/#REF!,P97)</f>
        <v>#REF!</v>
      </c>
      <c r="S97" s="5" t="s">
        <v>52</v>
      </c>
      <c r="T97" s="5">
        <v>8</v>
      </c>
      <c r="W97" s="5" t="s">
        <v>65</v>
      </c>
      <c r="X97" s="5">
        <v>0</v>
      </c>
      <c r="Y97" s="5">
        <v>0</v>
      </c>
      <c r="Z97" s="5">
        <v>59835.616437999997</v>
      </c>
      <c r="AA97" s="5">
        <v>50</v>
      </c>
      <c r="AB97" s="5">
        <v>2991780.8218999999</v>
      </c>
      <c r="AC97" s="5" t="str">
        <f t="shared" si="5"/>
        <v>Bonos</v>
      </c>
      <c r="AD97" s="5" t="s">
        <v>43</v>
      </c>
      <c r="AE97" s="5">
        <f t="shared" si="6"/>
        <v>1</v>
      </c>
      <c r="AF97" s="5">
        <f t="shared" si="7"/>
        <v>2020</v>
      </c>
    </row>
    <row r="98" s="5" customFormat="1" ht="13">
      <c r="A98" s="5" t="s">
        <v>44</v>
      </c>
      <c r="B98" s="5" t="s">
        <v>44</v>
      </c>
      <c r="C98" s="5" t="s">
        <v>116</v>
      </c>
      <c r="D98" s="5" t="s">
        <v>21</v>
      </c>
      <c r="E98" s="5" t="s">
        <v>44</v>
      </c>
      <c r="F98" s="5" t="s">
        <v>68</v>
      </c>
      <c r="G98" s="5" t="s">
        <v>62</v>
      </c>
      <c r="H98" s="9" t="s">
        <v>131</v>
      </c>
      <c r="I98" s="10"/>
      <c r="J98" s="10">
        <v>43865</v>
      </c>
      <c r="K98" s="5" t="s">
        <v>118</v>
      </c>
      <c r="L98" s="5" t="s">
        <v>58</v>
      </c>
      <c r="M98" s="11">
        <v>0.070000000000000007</v>
      </c>
      <c r="N98" s="5" t="e">
        <f>IF(AND(M98&gt;#REF!,Cartera!O98="Guaraníes"),"Rendimiento significativo",IF(AND(M98&gt;#REF!,Cartera!O98="Dólares americanos"),"Rendimiento significativo","Rendimiento no significativo"))</f>
        <v>#REF!</v>
      </c>
      <c r="O98" s="5" t="s">
        <v>51</v>
      </c>
      <c r="P98" s="13">
        <v>56.095890000000004</v>
      </c>
      <c r="Q98" s="12" t="e">
        <f>IF(O98="Guaraníes",P98,P98*#REF!)</f>
        <v>#REF!</v>
      </c>
      <c r="R98" s="12">
        <f>IF(O98="Guaraníes",P98/#REF!,P98)</f>
        <v>56.095890000000004</v>
      </c>
      <c r="S98" s="5" t="s">
        <v>52</v>
      </c>
      <c r="T98" s="5">
        <v>8</v>
      </c>
      <c r="W98" s="5" t="s">
        <v>65</v>
      </c>
      <c r="X98" s="5">
        <v>0</v>
      </c>
      <c r="Y98" s="5">
        <v>0</v>
      </c>
      <c r="Z98" s="5">
        <v>18.698630000000001</v>
      </c>
      <c r="AA98" s="5">
        <v>3</v>
      </c>
      <c r="AB98" s="5">
        <v>56.095889999999997</v>
      </c>
      <c r="AC98" s="5" t="str">
        <f t="shared" si="5"/>
        <v>Bonos</v>
      </c>
      <c r="AD98" s="5" t="s">
        <v>43</v>
      </c>
      <c r="AE98" s="5">
        <f t="shared" si="6"/>
        <v>2</v>
      </c>
      <c r="AF98" s="5">
        <f t="shared" si="7"/>
        <v>2020</v>
      </c>
    </row>
    <row r="99" s="5" customFormat="1" ht="13">
      <c r="A99" s="5" t="s">
        <v>44</v>
      </c>
      <c r="B99" s="5" t="s">
        <v>44</v>
      </c>
      <c r="C99" s="5" t="s">
        <v>122</v>
      </c>
      <c r="D99" s="5" t="s">
        <v>21</v>
      </c>
      <c r="E99" s="5" t="s">
        <v>44</v>
      </c>
      <c r="F99" s="5" t="s">
        <v>61</v>
      </c>
      <c r="G99" s="5" t="s">
        <v>91</v>
      </c>
      <c r="H99" s="9" t="s">
        <v>132</v>
      </c>
      <c r="I99" s="10"/>
      <c r="J99" s="10">
        <v>43950</v>
      </c>
      <c r="K99" s="5" t="s">
        <v>124</v>
      </c>
      <c r="L99" s="5" t="s">
        <v>50</v>
      </c>
      <c r="M99" s="11">
        <v>0.059999999999999998</v>
      </c>
      <c r="N99" s="5" t="e">
        <f>IF(AND(M99&gt;#REF!,Cartera!O99="Guaraníes"),"Rendimiento significativo",IF(AND(M99&gt;#REF!,Cartera!O99="Dólares americanos"),"Rendimiento significativo","Rendimiento no significativo"))</f>
        <v>#REF!</v>
      </c>
      <c r="O99" s="5" t="s">
        <v>51</v>
      </c>
      <c r="P99" s="13">
        <v>299.17808000000002</v>
      </c>
      <c r="Q99" s="12" t="e">
        <f>IF(O99="Guaraníes",P99,P99*#REF!)</f>
        <v>#REF!</v>
      </c>
      <c r="R99" s="12">
        <f>IF(O99="Guaraníes",P99/#REF!,P99)</f>
        <v>299.17808000000002</v>
      </c>
      <c r="S99" s="5" t="s">
        <v>52</v>
      </c>
      <c r="T99" s="5">
        <v>3253</v>
      </c>
      <c r="W99" s="5" t="s">
        <v>65</v>
      </c>
      <c r="X99" s="5">
        <v>0</v>
      </c>
      <c r="Y99" s="5">
        <v>0</v>
      </c>
      <c r="Z99" s="5">
        <v>29.917808000000001</v>
      </c>
      <c r="AA99" s="5">
        <v>10</v>
      </c>
      <c r="AB99" s="5">
        <v>299.17808000000002</v>
      </c>
      <c r="AC99" s="5" t="str">
        <f t="shared" si="5"/>
        <v>Bonos</v>
      </c>
      <c r="AD99" s="5" t="s">
        <v>43</v>
      </c>
      <c r="AE99" s="5">
        <f t="shared" si="6"/>
        <v>4</v>
      </c>
      <c r="AF99" s="5">
        <f t="shared" si="7"/>
        <v>2020</v>
      </c>
    </row>
    <row r="100" s="5" customFormat="1" ht="13">
      <c r="A100" s="5">
        <v>12303</v>
      </c>
      <c r="B100" s="5" t="s">
        <v>32</v>
      </c>
      <c r="C100" s="5" t="s">
        <v>122</v>
      </c>
      <c r="D100" s="5" t="s">
        <v>20</v>
      </c>
      <c r="E100" s="5" t="s">
        <v>34</v>
      </c>
      <c r="F100" s="5" t="s">
        <v>61</v>
      </c>
      <c r="H100" s="9" t="s">
        <v>130</v>
      </c>
      <c r="I100" s="10">
        <v>43955</v>
      </c>
      <c r="J100" s="10" t="s">
        <v>38</v>
      </c>
      <c r="K100" s="5" t="s">
        <v>124</v>
      </c>
      <c r="L100" s="5" t="s">
        <v>40</v>
      </c>
      <c r="M100" s="11">
        <v>0.059999999999999998</v>
      </c>
      <c r="N100" s="5" t="e">
        <f>IF(AND(M100&gt;#REF!,Cartera!O100="Guaraníes"),"Rendimiento significativo",IF(AND(M100&gt;#REF!,Cartera!O100="Dólares americanos"),"Rendimiento significativo","Rendimiento no significativo"))</f>
        <v>#REF!</v>
      </c>
      <c r="O100" s="5" t="s">
        <v>41</v>
      </c>
      <c r="P100" s="12">
        <v>6100000</v>
      </c>
      <c r="Q100" s="12">
        <f>IF(O100="Guaraníes",P100,P100*#REF!)</f>
        <v>6100000</v>
      </c>
      <c r="R100" s="12" t="e">
        <f>IF(O100="Guaraníes",P100/#REF!,P100)</f>
        <v>#REF!</v>
      </c>
      <c r="S100" s="5" t="s">
        <v>42</v>
      </c>
      <c r="AC100" s="5" t="str">
        <f t="shared" si="5"/>
        <v>Acciones</v>
      </c>
      <c r="AD100" s="5" t="s">
        <v>43</v>
      </c>
      <c r="AE100" s="5">
        <f t="shared" si="6"/>
        <v>0</v>
      </c>
      <c r="AF100" s="5">
        <f t="shared" si="7"/>
        <v>0</v>
      </c>
    </row>
    <row r="101" s="5" customFormat="1" ht="13">
      <c r="A101" s="5">
        <v>12303</v>
      </c>
      <c r="B101" s="5" t="s">
        <v>32</v>
      </c>
      <c r="C101" s="5" t="s">
        <v>122</v>
      </c>
      <c r="D101" s="5" t="s">
        <v>20</v>
      </c>
      <c r="E101" s="5" t="s">
        <v>34</v>
      </c>
      <c r="F101" s="5" t="s">
        <v>61</v>
      </c>
      <c r="H101" s="9" t="s">
        <v>130</v>
      </c>
      <c r="I101" s="10">
        <v>43955</v>
      </c>
      <c r="J101" s="10" t="s">
        <v>38</v>
      </c>
      <c r="K101" s="5" t="s">
        <v>124</v>
      </c>
      <c r="L101" s="5" t="s">
        <v>40</v>
      </c>
      <c r="M101" s="11">
        <v>0.01</v>
      </c>
      <c r="N101" s="5" t="e">
        <f>IF(AND(M101&gt;#REF!,Cartera!O101="Guaraníes"),"Rendimiento significativo",IF(AND(M101&gt;#REF!,Cartera!O101="Dólares americanos"),"Rendimiento significativo","Rendimiento no significativo"))</f>
        <v>#REF!</v>
      </c>
      <c r="O101" s="5" t="s">
        <v>41</v>
      </c>
      <c r="P101" s="12">
        <v>6400000</v>
      </c>
      <c r="Q101" s="12">
        <f>IF(O101="Guaraníes",P101,P101*#REF!)</f>
        <v>6400000</v>
      </c>
      <c r="R101" s="12" t="e">
        <f>IF(O101="Guaraníes",P101/#REF!,P101)</f>
        <v>#REF!</v>
      </c>
      <c r="S101" s="5" t="s">
        <v>42</v>
      </c>
      <c r="AC101" s="5" t="str">
        <f t="shared" si="5"/>
        <v>Acciones</v>
      </c>
      <c r="AD101" s="5" t="s">
        <v>43</v>
      </c>
      <c r="AE101" s="5">
        <f t="shared" si="6"/>
        <v>0</v>
      </c>
      <c r="AF101" s="5">
        <f t="shared" si="7"/>
        <v>0</v>
      </c>
    </row>
    <row r="102" s="5" customFormat="1" ht="13">
      <c r="A102" s="5" t="s">
        <v>44</v>
      </c>
      <c r="B102" s="5" t="s">
        <v>44</v>
      </c>
      <c r="C102" s="5" t="s">
        <v>116</v>
      </c>
      <c r="D102" s="5" t="s">
        <v>21</v>
      </c>
      <c r="E102" s="5" t="s">
        <v>44</v>
      </c>
      <c r="F102" s="5" t="s">
        <v>68</v>
      </c>
      <c r="G102" s="5" t="s">
        <v>62</v>
      </c>
      <c r="H102" s="9" t="s">
        <v>131</v>
      </c>
      <c r="I102" s="10"/>
      <c r="J102" s="10">
        <v>43956</v>
      </c>
      <c r="K102" s="5" t="s">
        <v>118</v>
      </c>
      <c r="L102" s="5" t="s">
        <v>58</v>
      </c>
      <c r="M102" s="11">
        <v>0.070000000000000007</v>
      </c>
      <c r="N102" s="5" t="e">
        <f>IF(AND(M102&gt;#REF!,Cartera!O102="Guaraníes"),"Rendimiento significativo",IF(AND(M102&gt;#REF!,Cartera!O102="Dólares americanos"),"Rendimiento significativo","Rendimiento no significativo"))</f>
        <v>#REF!</v>
      </c>
      <c r="O102" s="5" t="s">
        <v>51</v>
      </c>
      <c r="P102" s="13">
        <v>56.095890000000004</v>
      </c>
      <c r="Q102" s="12" t="e">
        <f>IF(O102="Guaraníes",P102,P102*#REF!)</f>
        <v>#REF!</v>
      </c>
      <c r="R102" s="12">
        <f>IF(O102="Guaraníes",P102/#REF!,P102)</f>
        <v>56.095890000000004</v>
      </c>
      <c r="S102" s="5" t="s">
        <v>52</v>
      </c>
      <c r="T102" s="5">
        <v>8</v>
      </c>
      <c r="W102" s="5" t="s">
        <v>65</v>
      </c>
      <c r="X102" s="5">
        <v>0</v>
      </c>
      <c r="Y102" s="5">
        <v>0</v>
      </c>
      <c r="Z102" s="5">
        <v>18.698630000000001</v>
      </c>
      <c r="AA102" s="5">
        <v>3</v>
      </c>
      <c r="AB102" s="5">
        <v>56.095889999999997</v>
      </c>
      <c r="AC102" s="5" t="str">
        <f t="shared" si="5"/>
        <v>Bonos</v>
      </c>
      <c r="AD102" s="5" t="s">
        <v>43</v>
      </c>
      <c r="AE102" s="5">
        <f t="shared" si="6"/>
        <v>5</v>
      </c>
      <c r="AF102" s="5">
        <f t="shared" si="7"/>
        <v>2020</v>
      </c>
    </row>
    <row r="103" s="5" customFormat="1" ht="13">
      <c r="A103" s="5" t="s">
        <v>44</v>
      </c>
      <c r="B103" s="5" t="s">
        <v>44</v>
      </c>
      <c r="C103" s="5" t="s">
        <v>125</v>
      </c>
      <c r="D103" s="5" t="s">
        <v>21</v>
      </c>
      <c r="E103" s="5" t="s">
        <v>44</v>
      </c>
      <c r="F103" s="5" t="s">
        <v>68</v>
      </c>
      <c r="G103" s="5" t="s">
        <v>62</v>
      </c>
      <c r="H103" s="9" t="s">
        <v>126</v>
      </c>
      <c r="I103" s="10"/>
      <c r="J103" s="10">
        <v>43959</v>
      </c>
      <c r="K103" s="5" t="s">
        <v>127</v>
      </c>
      <c r="L103" s="5" t="s">
        <v>58</v>
      </c>
      <c r="M103" s="11">
        <v>0.067500000000000004</v>
      </c>
      <c r="N103" s="5" t="e">
        <f>IF(AND(M103&gt;#REF!,Cartera!O103="Guaraníes"),"Rendimiento significativo",IF(AND(M103&gt;#REF!,Cartera!O103="Dólares americanos"),"Rendimiento significativo","Rendimiento no significativo"))</f>
        <v>#REF!</v>
      </c>
      <c r="O103" s="5" t="s">
        <v>51</v>
      </c>
      <c r="P103" s="13">
        <v>1346.3013599999999</v>
      </c>
      <c r="Q103" s="12" t="e">
        <f>IF(O103="Guaraníes",P103,P103*#REF!)</f>
        <v>#REF!</v>
      </c>
      <c r="R103" s="12">
        <f>IF(O103="Guaraníes",P103/#REF!,P103)</f>
        <v>1346.3013599999999</v>
      </c>
      <c r="S103" s="5" t="s">
        <v>52</v>
      </c>
      <c r="T103" s="5">
        <v>8</v>
      </c>
      <c r="W103" s="5" t="s">
        <v>65</v>
      </c>
      <c r="X103" s="5">
        <v>0</v>
      </c>
      <c r="Y103" s="5">
        <v>0</v>
      </c>
      <c r="Z103" s="5">
        <v>33.657533999999998</v>
      </c>
      <c r="AA103" s="5">
        <v>40</v>
      </c>
      <c r="AB103" s="5">
        <v>1346.3013599999999</v>
      </c>
      <c r="AC103" s="5" t="str">
        <f t="shared" si="5"/>
        <v>Bonos</v>
      </c>
      <c r="AD103" s="5" t="s">
        <v>43</v>
      </c>
      <c r="AE103" s="5">
        <f t="shared" si="6"/>
        <v>5</v>
      </c>
      <c r="AF103" s="5">
        <f t="shared" si="7"/>
        <v>2020</v>
      </c>
    </row>
    <row r="104" s="5" customFormat="1" ht="13">
      <c r="A104" s="5" t="s">
        <v>44</v>
      </c>
      <c r="B104" s="5" t="s">
        <v>44</v>
      </c>
      <c r="C104" s="5" t="s">
        <v>122</v>
      </c>
      <c r="D104" s="5" t="s">
        <v>21</v>
      </c>
      <c r="E104" s="5" t="s">
        <v>44</v>
      </c>
      <c r="F104" s="5" t="s">
        <v>61</v>
      </c>
      <c r="G104" s="5" t="s">
        <v>62</v>
      </c>
      <c r="H104" s="9" t="s">
        <v>128</v>
      </c>
      <c r="I104" s="10"/>
      <c r="J104" s="10">
        <v>44004</v>
      </c>
      <c r="K104" s="5" t="s">
        <v>124</v>
      </c>
      <c r="L104" s="5" t="s">
        <v>50</v>
      </c>
      <c r="M104" s="11">
        <v>0.14499999999999999</v>
      </c>
      <c r="N104" s="5" t="e">
        <f>IF(AND(M104&gt;#REF!,Cartera!O104="Guaraníes"),"Rendimiento significativo",IF(AND(M104&gt;#REF!,Cartera!O104="Dólares americanos"),"Rendimiento significativo","Rendimiento no significativo"))</f>
        <v>#REF!</v>
      </c>
      <c r="O104" s="5" t="s">
        <v>41</v>
      </c>
      <c r="P104" s="12">
        <v>7230136.9863</v>
      </c>
      <c r="Q104" s="12">
        <f>IF(O104="Guaraníes",P104,P104*#REF!)</f>
        <v>7230136.9863</v>
      </c>
      <c r="R104" s="12" t="e">
        <f>IF(O104="Guaraníes",P104/#REF!,P104)</f>
        <v>#REF!</v>
      </c>
      <c r="S104" s="5" t="s">
        <v>52</v>
      </c>
      <c r="T104" s="5">
        <v>8</v>
      </c>
      <c r="W104" s="5" t="s">
        <v>65</v>
      </c>
      <c r="X104" s="5">
        <v>0</v>
      </c>
      <c r="Y104" s="5">
        <v>0</v>
      </c>
      <c r="Z104" s="5">
        <v>72301.369863</v>
      </c>
      <c r="AA104" s="5">
        <v>100</v>
      </c>
      <c r="AB104" s="5">
        <v>7230136.9863</v>
      </c>
      <c r="AC104" s="5" t="str">
        <f t="shared" si="5"/>
        <v>Bonos</v>
      </c>
      <c r="AD104" s="5" t="s">
        <v>43</v>
      </c>
      <c r="AE104" s="5">
        <f t="shared" si="6"/>
        <v>6</v>
      </c>
      <c r="AF104" s="5">
        <f t="shared" si="7"/>
        <v>2020</v>
      </c>
    </row>
    <row r="105" s="5" customFormat="1" ht="13">
      <c r="A105" s="5" t="s">
        <v>44</v>
      </c>
      <c r="B105" s="5" t="s">
        <v>44</v>
      </c>
      <c r="C105" s="5" t="s">
        <v>122</v>
      </c>
      <c r="D105" s="5" t="s">
        <v>21</v>
      </c>
      <c r="E105" s="5" t="s">
        <v>44</v>
      </c>
      <c r="F105" s="5" t="s">
        <v>61</v>
      </c>
      <c r="G105" s="5" t="s">
        <v>62</v>
      </c>
      <c r="H105" s="9" t="s">
        <v>123</v>
      </c>
      <c r="I105" s="10"/>
      <c r="J105" s="10">
        <v>44015</v>
      </c>
      <c r="K105" s="5" t="s">
        <v>124</v>
      </c>
      <c r="L105" s="5" t="s">
        <v>58</v>
      </c>
      <c r="M105" s="11">
        <v>0.13</v>
      </c>
      <c r="N105" s="5" t="e">
        <f>IF(AND(M105&gt;#REF!,Cartera!O105="Guaraníes"),"Rendimiento significativo",IF(AND(M105&gt;#REF!,Cartera!O105="Dólares americanos"),"Rendimiento significativo","Rendimiento no significativo"))</f>
        <v>#REF!</v>
      </c>
      <c r="O105" s="5" t="s">
        <v>41</v>
      </c>
      <c r="P105" s="12">
        <v>3241095.8903999999</v>
      </c>
      <c r="Q105" s="12">
        <f>IF(O105="Guaraníes",P105,P105*#REF!)</f>
        <v>3241095.8903999999</v>
      </c>
      <c r="R105" s="12" t="e">
        <f>IF(O105="Guaraníes",P105/#REF!,P105)</f>
        <v>#REF!</v>
      </c>
      <c r="S105" s="5" t="s">
        <v>52</v>
      </c>
      <c r="T105" s="5">
        <v>8</v>
      </c>
      <c r="W105" s="5" t="s">
        <v>65</v>
      </c>
      <c r="X105" s="5">
        <v>0</v>
      </c>
      <c r="Y105" s="5">
        <v>0</v>
      </c>
      <c r="Z105" s="5">
        <v>64821.917807999998</v>
      </c>
      <c r="AA105" s="5">
        <v>50</v>
      </c>
      <c r="AB105" s="5">
        <v>3241095.8903999999</v>
      </c>
      <c r="AC105" s="5" t="str">
        <f t="shared" si="5"/>
        <v>Bonos</v>
      </c>
      <c r="AD105" s="5" t="s">
        <v>43</v>
      </c>
      <c r="AE105" s="5">
        <f t="shared" si="6"/>
        <v>7</v>
      </c>
      <c r="AF105" s="5">
        <f t="shared" si="7"/>
        <v>2020</v>
      </c>
    </row>
    <row r="106" s="5" customFormat="1" ht="13">
      <c r="A106" s="5" t="s">
        <v>44</v>
      </c>
      <c r="B106" s="5" t="s">
        <v>44</v>
      </c>
      <c r="C106" s="5" t="s">
        <v>122</v>
      </c>
      <c r="D106" s="5" t="s">
        <v>21</v>
      </c>
      <c r="E106" s="5" t="s">
        <v>44</v>
      </c>
      <c r="F106" s="5" t="s">
        <v>61</v>
      </c>
      <c r="G106" s="5" t="s">
        <v>62</v>
      </c>
      <c r="H106" s="9" t="s">
        <v>129</v>
      </c>
      <c r="I106" s="10"/>
      <c r="J106" s="10">
        <v>44029</v>
      </c>
      <c r="K106" s="5" t="s">
        <v>124</v>
      </c>
      <c r="L106" s="5" t="s">
        <v>58</v>
      </c>
      <c r="M106" s="11">
        <v>0.12</v>
      </c>
      <c r="N106" s="5" t="e">
        <f>IF(AND(M106&gt;#REF!,Cartera!O106="Guaraníes"),"Rendimiento significativo",IF(AND(M106&gt;#REF!,Cartera!O106="Dólares americanos"),"Rendimiento significativo","Rendimiento no significativo"))</f>
        <v>#REF!</v>
      </c>
      <c r="O106" s="5" t="s">
        <v>41</v>
      </c>
      <c r="P106" s="12">
        <v>2991780.8218999999</v>
      </c>
      <c r="Q106" s="12">
        <f>IF(O106="Guaraníes",P106,P106*#REF!)</f>
        <v>2991780.8218999999</v>
      </c>
      <c r="R106" s="12" t="e">
        <f>IF(O106="Guaraníes",P106/#REF!,P106)</f>
        <v>#REF!</v>
      </c>
      <c r="S106" s="5" t="s">
        <v>52</v>
      </c>
      <c r="T106" s="5">
        <v>8</v>
      </c>
      <c r="W106" s="5" t="s">
        <v>65</v>
      </c>
      <c r="X106" s="5">
        <v>0</v>
      </c>
      <c r="Y106" s="5">
        <v>0</v>
      </c>
      <c r="Z106" s="5">
        <v>59835.616437999997</v>
      </c>
      <c r="AA106" s="5">
        <v>50</v>
      </c>
      <c r="AB106" s="5">
        <v>2991780.8218999999</v>
      </c>
      <c r="AC106" s="5" t="str">
        <f t="shared" si="5"/>
        <v>Bonos</v>
      </c>
      <c r="AD106" s="5" t="s">
        <v>43</v>
      </c>
      <c r="AE106" s="5">
        <f t="shared" si="6"/>
        <v>7</v>
      </c>
      <c r="AF106" s="5">
        <f t="shared" si="7"/>
        <v>2020</v>
      </c>
    </row>
    <row r="107" s="5" customFormat="1" ht="13">
      <c r="A107" s="5" t="s">
        <v>44</v>
      </c>
      <c r="B107" s="5" t="s">
        <v>44</v>
      </c>
      <c r="C107" s="5" t="s">
        <v>116</v>
      </c>
      <c r="D107" s="5" t="s">
        <v>21</v>
      </c>
      <c r="E107" s="5" t="s">
        <v>44</v>
      </c>
      <c r="F107" s="5" t="s">
        <v>68</v>
      </c>
      <c r="G107" s="5" t="s">
        <v>62</v>
      </c>
      <c r="H107" s="9" t="s">
        <v>131</v>
      </c>
      <c r="I107" s="10"/>
      <c r="J107" s="10">
        <v>44047</v>
      </c>
      <c r="K107" s="5" t="s">
        <v>118</v>
      </c>
      <c r="L107" s="5" t="s">
        <v>58</v>
      </c>
      <c r="M107" s="11">
        <v>0.070000000000000007</v>
      </c>
      <c r="N107" s="5" t="e">
        <f>IF(AND(M107&gt;#REF!,Cartera!O107="Guaraníes"),"Rendimiento significativo",IF(AND(M107&gt;#REF!,Cartera!O107="Dólares americanos"),"Rendimiento significativo","Rendimiento no significativo"))</f>
        <v>#REF!</v>
      </c>
      <c r="O107" s="5" t="s">
        <v>51</v>
      </c>
      <c r="P107" s="13">
        <v>56.095890000000004</v>
      </c>
      <c r="Q107" s="12" t="e">
        <f>IF(O107="Guaraníes",P107,P107*#REF!)</f>
        <v>#REF!</v>
      </c>
      <c r="R107" s="12">
        <f>IF(O107="Guaraníes",P107/#REF!,P107)</f>
        <v>56.095890000000004</v>
      </c>
      <c r="S107" s="5" t="s">
        <v>52</v>
      </c>
      <c r="T107" s="5">
        <v>8</v>
      </c>
      <c r="W107" s="5" t="s">
        <v>65</v>
      </c>
      <c r="X107" s="5">
        <v>0</v>
      </c>
      <c r="Y107" s="5">
        <v>0</v>
      </c>
      <c r="Z107" s="5">
        <v>18.698630000000001</v>
      </c>
      <c r="AA107" s="5">
        <v>3</v>
      </c>
      <c r="AB107" s="5">
        <v>56.095889999999997</v>
      </c>
      <c r="AC107" s="5" t="str">
        <f t="shared" si="5"/>
        <v>Bonos</v>
      </c>
      <c r="AD107" s="5" t="s">
        <v>43</v>
      </c>
      <c r="AE107" s="5">
        <f t="shared" si="6"/>
        <v>8</v>
      </c>
      <c r="AF107" s="5">
        <f t="shared" si="7"/>
        <v>2020</v>
      </c>
    </row>
    <row r="108" s="5" customFormat="1" ht="13">
      <c r="A108" s="5" t="s">
        <v>44</v>
      </c>
      <c r="B108" s="5" t="s">
        <v>44</v>
      </c>
      <c r="C108" s="5" t="s">
        <v>122</v>
      </c>
      <c r="D108" s="5" t="s">
        <v>21</v>
      </c>
      <c r="E108" s="5" t="s">
        <v>44</v>
      </c>
      <c r="F108" s="5" t="s">
        <v>61</v>
      </c>
      <c r="G108" s="5" t="s">
        <v>91</v>
      </c>
      <c r="H108" s="9" t="s">
        <v>132</v>
      </c>
      <c r="I108" s="10"/>
      <c r="J108" s="10">
        <v>44132</v>
      </c>
      <c r="K108" s="5" t="s">
        <v>124</v>
      </c>
      <c r="L108" s="5" t="s">
        <v>50</v>
      </c>
      <c r="M108" s="11">
        <v>0.059999999999999998</v>
      </c>
      <c r="N108" s="5" t="e">
        <f>IF(AND(M108&gt;#REF!,Cartera!O108="Guaraníes"),"Rendimiento significativo",IF(AND(M108&gt;#REF!,Cartera!O108="Dólares americanos"),"Rendimiento significativo","Rendimiento no significativo"))</f>
        <v>#REF!</v>
      </c>
      <c r="O108" s="5" t="s">
        <v>51</v>
      </c>
      <c r="P108" s="13">
        <v>299.17808000000002</v>
      </c>
      <c r="Q108" s="12" t="e">
        <f>IF(O108="Guaraníes",P108,P108*#REF!)</f>
        <v>#REF!</v>
      </c>
      <c r="R108" s="12">
        <f>IF(O108="Guaraníes",P108/#REF!,P108)</f>
        <v>299.17808000000002</v>
      </c>
      <c r="S108" s="5" t="s">
        <v>52</v>
      </c>
      <c r="T108" s="5">
        <v>3253</v>
      </c>
      <c r="W108" s="5" t="s">
        <v>65</v>
      </c>
      <c r="X108" s="5">
        <v>0</v>
      </c>
      <c r="Y108" s="5">
        <v>0</v>
      </c>
      <c r="Z108" s="5">
        <v>29.917808000000001</v>
      </c>
      <c r="AA108" s="5">
        <v>10</v>
      </c>
      <c r="AB108" s="5">
        <v>299.17808000000002</v>
      </c>
      <c r="AC108" s="5" t="str">
        <f t="shared" si="5"/>
        <v>Bonos</v>
      </c>
      <c r="AD108" s="5" t="s">
        <v>43</v>
      </c>
      <c r="AE108" s="5">
        <f t="shared" si="6"/>
        <v>10</v>
      </c>
      <c r="AF108" s="5">
        <f t="shared" si="7"/>
        <v>2020</v>
      </c>
    </row>
    <row r="109" s="5" customFormat="1" ht="13">
      <c r="A109" s="5" t="s">
        <v>44</v>
      </c>
      <c r="B109" s="5" t="s">
        <v>44</v>
      </c>
      <c r="C109" s="5" t="s">
        <v>116</v>
      </c>
      <c r="D109" s="5" t="s">
        <v>21</v>
      </c>
      <c r="E109" s="5" t="s">
        <v>44</v>
      </c>
      <c r="F109" s="5" t="s">
        <v>68</v>
      </c>
      <c r="G109" s="5" t="s">
        <v>62</v>
      </c>
      <c r="H109" s="9" t="s">
        <v>131</v>
      </c>
      <c r="I109" s="10"/>
      <c r="J109" s="10">
        <v>44138</v>
      </c>
      <c r="K109" s="5" t="s">
        <v>118</v>
      </c>
      <c r="L109" s="5" t="s">
        <v>58</v>
      </c>
      <c r="M109" s="11">
        <v>0.070000000000000007</v>
      </c>
      <c r="N109" s="5" t="e">
        <f>IF(AND(M109&gt;#REF!,Cartera!O109="Guaraníes"),"Rendimiento significativo",IF(AND(M109&gt;#REF!,Cartera!O109="Dólares americanos"),"Rendimiento significativo","Rendimiento no significativo"))</f>
        <v>#REF!</v>
      </c>
      <c r="O109" s="5" t="s">
        <v>51</v>
      </c>
      <c r="P109" s="13">
        <v>56.095890000000004</v>
      </c>
      <c r="Q109" s="12" t="e">
        <f>IF(O109="Guaraníes",P109,P109*#REF!)</f>
        <v>#REF!</v>
      </c>
      <c r="R109" s="12">
        <f>IF(O109="Guaraníes",P109/#REF!,P109)</f>
        <v>56.095890000000004</v>
      </c>
      <c r="S109" s="5" t="s">
        <v>52</v>
      </c>
      <c r="T109" s="5">
        <v>8</v>
      </c>
      <c r="W109" s="5" t="s">
        <v>65</v>
      </c>
      <c r="X109" s="5">
        <v>0</v>
      </c>
      <c r="Y109" s="5">
        <v>0</v>
      </c>
      <c r="Z109" s="5">
        <v>18.698630000000001</v>
      </c>
      <c r="AA109" s="5">
        <v>3</v>
      </c>
      <c r="AB109" s="5">
        <v>56.095889999999997</v>
      </c>
      <c r="AC109" s="5" t="str">
        <f t="shared" si="5"/>
        <v>Bonos</v>
      </c>
      <c r="AD109" s="5" t="s">
        <v>43</v>
      </c>
      <c r="AE109" s="5">
        <f t="shared" si="6"/>
        <v>11</v>
      </c>
      <c r="AF109" s="5">
        <f t="shared" si="7"/>
        <v>2020</v>
      </c>
    </row>
    <row r="110" s="5" customFormat="1" ht="13">
      <c r="A110" s="5" t="s">
        <v>44</v>
      </c>
      <c r="B110" s="5" t="s">
        <v>44</v>
      </c>
      <c r="C110" s="5" t="s">
        <v>125</v>
      </c>
      <c r="D110" s="5" t="s">
        <v>21</v>
      </c>
      <c r="E110" s="5" t="s">
        <v>44</v>
      </c>
      <c r="F110" s="5" t="s">
        <v>68</v>
      </c>
      <c r="G110" s="5" t="s">
        <v>62</v>
      </c>
      <c r="H110" s="9" t="s">
        <v>126</v>
      </c>
      <c r="I110" s="10"/>
      <c r="J110" s="10">
        <v>44141</v>
      </c>
      <c r="K110" s="5" t="s">
        <v>127</v>
      </c>
      <c r="L110" s="5" t="s">
        <v>58</v>
      </c>
      <c r="M110" s="11">
        <v>0.067500000000000004</v>
      </c>
      <c r="N110" s="5" t="e">
        <f>IF(AND(M110&gt;#REF!,Cartera!O110="Guaraníes"),"Rendimiento significativo",IF(AND(M110&gt;#REF!,Cartera!O110="Dólares americanos"),"Rendimiento significativo","Rendimiento no significativo"))</f>
        <v>#REF!</v>
      </c>
      <c r="O110" s="5" t="s">
        <v>51</v>
      </c>
      <c r="P110" s="13">
        <v>1346.3013599999999</v>
      </c>
      <c r="Q110" s="12" t="e">
        <f>IF(O110="Guaraníes",P110,P110*#REF!)</f>
        <v>#REF!</v>
      </c>
      <c r="R110" s="12">
        <f>IF(O110="Guaraníes",P110/#REF!,P110)</f>
        <v>1346.3013599999999</v>
      </c>
      <c r="S110" s="5" t="s">
        <v>52</v>
      </c>
      <c r="T110" s="5">
        <v>8</v>
      </c>
      <c r="W110" s="5" t="s">
        <v>65</v>
      </c>
      <c r="X110" s="5">
        <v>0</v>
      </c>
      <c r="Y110" s="5">
        <v>0</v>
      </c>
      <c r="Z110" s="5">
        <v>33.657533999999998</v>
      </c>
      <c r="AA110" s="5">
        <v>40</v>
      </c>
      <c r="AB110" s="5">
        <v>1346.3013599999999</v>
      </c>
      <c r="AC110" s="5" t="str">
        <f t="shared" si="5"/>
        <v>Bonos</v>
      </c>
      <c r="AD110" s="5" t="s">
        <v>43</v>
      </c>
      <c r="AE110" s="5">
        <f t="shared" si="6"/>
        <v>11</v>
      </c>
      <c r="AF110" s="5">
        <f t="shared" si="7"/>
        <v>2020</v>
      </c>
    </row>
    <row r="111" s="5" customFormat="1" ht="13">
      <c r="A111" s="5" t="s">
        <v>44</v>
      </c>
      <c r="B111" s="5" t="s">
        <v>44</v>
      </c>
      <c r="C111" s="5" t="s">
        <v>122</v>
      </c>
      <c r="D111" s="5" t="s">
        <v>21</v>
      </c>
      <c r="E111" s="5" t="s">
        <v>44</v>
      </c>
      <c r="F111" s="5" t="s">
        <v>61</v>
      </c>
      <c r="G111" s="5" t="s">
        <v>62</v>
      </c>
      <c r="H111" s="9" t="s">
        <v>128</v>
      </c>
      <c r="I111" s="10"/>
      <c r="J111" s="10">
        <v>44187</v>
      </c>
      <c r="K111" s="5" t="s">
        <v>124</v>
      </c>
      <c r="L111" s="5" t="s">
        <v>50</v>
      </c>
      <c r="M111" s="11">
        <v>0.14499999999999999</v>
      </c>
      <c r="N111" s="5" t="e">
        <f>IF(AND(M111&gt;#REF!,Cartera!O111="Guaraníes"),"Rendimiento significativo",IF(AND(M111&gt;#REF!,Cartera!O111="Dólares americanos"),"Rendimiento significativo","Rendimiento no significativo"))</f>
        <v>#REF!</v>
      </c>
      <c r="O111" s="5" t="s">
        <v>41</v>
      </c>
      <c r="P111" s="12">
        <v>7269863.0137</v>
      </c>
      <c r="Q111" s="12">
        <f>IF(O111="Guaraníes",P111,P111*#REF!)</f>
        <v>7269863.0137</v>
      </c>
      <c r="R111" s="12" t="e">
        <f>IF(O111="Guaraníes",P111/#REF!,P111)</f>
        <v>#REF!</v>
      </c>
      <c r="S111" s="5" t="s">
        <v>52</v>
      </c>
      <c r="T111" s="5">
        <v>8</v>
      </c>
      <c r="W111" s="5" t="s">
        <v>65</v>
      </c>
      <c r="X111" s="5">
        <v>0</v>
      </c>
      <c r="Y111" s="5">
        <v>0</v>
      </c>
      <c r="Z111" s="5">
        <v>72698.630137</v>
      </c>
      <c r="AA111" s="5">
        <v>100</v>
      </c>
      <c r="AB111" s="5">
        <v>7269863.0137</v>
      </c>
      <c r="AC111" s="5" t="str">
        <f t="shared" si="5"/>
        <v>Bonos</v>
      </c>
      <c r="AD111" s="5" t="s">
        <v>43</v>
      </c>
      <c r="AE111" s="5">
        <f t="shared" si="6"/>
        <v>12</v>
      </c>
      <c r="AF111" s="5">
        <f t="shared" si="7"/>
        <v>2020</v>
      </c>
    </row>
    <row r="112" s="5" customFormat="1" ht="13">
      <c r="A112" s="5">
        <v>12303</v>
      </c>
      <c r="B112" s="5" t="s">
        <v>32</v>
      </c>
      <c r="C112" s="5" t="s">
        <v>122</v>
      </c>
      <c r="D112" s="5" t="s">
        <v>20</v>
      </c>
      <c r="E112" s="5" t="s">
        <v>34</v>
      </c>
      <c r="F112" s="5" t="s">
        <v>61</v>
      </c>
      <c r="H112" s="9" t="s">
        <v>130</v>
      </c>
      <c r="I112" s="10">
        <v>44195</v>
      </c>
      <c r="J112" s="10" t="s">
        <v>38</v>
      </c>
      <c r="K112" s="5" t="s">
        <v>124</v>
      </c>
      <c r="L112" s="5" t="s">
        <v>40</v>
      </c>
      <c r="M112" s="11">
        <v>0.13</v>
      </c>
      <c r="N112" s="5" t="e">
        <f>IF(AND(M112&gt;#REF!,Cartera!O112="Guaraníes"),"Rendimiento significativo",IF(AND(M112&gt;#REF!,Cartera!O112="Dólares americanos"),"Rendimiento significativo","Rendimiento no significativo"))</f>
        <v>#REF!</v>
      </c>
      <c r="O112" s="5" t="s">
        <v>41</v>
      </c>
      <c r="P112" s="12">
        <v>7700000</v>
      </c>
      <c r="Q112" s="12">
        <f>IF(O112="Guaraníes",P112,P112*#REF!)</f>
        <v>7700000</v>
      </c>
      <c r="R112" s="12" t="e">
        <f>IF(O112="Guaraníes",P112/#REF!,P112)</f>
        <v>#REF!</v>
      </c>
      <c r="S112" s="5" t="s">
        <v>42</v>
      </c>
      <c r="AC112" s="5" t="str">
        <f t="shared" si="5"/>
        <v>Acciones</v>
      </c>
      <c r="AD112" s="5" t="s">
        <v>43</v>
      </c>
      <c r="AE112" s="5">
        <f t="shared" si="6"/>
        <v>0</v>
      </c>
      <c r="AF112" s="5">
        <f t="shared" si="7"/>
        <v>0</v>
      </c>
    </row>
    <row r="113" s="5" customFormat="1" ht="13">
      <c r="A113" s="5" t="s">
        <v>44</v>
      </c>
      <c r="B113" s="5" t="s">
        <v>44</v>
      </c>
      <c r="C113" s="5" t="s">
        <v>122</v>
      </c>
      <c r="D113" s="5" t="s">
        <v>21</v>
      </c>
      <c r="E113" s="5" t="s">
        <v>44</v>
      </c>
      <c r="F113" s="5" t="s">
        <v>61</v>
      </c>
      <c r="G113" s="5" t="s">
        <v>62</v>
      </c>
      <c r="H113" s="9" t="s">
        <v>123</v>
      </c>
      <c r="I113" s="10"/>
      <c r="J113" s="10">
        <v>44200</v>
      </c>
      <c r="K113" s="5" t="s">
        <v>124</v>
      </c>
      <c r="L113" s="5" t="s">
        <v>58</v>
      </c>
      <c r="M113" s="11">
        <v>0.13</v>
      </c>
      <c r="N113" s="5" t="e">
        <f>IF(AND(M113&gt;#REF!,Cartera!O113="Guaraníes"),"Rendimiento significativo",IF(AND(M113&gt;#REF!,Cartera!O113="Dólares americanos"),"Rendimiento significativo","Rendimiento no significativo"))</f>
        <v>#REF!</v>
      </c>
      <c r="O113" s="5" t="s">
        <v>41</v>
      </c>
      <c r="P113" s="12">
        <v>3294520.54795</v>
      </c>
      <c r="Q113" s="12">
        <f>IF(O113="Guaraníes",P113,P113*#REF!)</f>
        <v>3294520.54795</v>
      </c>
      <c r="R113" s="12" t="e">
        <f>IF(O113="Guaraníes",P113/#REF!,P113)</f>
        <v>#REF!</v>
      </c>
      <c r="S113" s="5" t="s">
        <v>52</v>
      </c>
      <c r="T113" s="5">
        <v>8</v>
      </c>
      <c r="W113" s="5" t="s">
        <v>65</v>
      </c>
      <c r="X113" s="5">
        <v>0</v>
      </c>
      <c r="Y113" s="5">
        <v>0</v>
      </c>
      <c r="Z113" s="5">
        <v>65890.410959000001</v>
      </c>
      <c r="AA113" s="5">
        <v>50</v>
      </c>
      <c r="AB113" s="5">
        <v>3294520.54795</v>
      </c>
      <c r="AC113" s="5" t="str">
        <f t="shared" si="5"/>
        <v>Bonos</v>
      </c>
      <c r="AD113" s="5" t="s">
        <v>43</v>
      </c>
      <c r="AE113" s="5">
        <f t="shared" si="6"/>
        <v>1</v>
      </c>
      <c r="AF113" s="5">
        <f t="shared" si="7"/>
        <v>2021</v>
      </c>
    </row>
    <row r="114" s="5" customFormat="1" ht="13">
      <c r="A114" s="5" t="s">
        <v>44</v>
      </c>
      <c r="B114" s="5" t="s">
        <v>44</v>
      </c>
      <c r="C114" s="5" t="s">
        <v>122</v>
      </c>
      <c r="D114" s="5" t="s">
        <v>21</v>
      </c>
      <c r="E114" s="5" t="s">
        <v>44</v>
      </c>
      <c r="F114" s="5" t="s">
        <v>61</v>
      </c>
      <c r="G114" s="5" t="s">
        <v>62</v>
      </c>
      <c r="H114" s="9" t="s">
        <v>129</v>
      </c>
      <c r="I114" s="10"/>
      <c r="J114" s="10">
        <v>44211</v>
      </c>
      <c r="K114" s="5" t="s">
        <v>124</v>
      </c>
      <c r="L114" s="5" t="s">
        <v>58</v>
      </c>
      <c r="M114" s="11">
        <v>0.12</v>
      </c>
      <c r="N114" s="5" t="e">
        <f>IF(AND(M114&gt;#REF!,Cartera!O114="Guaraníes"),"Rendimiento significativo",IF(AND(M114&gt;#REF!,Cartera!O114="Dólares americanos"),"Rendimiento significativo","Rendimiento no significativo"))</f>
        <v>#REF!</v>
      </c>
      <c r="O114" s="5" t="s">
        <v>41</v>
      </c>
      <c r="P114" s="12">
        <v>2991780.8218999999</v>
      </c>
      <c r="Q114" s="12">
        <f>IF(O114="Guaraníes",P114,P114*#REF!)</f>
        <v>2991780.8218999999</v>
      </c>
      <c r="R114" s="12" t="e">
        <f>IF(O114="Guaraníes",P114/#REF!,P114)</f>
        <v>#REF!</v>
      </c>
      <c r="S114" s="5" t="s">
        <v>52</v>
      </c>
      <c r="T114" s="5">
        <v>8</v>
      </c>
      <c r="W114" s="5" t="s">
        <v>65</v>
      </c>
      <c r="X114" s="5">
        <v>0</v>
      </c>
      <c r="Y114" s="5">
        <v>0</v>
      </c>
      <c r="Z114" s="5">
        <v>59835.616437999997</v>
      </c>
      <c r="AA114" s="5">
        <v>50</v>
      </c>
      <c r="AB114" s="5">
        <v>2991780.8218999999</v>
      </c>
      <c r="AC114" s="5" t="str">
        <f t="shared" si="5"/>
        <v>Bonos</v>
      </c>
      <c r="AD114" s="5" t="s">
        <v>43</v>
      </c>
      <c r="AE114" s="5">
        <f t="shared" si="6"/>
        <v>1</v>
      </c>
      <c r="AF114" s="5">
        <f t="shared" si="7"/>
        <v>2021</v>
      </c>
    </row>
    <row r="115" s="5" customFormat="1" ht="13">
      <c r="A115" s="5" t="s">
        <v>44</v>
      </c>
      <c r="B115" s="5" t="s">
        <v>44</v>
      </c>
      <c r="C115" s="5" t="s">
        <v>116</v>
      </c>
      <c r="D115" s="5" t="s">
        <v>21</v>
      </c>
      <c r="E115" s="5" t="s">
        <v>44</v>
      </c>
      <c r="F115" s="5" t="s">
        <v>68</v>
      </c>
      <c r="G115" s="5" t="s">
        <v>62</v>
      </c>
      <c r="H115" s="9" t="s">
        <v>131</v>
      </c>
      <c r="I115" s="10"/>
      <c r="J115" s="10">
        <v>44229</v>
      </c>
      <c r="K115" s="5" t="s">
        <v>118</v>
      </c>
      <c r="L115" s="5" t="s">
        <v>58</v>
      </c>
      <c r="M115" s="11">
        <v>0.070000000000000007</v>
      </c>
      <c r="N115" s="5" t="e">
        <f>IF(AND(M115&gt;#REF!,Cartera!O115="Guaraníes"),"Rendimiento significativo",IF(AND(M115&gt;#REF!,Cartera!O115="Dólares americanos"),"Rendimiento significativo","Rendimiento no significativo"))</f>
        <v>#REF!</v>
      </c>
      <c r="O115" s="5" t="s">
        <v>51</v>
      </c>
      <c r="P115" s="13">
        <v>56.095890000000004</v>
      </c>
      <c r="Q115" s="12" t="e">
        <f>IF(O115="Guaraníes",P115,P115*#REF!)</f>
        <v>#REF!</v>
      </c>
      <c r="R115" s="12">
        <f>IF(O115="Guaraníes",P115/#REF!,P115)</f>
        <v>56.095890000000004</v>
      </c>
      <c r="S115" s="5" t="s">
        <v>52</v>
      </c>
      <c r="T115" s="5">
        <v>8</v>
      </c>
      <c r="W115" s="5" t="s">
        <v>65</v>
      </c>
      <c r="X115" s="5">
        <v>0</v>
      </c>
      <c r="Y115" s="5">
        <v>0</v>
      </c>
      <c r="Z115" s="5">
        <v>18.698630000000001</v>
      </c>
      <c r="AA115" s="5">
        <v>3</v>
      </c>
      <c r="AB115" s="5">
        <v>56.095889999999997</v>
      </c>
      <c r="AC115" s="5" t="str">
        <f t="shared" si="5"/>
        <v>Bonos</v>
      </c>
      <c r="AD115" s="5" t="s">
        <v>43</v>
      </c>
      <c r="AE115" s="5">
        <f t="shared" si="6"/>
        <v>2</v>
      </c>
      <c r="AF115" s="5">
        <f t="shared" si="7"/>
        <v>2021</v>
      </c>
    </row>
    <row r="116" s="5" customFormat="1" ht="13">
      <c r="A116" s="5" t="s">
        <v>44</v>
      </c>
      <c r="B116" s="5" t="s">
        <v>44</v>
      </c>
      <c r="C116" s="5" t="s">
        <v>116</v>
      </c>
      <c r="D116" s="5" t="s">
        <v>21</v>
      </c>
      <c r="E116" s="5" t="s">
        <v>44</v>
      </c>
      <c r="F116" s="5" t="s">
        <v>68</v>
      </c>
      <c r="G116" s="5" t="s">
        <v>62</v>
      </c>
      <c r="H116" s="9" t="s">
        <v>131</v>
      </c>
      <c r="I116" s="10"/>
      <c r="J116" s="10">
        <v>44320</v>
      </c>
      <c r="K116" s="5" t="s">
        <v>118</v>
      </c>
      <c r="L116" s="5" t="s">
        <v>58</v>
      </c>
      <c r="M116" s="11">
        <v>0.070000000000000007</v>
      </c>
      <c r="N116" s="5" t="e">
        <f>IF(AND(M116&gt;#REF!,Cartera!O116="Guaraníes"),"Rendimiento significativo",IF(AND(M116&gt;#REF!,Cartera!O116="Dólares americanos"),"Rendimiento significativo","Rendimiento no significativo"))</f>
        <v>#REF!</v>
      </c>
      <c r="O116" s="5" t="s">
        <v>51</v>
      </c>
      <c r="P116" s="13">
        <v>56.095890000000004</v>
      </c>
      <c r="Q116" s="12" t="e">
        <f>IF(O116="Guaraníes",P116,P116*#REF!)</f>
        <v>#REF!</v>
      </c>
      <c r="R116" s="12">
        <f>IF(O116="Guaraníes",P116/#REF!,P116)</f>
        <v>56.095890000000004</v>
      </c>
      <c r="S116" s="5" t="s">
        <v>52</v>
      </c>
      <c r="T116" s="5">
        <v>8</v>
      </c>
      <c r="W116" s="5" t="s">
        <v>65</v>
      </c>
      <c r="X116" s="5">
        <v>0</v>
      </c>
      <c r="Y116" s="5">
        <v>0</v>
      </c>
      <c r="Z116" s="5">
        <v>18.698630000000001</v>
      </c>
      <c r="AA116" s="5">
        <v>3</v>
      </c>
      <c r="AB116" s="5">
        <v>56.095889999999997</v>
      </c>
      <c r="AC116" s="5" t="str">
        <f t="shared" si="5"/>
        <v>Bonos</v>
      </c>
      <c r="AD116" s="5" t="s">
        <v>43</v>
      </c>
      <c r="AE116" s="5">
        <f t="shared" si="6"/>
        <v>5</v>
      </c>
      <c r="AF116" s="5">
        <f t="shared" si="7"/>
        <v>2021</v>
      </c>
    </row>
    <row r="117" s="5" customFormat="1" ht="13">
      <c r="A117" s="5" t="s">
        <v>44</v>
      </c>
      <c r="B117" s="5" t="s">
        <v>44</v>
      </c>
      <c r="C117" s="5" t="s">
        <v>125</v>
      </c>
      <c r="D117" s="5" t="s">
        <v>21</v>
      </c>
      <c r="E117" s="5" t="s">
        <v>44</v>
      </c>
      <c r="F117" s="5" t="s">
        <v>68</v>
      </c>
      <c r="G117" s="5" t="s">
        <v>62</v>
      </c>
      <c r="H117" s="9" t="s">
        <v>126</v>
      </c>
      <c r="I117" s="10"/>
      <c r="J117" s="10">
        <v>44323</v>
      </c>
      <c r="K117" s="5" t="s">
        <v>127</v>
      </c>
      <c r="L117" s="5" t="s">
        <v>58</v>
      </c>
      <c r="M117" s="11">
        <v>0.067500000000000004</v>
      </c>
      <c r="N117" s="5" t="e">
        <f>IF(AND(M117&gt;#REF!,Cartera!O117="Guaraníes"),"Rendimiento significativo",IF(AND(M117&gt;#REF!,Cartera!O117="Dólares americanos"),"Rendimiento significativo","Rendimiento no significativo"))</f>
        <v>#REF!</v>
      </c>
      <c r="O117" s="5" t="s">
        <v>51</v>
      </c>
      <c r="P117" s="13">
        <v>1346.3013599999999</v>
      </c>
      <c r="Q117" s="12" t="e">
        <f>IF(O117="Guaraníes",P117,P117*#REF!)</f>
        <v>#REF!</v>
      </c>
      <c r="R117" s="12">
        <f>IF(O117="Guaraníes",P117/#REF!,P117)</f>
        <v>1346.3013599999999</v>
      </c>
      <c r="S117" s="5" t="s">
        <v>52</v>
      </c>
      <c r="T117" s="5">
        <v>8</v>
      </c>
      <c r="V117" s="5" t="s">
        <v>36</v>
      </c>
      <c r="W117" s="5" t="s">
        <v>65</v>
      </c>
      <c r="X117" s="5">
        <v>0</v>
      </c>
      <c r="Y117" s="5">
        <v>0</v>
      </c>
      <c r="Z117" s="5">
        <v>33.657533999999998</v>
      </c>
      <c r="AA117" s="5">
        <v>40</v>
      </c>
      <c r="AB117" s="5">
        <v>1346.3013599999999</v>
      </c>
      <c r="AC117" s="5" t="str">
        <f t="shared" si="5"/>
        <v>Bonos</v>
      </c>
      <c r="AD117" s="5" t="s">
        <v>43</v>
      </c>
      <c r="AE117" s="5">
        <f t="shared" si="6"/>
        <v>5</v>
      </c>
      <c r="AF117" s="5">
        <f t="shared" si="7"/>
        <v>2021</v>
      </c>
    </row>
    <row r="118" s="5" customFormat="1" ht="13">
      <c r="A118" s="5" t="s">
        <v>44</v>
      </c>
      <c r="B118" s="5" t="s">
        <v>44</v>
      </c>
      <c r="C118" s="5" t="s">
        <v>122</v>
      </c>
      <c r="D118" s="5" t="s">
        <v>21</v>
      </c>
      <c r="E118" s="5" t="s">
        <v>44</v>
      </c>
      <c r="F118" s="5" t="s">
        <v>61</v>
      </c>
      <c r="G118" s="5" t="s">
        <v>62</v>
      </c>
      <c r="H118" s="9" t="s">
        <v>128</v>
      </c>
      <c r="I118" s="10"/>
      <c r="J118" s="10">
        <v>44369</v>
      </c>
      <c r="K118" s="5" t="s">
        <v>124</v>
      </c>
      <c r="L118" s="5" t="s">
        <v>50</v>
      </c>
      <c r="M118" s="11">
        <v>0.14499999999999999</v>
      </c>
      <c r="N118" s="5" t="e">
        <f>IF(AND(M118&gt;#REF!,Cartera!O118="Guaraníes"),"Rendimiento significativo",IF(AND(M118&gt;#REF!,Cartera!O118="Dólares americanos"),"Rendimiento significativo","Rendimiento no significativo"))</f>
        <v>#REF!</v>
      </c>
      <c r="O118" s="5" t="s">
        <v>41</v>
      </c>
      <c r="P118" s="12">
        <v>7230136.9863</v>
      </c>
      <c r="Q118" s="12">
        <f>IF(O118="Guaraníes",P118,P118*#REF!)</f>
        <v>7230136.9863</v>
      </c>
      <c r="R118" s="12" t="e">
        <f>IF(O118="Guaraníes",P118/#REF!,P118)</f>
        <v>#REF!</v>
      </c>
      <c r="S118" s="5" t="s">
        <v>52</v>
      </c>
      <c r="T118" s="5">
        <v>8</v>
      </c>
      <c r="W118" s="5" t="s">
        <v>65</v>
      </c>
      <c r="X118" s="5">
        <v>0</v>
      </c>
      <c r="Y118" s="5">
        <v>0</v>
      </c>
      <c r="Z118" s="5">
        <v>72301.369863</v>
      </c>
      <c r="AA118" s="5">
        <v>100</v>
      </c>
      <c r="AB118" s="5">
        <v>7230136.9863</v>
      </c>
      <c r="AC118" s="5" t="str">
        <f t="shared" si="5"/>
        <v>Bonos</v>
      </c>
      <c r="AD118" s="5" t="s">
        <v>43</v>
      </c>
      <c r="AE118" s="5">
        <f t="shared" si="6"/>
        <v>6</v>
      </c>
      <c r="AF118" s="5">
        <f t="shared" si="7"/>
        <v>2021</v>
      </c>
    </row>
    <row r="119" s="5" customFormat="1" ht="13">
      <c r="A119" s="5" t="s">
        <v>44</v>
      </c>
      <c r="B119" s="5" t="s">
        <v>44</v>
      </c>
      <c r="C119" s="5" t="s">
        <v>122</v>
      </c>
      <c r="D119" s="5" t="s">
        <v>21</v>
      </c>
      <c r="E119" s="5" t="s">
        <v>44</v>
      </c>
      <c r="F119" s="5" t="s">
        <v>61</v>
      </c>
      <c r="G119" s="5" t="s">
        <v>62</v>
      </c>
      <c r="H119" s="9" t="s">
        <v>123</v>
      </c>
      <c r="I119" s="10"/>
      <c r="J119" s="10">
        <v>44382</v>
      </c>
      <c r="K119" s="5" t="s">
        <v>124</v>
      </c>
      <c r="L119" s="5" t="s">
        <v>58</v>
      </c>
      <c r="M119" s="11">
        <v>0.13</v>
      </c>
      <c r="N119" s="5" t="e">
        <f>IF(AND(M119&gt;#REF!,Cartera!O119="Guaraníes"),"Rendimiento significativo",IF(AND(M119&gt;#REF!,Cartera!O119="Dólares americanos"),"Rendimiento significativo","Rendimiento no significativo"))</f>
        <v>#REF!</v>
      </c>
      <c r="O119" s="5" t="s">
        <v>41</v>
      </c>
      <c r="P119" s="12">
        <v>3241095.8903999999</v>
      </c>
      <c r="Q119" s="12">
        <f>IF(O119="Guaraníes",P119,P119*#REF!)</f>
        <v>3241095.8903999999</v>
      </c>
      <c r="R119" s="12" t="e">
        <f>IF(O119="Guaraníes",P119/#REF!,P119)</f>
        <v>#REF!</v>
      </c>
      <c r="S119" s="5" t="s">
        <v>52</v>
      </c>
      <c r="T119" s="5">
        <v>8</v>
      </c>
      <c r="W119" s="5" t="s">
        <v>65</v>
      </c>
      <c r="X119" s="5">
        <v>0</v>
      </c>
      <c r="Y119" s="5">
        <v>0</v>
      </c>
      <c r="Z119" s="5">
        <v>64821.917807999998</v>
      </c>
      <c r="AA119" s="5">
        <v>50</v>
      </c>
      <c r="AB119" s="5">
        <v>3241095.8903999999</v>
      </c>
      <c r="AC119" s="5" t="str">
        <f t="shared" si="5"/>
        <v>Bonos</v>
      </c>
      <c r="AD119" s="5" t="s">
        <v>43</v>
      </c>
      <c r="AE119" s="5">
        <f t="shared" si="6"/>
        <v>7</v>
      </c>
      <c r="AF119" s="5">
        <f t="shared" si="7"/>
        <v>2021</v>
      </c>
    </row>
    <row r="120" s="5" customFormat="1" ht="13">
      <c r="A120" s="5" t="s">
        <v>44</v>
      </c>
      <c r="B120" s="5" t="s">
        <v>44</v>
      </c>
      <c r="C120" s="5" t="s">
        <v>122</v>
      </c>
      <c r="D120" s="5" t="s">
        <v>21</v>
      </c>
      <c r="E120" s="5" t="s">
        <v>44</v>
      </c>
      <c r="F120" s="5" t="s">
        <v>61</v>
      </c>
      <c r="G120" s="5" t="s">
        <v>62</v>
      </c>
      <c r="H120" s="9" t="s">
        <v>129</v>
      </c>
      <c r="I120" s="10"/>
      <c r="J120" s="10">
        <v>44398</v>
      </c>
      <c r="K120" s="5" t="s">
        <v>124</v>
      </c>
      <c r="L120" s="5" t="s">
        <v>58</v>
      </c>
      <c r="M120" s="11">
        <v>0.12</v>
      </c>
      <c r="N120" s="5" t="e">
        <f>IF(AND(M120&gt;#REF!,Cartera!O120="Guaraníes"),"Rendimiento significativo",IF(AND(M120&gt;#REF!,Cartera!O120="Dólares americanos"),"Rendimiento significativo","Rendimiento no significativo"))</f>
        <v>#REF!</v>
      </c>
      <c r="O120" s="5" t="s">
        <v>41</v>
      </c>
      <c r="P120" s="12">
        <v>53073972.602750003</v>
      </c>
      <c r="Q120" s="12">
        <f>IF(O120="Guaraníes",P120,P120*#REF!)</f>
        <v>53073972.602750003</v>
      </c>
      <c r="R120" s="12" t="e">
        <f>IF(O120="Guaraníes",P120/#REF!,P120)</f>
        <v>#REF!</v>
      </c>
      <c r="S120" s="5" t="s">
        <v>52</v>
      </c>
      <c r="T120" s="5">
        <v>8</v>
      </c>
      <c r="U120" s="5">
        <v>50000000</v>
      </c>
      <c r="V120" s="5">
        <v>6315068.4931500033</v>
      </c>
      <c r="W120" s="5" t="s">
        <v>65</v>
      </c>
      <c r="X120" s="5">
        <v>100</v>
      </c>
      <c r="Y120" s="5">
        <v>1000000</v>
      </c>
      <c r="Z120" s="5">
        <v>1061479.452055</v>
      </c>
      <c r="AA120" s="5">
        <v>50</v>
      </c>
      <c r="AB120" s="5">
        <v>53073972.602750003</v>
      </c>
      <c r="AC120" s="5" t="str">
        <f t="shared" si="5"/>
        <v>Bonos</v>
      </c>
      <c r="AD120" s="5" t="s">
        <v>43</v>
      </c>
      <c r="AE120" s="5">
        <f t="shared" si="6"/>
        <v>7</v>
      </c>
      <c r="AF120" s="5">
        <f t="shared" si="7"/>
        <v>2021</v>
      </c>
    </row>
    <row r="121" s="5" customFormat="1" ht="13">
      <c r="A121" s="5" t="s">
        <v>44</v>
      </c>
      <c r="B121" s="5" t="s">
        <v>44</v>
      </c>
      <c r="C121" s="5" t="s">
        <v>116</v>
      </c>
      <c r="D121" s="5" t="s">
        <v>21</v>
      </c>
      <c r="E121" s="5" t="s">
        <v>44</v>
      </c>
      <c r="F121" s="5" t="s">
        <v>68</v>
      </c>
      <c r="G121" s="5" t="s">
        <v>62</v>
      </c>
      <c r="H121" s="9" t="s">
        <v>131</v>
      </c>
      <c r="I121" s="10"/>
      <c r="J121" s="10">
        <v>44411</v>
      </c>
      <c r="K121" s="5" t="s">
        <v>118</v>
      </c>
      <c r="L121" s="5" t="s">
        <v>58</v>
      </c>
      <c r="M121" s="11">
        <v>0.070000000000000007</v>
      </c>
      <c r="N121" s="5" t="e">
        <f>IF(AND(M121&gt;#REF!,Cartera!O121="Guaraníes"),"Rendimiento significativo",IF(AND(M121&gt;#REF!,Cartera!O121="Dólares americanos"),"Rendimiento significativo","Rendimiento no significativo"))</f>
        <v>#REF!</v>
      </c>
      <c r="O121" s="5" t="s">
        <v>51</v>
      </c>
      <c r="P121" s="13">
        <v>56.095890000000004</v>
      </c>
      <c r="Q121" s="12" t="e">
        <f>IF(O121="Guaraníes",P121,P121*#REF!)</f>
        <v>#REF!</v>
      </c>
      <c r="R121" s="12">
        <f>IF(O121="Guaraníes",P121/#REF!,P121)</f>
        <v>56.095890000000004</v>
      </c>
      <c r="S121" s="5" t="s">
        <v>52</v>
      </c>
      <c r="T121" s="5">
        <v>8</v>
      </c>
      <c r="W121" s="5" t="s">
        <v>65</v>
      </c>
      <c r="X121" s="5">
        <v>0</v>
      </c>
      <c r="Y121" s="5">
        <v>0</v>
      </c>
      <c r="Z121" s="5">
        <v>18.698630000000001</v>
      </c>
      <c r="AA121" s="5">
        <v>3</v>
      </c>
      <c r="AB121" s="5">
        <v>56.095889999999997</v>
      </c>
      <c r="AC121" s="5" t="str">
        <f t="shared" si="5"/>
        <v>Bonos</v>
      </c>
      <c r="AD121" s="5" t="s">
        <v>43</v>
      </c>
      <c r="AE121" s="5">
        <f t="shared" si="6"/>
        <v>8</v>
      </c>
      <c r="AF121" s="5">
        <f t="shared" si="7"/>
        <v>2021</v>
      </c>
    </row>
    <row r="122" s="5" customFormat="1" ht="13">
      <c r="A122" s="5" t="s">
        <v>44</v>
      </c>
      <c r="B122" s="5" t="s">
        <v>44</v>
      </c>
      <c r="C122" s="5" t="s">
        <v>116</v>
      </c>
      <c r="D122" s="5" t="s">
        <v>21</v>
      </c>
      <c r="E122" s="5" t="s">
        <v>44</v>
      </c>
      <c r="F122" s="5" t="s">
        <v>68</v>
      </c>
      <c r="G122" s="5" t="s">
        <v>62</v>
      </c>
      <c r="H122" s="9" t="s">
        <v>131</v>
      </c>
      <c r="I122" s="10"/>
      <c r="J122" s="10">
        <v>44502</v>
      </c>
      <c r="K122" s="5" t="s">
        <v>118</v>
      </c>
      <c r="L122" s="5" t="s">
        <v>58</v>
      </c>
      <c r="M122" s="11">
        <v>0.070000000000000007</v>
      </c>
      <c r="N122" s="5" t="e">
        <f>IF(AND(M122&gt;#REF!,Cartera!O122="Guaraníes"),"Rendimiento significativo",IF(AND(M122&gt;#REF!,Cartera!O122="Dólares americanos"),"Rendimiento significativo","Rendimiento no significativo"))</f>
        <v>#REF!</v>
      </c>
      <c r="O122" s="5" t="s">
        <v>51</v>
      </c>
      <c r="P122" s="13">
        <v>56.095890000000004</v>
      </c>
      <c r="Q122" s="12" t="e">
        <f>IF(O122="Guaraníes",P122,P122*#REF!)</f>
        <v>#REF!</v>
      </c>
      <c r="R122" s="12">
        <f>IF(O122="Guaraníes",P122/#REF!,P122)</f>
        <v>56.095890000000004</v>
      </c>
      <c r="S122" s="5" t="s">
        <v>52</v>
      </c>
      <c r="T122" s="5">
        <v>8</v>
      </c>
      <c r="W122" s="5" t="s">
        <v>65</v>
      </c>
      <c r="X122" s="5">
        <v>0</v>
      </c>
      <c r="Y122" s="5">
        <v>0</v>
      </c>
      <c r="Z122" s="5">
        <v>18.698630000000001</v>
      </c>
      <c r="AA122" s="5">
        <v>3</v>
      </c>
      <c r="AB122" s="5">
        <v>56.095889999999997</v>
      </c>
      <c r="AC122" s="5" t="str">
        <f t="shared" si="5"/>
        <v>Bonos</v>
      </c>
      <c r="AD122" s="5" t="s">
        <v>43</v>
      </c>
      <c r="AE122" s="5">
        <f t="shared" si="6"/>
        <v>11</v>
      </c>
      <c r="AF122" s="5">
        <f t="shared" si="7"/>
        <v>2021</v>
      </c>
    </row>
    <row r="123" s="5" customFormat="1" ht="13">
      <c r="A123" s="5" t="s">
        <v>44</v>
      </c>
      <c r="B123" s="5" t="s">
        <v>44</v>
      </c>
      <c r="C123" s="5" t="s">
        <v>125</v>
      </c>
      <c r="D123" s="5" t="s">
        <v>20</v>
      </c>
      <c r="E123" s="5" t="s">
        <v>44</v>
      </c>
      <c r="F123" s="5" t="s">
        <v>68</v>
      </c>
      <c r="G123" s="5" t="s">
        <v>62</v>
      </c>
      <c r="H123" s="9" t="s">
        <v>126</v>
      </c>
      <c r="I123" s="10">
        <v>42412</v>
      </c>
      <c r="J123" s="10">
        <v>44505</v>
      </c>
      <c r="K123" s="5" t="s">
        <v>127</v>
      </c>
      <c r="L123" s="5" t="s">
        <v>50</v>
      </c>
      <c r="M123" s="11">
        <v>0.067500000000000004</v>
      </c>
      <c r="N123" s="5" t="e">
        <f>IF(AND(M123&gt;#REF!,Cartera!O123="Guaraníes"),"Rendimiento significativo",IF(AND(M123&gt;#REF!,Cartera!O123="Dólares americanos"),"Rendimiento significativo","Rendimiento no significativo"))</f>
        <v>#REF!</v>
      </c>
      <c r="O123" s="5" t="s">
        <v>51</v>
      </c>
      <c r="P123" s="13">
        <v>40000</v>
      </c>
      <c r="Q123" s="12" t="e">
        <f>IF(O123="Guaraníes",P123,P123*#REF!)</f>
        <v>#REF!</v>
      </c>
      <c r="R123" s="12">
        <f>IF(O123="Guaraníes",P123/#REF!,P123)</f>
        <v>40000</v>
      </c>
      <c r="S123" s="5" t="s">
        <v>52</v>
      </c>
      <c r="AC123" s="5" t="str">
        <f t="shared" si="5"/>
        <v>Bonos</v>
      </c>
      <c r="AD123" s="5" t="s">
        <v>43</v>
      </c>
      <c r="AE123" s="5">
        <f t="shared" si="6"/>
        <v>11</v>
      </c>
      <c r="AF123" s="5">
        <f t="shared" si="7"/>
        <v>2021</v>
      </c>
    </row>
    <row r="124" s="5" customFormat="1" ht="13">
      <c r="A124" s="5" t="s">
        <v>44</v>
      </c>
      <c r="B124" s="5" t="s">
        <v>44</v>
      </c>
      <c r="C124" s="5" t="s">
        <v>60</v>
      </c>
      <c r="D124" s="5" t="s">
        <v>21</v>
      </c>
      <c r="E124" s="5" t="s">
        <v>44</v>
      </c>
      <c r="F124" s="5" t="s">
        <v>61</v>
      </c>
      <c r="G124" s="5" t="s">
        <v>62</v>
      </c>
      <c r="H124" s="9" t="s">
        <v>63</v>
      </c>
      <c r="I124" s="10"/>
      <c r="J124" s="10">
        <v>44512</v>
      </c>
      <c r="K124" s="5" t="s">
        <v>64</v>
      </c>
      <c r="L124" s="5" t="s">
        <v>50</v>
      </c>
      <c r="M124" s="11">
        <v>0.052499999999999998</v>
      </c>
      <c r="N124" s="5" t="e">
        <f>IF(AND(M124&gt;#REF!,Cartera!O124="Guaraníes"),"Rendimiento significativo",IF(AND(M124&gt;#REF!,Cartera!O124="Dólares americanos"),"Rendimiento significativo","Rendimiento no significativo"))</f>
        <v>#REF!</v>
      </c>
      <c r="O124" s="5" t="s">
        <v>51</v>
      </c>
      <c r="P124" s="13">
        <v>793.97258999999997</v>
      </c>
      <c r="Q124" s="12" t="e">
        <f>IF(O124="Guaraníes",P124,P124*#REF!)</f>
        <v>#REF!</v>
      </c>
      <c r="R124" s="12">
        <f>IF(O124="Guaraníes",P124/#REF!,P124)</f>
        <v>793.97258999999997</v>
      </c>
      <c r="S124" s="5" t="s">
        <v>52</v>
      </c>
      <c r="T124" s="5">
        <v>8</v>
      </c>
      <c r="W124" s="5" t="s">
        <v>65</v>
      </c>
      <c r="X124" s="5">
        <v>0</v>
      </c>
      <c r="Y124" s="5">
        <v>0</v>
      </c>
      <c r="Z124" s="5">
        <v>26.465752999999999</v>
      </c>
      <c r="AA124" s="5">
        <v>30</v>
      </c>
      <c r="AB124" s="5">
        <v>793.97258999999997</v>
      </c>
      <c r="AC124" s="5" t="str">
        <f t="shared" si="5"/>
        <v>Bonos</v>
      </c>
      <c r="AD124" s="5" t="s">
        <v>43</v>
      </c>
      <c r="AE124" s="5">
        <f t="shared" si="6"/>
        <v>11</v>
      </c>
      <c r="AF124" s="5">
        <f t="shared" si="7"/>
        <v>2021</v>
      </c>
    </row>
    <row r="125" s="5" customFormat="1" ht="13">
      <c r="A125" s="5" t="s">
        <v>44</v>
      </c>
      <c r="B125" s="5" t="s">
        <v>44</v>
      </c>
      <c r="C125" s="5" t="s">
        <v>122</v>
      </c>
      <c r="D125" s="5" t="s">
        <v>21</v>
      </c>
      <c r="E125" s="5" t="s">
        <v>44</v>
      </c>
      <c r="F125" s="5" t="s">
        <v>61</v>
      </c>
      <c r="G125" s="5" t="s">
        <v>62</v>
      </c>
      <c r="H125" s="9" t="s">
        <v>128</v>
      </c>
      <c r="I125" s="10"/>
      <c r="J125" s="10">
        <v>44552</v>
      </c>
      <c r="K125" s="5" t="s">
        <v>124</v>
      </c>
      <c r="L125" s="5" t="s">
        <v>50</v>
      </c>
      <c r="M125" s="11">
        <v>0.14499999999999999</v>
      </c>
      <c r="N125" s="5" t="e">
        <f>IF(AND(M125&gt;#REF!,Cartera!O125="Guaraníes"),"Rendimiento significativo",IF(AND(M125&gt;#REF!,Cartera!O125="Dólares americanos"),"Rendimiento significativo","Rendimiento no significativo"))</f>
        <v>#REF!</v>
      </c>
      <c r="O125" s="5" t="s">
        <v>41</v>
      </c>
      <c r="P125" s="12">
        <v>7269863.0137</v>
      </c>
      <c r="Q125" s="12">
        <f>IF(O125="Guaraníes",P125,P125*#REF!)</f>
        <v>7269863.0137</v>
      </c>
      <c r="R125" s="12" t="e">
        <f>IF(O125="Guaraníes",P125/#REF!,P125)</f>
        <v>#REF!</v>
      </c>
      <c r="S125" s="5" t="s">
        <v>52</v>
      </c>
      <c r="T125" s="5">
        <v>8</v>
      </c>
      <c r="W125" s="5" t="s">
        <v>65</v>
      </c>
      <c r="X125" s="5">
        <v>0</v>
      </c>
      <c r="Y125" s="5">
        <v>0</v>
      </c>
      <c r="Z125" s="5">
        <v>72698.630137</v>
      </c>
      <c r="AA125" s="5">
        <v>100</v>
      </c>
      <c r="AB125" s="5">
        <v>7269863.0137</v>
      </c>
      <c r="AC125" s="5" t="str">
        <f t="shared" si="5"/>
        <v>Bonos</v>
      </c>
      <c r="AD125" s="5" t="s">
        <v>43</v>
      </c>
      <c r="AE125" s="5">
        <f t="shared" si="6"/>
        <v>12</v>
      </c>
      <c r="AF125" s="5">
        <f t="shared" si="7"/>
        <v>2021</v>
      </c>
    </row>
    <row r="126" s="5" customFormat="1" ht="13">
      <c r="A126" s="5" t="s">
        <v>44</v>
      </c>
      <c r="B126" s="5" t="s">
        <v>44</v>
      </c>
      <c r="C126" s="5" t="s">
        <v>122</v>
      </c>
      <c r="D126" s="5" t="s">
        <v>21</v>
      </c>
      <c r="E126" s="5" t="s">
        <v>44</v>
      </c>
      <c r="F126" s="5" t="s">
        <v>61</v>
      </c>
      <c r="G126" s="5" t="s">
        <v>62</v>
      </c>
      <c r="H126" s="9" t="s">
        <v>123</v>
      </c>
      <c r="I126" s="10"/>
      <c r="J126" s="10">
        <v>44564</v>
      </c>
      <c r="K126" s="5" t="s">
        <v>124</v>
      </c>
      <c r="L126" s="5" t="s">
        <v>58</v>
      </c>
      <c r="M126" s="11">
        <v>0.13</v>
      </c>
      <c r="N126" s="5" t="e">
        <f>IF(AND(M126&gt;#REF!,Cartera!O126="Guaraníes"),"Rendimiento significativo",IF(AND(M126&gt;#REF!,Cartera!O126="Dólares americanos"),"Rendimiento significativo","Rendimiento no significativo"))</f>
        <v>#REF!</v>
      </c>
      <c r="O126" s="5" t="s">
        <v>41</v>
      </c>
      <c r="P126" s="12">
        <v>3241095.8903999999</v>
      </c>
      <c r="Q126" s="12">
        <f>IF(O126="Guaraníes",P126,P126*#REF!)</f>
        <v>3241095.8903999999</v>
      </c>
      <c r="R126" s="12" t="e">
        <f>IF(O126="Guaraníes",P126/#REF!,P126)</f>
        <v>#REF!</v>
      </c>
      <c r="S126" s="5" t="s">
        <v>52</v>
      </c>
      <c r="T126" s="5">
        <v>8</v>
      </c>
      <c r="W126" s="5" t="s">
        <v>65</v>
      </c>
      <c r="X126" s="5">
        <v>0</v>
      </c>
      <c r="Y126" s="5">
        <v>0</v>
      </c>
      <c r="Z126" s="5">
        <v>64821.917807999998</v>
      </c>
      <c r="AA126" s="5">
        <v>50</v>
      </c>
      <c r="AB126" s="5">
        <v>3241095.8903999999</v>
      </c>
      <c r="AC126" s="5" t="str">
        <f t="shared" si="5"/>
        <v>Bonos</v>
      </c>
      <c r="AD126" s="5" t="s">
        <v>43</v>
      </c>
      <c r="AE126" s="5">
        <f t="shared" si="6"/>
        <v>1</v>
      </c>
      <c r="AF126" s="5">
        <f t="shared" si="7"/>
        <v>2022</v>
      </c>
    </row>
    <row r="127" s="5" customFormat="1" ht="13">
      <c r="A127" s="5" t="s">
        <v>44</v>
      </c>
      <c r="B127" s="5" t="s">
        <v>44</v>
      </c>
      <c r="C127" s="5" t="s">
        <v>116</v>
      </c>
      <c r="D127" s="5" t="s">
        <v>21</v>
      </c>
      <c r="E127" s="5" t="s">
        <v>44</v>
      </c>
      <c r="F127" s="5" t="s">
        <v>68</v>
      </c>
      <c r="G127" s="5" t="s">
        <v>62</v>
      </c>
      <c r="H127" s="9" t="s">
        <v>131</v>
      </c>
      <c r="I127" s="10"/>
      <c r="J127" s="10">
        <v>44593</v>
      </c>
      <c r="K127" s="5" t="s">
        <v>118</v>
      </c>
      <c r="L127" s="5" t="s">
        <v>58</v>
      </c>
      <c r="M127" s="11">
        <v>0.070000000000000007</v>
      </c>
      <c r="N127" s="5" t="e">
        <f>IF(AND(M127&gt;#REF!,Cartera!O127="Guaraníes"),"Rendimiento significativo",IF(AND(M127&gt;#REF!,Cartera!O127="Dólares americanos"),"Rendimiento significativo","Rendimiento no significativo"))</f>
        <v>#REF!</v>
      </c>
      <c r="O127" s="5" t="s">
        <v>51</v>
      </c>
      <c r="P127" s="13">
        <v>56.095890000000004</v>
      </c>
      <c r="Q127" s="12" t="e">
        <f>IF(O127="Guaraníes",P127,P127*#REF!)</f>
        <v>#REF!</v>
      </c>
      <c r="R127" s="12">
        <f>IF(O127="Guaraníes",P127/#REF!,P127)</f>
        <v>56.095890000000004</v>
      </c>
      <c r="S127" s="5" t="s">
        <v>52</v>
      </c>
      <c r="T127" s="5">
        <v>8</v>
      </c>
      <c r="W127" s="5" t="s">
        <v>65</v>
      </c>
      <c r="X127" s="5">
        <v>0</v>
      </c>
      <c r="Y127" s="5">
        <v>0</v>
      </c>
      <c r="Z127" s="5">
        <v>18.698630000000001</v>
      </c>
      <c r="AA127" s="5">
        <v>3</v>
      </c>
      <c r="AB127" s="5">
        <v>56.095889999999997</v>
      </c>
      <c r="AC127" s="5" t="str">
        <f t="shared" si="5"/>
        <v>Bonos</v>
      </c>
      <c r="AD127" s="5" t="s">
        <v>43</v>
      </c>
      <c r="AE127" s="5">
        <f t="shared" si="6"/>
        <v>2</v>
      </c>
      <c r="AF127" s="5">
        <f t="shared" si="7"/>
        <v>2022</v>
      </c>
    </row>
    <row r="128" s="5" customFormat="1" ht="13">
      <c r="A128" s="5" t="s">
        <v>44</v>
      </c>
      <c r="B128" s="5" t="s">
        <v>44</v>
      </c>
      <c r="C128" s="5" t="s">
        <v>116</v>
      </c>
      <c r="D128" s="5" t="s">
        <v>21</v>
      </c>
      <c r="E128" s="5" t="s">
        <v>44</v>
      </c>
      <c r="F128" s="5" t="s">
        <v>68</v>
      </c>
      <c r="G128" s="5" t="s">
        <v>62</v>
      </c>
      <c r="H128" s="9" t="s">
        <v>131</v>
      </c>
      <c r="I128" s="10"/>
      <c r="J128" s="10">
        <v>44684</v>
      </c>
      <c r="K128" s="5" t="s">
        <v>118</v>
      </c>
      <c r="L128" s="5" t="s">
        <v>58</v>
      </c>
      <c r="M128" s="11">
        <v>0.070000000000000007</v>
      </c>
      <c r="N128" s="5" t="e">
        <f>IF(AND(M128&gt;#REF!,Cartera!O128="Guaraníes"),"Rendimiento significativo",IF(AND(M128&gt;#REF!,Cartera!O128="Dólares americanos"),"Rendimiento significativo","Rendimiento no significativo"))</f>
        <v>#REF!</v>
      </c>
      <c r="O128" s="5" t="s">
        <v>51</v>
      </c>
      <c r="P128" s="13">
        <v>56.095890000000004</v>
      </c>
      <c r="Q128" s="12" t="e">
        <f>IF(O128="Guaraníes",P128,P128*#REF!)</f>
        <v>#REF!</v>
      </c>
      <c r="R128" s="12">
        <f>IF(O128="Guaraníes",P128/#REF!,P128)</f>
        <v>56.095890000000004</v>
      </c>
      <c r="S128" s="5" t="s">
        <v>52</v>
      </c>
      <c r="T128" s="5">
        <v>8</v>
      </c>
      <c r="W128" s="5" t="s">
        <v>65</v>
      </c>
      <c r="X128" s="5">
        <v>0</v>
      </c>
      <c r="Y128" s="5">
        <v>0</v>
      </c>
      <c r="Z128" s="5">
        <v>18.698630000000001</v>
      </c>
      <c r="AA128" s="5">
        <v>3</v>
      </c>
      <c r="AB128" s="5">
        <v>56.095889999999997</v>
      </c>
      <c r="AC128" s="5" t="str">
        <f t="shared" ref="AC128:AC191" si="8">IF(ISNUMBER(SEARCH("Acciones",L128)),"Acciones",IF(ISNUMBER(SEARCH("Bono",L128)),"Bonos",IF(ISNUMBER(SEARCH("CDA",L128)),"CDA",IF(ISNUMBER(SEARCH("Fondo",L128)),"Fondo",0))))</f>
        <v>Bonos</v>
      </c>
      <c r="AD128" s="5" t="s">
        <v>43</v>
      </c>
      <c r="AE128" s="5">
        <f t="shared" si="6"/>
        <v>5</v>
      </c>
      <c r="AF128" s="5">
        <f t="shared" si="7"/>
        <v>2022</v>
      </c>
    </row>
    <row r="129" s="5" customFormat="1" ht="13">
      <c r="A129" s="5" t="s">
        <v>44</v>
      </c>
      <c r="B129" s="5" t="s">
        <v>44</v>
      </c>
      <c r="C129" s="5" t="s">
        <v>60</v>
      </c>
      <c r="D129" s="5" t="s">
        <v>21</v>
      </c>
      <c r="E129" s="5" t="s">
        <v>44</v>
      </c>
      <c r="F129" s="5" t="s">
        <v>61</v>
      </c>
      <c r="G129" s="5" t="s">
        <v>62</v>
      </c>
      <c r="H129" s="9" t="s">
        <v>63</v>
      </c>
      <c r="I129" s="10"/>
      <c r="J129" s="10">
        <v>44693</v>
      </c>
      <c r="K129" s="5" t="s">
        <v>64</v>
      </c>
      <c r="L129" s="5" t="s">
        <v>50</v>
      </c>
      <c r="M129" s="11">
        <v>0.052499999999999998</v>
      </c>
      <c r="N129" s="5" t="e">
        <f>IF(AND(M129&gt;#REF!,Cartera!O129="Guaraníes"),"Rendimiento significativo",IF(AND(M129&gt;#REF!,Cartera!O129="Dólares americanos"),"Rendimiento significativo","Rendimiento no significativo"))</f>
        <v>#REF!</v>
      </c>
      <c r="O129" s="5" t="s">
        <v>51</v>
      </c>
      <c r="P129" s="13">
        <v>781.02741000000003</v>
      </c>
      <c r="Q129" s="12" t="e">
        <f>IF(O129="Guaraníes",P129,P129*#REF!)</f>
        <v>#REF!</v>
      </c>
      <c r="R129" s="12">
        <f>IF(O129="Guaraníes",P129/#REF!,P129)</f>
        <v>781.02741000000003</v>
      </c>
      <c r="S129" s="5" t="s">
        <v>52</v>
      </c>
      <c r="T129" s="5">
        <v>8</v>
      </c>
      <c r="W129" s="5" t="s">
        <v>65</v>
      </c>
      <c r="X129" s="5">
        <v>0</v>
      </c>
      <c r="Y129" s="5">
        <v>0</v>
      </c>
      <c r="Z129" s="5">
        <v>26.034247000000001</v>
      </c>
      <c r="AA129" s="5">
        <v>30</v>
      </c>
      <c r="AB129" s="5">
        <v>781.02741000000003</v>
      </c>
      <c r="AC129" s="5" t="str">
        <f t="shared" si="8"/>
        <v>Bonos</v>
      </c>
      <c r="AD129" s="5" t="s">
        <v>43</v>
      </c>
      <c r="AE129" s="5">
        <f t="shared" si="6"/>
        <v>5</v>
      </c>
      <c r="AF129" s="5">
        <f t="shared" si="7"/>
        <v>2022</v>
      </c>
    </row>
    <row r="130" s="5" customFormat="1" ht="13">
      <c r="A130" s="5" t="s">
        <v>44</v>
      </c>
      <c r="B130" s="5" t="s">
        <v>44</v>
      </c>
      <c r="C130" s="5" t="s">
        <v>122</v>
      </c>
      <c r="D130" s="5" t="s">
        <v>21</v>
      </c>
      <c r="E130" s="5" t="s">
        <v>44</v>
      </c>
      <c r="F130" s="5" t="s">
        <v>61</v>
      </c>
      <c r="G130" s="5" t="s">
        <v>62</v>
      </c>
      <c r="H130" s="9" t="s">
        <v>128</v>
      </c>
      <c r="I130" s="10"/>
      <c r="J130" s="10">
        <v>44732</v>
      </c>
      <c r="K130" s="5" t="s">
        <v>124</v>
      </c>
      <c r="L130" s="5" t="s">
        <v>50</v>
      </c>
      <c r="M130" s="11">
        <v>0.14499999999999999</v>
      </c>
      <c r="N130" s="5" t="e">
        <f>IF(AND(M130&gt;#REF!,Cartera!O130="Guaraníes"),"Rendimiento significativo",IF(AND(M130&gt;#REF!,Cartera!O130="Dólares americanos"),"Rendimiento significativo","Rendimiento no significativo"))</f>
        <v>#REF!</v>
      </c>
      <c r="O130" s="5" t="s">
        <v>41</v>
      </c>
      <c r="P130" s="12">
        <v>7150684.9314999999</v>
      </c>
      <c r="Q130" s="12">
        <f>IF(O130="Guaraníes",P130,P130*#REF!)</f>
        <v>7150684.9314999999</v>
      </c>
      <c r="R130" s="12" t="e">
        <f>IF(O130="Guaraníes",P130/#REF!,P130)</f>
        <v>#REF!</v>
      </c>
      <c r="S130" s="5" t="s">
        <v>52</v>
      </c>
      <c r="T130" s="5">
        <v>8</v>
      </c>
      <c r="W130" s="5" t="s">
        <v>65</v>
      </c>
      <c r="X130" s="5">
        <v>0</v>
      </c>
      <c r="Y130" s="5">
        <v>0</v>
      </c>
      <c r="Z130" s="5">
        <v>71506.849314999999</v>
      </c>
      <c r="AA130" s="5">
        <v>100</v>
      </c>
      <c r="AB130" s="5">
        <v>7150684.9314999999</v>
      </c>
      <c r="AC130" s="5" t="str">
        <f t="shared" si="8"/>
        <v>Bonos</v>
      </c>
      <c r="AD130" s="5" t="s">
        <v>43</v>
      </c>
      <c r="AE130" s="5">
        <f t="shared" si="6"/>
        <v>6</v>
      </c>
      <c r="AF130" s="5">
        <f t="shared" si="7"/>
        <v>2022</v>
      </c>
    </row>
    <row r="131" s="5" customFormat="1" ht="13">
      <c r="A131" s="5" t="s">
        <v>44</v>
      </c>
      <c r="B131" s="5" t="s">
        <v>44</v>
      </c>
      <c r="C131" s="5" t="s">
        <v>122</v>
      </c>
      <c r="D131" s="5" t="s">
        <v>21</v>
      </c>
      <c r="E131" s="5" t="s">
        <v>44</v>
      </c>
      <c r="F131" s="5" t="s">
        <v>61</v>
      </c>
      <c r="G131" s="5" t="s">
        <v>62</v>
      </c>
      <c r="H131" s="9" t="s">
        <v>123</v>
      </c>
      <c r="I131" s="10"/>
      <c r="J131" s="10">
        <v>44746</v>
      </c>
      <c r="K131" s="5" t="s">
        <v>124</v>
      </c>
      <c r="L131" s="5" t="s">
        <v>50</v>
      </c>
      <c r="M131" s="11">
        <v>0.13</v>
      </c>
      <c r="N131" s="5" t="e">
        <f>IF(AND(M131&gt;#REF!,Cartera!O131="Guaraníes"),"Rendimiento significativo",IF(AND(M131&gt;#REF!,Cartera!O131="Dólares americanos"),"Rendimiento significativo","Rendimiento no significativo"))</f>
        <v>#REF!</v>
      </c>
      <c r="O131" s="5" t="s">
        <v>41</v>
      </c>
      <c r="P131" s="12">
        <v>3241095.8903999999</v>
      </c>
      <c r="Q131" s="12">
        <f>IF(O131="Guaraníes",P131,P131*#REF!)</f>
        <v>3241095.8903999999</v>
      </c>
      <c r="R131" s="12" t="e">
        <f>IF(O131="Guaraníes",P131/#REF!,P131)</f>
        <v>#REF!</v>
      </c>
      <c r="S131" s="5" t="s">
        <v>52</v>
      </c>
      <c r="T131" s="5">
        <v>8</v>
      </c>
      <c r="Y131" s="5">
        <v>0</v>
      </c>
      <c r="Z131" s="5">
        <v>64821.917807999998</v>
      </c>
      <c r="AA131" s="5">
        <v>50</v>
      </c>
      <c r="AB131" s="5">
        <v>3241095.8903999999</v>
      </c>
      <c r="AC131" s="5" t="str">
        <f t="shared" si="8"/>
        <v>Bonos</v>
      </c>
      <c r="AD131" s="5" t="s">
        <v>43</v>
      </c>
      <c r="AE131" s="5">
        <f t="shared" si="6"/>
        <v>7</v>
      </c>
      <c r="AF131" s="5">
        <f t="shared" si="7"/>
        <v>2022</v>
      </c>
    </row>
    <row r="132" s="5" customFormat="1" ht="13">
      <c r="A132" s="5" t="s">
        <v>44</v>
      </c>
      <c r="B132" s="5" t="s">
        <v>44</v>
      </c>
      <c r="C132" s="5" t="s">
        <v>122</v>
      </c>
      <c r="D132" s="5" t="s">
        <v>20</v>
      </c>
      <c r="E132" s="5" t="s">
        <v>44</v>
      </c>
      <c r="F132" s="5" t="s">
        <v>61</v>
      </c>
      <c r="G132" s="5" t="s">
        <v>62</v>
      </c>
      <c r="H132" s="9" t="s">
        <v>123</v>
      </c>
      <c r="I132" s="10">
        <v>42213</v>
      </c>
      <c r="J132" s="10">
        <v>44746</v>
      </c>
      <c r="K132" s="5" t="s">
        <v>124</v>
      </c>
      <c r="L132" s="5" t="s">
        <v>50</v>
      </c>
      <c r="M132" s="11">
        <v>0.13</v>
      </c>
      <c r="N132" s="5" t="e">
        <f>IF(AND(M132&gt;#REF!,Cartera!O132="Guaraníes"),"Rendimiento significativo",IF(AND(M132&gt;#REF!,Cartera!O132="Dólares americanos"),"Rendimiento significativo","Rendimiento no significativo"))</f>
        <v>#REF!</v>
      </c>
      <c r="O132" s="5" t="s">
        <v>41</v>
      </c>
      <c r="P132" s="12">
        <v>50000000</v>
      </c>
      <c r="Q132" s="12">
        <f>IF(O132="Guaraníes",P132,P132*#REF!)</f>
        <v>50000000</v>
      </c>
      <c r="R132" s="12" t="e">
        <f>IF(O132="Guaraníes",P132/#REF!,P132)</f>
        <v>#REF!</v>
      </c>
      <c r="S132" s="5" t="s">
        <v>52</v>
      </c>
      <c r="T132" s="5">
        <v>8</v>
      </c>
      <c r="Y132" s="5">
        <v>1000000</v>
      </c>
      <c r="Z132" s="5">
        <v>1000000</v>
      </c>
      <c r="AA132" s="5">
        <v>50</v>
      </c>
      <c r="AB132" s="5">
        <v>50000000</v>
      </c>
      <c r="AC132" s="5" t="str">
        <f t="shared" si="8"/>
        <v>Bonos</v>
      </c>
      <c r="AD132" s="5" t="s">
        <v>43</v>
      </c>
      <c r="AE132" s="5">
        <f t="shared" si="6"/>
        <v>7</v>
      </c>
      <c r="AF132" s="5">
        <f t="shared" si="7"/>
        <v>2022</v>
      </c>
    </row>
    <row r="133" s="5" customFormat="1" ht="13">
      <c r="A133" s="5" t="s">
        <v>44</v>
      </c>
      <c r="B133" s="5" t="s">
        <v>44</v>
      </c>
      <c r="C133" s="5" t="s">
        <v>116</v>
      </c>
      <c r="D133" s="5" t="s">
        <v>20</v>
      </c>
      <c r="E133" s="5" t="s">
        <v>44</v>
      </c>
      <c r="F133" s="5" t="s">
        <v>68</v>
      </c>
      <c r="G133" s="5" t="s">
        <v>62</v>
      </c>
      <c r="H133" s="9" t="s">
        <v>131</v>
      </c>
      <c r="I133" s="10">
        <v>42940</v>
      </c>
      <c r="J133" s="10">
        <v>44775</v>
      </c>
      <c r="K133" s="5" t="s">
        <v>118</v>
      </c>
      <c r="L133" s="5" t="s">
        <v>50</v>
      </c>
      <c r="M133" s="11">
        <v>0.070000000000000007</v>
      </c>
      <c r="N133" s="5" t="e">
        <f>IF(AND(M133&gt;#REF!,Cartera!O133="Guaraníes"),"Rendimiento significativo",IF(AND(M133&gt;#REF!,Cartera!O133="Dólares americanos"),"Rendimiento significativo","Rendimiento no significativo"))</f>
        <v>#REF!</v>
      </c>
      <c r="O133" s="5" t="s">
        <v>51</v>
      </c>
      <c r="P133" s="13">
        <v>3000</v>
      </c>
      <c r="Q133" s="12" t="e">
        <f>IF(O133="Guaraníes",P133,P133*#REF!)</f>
        <v>#REF!</v>
      </c>
      <c r="R133" s="12">
        <f>IF(O133="Guaraníes",P133/#REF!,P133)</f>
        <v>3000</v>
      </c>
      <c r="S133" s="5" t="s">
        <v>52</v>
      </c>
      <c r="AC133" s="5" t="str">
        <f t="shared" si="8"/>
        <v>Bonos</v>
      </c>
      <c r="AD133" s="5" t="s">
        <v>43</v>
      </c>
      <c r="AE133" s="5">
        <f t="shared" si="6"/>
        <v>8</v>
      </c>
      <c r="AF133" s="5">
        <f t="shared" si="7"/>
        <v>2022</v>
      </c>
    </row>
    <row r="134" s="5" customFormat="1" ht="13">
      <c r="A134" s="5" t="s">
        <v>44</v>
      </c>
      <c r="B134" s="5" t="s">
        <v>44</v>
      </c>
      <c r="C134" s="5" t="s">
        <v>116</v>
      </c>
      <c r="D134" s="5" t="s">
        <v>21</v>
      </c>
      <c r="E134" s="5" t="s">
        <v>44</v>
      </c>
      <c r="F134" s="5" t="s">
        <v>68</v>
      </c>
      <c r="G134" s="5" t="s">
        <v>62</v>
      </c>
      <c r="H134" s="9" t="s">
        <v>131</v>
      </c>
      <c r="I134" s="10"/>
      <c r="J134" s="10">
        <v>44775</v>
      </c>
      <c r="K134" s="5" t="s">
        <v>118</v>
      </c>
      <c r="L134" s="5" t="s">
        <v>58</v>
      </c>
      <c r="M134" s="11">
        <v>0.070000000000000007</v>
      </c>
      <c r="N134" s="5" t="e">
        <f>IF(AND(M134&gt;#REF!,Cartera!O134="Guaraníes"),"Rendimiento significativo",IF(AND(M134&gt;#REF!,Cartera!O134="Dólares americanos"),"Rendimiento significativo","Rendimiento no significativo"))</f>
        <v>#REF!</v>
      </c>
      <c r="O134" s="5" t="s">
        <v>51</v>
      </c>
      <c r="P134" s="13">
        <v>3056.0958900000001</v>
      </c>
      <c r="Q134" s="12" t="e">
        <f>IF(O134="Guaraníes",P134,P134*#REF!)</f>
        <v>#REF!</v>
      </c>
      <c r="R134" s="12">
        <f>IF(O134="Guaraníes",P134/#REF!,P134)</f>
        <v>3056.0958900000001</v>
      </c>
      <c r="S134" s="5" t="s">
        <v>52</v>
      </c>
      <c r="T134" s="5">
        <v>8</v>
      </c>
      <c r="U134" s="5">
        <v>3000</v>
      </c>
      <c r="V134" s="5">
        <v>60392730.136979997</v>
      </c>
      <c r="W134" s="5" t="s">
        <v>65</v>
      </c>
      <c r="X134" s="5">
        <v>100</v>
      </c>
      <c r="Y134" s="5">
        <v>1000</v>
      </c>
      <c r="Z134" s="5">
        <v>1018.69863</v>
      </c>
      <c r="AA134" s="5">
        <v>3</v>
      </c>
      <c r="AB134" s="5">
        <v>3056.0958900000001</v>
      </c>
      <c r="AC134" s="5" t="str">
        <f t="shared" si="8"/>
        <v>Bonos</v>
      </c>
      <c r="AD134" s="5" t="s">
        <v>43</v>
      </c>
      <c r="AE134" s="5">
        <f t="shared" si="6"/>
        <v>8</v>
      </c>
      <c r="AF134" s="5">
        <f t="shared" si="7"/>
        <v>2022</v>
      </c>
    </row>
    <row r="135" s="5" customFormat="1" ht="13">
      <c r="A135" s="5" t="s">
        <v>44</v>
      </c>
      <c r="B135" s="5" t="s">
        <v>44</v>
      </c>
      <c r="C135" s="5" t="s">
        <v>60</v>
      </c>
      <c r="D135" s="5" t="s">
        <v>21</v>
      </c>
      <c r="E135" s="5" t="s">
        <v>44</v>
      </c>
      <c r="F135" s="5" t="s">
        <v>61</v>
      </c>
      <c r="G135" s="5" t="s">
        <v>62</v>
      </c>
      <c r="H135" s="9" t="s">
        <v>63</v>
      </c>
      <c r="I135" s="10"/>
      <c r="J135" s="10">
        <v>44876</v>
      </c>
      <c r="K135" s="5" t="s">
        <v>64</v>
      </c>
      <c r="L135" s="5" t="s">
        <v>50</v>
      </c>
      <c r="M135" s="11">
        <v>0.052499999999999998</v>
      </c>
      <c r="N135" s="5" t="e">
        <f>IF(AND(M135&gt;#REF!,Cartera!O135="Guaraníes"),"Rendimiento significativo",IF(AND(M135&gt;#REF!,Cartera!O135="Dólares americanos"),"Rendimiento significativo","Rendimiento no significativo"))</f>
        <v>#REF!</v>
      </c>
      <c r="O135" s="5" t="s">
        <v>51</v>
      </c>
      <c r="P135" s="13">
        <v>789.65754000000004</v>
      </c>
      <c r="Q135" s="12" t="e">
        <f>IF(O135="Guaraníes",P135,P135*#REF!)</f>
        <v>#REF!</v>
      </c>
      <c r="R135" s="12">
        <f>IF(O135="Guaraníes",P135/#REF!,P135)</f>
        <v>789.65754000000004</v>
      </c>
      <c r="S135" s="5" t="s">
        <v>52</v>
      </c>
      <c r="T135" s="5">
        <v>8</v>
      </c>
      <c r="W135" s="5" t="s">
        <v>65</v>
      </c>
      <c r="X135" s="5">
        <v>0</v>
      </c>
      <c r="Y135" s="5">
        <v>0</v>
      </c>
      <c r="Z135" s="5">
        <v>26.321918</v>
      </c>
      <c r="AA135" s="5">
        <v>30</v>
      </c>
      <c r="AB135" s="5">
        <v>789.65754000000004</v>
      </c>
      <c r="AC135" s="5" t="str">
        <f t="shared" si="8"/>
        <v>Bonos</v>
      </c>
      <c r="AD135" s="5" t="s">
        <v>43</v>
      </c>
      <c r="AE135" s="5">
        <f t="shared" si="6"/>
        <v>11</v>
      </c>
      <c r="AF135" s="5">
        <f t="shared" si="7"/>
        <v>2022</v>
      </c>
    </row>
    <row r="136" s="5" customFormat="1" ht="13">
      <c r="A136" s="5" t="s">
        <v>44</v>
      </c>
      <c r="B136" s="5" t="s">
        <v>44</v>
      </c>
      <c r="C136" s="5" t="s">
        <v>122</v>
      </c>
      <c r="D136" s="5" t="s">
        <v>21</v>
      </c>
      <c r="E136" s="5" t="s">
        <v>44</v>
      </c>
      <c r="F136" s="5" t="s">
        <v>61</v>
      </c>
      <c r="G136" s="5" t="s">
        <v>62</v>
      </c>
      <c r="H136" s="9" t="s">
        <v>128</v>
      </c>
      <c r="I136" s="10"/>
      <c r="J136" s="10">
        <v>44917</v>
      </c>
      <c r="K136" s="5" t="s">
        <v>124</v>
      </c>
      <c r="L136" s="5" t="s">
        <v>50</v>
      </c>
      <c r="M136" s="11">
        <v>0.14499999999999999</v>
      </c>
      <c r="N136" s="5" t="e">
        <f>IF(AND(M136&gt;#REF!,Cartera!O136="Guaraníes"),"Rendimiento significativo",IF(AND(M136&gt;#REF!,Cartera!O136="Dólares americanos"),"Rendimiento significativo","Rendimiento no significativo"))</f>
        <v>#REF!</v>
      </c>
      <c r="O136" s="5" t="s">
        <v>41</v>
      </c>
      <c r="P136" s="12">
        <v>7349315.0685000001</v>
      </c>
      <c r="Q136" s="12">
        <f>IF(O136="Guaraníes",P136,P136*#REF!)</f>
        <v>7349315.0685000001</v>
      </c>
      <c r="R136" s="12" t="e">
        <f>IF(O136="Guaraníes",P136/#REF!,P136)</f>
        <v>#REF!</v>
      </c>
      <c r="S136" s="5" t="s">
        <v>52</v>
      </c>
      <c r="T136" s="5">
        <v>8</v>
      </c>
      <c r="W136" s="5" t="s">
        <v>65</v>
      </c>
      <c r="X136" s="5">
        <v>0</v>
      </c>
      <c r="Y136" s="5">
        <v>0</v>
      </c>
      <c r="Z136" s="5">
        <v>73493.150685000001</v>
      </c>
      <c r="AA136" s="5">
        <v>100</v>
      </c>
      <c r="AB136" s="5">
        <v>7349315.0685000001</v>
      </c>
      <c r="AC136" s="5" t="str">
        <f t="shared" si="8"/>
        <v>Bonos</v>
      </c>
      <c r="AD136" s="5" t="s">
        <v>43</v>
      </c>
      <c r="AE136" s="5">
        <f t="shared" si="6"/>
        <v>12</v>
      </c>
      <c r="AF136" s="5">
        <f t="shared" si="7"/>
        <v>2022</v>
      </c>
    </row>
    <row r="137" s="5" customFormat="1" ht="13">
      <c r="A137" s="5" t="s">
        <v>44</v>
      </c>
      <c r="B137" s="5" t="s">
        <v>44</v>
      </c>
      <c r="C137" s="5" t="s">
        <v>60</v>
      </c>
      <c r="D137" s="5" t="s">
        <v>21</v>
      </c>
      <c r="E137" s="5" t="s">
        <v>44</v>
      </c>
      <c r="F137" s="5" t="s">
        <v>61</v>
      </c>
      <c r="G137" s="5" t="s">
        <v>62</v>
      </c>
      <c r="H137" s="9" t="s">
        <v>63</v>
      </c>
      <c r="I137" s="10"/>
      <c r="J137" s="10">
        <v>45058</v>
      </c>
      <c r="K137" s="5" t="s">
        <v>64</v>
      </c>
      <c r="L137" s="5" t="s">
        <v>50</v>
      </c>
      <c r="M137" s="11">
        <v>0.052499999999999998</v>
      </c>
      <c r="N137" s="5" t="e">
        <f>IF(AND(M137&gt;#REF!,Cartera!O137="Guaraníes"),"Rendimiento significativo",IF(AND(M137&gt;#REF!,Cartera!O137="Dólares americanos"),"Rendimiento significativo","Rendimiento no significativo"))</f>
        <v>#REF!</v>
      </c>
      <c r="O137" s="5" t="s">
        <v>51</v>
      </c>
      <c r="P137" s="13">
        <v>785.34245999999996</v>
      </c>
      <c r="Q137" s="12" t="e">
        <f>IF(O137="Guaraníes",P137,P137*#REF!)</f>
        <v>#REF!</v>
      </c>
      <c r="R137" s="12">
        <f>IF(O137="Guaraníes",P137/#REF!,P137)</f>
        <v>785.34245999999996</v>
      </c>
      <c r="S137" s="5" t="s">
        <v>52</v>
      </c>
      <c r="T137" s="5">
        <v>8</v>
      </c>
      <c r="W137" s="5" t="s">
        <v>65</v>
      </c>
      <c r="X137" s="5">
        <v>0</v>
      </c>
      <c r="Y137" s="5">
        <v>0</v>
      </c>
      <c r="Z137" s="5">
        <v>26.178082</v>
      </c>
      <c r="AA137" s="5">
        <v>30</v>
      </c>
      <c r="AB137" s="5">
        <v>785.34245999999996</v>
      </c>
      <c r="AC137" s="5" t="str">
        <f t="shared" si="8"/>
        <v>Bonos</v>
      </c>
      <c r="AD137" s="5" t="s">
        <v>43</v>
      </c>
      <c r="AE137" s="5">
        <f t="shared" si="6"/>
        <v>5</v>
      </c>
      <c r="AF137" s="5">
        <f t="shared" si="7"/>
        <v>2023</v>
      </c>
    </row>
    <row r="138" s="5" customFormat="1" ht="13">
      <c r="A138" s="5" t="s">
        <v>44</v>
      </c>
      <c r="B138" s="5" t="s">
        <v>44</v>
      </c>
      <c r="C138" s="5" t="s">
        <v>122</v>
      </c>
      <c r="D138" s="5" t="s">
        <v>21</v>
      </c>
      <c r="E138" s="5" t="s">
        <v>44</v>
      </c>
      <c r="F138" s="5" t="s">
        <v>61</v>
      </c>
      <c r="G138" s="5" t="s">
        <v>62</v>
      </c>
      <c r="H138" s="9" t="s">
        <v>128</v>
      </c>
      <c r="I138" s="10"/>
      <c r="J138" s="10">
        <v>45099</v>
      </c>
      <c r="K138" s="5" t="s">
        <v>124</v>
      </c>
      <c r="L138" s="5" t="s">
        <v>50</v>
      </c>
      <c r="M138" s="11">
        <v>0.14499999999999999</v>
      </c>
      <c r="N138" s="5" t="e">
        <f>IF(AND(M138&gt;#REF!,Cartera!O138="Guaraníes"),"Rendimiento significativo",IF(AND(M138&gt;#REF!,Cartera!O138="Dólares americanos"),"Rendimiento significativo","Rendimiento no significativo"))</f>
        <v>#REF!</v>
      </c>
      <c r="O138" s="5" t="s">
        <v>41</v>
      </c>
      <c r="P138" s="12">
        <v>7230136.9863</v>
      </c>
      <c r="Q138" s="12">
        <f>IF(O138="Guaraníes",P138,P138*#REF!)</f>
        <v>7230136.9863</v>
      </c>
      <c r="R138" s="12" t="e">
        <f>IF(O138="Guaraníes",P138/#REF!,P138)</f>
        <v>#REF!</v>
      </c>
      <c r="S138" s="5" t="s">
        <v>52</v>
      </c>
      <c r="T138" s="5">
        <v>8</v>
      </c>
      <c r="W138" s="5" t="s">
        <v>65</v>
      </c>
      <c r="X138" s="5">
        <v>0</v>
      </c>
      <c r="Y138" s="5">
        <v>0</v>
      </c>
      <c r="Z138" s="5">
        <v>72301.369863</v>
      </c>
      <c r="AA138" s="5">
        <v>100</v>
      </c>
      <c r="AB138" s="5">
        <v>7230136.9863</v>
      </c>
      <c r="AC138" s="5" t="str">
        <f t="shared" si="8"/>
        <v>Bonos</v>
      </c>
      <c r="AD138" s="5" t="s">
        <v>43</v>
      </c>
      <c r="AE138" s="5">
        <f t="shared" si="6"/>
        <v>6</v>
      </c>
      <c r="AF138" s="5">
        <f t="shared" si="7"/>
        <v>2023</v>
      </c>
    </row>
    <row r="139" s="5" customFormat="1" ht="13">
      <c r="A139" s="5" t="s">
        <v>44</v>
      </c>
      <c r="B139" s="5" t="s">
        <v>44</v>
      </c>
      <c r="C139" s="5" t="s">
        <v>60</v>
      </c>
      <c r="D139" s="5" t="s">
        <v>21</v>
      </c>
      <c r="E139" s="5" t="s">
        <v>44</v>
      </c>
      <c r="F139" s="5" t="s">
        <v>61</v>
      </c>
      <c r="G139" s="5" t="s">
        <v>62</v>
      </c>
      <c r="H139" s="9" t="s">
        <v>63</v>
      </c>
      <c r="I139" s="10"/>
      <c r="J139" s="10">
        <v>45243</v>
      </c>
      <c r="K139" s="5" t="s">
        <v>64</v>
      </c>
      <c r="L139" s="5" t="s">
        <v>50</v>
      </c>
      <c r="M139" s="11">
        <v>0.052499999999999998</v>
      </c>
      <c r="N139" s="5" t="e">
        <f>IF(AND(M139&gt;#REF!,Cartera!O139="Guaraníes"),"Rendimiento significativo",IF(AND(M139&gt;#REF!,Cartera!O139="Dólares americanos"),"Rendimiento significativo","Rendimiento no significativo"))</f>
        <v>#REF!</v>
      </c>
      <c r="O139" s="5" t="s">
        <v>51</v>
      </c>
      <c r="P139" s="13">
        <v>798.28766999999993</v>
      </c>
      <c r="Q139" s="12" t="e">
        <f>IF(O139="Guaraníes",P139,P139*#REF!)</f>
        <v>#REF!</v>
      </c>
      <c r="R139" s="12">
        <f>IF(O139="Guaraníes",P139/#REF!,P139)</f>
        <v>798.28766999999993</v>
      </c>
      <c r="S139" s="5" t="s">
        <v>52</v>
      </c>
      <c r="T139" s="5">
        <v>8</v>
      </c>
      <c r="W139" s="5" t="s">
        <v>65</v>
      </c>
      <c r="X139" s="5">
        <v>0</v>
      </c>
      <c r="Y139" s="5">
        <v>0</v>
      </c>
      <c r="Z139" s="5">
        <v>26.609589</v>
      </c>
      <c r="AA139" s="5">
        <v>30</v>
      </c>
      <c r="AB139" s="5">
        <v>798.28767000000005</v>
      </c>
      <c r="AC139" s="5" t="str">
        <f t="shared" si="8"/>
        <v>Bonos</v>
      </c>
      <c r="AD139" s="5" t="s">
        <v>43</v>
      </c>
      <c r="AE139" s="5">
        <f t="shared" si="6"/>
        <v>11</v>
      </c>
      <c r="AF139" s="5">
        <f t="shared" si="7"/>
        <v>2023</v>
      </c>
    </row>
    <row r="140" s="5" customFormat="1" ht="13">
      <c r="A140" s="5" t="s">
        <v>44</v>
      </c>
      <c r="B140" s="5" t="s">
        <v>44</v>
      </c>
      <c r="C140" s="5" t="s">
        <v>122</v>
      </c>
      <c r="D140" s="5" t="s">
        <v>21</v>
      </c>
      <c r="E140" s="5" t="s">
        <v>44</v>
      </c>
      <c r="F140" s="5" t="s">
        <v>61</v>
      </c>
      <c r="G140" s="5" t="s">
        <v>62</v>
      </c>
      <c r="H140" s="9" t="s">
        <v>128</v>
      </c>
      <c r="I140" s="10"/>
      <c r="J140" s="10">
        <v>45282</v>
      </c>
      <c r="K140" s="5" t="s">
        <v>124</v>
      </c>
      <c r="L140" s="5" t="s">
        <v>50</v>
      </c>
      <c r="M140" s="11">
        <v>0.14499999999999999</v>
      </c>
      <c r="N140" s="5" t="e">
        <f>IF(AND(M140&gt;#REF!,Cartera!O140="Guaraníes"),"Rendimiento significativo",IF(AND(M140&gt;#REF!,Cartera!O140="Dólares americanos"),"Rendimiento significativo","Rendimiento no significativo"))</f>
        <v>#REF!</v>
      </c>
      <c r="O140" s="5" t="s">
        <v>41</v>
      </c>
      <c r="P140" s="12">
        <v>7269863.0137</v>
      </c>
      <c r="Q140" s="12">
        <f>IF(O140="Guaraníes",P140,P140*#REF!)</f>
        <v>7269863.0137</v>
      </c>
      <c r="R140" s="12" t="e">
        <f>IF(O140="Guaraníes",P140/#REF!,P140)</f>
        <v>#REF!</v>
      </c>
      <c r="S140" s="5" t="s">
        <v>52</v>
      </c>
      <c r="T140" s="5">
        <v>8</v>
      </c>
      <c r="W140" s="5" t="s">
        <v>65</v>
      </c>
      <c r="X140" s="5">
        <v>0</v>
      </c>
      <c r="Y140" s="5">
        <v>0</v>
      </c>
      <c r="Z140" s="5">
        <v>72698.630137</v>
      </c>
      <c r="AA140" s="5">
        <v>100</v>
      </c>
      <c r="AB140" s="5">
        <v>7269863.0137</v>
      </c>
      <c r="AC140" s="5" t="str">
        <f t="shared" si="8"/>
        <v>Bonos</v>
      </c>
      <c r="AD140" s="5" t="s">
        <v>43</v>
      </c>
      <c r="AE140" s="5">
        <f t="shared" si="6"/>
        <v>12</v>
      </c>
      <c r="AF140" s="5">
        <f t="shared" si="7"/>
        <v>2023</v>
      </c>
    </row>
    <row r="141" s="5" customFormat="1" ht="13">
      <c r="A141" s="5" t="s">
        <v>44</v>
      </c>
      <c r="B141" s="5" t="s">
        <v>44</v>
      </c>
      <c r="C141" s="5" t="s">
        <v>74</v>
      </c>
      <c r="D141" s="5" t="s">
        <v>21</v>
      </c>
      <c r="E141" s="5" t="s">
        <v>44</v>
      </c>
      <c r="F141" s="5" t="s">
        <v>68</v>
      </c>
      <c r="H141" s="9" t="s">
        <v>133</v>
      </c>
      <c r="I141" s="10">
        <v>45329</v>
      </c>
      <c r="J141" s="10">
        <v>45600</v>
      </c>
      <c r="K141" s="5" t="s">
        <v>77</v>
      </c>
      <c r="L141" s="5" t="s">
        <v>82</v>
      </c>
      <c r="M141" s="11">
        <v>0.086499999999999994</v>
      </c>
      <c r="N141" s="5" t="e">
        <f>IF(AND(M141&gt;#REF!,Cartera!O3547="Guaraníes"),"Rendimiento significativo",IF(AND(M141&gt;#REF!,Cartera!O3547="Dólares americanos"),"Rendimiento significativo","Rendimiento no significativo"))</f>
        <v>#REF!</v>
      </c>
      <c r="O141" s="5" t="s">
        <v>41</v>
      </c>
      <c r="P141" s="12">
        <v>3234863</v>
      </c>
      <c r="Q141" s="12">
        <f>IF(O141="Guaraníes",P141,P141*#REF!)</f>
        <v>3234863</v>
      </c>
      <c r="R141" s="12" t="e">
        <f>IF(O141="Guaraníes",P141/#REF!,P141)</f>
        <v>#REF!</v>
      </c>
      <c r="S141" s="5" t="s">
        <v>52</v>
      </c>
      <c r="AC141" s="5" t="str">
        <f t="shared" si="8"/>
        <v>CDA</v>
      </c>
      <c r="AD141" s="5" t="s">
        <v>43</v>
      </c>
      <c r="AE141" s="5">
        <f t="shared" ref="AE141:AE158" si="9">IFERROR((MONTH(J141)),0)</f>
        <v>11</v>
      </c>
      <c r="AF141" s="5">
        <f t="shared" ref="AF141:AF158" si="10">IFERROR((YEAR(J141)),0)</f>
        <v>2024</v>
      </c>
    </row>
    <row r="142" s="5" customFormat="1" ht="13">
      <c r="A142" s="5" t="s">
        <v>44</v>
      </c>
      <c r="B142" s="5" t="s">
        <v>44</v>
      </c>
      <c r="C142" s="5" t="s">
        <v>122</v>
      </c>
      <c r="D142" s="5" t="s">
        <v>21</v>
      </c>
      <c r="E142" s="5" t="s">
        <v>44</v>
      </c>
      <c r="F142" s="5" t="s">
        <v>61</v>
      </c>
      <c r="G142" s="5" t="s">
        <v>62</v>
      </c>
      <c r="H142" s="9" t="s">
        <v>128</v>
      </c>
      <c r="I142" s="10"/>
      <c r="J142" s="10">
        <v>45467</v>
      </c>
      <c r="K142" s="5" t="s">
        <v>124</v>
      </c>
      <c r="L142" s="5" t="s">
        <v>50</v>
      </c>
      <c r="M142" s="11">
        <v>0.14499999999999999</v>
      </c>
      <c r="N142" s="5" t="e">
        <f>IF(AND(M142&gt;#REF!,Cartera!O142="Guaraníes"),"Rendimiento significativo",IF(AND(M142&gt;#REF!,Cartera!O142="Dólares americanos"),"Rendimiento significativo","Rendimiento no significativo"))</f>
        <v>#REF!</v>
      </c>
      <c r="O142" s="5" t="s">
        <v>41</v>
      </c>
      <c r="P142" s="12">
        <v>7349315.0685000001</v>
      </c>
      <c r="Q142" s="12">
        <f>IF(O142="Guaraníes",P142,P142*#REF!)</f>
        <v>7349315.0685000001</v>
      </c>
      <c r="R142" s="12" t="e">
        <f>IF(O142="Guaraníes",P142/#REF!,P142)</f>
        <v>#REF!</v>
      </c>
      <c r="S142" s="5" t="s">
        <v>52</v>
      </c>
      <c r="T142" s="5">
        <v>8</v>
      </c>
      <c r="W142" s="5" t="s">
        <v>65</v>
      </c>
      <c r="X142" s="5">
        <v>0</v>
      </c>
      <c r="Y142" s="5">
        <v>0</v>
      </c>
      <c r="Z142" s="5">
        <v>73493.150685000001</v>
      </c>
      <c r="AA142" s="5">
        <v>100</v>
      </c>
      <c r="AB142" s="5">
        <v>7349315.0685000001</v>
      </c>
      <c r="AC142" s="5" t="str">
        <f t="shared" si="8"/>
        <v>Bonos</v>
      </c>
      <c r="AD142" s="5" t="s">
        <v>43</v>
      </c>
      <c r="AE142" s="5">
        <f t="shared" si="9"/>
        <v>6</v>
      </c>
      <c r="AF142" s="5">
        <f t="shared" si="10"/>
        <v>2024</v>
      </c>
    </row>
    <row r="143" s="5" customFormat="1" ht="13">
      <c r="A143" s="5" t="s">
        <v>44</v>
      </c>
      <c r="B143" s="5" t="s">
        <v>44</v>
      </c>
      <c r="C143" s="5" t="s">
        <v>67</v>
      </c>
      <c r="D143" s="5" t="s">
        <v>21</v>
      </c>
      <c r="E143" s="5" t="s">
        <v>44</v>
      </c>
      <c r="F143" s="5" t="s">
        <v>68</v>
      </c>
      <c r="G143" s="5" t="s">
        <v>69</v>
      </c>
      <c r="H143" s="9" t="s">
        <v>70</v>
      </c>
      <c r="I143" s="10"/>
      <c r="J143" s="10">
        <v>45338</v>
      </c>
      <c r="K143" s="5" t="s">
        <v>71</v>
      </c>
      <c r="L143" s="5" t="s">
        <v>58</v>
      </c>
      <c r="M143" s="11">
        <v>0.067500000000000004</v>
      </c>
      <c r="N143" s="5" t="e">
        <f>IF(AND(M143&gt;#REF!,Cartera!O2507="Guaraníes"),"Rendimiento significativo",IF(AND(M143&gt;#REF!,Cartera!O2507="Dólares americanos"),"Rendimiento significativo","Rendimiento no significativo"))</f>
        <v>#REF!</v>
      </c>
      <c r="O143" s="5" t="s">
        <v>51</v>
      </c>
      <c r="P143" s="13">
        <v>149.03999999999999</v>
      </c>
      <c r="Q143" s="13" t="e">
        <f>IF(O143="Guaraníes",P143,P143*#REF!)</f>
        <v>#REF!</v>
      </c>
      <c r="R143" s="12">
        <f>IF(O143="Guaraníes",P143/#REF!,P143)</f>
        <v>149.03999999999999</v>
      </c>
      <c r="S143" s="5" t="s">
        <v>52</v>
      </c>
      <c r="T143" s="5">
        <v>593</v>
      </c>
      <c r="W143" s="5" t="s">
        <v>134</v>
      </c>
      <c r="X143" s="5">
        <v>0</v>
      </c>
      <c r="Y143" s="5">
        <v>0</v>
      </c>
      <c r="Z143" s="5">
        <v>16.301369999999999</v>
      </c>
      <c r="AA143" s="5">
        <v>8</v>
      </c>
      <c r="AB143" s="5">
        <v>130.41095999999999</v>
      </c>
      <c r="AC143" s="5" t="str">
        <f t="shared" si="8"/>
        <v>Bonos</v>
      </c>
      <c r="AD143" s="5" t="s">
        <v>43</v>
      </c>
      <c r="AE143" s="5">
        <f t="shared" si="9"/>
        <v>2</v>
      </c>
      <c r="AF143" s="5">
        <f t="shared" si="10"/>
        <v>2024</v>
      </c>
    </row>
    <row r="144" s="5" customFormat="1" ht="13">
      <c r="A144" s="5" t="s">
        <v>44</v>
      </c>
      <c r="B144" s="5" t="s">
        <v>44</v>
      </c>
      <c r="C144" s="5" t="s">
        <v>135</v>
      </c>
      <c r="D144" s="5" t="s">
        <v>21</v>
      </c>
      <c r="E144" s="5" t="s">
        <v>44</v>
      </c>
      <c r="F144" s="5" t="s">
        <v>68</v>
      </c>
      <c r="G144" s="5" t="s">
        <v>75</v>
      </c>
      <c r="H144" s="9" t="s">
        <v>136</v>
      </c>
      <c r="I144" s="10"/>
      <c r="J144" s="10">
        <v>45642</v>
      </c>
      <c r="K144" s="5" t="s">
        <v>124</v>
      </c>
      <c r="L144" s="5" t="s">
        <v>58</v>
      </c>
      <c r="M144" s="11">
        <v>0.060999999999999999</v>
      </c>
      <c r="N144" s="5" t="e">
        <f>IF(AND(M144&gt;#REF!,Cartera!O898="Guaraníes"),"Rendimiento significativo",IF(AND(M144&gt;#REF!,Cartera!O898="Dólares americanos"),"Rendimiento significativo","Rendimiento no significativo"))</f>
        <v>#REF!</v>
      </c>
      <c r="O144" s="5" t="s">
        <v>41</v>
      </c>
      <c r="P144" s="12">
        <v>1738082</v>
      </c>
      <c r="Q144" s="12">
        <f>IF(O144="Guaraníes",P144,P144*#REF!)</f>
        <v>1738082</v>
      </c>
      <c r="R144" s="12" t="e">
        <f>IF(O144="Guaraníes",P144/#REF!,P144)</f>
        <v>#REF!</v>
      </c>
      <c r="S144" s="5" t="s">
        <v>52</v>
      </c>
      <c r="T144" s="5">
        <v>25</v>
      </c>
      <c r="W144" s="5" t="s">
        <v>137</v>
      </c>
      <c r="X144" s="5">
        <v>14.28571429</v>
      </c>
      <c r="Y144" s="5">
        <v>142857.14290000001</v>
      </c>
      <c r="Z144" s="5">
        <v>151547.55385200001</v>
      </c>
      <c r="AA144" s="5">
        <v>200</v>
      </c>
      <c r="AB144" s="5">
        <v>30309510.770399999</v>
      </c>
      <c r="AC144" s="5" t="str">
        <f t="shared" si="8"/>
        <v>Bonos</v>
      </c>
      <c r="AD144" s="5" t="s">
        <v>43</v>
      </c>
      <c r="AE144" s="5">
        <f t="shared" si="9"/>
        <v>12</v>
      </c>
      <c r="AF144" s="5">
        <f t="shared" si="10"/>
        <v>2024</v>
      </c>
    </row>
    <row r="145" s="5" customFormat="1" ht="13">
      <c r="A145" s="5">
        <v>12316</v>
      </c>
      <c r="B145" s="5" t="s">
        <v>78</v>
      </c>
      <c r="C145" s="5" t="s">
        <v>138</v>
      </c>
      <c r="D145" s="5" t="s">
        <v>21</v>
      </c>
      <c r="E145" s="5" t="s">
        <v>34</v>
      </c>
      <c r="F145" s="5" t="s">
        <v>68</v>
      </c>
      <c r="G145" s="5" t="s">
        <v>86</v>
      </c>
      <c r="H145" s="9" t="s">
        <v>139</v>
      </c>
      <c r="I145" s="10">
        <v>43948</v>
      </c>
      <c r="J145" s="10">
        <v>45684</v>
      </c>
      <c r="K145" s="5" t="s">
        <v>140</v>
      </c>
      <c r="L145" s="5" t="s">
        <v>58</v>
      </c>
      <c r="M145" s="11">
        <v>0.11</v>
      </c>
      <c r="N145" s="5" t="e">
        <f>IF(AND(M145&gt;#REF!,Cartera!O3280="Guaraníes"),"Rendimiento significativo",IF(AND(M145&gt;#REF!,Cartera!O3280="Dólares americanos"),"Rendimiento significativo","Rendimiento no significativo"))</f>
        <v>#REF!</v>
      </c>
      <c r="O145" s="5" t="s">
        <v>41</v>
      </c>
      <c r="P145" s="12">
        <v>964383.56160000002</v>
      </c>
      <c r="Q145" s="13">
        <f>IF(O145="Guaraníes",P145,P145*#REF!)</f>
        <v>964383.56160000002</v>
      </c>
      <c r="R145" s="12" t="e">
        <f>IF(O145="Guaraníes",P145/#REF!,P145)</f>
        <v>#REF!</v>
      </c>
      <c r="S145" s="5" t="s">
        <v>42</v>
      </c>
      <c r="AC145" s="5" t="str">
        <f t="shared" si="8"/>
        <v>Bonos</v>
      </c>
      <c r="AD145" s="5" t="s">
        <v>43</v>
      </c>
      <c r="AE145" s="5">
        <f t="shared" si="9"/>
        <v>1</v>
      </c>
      <c r="AF145" s="5">
        <f t="shared" si="10"/>
        <v>2025</v>
      </c>
    </row>
    <row r="146" s="5" customFormat="1" ht="13">
      <c r="A146" s="5">
        <v>12301</v>
      </c>
      <c r="B146" s="5" t="s">
        <v>107</v>
      </c>
      <c r="C146" s="5" t="s">
        <v>122</v>
      </c>
      <c r="D146" s="5" t="s">
        <v>20</v>
      </c>
      <c r="E146" s="5" t="s">
        <v>34</v>
      </c>
      <c r="F146" s="5" t="s">
        <v>61</v>
      </c>
      <c r="G146" s="5" t="s">
        <v>62</v>
      </c>
      <c r="H146" s="9" t="s">
        <v>128</v>
      </c>
      <c r="I146" s="10">
        <v>42412</v>
      </c>
      <c r="J146" s="10">
        <v>45827</v>
      </c>
      <c r="K146" s="5" t="s">
        <v>124</v>
      </c>
      <c r="L146" s="5" t="s">
        <v>50</v>
      </c>
      <c r="M146" s="11">
        <v>0.14499999999999999</v>
      </c>
      <c r="N146" s="5" t="e">
        <f>IF(AND(M146&gt;#REF!,Cartera!O146="Guaraníes"),"Rendimiento significativo",IF(AND(M146&gt;#REF!,Cartera!O146="Dólares americanos"),"Rendimiento significativo","Rendimiento no significativo"))</f>
        <v>#REF!</v>
      </c>
      <c r="O146" s="5" t="s">
        <v>41</v>
      </c>
      <c r="P146" s="12">
        <v>100000000</v>
      </c>
      <c r="Q146" s="12">
        <f>IF(O146="Guaraníes",P146,P146*#REF!)</f>
        <v>100000000</v>
      </c>
      <c r="R146" s="12" t="e">
        <f>IF(O146="Guaraníes",P146/#REF!,P146)</f>
        <v>#REF!</v>
      </c>
      <c r="S146" s="5" t="s">
        <v>42</v>
      </c>
      <c r="T146" s="5">
        <v>8</v>
      </c>
      <c r="AC146" s="5" t="str">
        <f t="shared" si="8"/>
        <v>Bonos</v>
      </c>
      <c r="AD146" s="5" t="s">
        <v>43</v>
      </c>
      <c r="AE146" s="5">
        <f t="shared" si="9"/>
        <v>6</v>
      </c>
      <c r="AF146" s="5">
        <f t="shared" si="10"/>
        <v>2025</v>
      </c>
    </row>
    <row r="147" s="5" customFormat="1" ht="13">
      <c r="A147" s="5">
        <v>12315</v>
      </c>
      <c r="B147" s="5" t="s">
        <v>73</v>
      </c>
      <c r="C147" s="5" t="s">
        <v>33</v>
      </c>
      <c r="D147" s="5" t="s">
        <v>21</v>
      </c>
      <c r="E147" s="5" t="s">
        <v>34</v>
      </c>
      <c r="F147" s="5" t="s">
        <v>35</v>
      </c>
      <c r="G147" s="5" t="s">
        <v>141</v>
      </c>
      <c r="H147" s="9" t="s">
        <v>142</v>
      </c>
      <c r="I147" s="10">
        <v>44956</v>
      </c>
      <c r="J147" s="10">
        <v>45685</v>
      </c>
      <c r="K147" s="5" t="s">
        <v>39</v>
      </c>
      <c r="L147" s="5" t="s">
        <v>50</v>
      </c>
      <c r="M147" s="11">
        <v>0.065000000000000002</v>
      </c>
      <c r="N147" s="5" t="e">
        <f>IF(AND(M147&gt;#REF!,Cartera!O3064="Guaraníes"),"Rendimiento significativo",IF(AND(M147&gt;#REF!,Cartera!O3064="Dólares americanos"),"Rendimiento significativo","Rendimiento no significativo"))</f>
        <v>#REF!</v>
      </c>
      <c r="O147" s="5" t="s">
        <v>51</v>
      </c>
      <c r="P147" s="13">
        <v>1296.43832</v>
      </c>
      <c r="Q147" s="13" t="e">
        <f>IF(O147="Guaraníes",P147,P147*#REF!)</f>
        <v>#REF!</v>
      </c>
      <c r="R147" s="12">
        <f>IF(O147="Guaraníes",P147/#REF!,P147)</f>
        <v>1296.43832</v>
      </c>
      <c r="S147" s="5" t="s">
        <v>42</v>
      </c>
      <c r="AC147" s="5" t="str">
        <f t="shared" si="8"/>
        <v>Bonos</v>
      </c>
      <c r="AD147" s="5" t="s">
        <v>43</v>
      </c>
      <c r="AE147" s="5">
        <f t="shared" si="9"/>
        <v>1</v>
      </c>
      <c r="AF147" s="5">
        <f t="shared" si="10"/>
        <v>2025</v>
      </c>
    </row>
    <row r="148" s="5" customFormat="1" ht="13">
      <c r="A148" s="5">
        <v>12315</v>
      </c>
      <c r="B148" s="5" t="s">
        <v>73</v>
      </c>
      <c r="C148" s="5" t="s">
        <v>143</v>
      </c>
      <c r="D148" s="5" t="s">
        <v>21</v>
      </c>
      <c r="E148" s="5" t="s">
        <v>34</v>
      </c>
      <c r="F148" s="5" t="s">
        <v>144</v>
      </c>
      <c r="G148" s="5" t="s">
        <v>145</v>
      </c>
      <c r="H148" s="9" t="s">
        <v>146</v>
      </c>
      <c r="I148" s="10"/>
      <c r="J148" s="10">
        <v>45688</v>
      </c>
      <c r="K148" s="5" t="s">
        <v>49</v>
      </c>
      <c r="L148" s="5" t="s">
        <v>106</v>
      </c>
      <c r="M148" s="11">
        <v>0.060999999999999999</v>
      </c>
      <c r="N148" s="5" t="e">
        <f>IF(AND(M148&gt;#REF!,Cartera!O1508="Guaraníes"),"Rendimiento significativo",IF(AND(M148&gt;#REF!,Cartera!O1508="Dólares americanos"),"Rendimiento significativo","Rendimiento no significativo"))</f>
        <v>#REF!</v>
      </c>
      <c r="O148" s="5" t="s">
        <v>51</v>
      </c>
      <c r="P148" s="13">
        <v>213.9178</v>
      </c>
      <c r="Q148" s="12" t="e">
        <f>IF(O148="Guaraníes",P148,P148*#REF!)</f>
        <v>#REF!</v>
      </c>
      <c r="R148" s="12">
        <f>IF(O148="Guaraníes",P148/#REF!,P148)</f>
        <v>213.9178</v>
      </c>
      <c r="S148" s="5" t="s">
        <v>42</v>
      </c>
      <c r="T148" s="5">
        <v>1057</v>
      </c>
      <c r="W148" s="5" t="s">
        <v>65</v>
      </c>
      <c r="X148" s="5">
        <v>0</v>
      </c>
      <c r="Y148" s="5">
        <v>0</v>
      </c>
      <c r="Z148" s="5">
        <v>5.3479450000000002</v>
      </c>
      <c r="AA148" s="5">
        <v>40</v>
      </c>
      <c r="AB148" s="5">
        <v>213.9178</v>
      </c>
      <c r="AC148" s="5" t="str">
        <f t="shared" si="8"/>
        <v>Bonos</v>
      </c>
      <c r="AD148" s="5" t="s">
        <v>43</v>
      </c>
      <c r="AE148" s="5">
        <f t="shared" si="9"/>
        <v>1</v>
      </c>
      <c r="AF148" s="5">
        <f t="shared" si="10"/>
        <v>2025</v>
      </c>
    </row>
    <row r="149" s="5" customFormat="1" ht="13">
      <c r="A149" s="5">
        <v>12302</v>
      </c>
      <c r="B149" s="5" t="s">
        <v>98</v>
      </c>
      <c r="C149" s="5" t="s">
        <v>60</v>
      </c>
      <c r="D149" s="5" t="s">
        <v>20</v>
      </c>
      <c r="E149" s="5" t="s">
        <v>34</v>
      </c>
      <c r="F149" s="5" t="s">
        <v>61</v>
      </c>
      <c r="G149" s="5" t="s">
        <v>62</v>
      </c>
      <c r="H149" s="9" t="s">
        <v>63</v>
      </c>
      <c r="I149" s="10">
        <v>44361</v>
      </c>
      <c r="J149" s="10">
        <v>46154</v>
      </c>
      <c r="K149" s="5" t="s">
        <v>64</v>
      </c>
      <c r="L149" s="5" t="s">
        <v>50</v>
      </c>
      <c r="M149" s="11">
        <v>0.052499999999999998</v>
      </c>
      <c r="N149" s="5" t="e">
        <f>IF(AND(M149&gt;#REF!,Cartera!O149="Guaraníes"),"Rendimiento significativo",IF(AND(M149&gt;#REF!,Cartera!O149="Dólares americanos"),"Rendimiento significativo","Rendimiento no significativo"))</f>
        <v>#REF!</v>
      </c>
      <c r="O149" s="5" t="s">
        <v>51</v>
      </c>
      <c r="P149" s="13">
        <v>30000</v>
      </c>
      <c r="Q149" s="12" t="e">
        <f>IF(O149="Guaraníes",P149,P149*#REF!)</f>
        <v>#REF!</v>
      </c>
      <c r="R149" s="12">
        <f>IF(O149="Guaraníes",P149/#REF!,P149)</f>
        <v>30000</v>
      </c>
      <c r="S149" s="5" t="s">
        <v>42</v>
      </c>
      <c r="AC149" s="5" t="str">
        <f t="shared" si="8"/>
        <v>Bonos</v>
      </c>
      <c r="AD149" s="5" t="s">
        <v>43</v>
      </c>
      <c r="AE149" s="5">
        <f t="shared" si="9"/>
        <v>5</v>
      </c>
      <c r="AF149" s="5">
        <f t="shared" si="10"/>
        <v>2026</v>
      </c>
    </row>
    <row r="150" s="5" customFormat="1" ht="13">
      <c r="A150" s="5" t="s">
        <v>44</v>
      </c>
      <c r="B150" s="5" t="s">
        <v>44</v>
      </c>
      <c r="C150" s="5" t="s">
        <v>54</v>
      </c>
      <c r="D150" s="5" t="s">
        <v>21</v>
      </c>
      <c r="E150" s="5" t="s">
        <v>44</v>
      </c>
      <c r="F150" s="5" t="s">
        <v>46</v>
      </c>
      <c r="G150" s="5" t="s">
        <v>86</v>
      </c>
      <c r="H150" s="9" t="s">
        <v>147</v>
      </c>
      <c r="I150" s="10"/>
      <c r="J150" s="10">
        <v>44102</v>
      </c>
      <c r="K150" s="5" t="s">
        <v>57</v>
      </c>
      <c r="L150" s="5" t="s">
        <v>58</v>
      </c>
      <c r="M150" s="11">
        <v>0.12</v>
      </c>
      <c r="N150" s="5" t="e">
        <f>IF(AND(M150&gt;#REF!,Cartera!O150="Guaraníes"),"Rendimiento significativo",IF(AND(M150&gt;#REF!,Cartera!O150="Dólares americanos"),"Rendimiento significativo","Rendimiento no significativo"))</f>
        <v>#REF!</v>
      </c>
      <c r="O150" s="5" t="s">
        <v>41</v>
      </c>
      <c r="P150" s="12">
        <v>2991780.8218999999</v>
      </c>
      <c r="Q150" s="12">
        <f>IF(O150="Guaraníes",P150,P150*#REF!)</f>
        <v>2991780.8218999999</v>
      </c>
      <c r="R150" s="12" t="e">
        <f>IF(O150="Guaraníes",P150/#REF!,P150)</f>
        <v>#REF!</v>
      </c>
      <c r="S150" s="5" t="s">
        <v>52</v>
      </c>
      <c r="T150" s="5">
        <v>10834</v>
      </c>
      <c r="W150" s="5" t="s">
        <v>65</v>
      </c>
      <c r="X150" s="5">
        <v>0</v>
      </c>
      <c r="Y150" s="5">
        <v>0</v>
      </c>
      <c r="Z150" s="5">
        <v>29917.808218999999</v>
      </c>
      <c r="AA150" s="5">
        <v>100</v>
      </c>
      <c r="AB150" s="5">
        <v>2991780.8218999999</v>
      </c>
      <c r="AC150" s="5" t="str">
        <f t="shared" si="8"/>
        <v>Bonos</v>
      </c>
      <c r="AD150" s="5" t="s">
        <v>43</v>
      </c>
      <c r="AE150" s="5">
        <f t="shared" si="9"/>
        <v>9</v>
      </c>
      <c r="AF150" s="5">
        <f t="shared" si="10"/>
        <v>2020</v>
      </c>
    </row>
    <row r="151" s="5" customFormat="1" ht="13">
      <c r="A151" s="5" t="s">
        <v>44</v>
      </c>
      <c r="B151" s="5" t="s">
        <v>44</v>
      </c>
      <c r="C151" s="5" t="s">
        <v>45</v>
      </c>
      <c r="D151" s="5" t="s">
        <v>21</v>
      </c>
      <c r="E151" s="5" t="s">
        <v>44</v>
      </c>
      <c r="F151" s="5" t="s">
        <v>46</v>
      </c>
      <c r="G151" s="5" t="s">
        <v>86</v>
      </c>
      <c r="H151" s="9" t="s">
        <v>48</v>
      </c>
      <c r="I151" s="10"/>
      <c r="J151" s="10">
        <v>44130</v>
      </c>
      <c r="K151" s="5" t="s">
        <v>49</v>
      </c>
      <c r="L151" s="5" t="s">
        <v>50</v>
      </c>
      <c r="M151" s="11">
        <v>0.070000000000000007</v>
      </c>
      <c r="N151" s="5" t="e">
        <f>IF(AND(M151&gt;#REF!,Cartera!O151="Guaraníes"),"Rendimiento significativo",IF(AND(M151&gt;#REF!,Cartera!O151="Dólares americanos"),"Rendimiento significativo","Rendimiento no significativo"))</f>
        <v>#REF!</v>
      </c>
      <c r="O151" s="5" t="s">
        <v>51</v>
      </c>
      <c r="P151" s="13">
        <v>872.60275000000001</v>
      </c>
      <c r="Q151" s="12" t="e">
        <f>IF(O151="Guaraníes",P151,P151*#REF!)</f>
        <v>#REF!</v>
      </c>
      <c r="R151" s="12">
        <f>IF(O151="Guaraníes",P151/#REF!,P151)</f>
        <v>872.60275000000001</v>
      </c>
      <c r="S151" s="5" t="s">
        <v>52</v>
      </c>
      <c r="T151" s="5">
        <v>10834</v>
      </c>
      <c r="W151" s="5" t="s">
        <v>65</v>
      </c>
      <c r="X151" s="5">
        <v>0</v>
      </c>
      <c r="Y151" s="5">
        <v>0</v>
      </c>
      <c r="Z151" s="5">
        <v>17.452055000000001</v>
      </c>
      <c r="AA151" s="5">
        <v>50</v>
      </c>
      <c r="AB151" s="5">
        <v>872.60275000000001</v>
      </c>
      <c r="AC151" s="5" t="str">
        <f t="shared" si="8"/>
        <v>Bonos</v>
      </c>
      <c r="AD151" s="5" t="s">
        <v>43</v>
      </c>
      <c r="AE151" s="5">
        <f t="shared" si="9"/>
        <v>10</v>
      </c>
      <c r="AF151" s="5">
        <f t="shared" si="10"/>
        <v>2020</v>
      </c>
    </row>
    <row r="152" s="5" customFormat="1" ht="13">
      <c r="A152" s="5" t="s">
        <v>44</v>
      </c>
      <c r="B152" s="5" t="s">
        <v>44</v>
      </c>
      <c r="C152" s="5" t="s">
        <v>54</v>
      </c>
      <c r="D152" s="5" t="s">
        <v>21</v>
      </c>
      <c r="E152" s="5" t="s">
        <v>44</v>
      </c>
      <c r="F152" s="5" t="s">
        <v>46</v>
      </c>
      <c r="G152" s="5" t="s">
        <v>86</v>
      </c>
      <c r="H152" s="9" t="s">
        <v>147</v>
      </c>
      <c r="I152" s="10"/>
      <c r="J152" s="10">
        <v>44193</v>
      </c>
      <c r="K152" s="5" t="s">
        <v>57</v>
      </c>
      <c r="L152" s="5" t="s">
        <v>58</v>
      </c>
      <c r="M152" s="11">
        <v>0.12</v>
      </c>
      <c r="N152" s="5" t="e">
        <f>IF(AND(M152&gt;#REF!,Cartera!O152="Guaraníes"),"Rendimiento significativo",IF(AND(M152&gt;#REF!,Cartera!O152="Dólares americanos"),"Rendimiento significativo","Rendimiento no significativo"))</f>
        <v>#REF!</v>
      </c>
      <c r="O152" s="5" t="s">
        <v>41</v>
      </c>
      <c r="P152" s="12">
        <v>2991780.8218999999</v>
      </c>
      <c r="Q152" s="12">
        <f>IF(O152="Guaraníes",P152,P152*#REF!)</f>
        <v>2991780.8218999999</v>
      </c>
      <c r="R152" s="12" t="e">
        <f>IF(O152="Guaraníes",P152/#REF!,P152)</f>
        <v>#REF!</v>
      </c>
      <c r="S152" s="5" t="s">
        <v>52</v>
      </c>
      <c r="T152" s="5">
        <v>10834</v>
      </c>
      <c r="W152" s="5" t="s">
        <v>65</v>
      </c>
      <c r="X152" s="5">
        <v>0</v>
      </c>
      <c r="Y152" s="5">
        <v>0</v>
      </c>
      <c r="Z152" s="5">
        <v>29917.808218999999</v>
      </c>
      <c r="AA152" s="5">
        <v>100</v>
      </c>
      <c r="AB152" s="5">
        <v>2991780.8218999999</v>
      </c>
      <c r="AC152" s="5" t="str">
        <f t="shared" si="8"/>
        <v>Bonos</v>
      </c>
      <c r="AD152" s="5" t="s">
        <v>43</v>
      </c>
      <c r="AE152" s="5">
        <f t="shared" si="9"/>
        <v>12</v>
      </c>
      <c r="AF152" s="5">
        <f t="shared" si="10"/>
        <v>2020</v>
      </c>
    </row>
    <row r="153" s="5" customFormat="1" ht="13">
      <c r="A153" s="5" t="s">
        <v>44</v>
      </c>
      <c r="B153" s="5" t="s">
        <v>44</v>
      </c>
      <c r="C153" s="5" t="s">
        <v>45</v>
      </c>
      <c r="D153" s="5" t="s">
        <v>21</v>
      </c>
      <c r="E153" s="5" t="s">
        <v>44</v>
      </c>
      <c r="F153" s="5" t="s">
        <v>46</v>
      </c>
      <c r="G153" s="5" t="s">
        <v>86</v>
      </c>
      <c r="H153" s="9" t="s">
        <v>48</v>
      </c>
      <c r="I153" s="10"/>
      <c r="J153" s="10">
        <v>44221</v>
      </c>
      <c r="K153" s="5" t="s">
        <v>49</v>
      </c>
      <c r="L153" s="5" t="s">
        <v>50</v>
      </c>
      <c r="M153" s="11">
        <v>0.070000000000000007</v>
      </c>
      <c r="N153" s="5" t="e">
        <f>IF(AND(M153&gt;#REF!,Cartera!O153="Guaraníes"),"Rendimiento significativo",IF(AND(M153&gt;#REF!,Cartera!O153="Dólares americanos"),"Rendimiento significativo","Rendimiento no significativo"))</f>
        <v>#REF!</v>
      </c>
      <c r="O153" s="5" t="s">
        <v>51</v>
      </c>
      <c r="P153" s="13">
        <v>872.60275000000001</v>
      </c>
      <c r="Q153" s="12" t="e">
        <f>IF(O153="Guaraníes",P153,P153*#REF!)</f>
        <v>#REF!</v>
      </c>
      <c r="R153" s="12">
        <f>IF(O153="Guaraníes",P153/#REF!,P153)</f>
        <v>872.60275000000001</v>
      </c>
      <c r="S153" s="5" t="s">
        <v>52</v>
      </c>
      <c r="T153" s="5">
        <v>10834</v>
      </c>
      <c r="W153" s="5" t="s">
        <v>65</v>
      </c>
      <c r="X153" s="5">
        <v>0</v>
      </c>
      <c r="Y153" s="5">
        <v>0</v>
      </c>
      <c r="Z153" s="5">
        <v>17.452055000000001</v>
      </c>
      <c r="AA153" s="5">
        <v>50</v>
      </c>
      <c r="AB153" s="5">
        <v>872.60275000000001</v>
      </c>
      <c r="AC153" s="5" t="str">
        <f t="shared" si="8"/>
        <v>Bonos</v>
      </c>
      <c r="AD153" s="5" t="s">
        <v>43</v>
      </c>
      <c r="AE153" s="5">
        <f t="shared" si="9"/>
        <v>1</v>
      </c>
      <c r="AF153" s="5">
        <f t="shared" si="10"/>
        <v>2021</v>
      </c>
    </row>
    <row r="154" s="5" customFormat="1" ht="13">
      <c r="A154" s="5" t="s">
        <v>44</v>
      </c>
      <c r="B154" s="5" t="s">
        <v>44</v>
      </c>
      <c r="C154" s="5" t="s">
        <v>54</v>
      </c>
      <c r="D154" s="5" t="s">
        <v>21</v>
      </c>
      <c r="E154" s="5" t="s">
        <v>44</v>
      </c>
      <c r="F154" s="5" t="s">
        <v>46</v>
      </c>
      <c r="G154" s="5" t="s">
        <v>86</v>
      </c>
      <c r="H154" s="9" t="s">
        <v>147</v>
      </c>
      <c r="I154" s="10"/>
      <c r="J154" s="10">
        <v>44284</v>
      </c>
      <c r="K154" s="5" t="s">
        <v>57</v>
      </c>
      <c r="L154" s="5" t="s">
        <v>58</v>
      </c>
      <c r="M154" s="11">
        <v>0.12</v>
      </c>
      <c r="N154" s="5" t="e">
        <f>IF(AND(M154&gt;#REF!,Cartera!O154="Guaraníes"),"Rendimiento significativo",IF(AND(M154&gt;#REF!,Cartera!O154="Dólares americanos"),"Rendimiento significativo","Rendimiento no significativo"))</f>
        <v>#REF!</v>
      </c>
      <c r="O154" s="5" t="s">
        <v>41</v>
      </c>
      <c r="P154" s="12">
        <v>2991780.8218999999</v>
      </c>
      <c r="Q154" s="12">
        <f>IF(O154="Guaraníes",P154,P154*#REF!)</f>
        <v>2991780.8218999999</v>
      </c>
      <c r="R154" s="12" t="e">
        <f>IF(O154="Guaraníes",P154/#REF!,P154)</f>
        <v>#REF!</v>
      </c>
      <c r="S154" s="5" t="s">
        <v>52</v>
      </c>
      <c r="T154" s="5">
        <v>10834</v>
      </c>
      <c r="W154" s="5" t="s">
        <v>65</v>
      </c>
      <c r="X154" s="5">
        <v>0</v>
      </c>
      <c r="Y154" s="5">
        <v>0</v>
      </c>
      <c r="Z154" s="5">
        <v>29917.808218999999</v>
      </c>
      <c r="AA154" s="5">
        <v>100</v>
      </c>
      <c r="AB154" s="5">
        <v>2991780.8218999999</v>
      </c>
      <c r="AC154" s="5" t="str">
        <f t="shared" si="8"/>
        <v>Bonos</v>
      </c>
      <c r="AD154" s="5" t="s">
        <v>43</v>
      </c>
      <c r="AE154" s="5">
        <f t="shared" si="9"/>
        <v>3</v>
      </c>
      <c r="AF154" s="5">
        <f t="shared" si="10"/>
        <v>2021</v>
      </c>
    </row>
    <row r="155" s="5" customFormat="1" ht="13">
      <c r="A155" s="5" t="s">
        <v>44</v>
      </c>
      <c r="B155" s="5" t="s">
        <v>44</v>
      </c>
      <c r="C155" s="5" t="s">
        <v>54</v>
      </c>
      <c r="D155" s="5" t="s">
        <v>21</v>
      </c>
      <c r="E155" s="5" t="s">
        <v>44</v>
      </c>
      <c r="F155" s="5" t="s">
        <v>46</v>
      </c>
      <c r="G155" s="5" t="s">
        <v>86</v>
      </c>
      <c r="H155" s="9" t="s">
        <v>148</v>
      </c>
      <c r="I155" s="10"/>
      <c r="J155" s="10">
        <v>44284</v>
      </c>
      <c r="K155" s="5" t="s">
        <v>57</v>
      </c>
      <c r="L155" s="5" t="s">
        <v>58</v>
      </c>
      <c r="M155" s="11">
        <v>0.097500000000000003</v>
      </c>
      <c r="N155" s="5" t="e">
        <f>IF(AND(M155&gt;#REF!,Cartera!O155="Guaraníes"),"Rendimiento significativo",IF(AND(M155&gt;#REF!,Cartera!O155="Dólares americanos"),"Rendimiento significativo","Rendimiento no significativo"))</f>
        <v>#REF!</v>
      </c>
      <c r="O155" s="5" t="s">
        <v>41</v>
      </c>
      <c r="P155" s="12">
        <v>13623287.671</v>
      </c>
      <c r="Q155" s="12">
        <f>IF(O155="Guaraníes",P155,P155*#REF!)</f>
        <v>13623287.671</v>
      </c>
      <c r="R155" s="12" t="e">
        <f>IF(O155="Guaraníes",P155/#REF!,P155)</f>
        <v>#REF!</v>
      </c>
      <c r="S155" s="5" t="s">
        <v>52</v>
      </c>
      <c r="T155" s="5">
        <v>10834</v>
      </c>
      <c r="W155" s="5" t="s">
        <v>65</v>
      </c>
      <c r="X155" s="5">
        <v>0</v>
      </c>
      <c r="Y155" s="5">
        <v>0</v>
      </c>
      <c r="Z155" s="5">
        <v>27246.575342</v>
      </c>
      <c r="AA155" s="5">
        <v>500</v>
      </c>
      <c r="AB155" s="5">
        <v>13623287.671</v>
      </c>
      <c r="AC155" s="5" t="str">
        <f t="shared" si="8"/>
        <v>Bonos</v>
      </c>
      <c r="AD155" s="5" t="s">
        <v>43</v>
      </c>
      <c r="AE155" s="5">
        <f t="shared" si="9"/>
        <v>3</v>
      </c>
      <c r="AF155" s="5">
        <f t="shared" si="10"/>
        <v>2021</v>
      </c>
    </row>
    <row r="156" s="5" customFormat="1" ht="13">
      <c r="A156" s="5">
        <v>12312</v>
      </c>
      <c r="B156" s="5" t="s">
        <v>149</v>
      </c>
      <c r="C156" s="5" t="s">
        <v>150</v>
      </c>
      <c r="D156" s="5" t="s">
        <v>20</v>
      </c>
      <c r="E156" s="5" t="s">
        <v>34</v>
      </c>
      <c r="F156" s="5" t="s">
        <v>46</v>
      </c>
      <c r="G156" s="5" t="s">
        <v>86</v>
      </c>
      <c r="H156" s="9" t="s">
        <v>151</v>
      </c>
      <c r="I156" s="10" t="s">
        <v>152</v>
      </c>
      <c r="J156" s="10" t="s">
        <v>152</v>
      </c>
      <c r="K156" s="5" t="s">
        <v>153</v>
      </c>
      <c r="L156" s="5" t="s">
        <v>151</v>
      </c>
      <c r="M156" s="11">
        <v>0.044999999999999998</v>
      </c>
      <c r="N156" s="5" t="e">
        <f>IF(AND(M156&gt;#REF!,Cartera!O156="Guaraníes"),"Rendimiento significativo",IF(AND(M156&gt;#REF!,Cartera!O156="Dólares americanos"),"Rendimiento significativo","Rendimiento no significativo"))</f>
        <v>#REF!</v>
      </c>
      <c r="O156" s="5" t="s">
        <v>41</v>
      </c>
      <c r="P156" s="12">
        <v>0</v>
      </c>
      <c r="Q156" s="12">
        <f>IF(O156="Guaraníes",P156,P156*#REF!)</f>
        <v>0</v>
      </c>
      <c r="R156" s="13" t="e">
        <f>IF(O156="Guaraníes",P156/#REF!,P156)</f>
        <v>#REF!</v>
      </c>
      <c r="S156" s="5" t="s">
        <v>120</v>
      </c>
      <c r="AC156" s="5" t="str">
        <f t="shared" si="8"/>
        <v>Fondo</v>
      </c>
      <c r="AD156" s="5" t="s">
        <v>43</v>
      </c>
      <c r="AE156" s="5">
        <f t="shared" si="9"/>
        <v>0</v>
      </c>
      <c r="AF156" s="5">
        <f t="shared" si="10"/>
        <v>0</v>
      </c>
    </row>
    <row r="157" s="5" customFormat="1" ht="13">
      <c r="A157" s="5" t="s">
        <v>44</v>
      </c>
      <c r="B157" s="5" t="s">
        <v>44</v>
      </c>
      <c r="C157" s="5" t="s">
        <v>45</v>
      </c>
      <c r="D157" s="5" t="s">
        <v>21</v>
      </c>
      <c r="E157" s="5" t="s">
        <v>44</v>
      </c>
      <c r="F157" s="5" t="s">
        <v>46</v>
      </c>
      <c r="G157" s="5" t="s">
        <v>86</v>
      </c>
      <c r="H157" s="9" t="s">
        <v>48</v>
      </c>
      <c r="I157" s="10"/>
      <c r="J157" s="10">
        <v>44312</v>
      </c>
      <c r="K157" s="5" t="s">
        <v>49</v>
      </c>
      <c r="L157" s="5" t="s">
        <v>50</v>
      </c>
      <c r="M157" s="11">
        <v>0.070000000000000007</v>
      </c>
      <c r="N157" s="5" t="e">
        <f>IF(AND(M157&gt;#REF!,Cartera!O157="Guaraníes"),"Rendimiento significativo",IF(AND(M157&gt;#REF!,Cartera!O157="Dólares americanos"),"Rendimiento significativo","Rendimiento no significativo"))</f>
        <v>#REF!</v>
      </c>
      <c r="O157" s="5" t="s">
        <v>51</v>
      </c>
      <c r="P157" s="13">
        <v>872.60275000000001</v>
      </c>
      <c r="Q157" s="12" t="e">
        <f>IF(O157="Guaraníes",P157,P157*#REF!)</f>
        <v>#REF!</v>
      </c>
      <c r="R157" s="12">
        <f>IF(O157="Guaraníes",P157/#REF!,P157)</f>
        <v>872.60275000000001</v>
      </c>
      <c r="S157" s="5" t="s">
        <v>52</v>
      </c>
      <c r="T157" s="5">
        <v>10834</v>
      </c>
      <c r="W157" s="5" t="s">
        <v>65</v>
      </c>
      <c r="X157" s="5">
        <v>0</v>
      </c>
      <c r="Y157" s="5">
        <v>0</v>
      </c>
      <c r="Z157" s="5">
        <v>17.452055000000001</v>
      </c>
      <c r="AA157" s="5">
        <v>50</v>
      </c>
      <c r="AB157" s="5">
        <v>872.60275000000001</v>
      </c>
      <c r="AC157" s="5" t="str">
        <f t="shared" si="8"/>
        <v>Bonos</v>
      </c>
      <c r="AD157" s="5" t="s">
        <v>43</v>
      </c>
      <c r="AE157" s="5">
        <f t="shared" si="9"/>
        <v>4</v>
      </c>
      <c r="AF157" s="5">
        <f t="shared" si="10"/>
        <v>2021</v>
      </c>
    </row>
    <row r="158" s="5" customFormat="1" ht="13">
      <c r="A158" s="5">
        <v>12314</v>
      </c>
      <c r="B158" s="5" t="s">
        <v>154</v>
      </c>
      <c r="C158" s="5" t="s">
        <v>150</v>
      </c>
      <c r="D158" s="5" t="s">
        <v>20</v>
      </c>
      <c r="E158" s="5" t="s">
        <v>34</v>
      </c>
      <c r="F158" s="5" t="s">
        <v>46</v>
      </c>
      <c r="G158" s="5" t="s">
        <v>86</v>
      </c>
      <c r="H158" s="9" t="s">
        <v>151</v>
      </c>
      <c r="I158" s="10" t="s">
        <v>152</v>
      </c>
      <c r="J158" s="10" t="s">
        <v>152</v>
      </c>
      <c r="K158" s="5" t="s">
        <v>153</v>
      </c>
      <c r="L158" s="5" t="s">
        <v>151</v>
      </c>
      <c r="M158" s="11">
        <v>0.025000000000000001</v>
      </c>
      <c r="N158" s="5" t="e">
        <f>IF(AND(M158&gt;#REF!,Cartera!O158="Guaraníes"),"Rendimiento significativo",IF(AND(M158&gt;#REF!,Cartera!O158="Dólares americanos"),"Rendimiento significativo","Rendimiento no significativo"))</f>
        <v>#REF!</v>
      </c>
      <c r="O158" s="5" t="s">
        <v>51</v>
      </c>
      <c r="P158" s="13">
        <v>317.69999999999999</v>
      </c>
      <c r="Q158" s="12" t="e">
        <f>IF(O158="Guaraníes",P158,P158*#REF!)</f>
        <v>#REF!</v>
      </c>
      <c r="R158" s="12">
        <f>IF(O158="Guaraníes",P158/#REF!,P158)</f>
        <v>317.69999999999999</v>
      </c>
      <c r="S158" s="5" t="s">
        <v>52</v>
      </c>
      <c r="AC158" s="5" t="str">
        <f t="shared" si="8"/>
        <v>Fondo</v>
      </c>
      <c r="AD158" s="5" t="s">
        <v>43</v>
      </c>
      <c r="AE158" s="5">
        <f t="shared" si="9"/>
        <v>0</v>
      </c>
      <c r="AF158" s="5">
        <f t="shared" si="10"/>
        <v>0</v>
      </c>
    </row>
    <row r="159" s="5" customFormat="1" ht="13">
      <c r="A159" s="5" t="s">
        <v>44</v>
      </c>
      <c r="B159" s="5" t="s">
        <v>44</v>
      </c>
      <c r="C159" s="5" t="s">
        <v>54</v>
      </c>
      <c r="D159" s="5" t="s">
        <v>21</v>
      </c>
      <c r="E159" s="5" t="s">
        <v>44</v>
      </c>
      <c r="F159" s="5" t="s">
        <v>46</v>
      </c>
      <c r="G159" s="5" t="s">
        <v>86</v>
      </c>
      <c r="H159" s="9" t="s">
        <v>147</v>
      </c>
      <c r="I159" s="10"/>
      <c r="J159" s="10">
        <v>44375</v>
      </c>
      <c r="K159" s="5" t="s">
        <v>57</v>
      </c>
      <c r="L159" s="5" t="s">
        <v>58</v>
      </c>
      <c r="M159" s="11">
        <v>0.12</v>
      </c>
      <c r="N159" s="5" t="e">
        <f>IF(AND(M159&gt;#REF!,Cartera!O159="Guaraníes"),"Rendimiento significativo",IF(AND(M159&gt;#REF!,Cartera!O159="Dólares americanos"),"Rendimiento significativo","Rendimiento no significativo"))</f>
        <v>#REF!</v>
      </c>
      <c r="O159" s="5" t="s">
        <v>41</v>
      </c>
      <c r="P159" s="12">
        <v>2991780.8218999999</v>
      </c>
      <c r="Q159" s="12">
        <f>IF(O159="Guaraníes",P159,P159*#REF!)</f>
        <v>2991780.8218999999</v>
      </c>
      <c r="R159" s="12" t="e">
        <f>IF(O159="Guaraníes",P159/#REF!,P159)</f>
        <v>#REF!</v>
      </c>
      <c r="S159" s="5" t="s">
        <v>52</v>
      </c>
      <c r="T159" s="5">
        <v>10834</v>
      </c>
      <c r="W159" s="5" t="s">
        <v>65</v>
      </c>
      <c r="X159" s="5">
        <v>0</v>
      </c>
      <c r="Y159" s="5">
        <v>0</v>
      </c>
      <c r="Z159" s="5">
        <v>29917.808218999999</v>
      </c>
      <c r="AA159" s="5">
        <v>100</v>
      </c>
      <c r="AB159" s="5">
        <v>2991780.8218999999</v>
      </c>
      <c r="AC159" s="5" t="str">
        <f t="shared" si="8"/>
        <v>Bonos</v>
      </c>
      <c r="AD159" s="5" t="s">
        <v>43</v>
      </c>
      <c r="AE159" s="5">
        <f t="shared" ref="AE159:AE222" si="11">IFERROR((MONTH(J159)),0)</f>
        <v>6</v>
      </c>
      <c r="AF159" s="5">
        <f t="shared" ref="AF159:AF222" si="12">IFERROR((YEAR(J159)),0)</f>
        <v>2021</v>
      </c>
    </row>
    <row r="160" s="5" customFormat="1" ht="13">
      <c r="A160" s="5" t="s">
        <v>44</v>
      </c>
      <c r="B160" s="5" t="s">
        <v>44</v>
      </c>
      <c r="C160" s="5" t="s">
        <v>54</v>
      </c>
      <c r="D160" s="5" t="s">
        <v>21</v>
      </c>
      <c r="E160" s="5" t="s">
        <v>44</v>
      </c>
      <c r="F160" s="5" t="s">
        <v>46</v>
      </c>
      <c r="G160" s="5" t="s">
        <v>86</v>
      </c>
      <c r="H160" s="9" t="s">
        <v>148</v>
      </c>
      <c r="I160" s="10"/>
      <c r="J160" s="10">
        <v>44375</v>
      </c>
      <c r="K160" s="5" t="s">
        <v>57</v>
      </c>
      <c r="L160" s="5" t="s">
        <v>58</v>
      </c>
      <c r="M160" s="11">
        <v>0.097500000000000003</v>
      </c>
      <c r="N160" s="5" t="e">
        <f>IF(AND(M160&gt;#REF!,Cartera!O160="Guaraníes"),"Rendimiento significativo",IF(AND(M160&gt;#REF!,Cartera!O160="Dólares americanos"),"Rendimiento significativo","Rendimiento no significativo"))</f>
        <v>#REF!</v>
      </c>
      <c r="O160" s="5" t="s">
        <v>41</v>
      </c>
      <c r="P160" s="12">
        <v>12154109.589</v>
      </c>
      <c r="Q160" s="12">
        <f>IF(O160="Guaraníes",P160,P160*#REF!)</f>
        <v>12154109.589</v>
      </c>
      <c r="R160" s="12" t="e">
        <f>IF(O160="Guaraníes",P160/#REF!,P160)</f>
        <v>#REF!</v>
      </c>
      <c r="S160" s="5" t="s">
        <v>52</v>
      </c>
      <c r="T160" s="5">
        <v>10834</v>
      </c>
      <c r="W160" s="5" t="s">
        <v>65</v>
      </c>
      <c r="X160" s="5">
        <v>0</v>
      </c>
      <c r="Y160" s="5">
        <v>0</v>
      </c>
      <c r="Z160" s="5">
        <v>24308.219177999999</v>
      </c>
      <c r="AA160" s="5">
        <v>500</v>
      </c>
      <c r="AB160" s="5">
        <v>12154109.589</v>
      </c>
      <c r="AC160" s="5" t="str">
        <f t="shared" si="8"/>
        <v>Bonos</v>
      </c>
      <c r="AD160" s="5" t="s">
        <v>43</v>
      </c>
      <c r="AE160" s="5">
        <f t="shared" si="11"/>
        <v>6</v>
      </c>
      <c r="AF160" s="5">
        <f t="shared" si="12"/>
        <v>2021</v>
      </c>
    </row>
    <row r="161" s="5" customFormat="1" ht="13">
      <c r="A161" s="5" t="s">
        <v>44</v>
      </c>
      <c r="B161" s="5" t="s">
        <v>44</v>
      </c>
      <c r="C161" s="5" t="s">
        <v>45</v>
      </c>
      <c r="D161" s="5" t="s">
        <v>21</v>
      </c>
      <c r="E161" s="5" t="s">
        <v>44</v>
      </c>
      <c r="F161" s="5" t="s">
        <v>46</v>
      </c>
      <c r="G161" s="5" t="s">
        <v>86</v>
      </c>
      <c r="H161" s="9" t="s">
        <v>48</v>
      </c>
      <c r="I161" s="10"/>
      <c r="J161" s="10">
        <v>44403</v>
      </c>
      <c r="K161" s="5" t="s">
        <v>49</v>
      </c>
      <c r="L161" s="5" t="s">
        <v>50</v>
      </c>
      <c r="M161" s="11">
        <v>0.070000000000000007</v>
      </c>
      <c r="N161" s="5" t="e">
        <f>IF(AND(M161&gt;#REF!,Cartera!O161="Guaraníes"),"Rendimiento significativo",IF(AND(M161&gt;#REF!,Cartera!O161="Dólares americanos"),"Rendimiento significativo","Rendimiento no significativo"))</f>
        <v>#REF!</v>
      </c>
      <c r="O161" s="5" t="s">
        <v>51</v>
      </c>
      <c r="P161" s="13">
        <v>872.60275000000001</v>
      </c>
      <c r="Q161" s="12" t="e">
        <f>IF(O161="Guaraníes",P161,P161*#REF!)</f>
        <v>#REF!</v>
      </c>
      <c r="R161" s="12">
        <f>IF(O161="Guaraníes",P161/#REF!,P161)</f>
        <v>872.60275000000001</v>
      </c>
      <c r="S161" s="5" t="s">
        <v>52</v>
      </c>
      <c r="T161" s="5">
        <v>10834</v>
      </c>
      <c r="W161" s="5" t="s">
        <v>65</v>
      </c>
      <c r="X161" s="5">
        <v>0</v>
      </c>
      <c r="Y161" s="5">
        <v>0</v>
      </c>
      <c r="Z161" s="5">
        <v>17.452055000000001</v>
      </c>
      <c r="AA161" s="5">
        <v>50</v>
      </c>
      <c r="AB161" s="5">
        <v>872.60275000000001</v>
      </c>
      <c r="AC161" s="5" t="str">
        <f t="shared" si="8"/>
        <v>Bonos</v>
      </c>
      <c r="AD161" s="5" t="s">
        <v>43</v>
      </c>
      <c r="AE161" s="5">
        <f t="shared" si="11"/>
        <v>7</v>
      </c>
      <c r="AF161" s="5">
        <f t="shared" si="12"/>
        <v>2021</v>
      </c>
    </row>
    <row r="162" s="5" customFormat="1" ht="13">
      <c r="A162" s="5" t="s">
        <v>44</v>
      </c>
      <c r="B162" s="5" t="s">
        <v>44</v>
      </c>
      <c r="C162" s="5" t="s">
        <v>99</v>
      </c>
      <c r="D162" s="5" t="s">
        <v>21</v>
      </c>
      <c r="E162" s="5" t="s">
        <v>44</v>
      </c>
      <c r="F162" s="5" t="s">
        <v>100</v>
      </c>
      <c r="G162" s="5" t="s">
        <v>86</v>
      </c>
      <c r="H162" s="9" t="s">
        <v>155</v>
      </c>
      <c r="I162" s="10"/>
      <c r="J162" s="10">
        <v>44442</v>
      </c>
      <c r="K162" s="5" t="s">
        <v>102</v>
      </c>
      <c r="L162" s="5" t="s">
        <v>102</v>
      </c>
      <c r="M162" s="11">
        <v>0.081000000000000003</v>
      </c>
      <c r="N162" s="5" t="e">
        <f>IF(AND(M162&gt;#REF!,Cartera!O162="Guaraníes"),"Rendimiento significativo",IF(AND(M162&gt;#REF!,Cartera!O162="Dólares americanos"),"Rendimiento significativo","Rendimiento no significativo"))</f>
        <v>#REF!</v>
      </c>
      <c r="O162" s="5" t="s">
        <v>41</v>
      </c>
      <c r="P162" s="12">
        <v>28000000</v>
      </c>
      <c r="Q162" s="12">
        <f>IF(O162="Guaraníes",P162,P162*#REF!)</f>
        <v>28000000</v>
      </c>
      <c r="R162" s="12" t="e">
        <f>IF(O162="Guaraníes",P162/#REF!,P162)</f>
        <v>#REF!</v>
      </c>
      <c r="S162" s="5" t="s">
        <v>52</v>
      </c>
      <c r="T162" s="5">
        <v>10834</v>
      </c>
      <c r="W162" s="5" t="s">
        <v>65</v>
      </c>
      <c r="X162" s="5">
        <v>0</v>
      </c>
      <c r="Y162" s="5">
        <v>0</v>
      </c>
      <c r="Z162" s="5">
        <v>40000</v>
      </c>
      <c r="AA162" s="5">
        <v>700</v>
      </c>
      <c r="AB162" s="5">
        <v>28000000</v>
      </c>
      <c r="AC162" s="5" t="str">
        <f t="shared" si="8"/>
        <v>Bonos</v>
      </c>
      <c r="AD162" s="5" t="s">
        <v>43</v>
      </c>
      <c r="AE162" s="5">
        <f t="shared" si="11"/>
        <v>9</v>
      </c>
      <c r="AF162" s="5">
        <f t="shared" si="12"/>
        <v>2021</v>
      </c>
    </row>
    <row r="163" s="5" customFormat="1" ht="13">
      <c r="A163" s="5" t="s">
        <v>44</v>
      </c>
      <c r="B163" s="5" t="s">
        <v>44</v>
      </c>
      <c r="C163" s="5" t="s">
        <v>54</v>
      </c>
      <c r="D163" s="5" t="s">
        <v>21</v>
      </c>
      <c r="E163" s="5" t="s">
        <v>44</v>
      </c>
      <c r="F163" s="5" t="s">
        <v>46</v>
      </c>
      <c r="G163" s="5" t="s">
        <v>86</v>
      </c>
      <c r="H163" s="9" t="s">
        <v>147</v>
      </c>
      <c r="I163" s="10"/>
      <c r="J163" s="10">
        <v>44466</v>
      </c>
      <c r="K163" s="5" t="s">
        <v>57</v>
      </c>
      <c r="L163" s="5" t="s">
        <v>58</v>
      </c>
      <c r="M163" s="11">
        <v>0.12</v>
      </c>
      <c r="N163" s="5" t="e">
        <f>IF(AND(M163&gt;#REF!,Cartera!O163="Guaraníes"),"Rendimiento significativo",IF(AND(M163&gt;#REF!,Cartera!O163="Dólares americanos"),"Rendimiento significativo","Rendimiento no significativo"))</f>
        <v>#REF!</v>
      </c>
      <c r="O163" s="5" t="s">
        <v>41</v>
      </c>
      <c r="P163" s="12">
        <v>2991780.8218999999</v>
      </c>
      <c r="Q163" s="12">
        <f>IF(O163="Guaraníes",P163,P163*#REF!)</f>
        <v>2991780.8218999999</v>
      </c>
      <c r="R163" s="12" t="e">
        <f>IF(O163="Guaraníes",P163/#REF!,P163)</f>
        <v>#REF!</v>
      </c>
      <c r="S163" s="5" t="s">
        <v>52</v>
      </c>
      <c r="T163" s="5">
        <v>10834</v>
      </c>
      <c r="W163" s="5" t="s">
        <v>65</v>
      </c>
      <c r="X163" s="5">
        <v>0</v>
      </c>
      <c r="Y163" s="5">
        <v>0</v>
      </c>
      <c r="Z163" s="5">
        <v>29917.808218999999</v>
      </c>
      <c r="AA163" s="5">
        <v>100</v>
      </c>
      <c r="AB163" s="5">
        <v>2991780.8218999999</v>
      </c>
      <c r="AC163" s="5" t="str">
        <f t="shared" si="8"/>
        <v>Bonos</v>
      </c>
      <c r="AD163" s="5" t="s">
        <v>43</v>
      </c>
      <c r="AE163" s="5">
        <f t="shared" si="11"/>
        <v>9</v>
      </c>
      <c r="AF163" s="5">
        <f t="shared" si="12"/>
        <v>2021</v>
      </c>
    </row>
    <row r="164" s="5" customFormat="1" ht="13">
      <c r="A164" s="5" t="s">
        <v>44</v>
      </c>
      <c r="B164" s="5" t="s">
        <v>44</v>
      </c>
      <c r="C164" s="5" t="s">
        <v>54</v>
      </c>
      <c r="D164" s="5" t="s">
        <v>21</v>
      </c>
      <c r="E164" s="5" t="s">
        <v>44</v>
      </c>
      <c r="F164" s="5" t="s">
        <v>46</v>
      </c>
      <c r="G164" s="5" t="s">
        <v>86</v>
      </c>
      <c r="H164" s="9" t="s">
        <v>148</v>
      </c>
      <c r="I164" s="10"/>
      <c r="J164" s="10">
        <v>44466</v>
      </c>
      <c r="K164" s="5" t="s">
        <v>57</v>
      </c>
      <c r="L164" s="5" t="s">
        <v>58</v>
      </c>
      <c r="M164" s="11">
        <v>0.097500000000000003</v>
      </c>
      <c r="N164" s="5" t="e">
        <f>IF(AND(M164&gt;#REF!,Cartera!O164="Guaraníes"),"Rendimiento significativo",IF(AND(M164&gt;#REF!,Cartera!O164="Dólares americanos"),"Rendimiento significativo","Rendimiento no significativo"))</f>
        <v>#REF!</v>
      </c>
      <c r="O164" s="5" t="s">
        <v>41</v>
      </c>
      <c r="P164" s="12">
        <v>12154109.589</v>
      </c>
      <c r="Q164" s="12">
        <f>IF(O164="Guaraníes",P164,P164*#REF!)</f>
        <v>12154109.589</v>
      </c>
      <c r="R164" s="12" t="e">
        <f>IF(O164="Guaraníes",P164/#REF!,P164)</f>
        <v>#REF!</v>
      </c>
      <c r="S164" s="5" t="s">
        <v>52</v>
      </c>
      <c r="T164" s="5">
        <v>10834</v>
      </c>
      <c r="W164" s="5" t="s">
        <v>65</v>
      </c>
      <c r="X164" s="5">
        <v>0</v>
      </c>
      <c r="Y164" s="5">
        <v>0</v>
      </c>
      <c r="Z164" s="5">
        <v>24308.219177999999</v>
      </c>
      <c r="AA164" s="5">
        <v>500</v>
      </c>
      <c r="AB164" s="5">
        <v>12154109.589</v>
      </c>
      <c r="AC164" s="5" t="str">
        <f t="shared" si="8"/>
        <v>Bonos</v>
      </c>
      <c r="AD164" s="5" t="s">
        <v>43</v>
      </c>
      <c r="AE164" s="5">
        <f t="shared" si="11"/>
        <v>9</v>
      </c>
      <c r="AF164" s="5">
        <f t="shared" si="12"/>
        <v>2021</v>
      </c>
    </row>
    <row r="165" s="5" customFormat="1" ht="13">
      <c r="A165" s="5" t="s">
        <v>44</v>
      </c>
      <c r="B165" s="5" t="s">
        <v>44</v>
      </c>
      <c r="C165" s="5" t="s">
        <v>45</v>
      </c>
      <c r="D165" s="5" t="s">
        <v>21</v>
      </c>
      <c r="E165" s="5" t="s">
        <v>44</v>
      </c>
      <c r="F165" s="5" t="s">
        <v>46</v>
      </c>
      <c r="G165" s="5" t="s">
        <v>86</v>
      </c>
      <c r="H165" s="9" t="s">
        <v>48</v>
      </c>
      <c r="I165" s="10"/>
      <c r="J165" s="10">
        <v>44494</v>
      </c>
      <c r="K165" s="5" t="s">
        <v>49</v>
      </c>
      <c r="L165" s="5" t="s">
        <v>50</v>
      </c>
      <c r="M165" s="11">
        <v>0.070000000000000007</v>
      </c>
      <c r="N165" s="5" t="e">
        <f>IF(AND(M165&gt;#REF!,Cartera!O165="Guaraníes"),"Rendimiento significativo",IF(AND(M165&gt;#REF!,Cartera!O165="Dólares americanos"),"Rendimiento significativo","Rendimiento no significativo"))</f>
        <v>#REF!</v>
      </c>
      <c r="O165" s="5" t="s">
        <v>51</v>
      </c>
      <c r="P165" s="13">
        <v>872.60275000000001</v>
      </c>
      <c r="Q165" s="12" t="e">
        <f>IF(O165="Guaraníes",P165,P165*#REF!)</f>
        <v>#REF!</v>
      </c>
      <c r="R165" s="12">
        <f>IF(O165="Guaraníes",P165/#REF!,P165)</f>
        <v>872.60275000000001</v>
      </c>
      <c r="S165" s="5" t="s">
        <v>52</v>
      </c>
      <c r="T165" s="5">
        <v>10834</v>
      </c>
      <c r="W165" s="5" t="s">
        <v>65</v>
      </c>
      <c r="X165" s="5">
        <v>0</v>
      </c>
      <c r="Y165" s="5">
        <v>0</v>
      </c>
      <c r="Z165" s="5">
        <v>17.452055000000001</v>
      </c>
      <c r="AA165" s="5">
        <v>50</v>
      </c>
      <c r="AB165" s="5">
        <v>872.60275000000001</v>
      </c>
      <c r="AC165" s="5" t="str">
        <f t="shared" si="8"/>
        <v>Bonos</v>
      </c>
      <c r="AD165" s="5" t="s">
        <v>43</v>
      </c>
      <c r="AE165" s="5">
        <f t="shared" si="11"/>
        <v>10</v>
      </c>
      <c r="AF165" s="5">
        <f t="shared" si="12"/>
        <v>2021</v>
      </c>
    </row>
    <row r="166" s="5" customFormat="1" ht="13">
      <c r="A166" s="5" t="s">
        <v>44</v>
      </c>
      <c r="B166" s="5" t="s">
        <v>44</v>
      </c>
      <c r="C166" s="5" t="s">
        <v>54</v>
      </c>
      <c r="D166" s="5" t="s">
        <v>21</v>
      </c>
      <c r="E166" s="5" t="s">
        <v>44</v>
      </c>
      <c r="F166" s="5" t="s">
        <v>46</v>
      </c>
      <c r="G166" s="5" t="s">
        <v>86</v>
      </c>
      <c r="H166" s="9" t="s">
        <v>147</v>
      </c>
      <c r="I166" s="10"/>
      <c r="J166" s="10">
        <v>44557</v>
      </c>
      <c r="K166" s="5" t="s">
        <v>57</v>
      </c>
      <c r="L166" s="5" t="s">
        <v>58</v>
      </c>
      <c r="M166" s="11">
        <v>0.12</v>
      </c>
      <c r="N166" s="5" t="e">
        <f>IF(AND(M166&gt;#REF!,Cartera!O166="Guaraníes"),"Rendimiento significativo",IF(AND(M166&gt;#REF!,Cartera!O166="Dólares americanos"),"Rendimiento significativo","Rendimiento no significativo"))</f>
        <v>#REF!</v>
      </c>
      <c r="O166" s="5" t="s">
        <v>41</v>
      </c>
      <c r="P166" s="12">
        <v>2991780.8218999999</v>
      </c>
      <c r="Q166" s="12">
        <f>IF(O166="Guaraníes",P166,P166*#REF!)</f>
        <v>2991780.8218999999</v>
      </c>
      <c r="R166" s="12" t="e">
        <f>IF(O166="Guaraníes",P166/#REF!,P166)</f>
        <v>#REF!</v>
      </c>
      <c r="S166" s="5" t="s">
        <v>52</v>
      </c>
      <c r="T166" s="5">
        <v>10834</v>
      </c>
      <c r="W166" s="5" t="s">
        <v>65</v>
      </c>
      <c r="X166" s="5">
        <v>0</v>
      </c>
      <c r="Y166" s="5">
        <v>0</v>
      </c>
      <c r="Z166" s="5">
        <v>29917.808218999999</v>
      </c>
      <c r="AA166" s="5">
        <v>100</v>
      </c>
      <c r="AB166" s="5">
        <v>2991780.8218999999</v>
      </c>
      <c r="AC166" s="5" t="str">
        <f t="shared" si="8"/>
        <v>Bonos</v>
      </c>
      <c r="AD166" s="5" t="s">
        <v>43</v>
      </c>
      <c r="AE166" s="5">
        <f t="shared" si="11"/>
        <v>12</v>
      </c>
      <c r="AF166" s="5">
        <f t="shared" si="12"/>
        <v>2021</v>
      </c>
    </row>
    <row r="167" s="5" customFormat="1" ht="13">
      <c r="A167" s="5" t="s">
        <v>44</v>
      </c>
      <c r="B167" s="5" t="s">
        <v>44</v>
      </c>
      <c r="C167" s="5" t="s">
        <v>54</v>
      </c>
      <c r="D167" s="5" t="s">
        <v>21</v>
      </c>
      <c r="E167" s="5" t="s">
        <v>44</v>
      </c>
      <c r="F167" s="5" t="s">
        <v>46</v>
      </c>
      <c r="G167" s="5" t="s">
        <v>86</v>
      </c>
      <c r="H167" s="9" t="s">
        <v>148</v>
      </c>
      <c r="I167" s="10"/>
      <c r="J167" s="10">
        <v>44557</v>
      </c>
      <c r="K167" s="5" t="s">
        <v>57</v>
      </c>
      <c r="L167" s="5" t="s">
        <v>58</v>
      </c>
      <c r="M167" s="11">
        <v>0.097500000000000003</v>
      </c>
      <c r="N167" s="5" t="e">
        <f>IF(AND(M167&gt;#REF!,Cartera!O167="Guaraníes"),"Rendimiento significativo",IF(AND(M167&gt;#REF!,Cartera!O167="Dólares americanos"),"Rendimiento significativo","Rendimiento no significativo"))</f>
        <v>#REF!</v>
      </c>
      <c r="O167" s="5" t="s">
        <v>41</v>
      </c>
      <c r="P167" s="12">
        <v>12154109.589</v>
      </c>
      <c r="Q167" s="12">
        <f>IF(O167="Guaraníes",P167,P167*#REF!)</f>
        <v>12154109.589</v>
      </c>
      <c r="R167" s="12" t="e">
        <f>IF(O167="Guaraníes",P167/#REF!,P167)</f>
        <v>#REF!</v>
      </c>
      <c r="S167" s="5" t="s">
        <v>52</v>
      </c>
      <c r="T167" s="5">
        <v>10834</v>
      </c>
      <c r="W167" s="5" t="s">
        <v>65</v>
      </c>
      <c r="X167" s="5">
        <v>0</v>
      </c>
      <c r="Y167" s="5">
        <v>0</v>
      </c>
      <c r="Z167" s="5">
        <v>24308.219177999999</v>
      </c>
      <c r="AA167" s="5">
        <v>500</v>
      </c>
      <c r="AB167" s="5">
        <v>12154109.589</v>
      </c>
      <c r="AC167" s="5" t="str">
        <f t="shared" si="8"/>
        <v>Bonos</v>
      </c>
      <c r="AD167" s="5" t="s">
        <v>43</v>
      </c>
      <c r="AE167" s="5">
        <f t="shared" si="11"/>
        <v>12</v>
      </c>
      <c r="AF167" s="5">
        <f t="shared" si="12"/>
        <v>2021</v>
      </c>
    </row>
    <row r="168" s="5" customFormat="1" ht="13">
      <c r="A168" s="5" t="s">
        <v>44</v>
      </c>
      <c r="B168" s="5" t="s">
        <v>44</v>
      </c>
      <c r="C168" s="5" t="s">
        <v>45</v>
      </c>
      <c r="D168" s="5" t="s">
        <v>21</v>
      </c>
      <c r="E168" s="5" t="s">
        <v>44</v>
      </c>
      <c r="F168" s="5" t="s">
        <v>46</v>
      </c>
      <c r="G168" s="5" t="s">
        <v>86</v>
      </c>
      <c r="H168" s="9" t="s">
        <v>48</v>
      </c>
      <c r="I168" s="10"/>
      <c r="J168" s="10">
        <v>44585</v>
      </c>
      <c r="K168" s="5" t="s">
        <v>49</v>
      </c>
      <c r="L168" s="5" t="s">
        <v>50</v>
      </c>
      <c r="M168" s="11">
        <v>0.070000000000000007</v>
      </c>
      <c r="N168" s="5" t="e">
        <f>IF(AND(M168&gt;#REF!,Cartera!O168="Guaraníes"),"Rendimiento significativo",IF(AND(M168&gt;#REF!,Cartera!O168="Dólares americanos"),"Rendimiento significativo","Rendimiento no significativo"))</f>
        <v>#REF!</v>
      </c>
      <c r="O168" s="5" t="s">
        <v>51</v>
      </c>
      <c r="P168" s="13">
        <v>872.60275000000001</v>
      </c>
      <c r="Q168" s="12" t="e">
        <f>IF(O168="Guaraníes",P168,P168*#REF!)</f>
        <v>#REF!</v>
      </c>
      <c r="R168" s="12">
        <f>IF(O168="Guaraníes",P168/#REF!,P168)</f>
        <v>872.60275000000001</v>
      </c>
      <c r="S168" s="5" t="s">
        <v>52</v>
      </c>
      <c r="T168" s="5">
        <v>10834</v>
      </c>
      <c r="W168" s="5" t="s">
        <v>65</v>
      </c>
      <c r="X168" s="5">
        <v>0</v>
      </c>
      <c r="Y168" s="5">
        <v>0</v>
      </c>
      <c r="Z168" s="5">
        <v>17.452055000000001</v>
      </c>
      <c r="AA168" s="5">
        <v>50</v>
      </c>
      <c r="AB168" s="5">
        <v>872.60275000000001</v>
      </c>
      <c r="AC168" s="5" t="str">
        <f t="shared" si="8"/>
        <v>Bonos</v>
      </c>
      <c r="AD168" s="5" t="s">
        <v>43</v>
      </c>
      <c r="AE168" s="5">
        <f t="shared" si="11"/>
        <v>1</v>
      </c>
      <c r="AF168" s="5">
        <f t="shared" si="12"/>
        <v>2022</v>
      </c>
    </row>
    <row r="169" s="5" customFormat="1" ht="13">
      <c r="A169" s="5" t="s">
        <v>44</v>
      </c>
      <c r="B169" s="5" t="s">
        <v>44</v>
      </c>
      <c r="C169" s="5" t="s">
        <v>99</v>
      </c>
      <c r="D169" s="5" t="s">
        <v>21</v>
      </c>
      <c r="E169" s="5" t="s">
        <v>44</v>
      </c>
      <c r="F169" s="5" t="s">
        <v>100</v>
      </c>
      <c r="G169" s="5" t="s">
        <v>86</v>
      </c>
      <c r="H169" s="9" t="s">
        <v>155</v>
      </c>
      <c r="I169" s="10"/>
      <c r="J169" s="10">
        <v>44623</v>
      </c>
      <c r="K169" s="5" t="s">
        <v>102</v>
      </c>
      <c r="L169" s="5" t="s">
        <v>102</v>
      </c>
      <c r="M169" s="11">
        <v>0.081000000000000003</v>
      </c>
      <c r="N169" s="5" t="e">
        <f>IF(AND(M169&gt;#REF!,Cartera!O169="Guaraníes"),"Rendimiento significativo",IF(AND(M169&gt;#REF!,Cartera!O169="Dólares americanos"),"Rendimiento significativo","Rendimiento no significativo"))</f>
        <v>#REF!</v>
      </c>
      <c r="O169" s="5" t="s">
        <v>41</v>
      </c>
      <c r="P169" s="12">
        <v>28000000</v>
      </c>
      <c r="Q169" s="12">
        <f>IF(O169="Guaraníes",P169,P169*#REF!)</f>
        <v>28000000</v>
      </c>
      <c r="R169" s="12" t="e">
        <f>IF(O169="Guaraníes",P169/#REF!,P169)</f>
        <v>#REF!</v>
      </c>
      <c r="S169" s="5" t="s">
        <v>52</v>
      </c>
      <c r="T169" s="5">
        <v>10834</v>
      </c>
      <c r="W169" s="5" t="s">
        <v>65</v>
      </c>
      <c r="X169" s="5">
        <v>0</v>
      </c>
      <c r="Y169" s="5">
        <v>0</v>
      </c>
      <c r="Z169" s="5">
        <v>40000</v>
      </c>
      <c r="AA169" s="5">
        <v>700</v>
      </c>
      <c r="AB169" s="5">
        <v>28000000</v>
      </c>
      <c r="AC169" s="5" t="str">
        <f t="shared" si="8"/>
        <v>Bonos</v>
      </c>
      <c r="AD169" s="5" t="s">
        <v>43</v>
      </c>
      <c r="AE169" s="5">
        <f t="shared" si="11"/>
        <v>3</v>
      </c>
      <c r="AF169" s="5">
        <f t="shared" si="12"/>
        <v>2022</v>
      </c>
    </row>
    <row r="170" s="5" customFormat="1" ht="13">
      <c r="A170" s="5" t="s">
        <v>44</v>
      </c>
      <c r="B170" s="5" t="s">
        <v>44</v>
      </c>
      <c r="C170" s="5" t="s">
        <v>54</v>
      </c>
      <c r="D170" s="5" t="s">
        <v>21</v>
      </c>
      <c r="E170" s="5" t="s">
        <v>44</v>
      </c>
      <c r="F170" s="5" t="s">
        <v>46</v>
      </c>
      <c r="G170" s="5" t="s">
        <v>86</v>
      </c>
      <c r="H170" s="9" t="s">
        <v>147</v>
      </c>
      <c r="I170" s="10"/>
      <c r="J170" s="10">
        <v>44648</v>
      </c>
      <c r="K170" s="5" t="s">
        <v>57</v>
      </c>
      <c r="L170" s="5" t="s">
        <v>58</v>
      </c>
      <c r="M170" s="11">
        <v>0.12</v>
      </c>
      <c r="N170" s="5" t="e">
        <f>IF(AND(M170&gt;#REF!,Cartera!O170="Guaraníes"),"Rendimiento significativo",IF(AND(M170&gt;#REF!,Cartera!O170="Dólares americanos"),"Rendimiento significativo","Rendimiento no significativo"))</f>
        <v>#REF!</v>
      </c>
      <c r="O170" s="5" t="s">
        <v>41</v>
      </c>
      <c r="P170" s="12">
        <v>2991780.8218999999</v>
      </c>
      <c r="Q170" s="12">
        <f>IF(O170="Guaraníes",P170,P170*#REF!)</f>
        <v>2991780.8218999999</v>
      </c>
      <c r="R170" s="12" t="e">
        <f>IF(O170="Guaraníes",P170/#REF!,P170)</f>
        <v>#REF!</v>
      </c>
      <c r="S170" s="5" t="s">
        <v>52</v>
      </c>
      <c r="T170" s="5">
        <v>10834</v>
      </c>
      <c r="W170" s="5" t="s">
        <v>65</v>
      </c>
      <c r="X170" s="5">
        <v>0</v>
      </c>
      <c r="Y170" s="5">
        <v>0</v>
      </c>
      <c r="Z170" s="5">
        <v>29917.808218999999</v>
      </c>
      <c r="AA170" s="5">
        <v>100</v>
      </c>
      <c r="AB170" s="5">
        <v>2991780.8218999999</v>
      </c>
      <c r="AC170" s="5" t="str">
        <f t="shared" si="8"/>
        <v>Bonos</v>
      </c>
      <c r="AD170" s="5" t="s">
        <v>43</v>
      </c>
      <c r="AE170" s="5">
        <f t="shared" si="11"/>
        <v>3</v>
      </c>
      <c r="AF170" s="5">
        <f t="shared" si="12"/>
        <v>2022</v>
      </c>
    </row>
    <row r="171" s="5" customFormat="1" ht="13">
      <c r="A171" s="5" t="s">
        <v>44</v>
      </c>
      <c r="B171" s="5" t="s">
        <v>44</v>
      </c>
      <c r="C171" s="5" t="s">
        <v>54</v>
      </c>
      <c r="D171" s="5" t="s">
        <v>21</v>
      </c>
      <c r="E171" s="5" t="s">
        <v>44</v>
      </c>
      <c r="F171" s="5" t="s">
        <v>46</v>
      </c>
      <c r="G171" s="5" t="s">
        <v>86</v>
      </c>
      <c r="H171" s="9" t="s">
        <v>148</v>
      </c>
      <c r="I171" s="10"/>
      <c r="J171" s="10">
        <v>44648</v>
      </c>
      <c r="K171" s="5" t="s">
        <v>57</v>
      </c>
      <c r="L171" s="5" t="s">
        <v>58</v>
      </c>
      <c r="M171" s="11">
        <v>0.097500000000000003</v>
      </c>
      <c r="N171" s="5" t="e">
        <f>IF(AND(M171&gt;#REF!,Cartera!O171="Guaraníes"),"Rendimiento significativo",IF(AND(M171&gt;#REF!,Cartera!O171="Dólares americanos"),"Rendimiento significativo","Rendimiento no significativo"))</f>
        <v>#REF!</v>
      </c>
      <c r="O171" s="5" t="s">
        <v>41</v>
      </c>
      <c r="P171" s="12">
        <v>12154109.589</v>
      </c>
      <c r="Q171" s="12">
        <f>IF(O171="Guaraníes",P171,P171*#REF!)</f>
        <v>12154109.589</v>
      </c>
      <c r="R171" s="12" t="e">
        <f>IF(O171="Guaraníes",P171/#REF!,P171)</f>
        <v>#REF!</v>
      </c>
      <c r="S171" s="5" t="s">
        <v>52</v>
      </c>
      <c r="T171" s="5">
        <v>10834</v>
      </c>
      <c r="W171" s="5" t="s">
        <v>65</v>
      </c>
      <c r="X171" s="5">
        <v>0</v>
      </c>
      <c r="Y171" s="5">
        <v>0</v>
      </c>
      <c r="Z171" s="5">
        <v>24308.219177999999</v>
      </c>
      <c r="AA171" s="5">
        <v>500</v>
      </c>
      <c r="AB171" s="5">
        <v>12154109.589</v>
      </c>
      <c r="AC171" s="5" t="str">
        <f t="shared" si="8"/>
        <v>Bonos</v>
      </c>
      <c r="AD171" s="5" t="s">
        <v>43</v>
      </c>
      <c r="AE171" s="5">
        <f t="shared" si="11"/>
        <v>3</v>
      </c>
      <c r="AF171" s="5">
        <f t="shared" si="12"/>
        <v>2022</v>
      </c>
    </row>
    <row r="172" s="5" customFormat="1" ht="13">
      <c r="A172" s="5" t="s">
        <v>44</v>
      </c>
      <c r="B172" s="5" t="s">
        <v>44</v>
      </c>
      <c r="C172" s="5" t="s">
        <v>45</v>
      </c>
      <c r="D172" s="5" t="s">
        <v>21</v>
      </c>
      <c r="E172" s="5" t="s">
        <v>44</v>
      </c>
      <c r="F172" s="5" t="s">
        <v>46</v>
      </c>
      <c r="G172" s="5" t="s">
        <v>86</v>
      </c>
      <c r="H172" s="9" t="s">
        <v>48</v>
      </c>
      <c r="I172" s="10"/>
      <c r="J172" s="10">
        <v>44676</v>
      </c>
      <c r="K172" s="5" t="s">
        <v>49</v>
      </c>
      <c r="L172" s="5" t="s">
        <v>50</v>
      </c>
      <c r="M172" s="11">
        <v>0.070000000000000007</v>
      </c>
      <c r="N172" s="5" t="e">
        <f>IF(AND(M172&gt;#REF!,Cartera!O172="Guaraníes"),"Rendimiento significativo",IF(AND(M172&gt;#REF!,Cartera!O172="Dólares americanos"),"Rendimiento significativo","Rendimiento no significativo"))</f>
        <v>#REF!</v>
      </c>
      <c r="O172" s="5" t="s">
        <v>51</v>
      </c>
      <c r="P172" s="13">
        <v>872.60275000000001</v>
      </c>
      <c r="Q172" s="12" t="e">
        <f>IF(O172="Guaraníes",P172,P172*#REF!)</f>
        <v>#REF!</v>
      </c>
      <c r="R172" s="12">
        <f>IF(O172="Guaraníes",P172/#REF!,P172)</f>
        <v>872.60275000000001</v>
      </c>
      <c r="S172" s="5" t="s">
        <v>52</v>
      </c>
      <c r="T172" s="5">
        <v>10834</v>
      </c>
      <c r="W172" s="5" t="s">
        <v>65</v>
      </c>
      <c r="X172" s="5">
        <v>0</v>
      </c>
      <c r="Y172" s="5">
        <v>0</v>
      </c>
      <c r="Z172" s="5">
        <v>17.452055000000001</v>
      </c>
      <c r="AA172" s="5">
        <v>50</v>
      </c>
      <c r="AB172" s="5">
        <v>872.60275000000001</v>
      </c>
      <c r="AC172" s="5" t="str">
        <f t="shared" si="8"/>
        <v>Bonos</v>
      </c>
      <c r="AD172" s="5" t="s">
        <v>43</v>
      </c>
      <c r="AE172" s="5">
        <f t="shared" si="11"/>
        <v>4</v>
      </c>
      <c r="AF172" s="5">
        <f t="shared" si="12"/>
        <v>2022</v>
      </c>
    </row>
    <row r="173" s="5" customFormat="1" ht="13">
      <c r="A173" s="5" t="s">
        <v>44</v>
      </c>
      <c r="B173" s="5" t="s">
        <v>44</v>
      </c>
      <c r="C173" s="5" t="s">
        <v>54</v>
      </c>
      <c r="D173" s="5" t="s">
        <v>21</v>
      </c>
      <c r="E173" s="5" t="s">
        <v>44</v>
      </c>
      <c r="F173" s="5" t="s">
        <v>46</v>
      </c>
      <c r="G173" s="5" t="s">
        <v>86</v>
      </c>
      <c r="H173" s="9" t="s">
        <v>147</v>
      </c>
      <c r="I173" s="10"/>
      <c r="J173" s="10">
        <v>44739</v>
      </c>
      <c r="K173" s="5" t="s">
        <v>57</v>
      </c>
      <c r="L173" s="5" t="s">
        <v>58</v>
      </c>
      <c r="M173" s="11">
        <v>0.12</v>
      </c>
      <c r="N173" s="5" t="e">
        <f>IF(AND(M173&gt;#REF!,Cartera!O173="Guaraníes"),"Rendimiento significativo",IF(AND(M173&gt;#REF!,Cartera!O173="Dólares americanos"),"Rendimiento significativo","Rendimiento no significativo"))</f>
        <v>#REF!</v>
      </c>
      <c r="O173" s="5" t="s">
        <v>41</v>
      </c>
      <c r="P173" s="12">
        <v>2991780.8218999999</v>
      </c>
      <c r="Q173" s="12">
        <f>IF(O173="Guaraníes",P173,P173*#REF!)</f>
        <v>2991780.8218999999</v>
      </c>
      <c r="R173" s="12" t="e">
        <f>IF(O173="Guaraníes",P173/#REF!,P173)</f>
        <v>#REF!</v>
      </c>
      <c r="S173" s="5" t="s">
        <v>52</v>
      </c>
      <c r="T173" s="5">
        <v>10834</v>
      </c>
      <c r="W173" s="5" t="s">
        <v>65</v>
      </c>
      <c r="X173" s="5">
        <v>0</v>
      </c>
      <c r="Y173" s="5">
        <v>0</v>
      </c>
      <c r="Z173" s="5">
        <v>29917.808218999999</v>
      </c>
      <c r="AA173" s="5">
        <v>100</v>
      </c>
      <c r="AB173" s="5">
        <v>2991780.8218999999</v>
      </c>
      <c r="AC173" s="5" t="str">
        <f t="shared" si="8"/>
        <v>Bonos</v>
      </c>
      <c r="AD173" s="5" t="s">
        <v>43</v>
      </c>
      <c r="AE173" s="5">
        <f t="shared" si="11"/>
        <v>6</v>
      </c>
      <c r="AF173" s="5">
        <f t="shared" si="12"/>
        <v>2022</v>
      </c>
    </row>
    <row r="174" s="5" customFormat="1" ht="13">
      <c r="A174" s="5" t="s">
        <v>44</v>
      </c>
      <c r="B174" s="5" t="s">
        <v>44</v>
      </c>
      <c r="C174" s="5" t="s">
        <v>54</v>
      </c>
      <c r="D174" s="5" t="s">
        <v>21</v>
      </c>
      <c r="E174" s="5" t="s">
        <v>44</v>
      </c>
      <c r="F174" s="5" t="s">
        <v>46</v>
      </c>
      <c r="G174" s="5" t="s">
        <v>86</v>
      </c>
      <c r="H174" s="9" t="s">
        <v>148</v>
      </c>
      <c r="I174" s="10"/>
      <c r="J174" s="10">
        <v>44739</v>
      </c>
      <c r="K174" s="5" t="s">
        <v>57</v>
      </c>
      <c r="L174" s="5" t="s">
        <v>58</v>
      </c>
      <c r="M174" s="11">
        <v>0.097500000000000003</v>
      </c>
      <c r="N174" s="5" t="e">
        <f>IF(AND(M174&gt;#REF!,Cartera!O174="Guaraníes"),"Rendimiento significativo",IF(AND(M174&gt;#REF!,Cartera!O174="Dólares americanos"),"Rendimiento significativo","Rendimiento no significativo"))</f>
        <v>#REF!</v>
      </c>
      <c r="O174" s="5" t="s">
        <v>41</v>
      </c>
      <c r="P174" s="12">
        <v>12154109.589</v>
      </c>
      <c r="Q174" s="12">
        <f>IF(O174="Guaraníes",P174,P174*#REF!)</f>
        <v>12154109.589</v>
      </c>
      <c r="R174" s="12" t="e">
        <f>IF(O174="Guaraníes",P174/#REF!,P174)</f>
        <v>#REF!</v>
      </c>
      <c r="S174" s="5" t="s">
        <v>52</v>
      </c>
      <c r="T174" s="5">
        <v>10834</v>
      </c>
      <c r="W174" s="5" t="s">
        <v>65</v>
      </c>
      <c r="X174" s="5">
        <v>0</v>
      </c>
      <c r="Y174" s="5">
        <v>0</v>
      </c>
      <c r="Z174" s="5">
        <v>24308.219177999999</v>
      </c>
      <c r="AA174" s="5">
        <v>500</v>
      </c>
      <c r="AB174" s="5">
        <v>12154109.589</v>
      </c>
      <c r="AC174" s="5" t="str">
        <f t="shared" si="8"/>
        <v>Bonos</v>
      </c>
      <c r="AD174" s="5" t="s">
        <v>43</v>
      </c>
      <c r="AE174" s="5">
        <f t="shared" si="11"/>
        <v>6</v>
      </c>
      <c r="AF174" s="5">
        <f t="shared" si="12"/>
        <v>2022</v>
      </c>
    </row>
    <row r="175" s="5" customFormat="1" ht="13">
      <c r="A175" s="5" t="s">
        <v>44</v>
      </c>
      <c r="B175" s="5" t="s">
        <v>44</v>
      </c>
      <c r="C175" s="5" t="s">
        <v>74</v>
      </c>
      <c r="D175" s="5" t="s">
        <v>21</v>
      </c>
      <c r="E175" s="5" t="s">
        <v>44</v>
      </c>
      <c r="F175" s="5" t="s">
        <v>68</v>
      </c>
      <c r="G175" s="5" t="s">
        <v>75</v>
      </c>
      <c r="H175" s="9" t="s">
        <v>76</v>
      </c>
      <c r="I175" s="10"/>
      <c r="J175" s="10">
        <v>44378</v>
      </c>
      <c r="K175" s="5" t="s">
        <v>77</v>
      </c>
      <c r="L175" s="5" t="s">
        <v>50</v>
      </c>
      <c r="M175" s="11">
        <v>0.055</v>
      </c>
      <c r="N175" s="5" t="e">
        <f>IF(AND(M175&gt;#REF!,Cartera!O175="Guaraníes"),"Rendimiento significativo",IF(AND(M175&gt;#REF!,Cartera!O175="Dólares americanos"),"Rendimiento significativo","Rendimiento no significativo"))</f>
        <v>#REF!</v>
      </c>
      <c r="O175" s="5" t="s">
        <v>51</v>
      </c>
      <c r="P175" s="13">
        <v>420.41070000000002</v>
      </c>
      <c r="Q175" s="12" t="e">
        <f>IF(O175="Guaraníes",P175,P175*#REF!)</f>
        <v>#REF!</v>
      </c>
      <c r="R175" s="12">
        <f>IF(O175="Guaraníes",P175/#REF!,P175)</f>
        <v>420.41070000000002</v>
      </c>
      <c r="S175" s="5" t="s">
        <v>52</v>
      </c>
      <c r="T175" s="5">
        <v>25</v>
      </c>
      <c r="W175" s="5" t="s">
        <v>65</v>
      </c>
      <c r="X175" s="5">
        <v>0</v>
      </c>
      <c r="Y175" s="5">
        <v>0</v>
      </c>
      <c r="Z175" s="5">
        <v>13.712329</v>
      </c>
      <c r="AA175" s="5">
        <v>30</v>
      </c>
      <c r="AB175" s="5">
        <v>411.37</v>
      </c>
      <c r="AC175" s="5" t="str">
        <f t="shared" si="8"/>
        <v>Bonos</v>
      </c>
      <c r="AD175" s="5" t="s">
        <v>43</v>
      </c>
      <c r="AE175" s="5">
        <f t="shared" si="11"/>
        <v>7</v>
      </c>
      <c r="AF175" s="5">
        <f t="shared" si="12"/>
        <v>2021</v>
      </c>
    </row>
    <row r="176" s="5" customFormat="1" ht="13">
      <c r="A176" s="5" t="s">
        <v>44</v>
      </c>
      <c r="B176" s="5" t="s">
        <v>44</v>
      </c>
      <c r="C176" s="5" t="s">
        <v>156</v>
      </c>
      <c r="D176" s="5" t="s">
        <v>21</v>
      </c>
      <c r="E176" s="5" t="s">
        <v>44</v>
      </c>
      <c r="F176" s="5" t="s">
        <v>68</v>
      </c>
      <c r="G176" s="5" t="s">
        <v>75</v>
      </c>
      <c r="H176" s="9" t="s">
        <v>157</v>
      </c>
      <c r="I176" s="10"/>
      <c r="J176" s="10">
        <v>44754</v>
      </c>
      <c r="K176" s="5" t="s">
        <v>158</v>
      </c>
      <c r="L176" s="5" t="s">
        <v>58</v>
      </c>
      <c r="M176" s="11">
        <v>0.16</v>
      </c>
      <c r="N176" s="5" t="e">
        <f>IF(AND(M176&gt;#REF!,Cartera!O176="Guaraníes"),"Rendimiento significativo",IF(AND(M176&gt;#REF!,Cartera!O176="Dólares americanos"),"Rendimiento significativo","Rendimiento no significativo"))</f>
        <v>#REF!</v>
      </c>
      <c r="O176" s="5" t="s">
        <v>41</v>
      </c>
      <c r="P176" s="12">
        <v>4188493.15068</v>
      </c>
      <c r="Q176" s="12">
        <f>IF(O176="Guaraníes",P176,P176*#REF!)</f>
        <v>4188493.15068</v>
      </c>
      <c r="R176" s="12" t="e">
        <f>IF(O176="Guaraníes",P176/#REF!,P176)</f>
        <v>#REF!</v>
      </c>
      <c r="S176" s="5" t="s">
        <v>52</v>
      </c>
      <c r="T176" s="5">
        <v>25</v>
      </c>
      <c r="W176" s="5" t="s">
        <v>53</v>
      </c>
      <c r="X176" s="5">
        <v>0</v>
      </c>
      <c r="Y176" s="5">
        <v>0</v>
      </c>
      <c r="Z176" s="5">
        <v>34904.109589</v>
      </c>
      <c r="AA176" s="5">
        <v>120</v>
      </c>
      <c r="AB176" s="5">
        <v>4188493.15068</v>
      </c>
      <c r="AC176" s="5" t="str">
        <f t="shared" si="8"/>
        <v>Bonos</v>
      </c>
      <c r="AD176" s="5" t="s">
        <v>43</v>
      </c>
      <c r="AE176" s="5">
        <f t="shared" si="11"/>
        <v>7</v>
      </c>
      <c r="AF176" s="5">
        <f t="shared" si="12"/>
        <v>2022</v>
      </c>
    </row>
    <row r="177" s="5" customFormat="1" ht="13">
      <c r="A177" s="5" t="s">
        <v>44</v>
      </c>
      <c r="B177" s="5" t="s">
        <v>44</v>
      </c>
      <c r="C177" s="5" t="s">
        <v>99</v>
      </c>
      <c r="D177" s="5" t="s">
        <v>21</v>
      </c>
      <c r="E177" s="5" t="s">
        <v>44</v>
      </c>
      <c r="F177" s="5" t="s">
        <v>100</v>
      </c>
      <c r="G177" s="5" t="s">
        <v>86</v>
      </c>
      <c r="H177" s="9" t="s">
        <v>155</v>
      </c>
      <c r="I177" s="10"/>
      <c r="J177" s="10">
        <v>44807</v>
      </c>
      <c r="K177" s="5" t="s">
        <v>102</v>
      </c>
      <c r="L177" s="5" t="s">
        <v>102</v>
      </c>
      <c r="M177" s="11">
        <v>0.081000000000000003</v>
      </c>
      <c r="N177" s="5" t="e">
        <f>IF(AND(M177&gt;#REF!,Cartera!O177="Guaraníes"),"Rendimiento significativo",IF(AND(M177&gt;#REF!,Cartera!O177="Dólares americanos"),"Rendimiento significativo","Rendimiento no significativo"))</f>
        <v>#REF!</v>
      </c>
      <c r="O177" s="5" t="s">
        <v>41</v>
      </c>
      <c r="P177" s="12">
        <v>28000000</v>
      </c>
      <c r="Q177" s="12">
        <f>IF(O177="Guaraníes",P177,P177*#REF!)</f>
        <v>28000000</v>
      </c>
      <c r="R177" s="12" t="e">
        <f>IF(O177="Guaraníes",P177/#REF!,P177)</f>
        <v>#REF!</v>
      </c>
      <c r="S177" s="5" t="s">
        <v>52</v>
      </c>
      <c r="T177" s="5">
        <v>10834</v>
      </c>
      <c r="W177" s="5" t="s">
        <v>65</v>
      </c>
      <c r="X177" s="5">
        <v>0</v>
      </c>
      <c r="Y177" s="5">
        <v>0</v>
      </c>
      <c r="Z177" s="5">
        <v>40000</v>
      </c>
      <c r="AA177" s="5">
        <v>700</v>
      </c>
      <c r="AB177" s="5">
        <v>28000000</v>
      </c>
      <c r="AC177" s="5" t="str">
        <f t="shared" si="8"/>
        <v>Bonos</v>
      </c>
      <c r="AD177" s="5" t="s">
        <v>43</v>
      </c>
      <c r="AE177" s="5">
        <f t="shared" si="11"/>
        <v>9</v>
      </c>
      <c r="AF177" s="5">
        <f t="shared" si="12"/>
        <v>2022</v>
      </c>
    </row>
    <row r="178" s="5" customFormat="1" ht="13">
      <c r="A178" s="5" t="s">
        <v>44</v>
      </c>
      <c r="B178" s="5" t="s">
        <v>44</v>
      </c>
      <c r="C178" s="5" t="s">
        <v>54</v>
      </c>
      <c r="D178" s="5" t="s">
        <v>21</v>
      </c>
      <c r="E178" s="5" t="s">
        <v>44</v>
      </c>
      <c r="F178" s="5" t="s">
        <v>46</v>
      </c>
      <c r="G178" s="5" t="s">
        <v>86</v>
      </c>
      <c r="H178" s="9" t="s">
        <v>147</v>
      </c>
      <c r="I178" s="10"/>
      <c r="J178" s="10">
        <v>44830</v>
      </c>
      <c r="K178" s="5" t="s">
        <v>57</v>
      </c>
      <c r="L178" s="5" t="s">
        <v>58</v>
      </c>
      <c r="M178" s="11">
        <v>0.12</v>
      </c>
      <c r="N178" s="5" t="e">
        <f>IF(AND(M178&gt;#REF!,Cartera!O178="Guaraníes"),"Rendimiento significativo",IF(AND(M178&gt;#REF!,Cartera!O178="Dólares americanos"),"Rendimiento significativo","Rendimiento no significativo"))</f>
        <v>#REF!</v>
      </c>
      <c r="O178" s="5" t="s">
        <v>41</v>
      </c>
      <c r="P178" s="12">
        <v>2991780.8218999999</v>
      </c>
      <c r="Q178" s="12">
        <f>IF(O178="Guaraníes",P178,P178*#REF!)</f>
        <v>2991780.8218999999</v>
      </c>
      <c r="R178" s="12" t="e">
        <f>IF(O178="Guaraníes",P178/#REF!,P178)</f>
        <v>#REF!</v>
      </c>
      <c r="S178" s="5" t="s">
        <v>52</v>
      </c>
      <c r="T178" s="5">
        <v>10834</v>
      </c>
      <c r="W178" s="5" t="s">
        <v>65</v>
      </c>
      <c r="X178" s="5">
        <v>0</v>
      </c>
      <c r="Y178" s="5">
        <v>0</v>
      </c>
      <c r="Z178" s="5">
        <v>29917.808218999999</v>
      </c>
      <c r="AA178" s="5">
        <v>100</v>
      </c>
      <c r="AB178" s="5">
        <v>2991780.8218999999</v>
      </c>
      <c r="AC178" s="5" t="str">
        <f t="shared" si="8"/>
        <v>Bonos</v>
      </c>
      <c r="AD178" s="5" t="s">
        <v>43</v>
      </c>
      <c r="AE178" s="5">
        <f t="shared" si="11"/>
        <v>9</v>
      </c>
      <c r="AF178" s="5">
        <f t="shared" si="12"/>
        <v>2022</v>
      </c>
    </row>
    <row r="179" s="5" customFormat="1" ht="13">
      <c r="A179" s="5" t="s">
        <v>44</v>
      </c>
      <c r="B179" s="5" t="s">
        <v>44</v>
      </c>
      <c r="C179" s="5" t="s">
        <v>54</v>
      </c>
      <c r="D179" s="5" t="s">
        <v>21</v>
      </c>
      <c r="E179" s="5" t="s">
        <v>44</v>
      </c>
      <c r="F179" s="5" t="s">
        <v>46</v>
      </c>
      <c r="G179" s="5" t="s">
        <v>86</v>
      </c>
      <c r="H179" s="9" t="s">
        <v>148</v>
      </c>
      <c r="I179" s="10"/>
      <c r="J179" s="10">
        <v>44830</v>
      </c>
      <c r="K179" s="5" t="s">
        <v>57</v>
      </c>
      <c r="L179" s="5" t="s">
        <v>58</v>
      </c>
      <c r="M179" s="11">
        <v>0.097500000000000003</v>
      </c>
      <c r="N179" s="5" t="e">
        <f>IF(AND(M179&gt;#REF!,Cartera!O179="Guaraníes"),"Rendimiento significativo",IF(AND(M179&gt;#REF!,Cartera!O179="Dólares americanos"),"Rendimiento significativo","Rendimiento no significativo"))</f>
        <v>#REF!</v>
      </c>
      <c r="O179" s="5" t="s">
        <v>41</v>
      </c>
      <c r="P179" s="12">
        <v>12154109.589</v>
      </c>
      <c r="Q179" s="12">
        <f>IF(O179="Guaraníes",P179,P179*#REF!)</f>
        <v>12154109.589</v>
      </c>
      <c r="R179" s="12" t="e">
        <f>IF(O179="Guaraníes",P179/#REF!,P179)</f>
        <v>#REF!</v>
      </c>
      <c r="S179" s="5" t="s">
        <v>52</v>
      </c>
      <c r="T179" s="5">
        <v>10834</v>
      </c>
      <c r="W179" s="5" t="s">
        <v>65</v>
      </c>
      <c r="X179" s="5">
        <v>0</v>
      </c>
      <c r="Y179" s="5">
        <v>0</v>
      </c>
      <c r="Z179" s="5">
        <v>24308.219177999999</v>
      </c>
      <c r="AA179" s="5">
        <v>500</v>
      </c>
      <c r="AB179" s="5">
        <v>12154109.589</v>
      </c>
      <c r="AC179" s="5" t="str">
        <f t="shared" si="8"/>
        <v>Bonos</v>
      </c>
      <c r="AD179" s="5" t="s">
        <v>43</v>
      </c>
      <c r="AE179" s="5">
        <f t="shared" si="11"/>
        <v>9</v>
      </c>
      <c r="AF179" s="5">
        <f t="shared" si="12"/>
        <v>2022</v>
      </c>
    </row>
    <row r="180" s="5" customFormat="1" ht="13">
      <c r="A180" s="5" t="s">
        <v>44</v>
      </c>
      <c r="B180" s="5" t="s">
        <v>44</v>
      </c>
      <c r="C180" s="5" t="s">
        <v>45</v>
      </c>
      <c r="D180" s="5" t="s">
        <v>21</v>
      </c>
      <c r="E180" s="5" t="s">
        <v>44</v>
      </c>
      <c r="F180" s="5" t="s">
        <v>46</v>
      </c>
      <c r="G180" s="5" t="s">
        <v>86</v>
      </c>
      <c r="H180" s="9" t="s">
        <v>48</v>
      </c>
      <c r="I180" s="10"/>
      <c r="J180" s="10">
        <v>44767</v>
      </c>
      <c r="K180" s="5" t="s">
        <v>49</v>
      </c>
      <c r="L180" s="5" t="s">
        <v>50</v>
      </c>
      <c r="M180" s="11">
        <v>0.070000000000000007</v>
      </c>
      <c r="N180" s="5" t="e">
        <f>IF(AND(M180&gt;#REF!,Cartera!O180="Guaraníes"),"Rendimiento significativo",IF(AND(M180&gt;#REF!,Cartera!O180="Dólares americanos"),"Rendimiento significativo","Rendimiento no significativo"))</f>
        <v>#REF!</v>
      </c>
      <c r="O180" s="5" t="s">
        <v>51</v>
      </c>
      <c r="P180" s="13">
        <v>872.60275000000001</v>
      </c>
      <c r="Q180" s="12" t="e">
        <f>IF(O180="Guaraníes",P180,P180*#REF!)</f>
        <v>#REF!</v>
      </c>
      <c r="R180" s="12">
        <f>IF(O180="Guaraníes",P180/#REF!,P180)</f>
        <v>872.60275000000001</v>
      </c>
      <c r="S180" s="5" t="s">
        <v>52</v>
      </c>
      <c r="T180" s="5">
        <v>10834</v>
      </c>
      <c r="W180" s="5" t="s">
        <v>65</v>
      </c>
      <c r="X180" s="5">
        <v>0</v>
      </c>
      <c r="Y180" s="5">
        <v>0</v>
      </c>
      <c r="Z180" s="5">
        <v>17.452055000000001</v>
      </c>
      <c r="AA180" s="5">
        <v>50</v>
      </c>
      <c r="AB180" s="5">
        <v>872.60275000000001</v>
      </c>
      <c r="AC180" s="5" t="str">
        <f t="shared" si="8"/>
        <v>Bonos</v>
      </c>
      <c r="AD180" s="5" t="s">
        <v>43</v>
      </c>
      <c r="AE180" s="5">
        <f t="shared" si="11"/>
        <v>7</v>
      </c>
      <c r="AF180" s="5">
        <f t="shared" si="12"/>
        <v>2022</v>
      </c>
    </row>
    <row r="181" s="5" customFormat="1" ht="13">
      <c r="A181" s="5" t="s">
        <v>44</v>
      </c>
      <c r="B181" s="5" t="s">
        <v>44</v>
      </c>
      <c r="C181" s="5" t="s">
        <v>54</v>
      </c>
      <c r="D181" s="5" t="s">
        <v>21</v>
      </c>
      <c r="E181" s="5" t="s">
        <v>44</v>
      </c>
      <c r="F181" s="5" t="s">
        <v>46</v>
      </c>
      <c r="G181" s="5" t="s">
        <v>86</v>
      </c>
      <c r="H181" s="9" t="s">
        <v>147</v>
      </c>
      <c r="I181" s="10"/>
      <c r="J181" s="10">
        <v>44921</v>
      </c>
      <c r="K181" s="5" t="s">
        <v>57</v>
      </c>
      <c r="L181" s="5" t="s">
        <v>58</v>
      </c>
      <c r="M181" s="11">
        <v>0.12</v>
      </c>
      <c r="N181" s="5" t="e">
        <f>IF(AND(M181&gt;#REF!,Cartera!O181="Guaraníes"),"Rendimiento significativo",IF(AND(M181&gt;#REF!,Cartera!O181="Dólares americanos"),"Rendimiento significativo","Rendimiento no significativo"))</f>
        <v>#REF!</v>
      </c>
      <c r="O181" s="5" t="s">
        <v>41</v>
      </c>
      <c r="P181" s="12">
        <v>2991780.8218999999</v>
      </c>
      <c r="Q181" s="12">
        <f>IF(O181="Guaraníes",P181,P181*#REF!)</f>
        <v>2991780.8218999999</v>
      </c>
      <c r="R181" s="12" t="e">
        <f>IF(O181="Guaraníes",P181/#REF!,P181)</f>
        <v>#REF!</v>
      </c>
      <c r="S181" s="5" t="s">
        <v>52</v>
      </c>
      <c r="T181" s="5">
        <v>10834</v>
      </c>
      <c r="W181" s="5" t="s">
        <v>65</v>
      </c>
      <c r="X181" s="5">
        <v>0</v>
      </c>
      <c r="Y181" s="5">
        <v>0</v>
      </c>
      <c r="Z181" s="5">
        <v>29917.808218999999</v>
      </c>
      <c r="AA181" s="5">
        <v>100</v>
      </c>
      <c r="AB181" s="5">
        <v>2991780.8218999999</v>
      </c>
      <c r="AC181" s="5" t="str">
        <f t="shared" si="8"/>
        <v>Bonos</v>
      </c>
      <c r="AD181" s="5" t="s">
        <v>43</v>
      </c>
      <c r="AE181" s="5">
        <f t="shared" si="11"/>
        <v>12</v>
      </c>
      <c r="AF181" s="5">
        <f t="shared" si="12"/>
        <v>2022</v>
      </c>
    </row>
    <row r="182" s="5" customFormat="1" ht="13">
      <c r="A182" s="5" t="s">
        <v>44</v>
      </c>
      <c r="B182" s="5" t="s">
        <v>44</v>
      </c>
      <c r="C182" s="5" t="s">
        <v>54</v>
      </c>
      <c r="D182" s="5" t="s">
        <v>21</v>
      </c>
      <c r="E182" s="5" t="s">
        <v>44</v>
      </c>
      <c r="F182" s="5" t="s">
        <v>46</v>
      </c>
      <c r="G182" s="5" t="s">
        <v>86</v>
      </c>
      <c r="H182" s="9" t="s">
        <v>148</v>
      </c>
      <c r="I182" s="10"/>
      <c r="J182" s="10">
        <v>44921</v>
      </c>
      <c r="K182" s="5" t="s">
        <v>57</v>
      </c>
      <c r="L182" s="5" t="s">
        <v>58</v>
      </c>
      <c r="M182" s="11">
        <v>0.097500000000000003</v>
      </c>
      <c r="N182" s="5" t="e">
        <f>IF(AND(M182&gt;#REF!,Cartera!O182="Guaraníes"),"Rendimiento significativo",IF(AND(M182&gt;#REF!,Cartera!O182="Dólares americanos"),"Rendimiento significativo","Rendimiento no significativo"))</f>
        <v>#REF!</v>
      </c>
      <c r="O182" s="5" t="s">
        <v>41</v>
      </c>
      <c r="P182" s="12">
        <v>12154109.589</v>
      </c>
      <c r="Q182" s="12">
        <f>IF(O182="Guaraníes",P182,P182*#REF!)</f>
        <v>12154109.589</v>
      </c>
      <c r="R182" s="12" t="e">
        <f>IF(O182="Guaraníes",P182/#REF!,P182)</f>
        <v>#REF!</v>
      </c>
      <c r="S182" s="5" t="s">
        <v>52</v>
      </c>
      <c r="T182" s="5">
        <v>10834</v>
      </c>
      <c r="W182" s="5" t="s">
        <v>65</v>
      </c>
      <c r="X182" s="5">
        <v>0</v>
      </c>
      <c r="Y182" s="5">
        <v>0</v>
      </c>
      <c r="Z182" s="5">
        <v>24308.219177999999</v>
      </c>
      <c r="AA182" s="5">
        <v>500</v>
      </c>
      <c r="AB182" s="5">
        <v>12154109.589</v>
      </c>
      <c r="AC182" s="5" t="str">
        <f t="shared" si="8"/>
        <v>Bonos</v>
      </c>
      <c r="AD182" s="5" t="s">
        <v>43</v>
      </c>
      <c r="AE182" s="5">
        <f t="shared" si="11"/>
        <v>12</v>
      </c>
      <c r="AF182" s="5">
        <f t="shared" si="12"/>
        <v>2022</v>
      </c>
    </row>
    <row r="183" s="5" customFormat="1" ht="13">
      <c r="A183" s="5" t="s">
        <v>44</v>
      </c>
      <c r="B183" s="5" t="s">
        <v>44</v>
      </c>
      <c r="C183" s="5" t="s">
        <v>45</v>
      </c>
      <c r="D183" s="5" t="s">
        <v>21</v>
      </c>
      <c r="E183" s="5" t="s">
        <v>44</v>
      </c>
      <c r="F183" s="5" t="s">
        <v>46</v>
      </c>
      <c r="G183" s="5" t="s">
        <v>86</v>
      </c>
      <c r="H183" s="9" t="s">
        <v>48</v>
      </c>
      <c r="I183" s="10"/>
      <c r="J183" s="10">
        <v>44858</v>
      </c>
      <c r="K183" s="5" t="s">
        <v>49</v>
      </c>
      <c r="L183" s="5" t="s">
        <v>50</v>
      </c>
      <c r="M183" s="11">
        <v>0.070000000000000007</v>
      </c>
      <c r="N183" s="5" t="e">
        <f>IF(AND(M183&gt;#REF!,Cartera!O183="Guaraníes"),"Rendimiento significativo",IF(AND(M183&gt;#REF!,Cartera!O183="Dólares americanos"),"Rendimiento significativo","Rendimiento no significativo"))</f>
        <v>#REF!</v>
      </c>
      <c r="O183" s="5" t="s">
        <v>51</v>
      </c>
      <c r="P183" s="13">
        <v>872.60275000000001</v>
      </c>
      <c r="Q183" s="12" t="e">
        <f>IF(O183="Guaraníes",P183,P183*#REF!)</f>
        <v>#REF!</v>
      </c>
      <c r="R183" s="12">
        <f>IF(O183="Guaraníes",P183/#REF!,P183)</f>
        <v>872.60275000000001</v>
      </c>
      <c r="S183" s="5" t="s">
        <v>52</v>
      </c>
      <c r="T183" s="5">
        <v>10834</v>
      </c>
      <c r="W183" s="5" t="s">
        <v>65</v>
      </c>
      <c r="X183" s="5">
        <v>0</v>
      </c>
      <c r="Y183" s="5">
        <v>0</v>
      </c>
      <c r="Z183" s="5">
        <v>17.452055000000001</v>
      </c>
      <c r="AA183" s="5">
        <v>50</v>
      </c>
      <c r="AB183" s="5">
        <v>872.60275000000001</v>
      </c>
      <c r="AC183" s="5" t="str">
        <f t="shared" si="8"/>
        <v>Bonos</v>
      </c>
      <c r="AD183" s="5" t="s">
        <v>43</v>
      </c>
      <c r="AE183" s="5">
        <f t="shared" si="11"/>
        <v>10</v>
      </c>
      <c r="AF183" s="5">
        <f t="shared" si="12"/>
        <v>2022</v>
      </c>
    </row>
    <row r="184" s="5" customFormat="1" ht="13">
      <c r="A184" s="5" t="s">
        <v>44</v>
      </c>
      <c r="B184" s="5" t="s">
        <v>44</v>
      </c>
      <c r="C184" s="5" t="s">
        <v>99</v>
      </c>
      <c r="D184" s="5" t="s">
        <v>21</v>
      </c>
      <c r="E184" s="5" t="s">
        <v>44</v>
      </c>
      <c r="F184" s="5" t="s">
        <v>100</v>
      </c>
      <c r="G184" s="5" t="s">
        <v>86</v>
      </c>
      <c r="H184" s="9" t="s">
        <v>155</v>
      </c>
      <c r="I184" s="10"/>
      <c r="J184" s="10">
        <v>44988</v>
      </c>
      <c r="K184" s="5" t="s">
        <v>102</v>
      </c>
      <c r="L184" s="5" t="s">
        <v>102</v>
      </c>
      <c r="M184" s="11">
        <v>0.081000000000000003</v>
      </c>
      <c r="N184" s="5" t="e">
        <f>IF(AND(M184&gt;#REF!,Cartera!O184="Guaraníes"),"Rendimiento significativo",IF(AND(M184&gt;#REF!,Cartera!O184="Dólares americanos"),"Rendimiento significativo","Rendimiento no significativo"))</f>
        <v>#REF!</v>
      </c>
      <c r="O184" s="5" t="s">
        <v>41</v>
      </c>
      <c r="P184" s="12">
        <v>28000000</v>
      </c>
      <c r="Q184" s="12">
        <f>IF(O184="Guaraníes",P184,P184*#REF!)</f>
        <v>28000000</v>
      </c>
      <c r="R184" s="12" t="e">
        <f>IF(O184="Guaraníes",P184/#REF!,P184)</f>
        <v>#REF!</v>
      </c>
      <c r="S184" s="5" t="s">
        <v>52</v>
      </c>
      <c r="T184" s="5">
        <v>10834</v>
      </c>
      <c r="W184" s="5" t="s">
        <v>65</v>
      </c>
      <c r="X184" s="5">
        <v>0</v>
      </c>
      <c r="Y184" s="5">
        <v>0</v>
      </c>
      <c r="Z184" s="5">
        <v>40000</v>
      </c>
      <c r="AA184" s="5">
        <v>700</v>
      </c>
      <c r="AB184" s="5">
        <v>28000000</v>
      </c>
      <c r="AC184" s="5" t="str">
        <f t="shared" si="8"/>
        <v>Bonos</v>
      </c>
      <c r="AD184" s="5" t="s">
        <v>43</v>
      </c>
      <c r="AE184" s="5">
        <f t="shared" si="11"/>
        <v>3</v>
      </c>
      <c r="AF184" s="5">
        <f t="shared" si="12"/>
        <v>2023</v>
      </c>
    </row>
    <row r="185" s="5" customFormat="1" ht="13">
      <c r="A185" s="5" t="s">
        <v>44</v>
      </c>
      <c r="B185" s="5" t="s">
        <v>44</v>
      </c>
      <c r="C185" s="5" t="s">
        <v>54</v>
      </c>
      <c r="D185" s="5" t="s">
        <v>21</v>
      </c>
      <c r="E185" s="5" t="s">
        <v>44</v>
      </c>
      <c r="F185" s="5" t="s">
        <v>46</v>
      </c>
      <c r="G185" s="5" t="s">
        <v>86</v>
      </c>
      <c r="H185" s="9" t="s">
        <v>147</v>
      </c>
      <c r="I185" s="10"/>
      <c r="J185" s="10">
        <v>45012</v>
      </c>
      <c r="K185" s="5" t="s">
        <v>57</v>
      </c>
      <c r="L185" s="5" t="s">
        <v>58</v>
      </c>
      <c r="M185" s="11">
        <v>0.12</v>
      </c>
      <c r="N185" s="5" t="e">
        <f>IF(AND(M185&gt;#REF!,Cartera!O185="Guaraníes"),"Rendimiento significativo",IF(AND(M185&gt;#REF!,Cartera!O185="Dólares americanos"),"Rendimiento significativo","Rendimiento no significativo"))</f>
        <v>#REF!</v>
      </c>
      <c r="O185" s="5" t="s">
        <v>41</v>
      </c>
      <c r="P185" s="12">
        <v>2991780.8218999999</v>
      </c>
      <c r="Q185" s="12">
        <f>IF(O185="Guaraníes",P185,P185*#REF!)</f>
        <v>2991780.8218999999</v>
      </c>
      <c r="R185" s="12" t="e">
        <f>IF(O185="Guaraníes",P185/#REF!,P185)</f>
        <v>#REF!</v>
      </c>
      <c r="S185" s="5" t="s">
        <v>52</v>
      </c>
      <c r="T185" s="5">
        <v>10834</v>
      </c>
      <c r="W185" s="5" t="s">
        <v>65</v>
      </c>
      <c r="X185" s="5">
        <v>0</v>
      </c>
      <c r="Y185" s="5">
        <v>0</v>
      </c>
      <c r="Z185" s="5">
        <v>29917.808218999999</v>
      </c>
      <c r="AA185" s="5">
        <v>100</v>
      </c>
      <c r="AB185" s="5">
        <v>2991780.8218999999</v>
      </c>
      <c r="AC185" s="5" t="str">
        <f t="shared" si="8"/>
        <v>Bonos</v>
      </c>
      <c r="AD185" s="5" t="s">
        <v>43</v>
      </c>
      <c r="AE185" s="5">
        <f t="shared" si="11"/>
        <v>3</v>
      </c>
      <c r="AF185" s="5">
        <f t="shared" si="12"/>
        <v>2023</v>
      </c>
    </row>
    <row r="186" s="5" customFormat="1" ht="13">
      <c r="A186" s="5" t="s">
        <v>44</v>
      </c>
      <c r="B186" s="5" t="s">
        <v>44</v>
      </c>
      <c r="C186" s="5" t="s">
        <v>54</v>
      </c>
      <c r="D186" s="5" t="s">
        <v>21</v>
      </c>
      <c r="E186" s="5" t="s">
        <v>44</v>
      </c>
      <c r="F186" s="5" t="s">
        <v>46</v>
      </c>
      <c r="G186" s="5" t="s">
        <v>86</v>
      </c>
      <c r="H186" s="9" t="s">
        <v>148</v>
      </c>
      <c r="I186" s="10"/>
      <c r="J186" s="10">
        <v>45012</v>
      </c>
      <c r="K186" s="5" t="s">
        <v>57</v>
      </c>
      <c r="L186" s="5" t="s">
        <v>58</v>
      </c>
      <c r="M186" s="11">
        <v>0.097500000000000003</v>
      </c>
      <c r="N186" s="5" t="e">
        <f>IF(AND(M186&gt;#REF!,Cartera!O186="Guaraníes"),"Rendimiento significativo",IF(AND(M186&gt;#REF!,Cartera!O186="Dólares americanos"),"Rendimiento significativo","Rendimiento no significativo"))</f>
        <v>#REF!</v>
      </c>
      <c r="O186" s="5" t="s">
        <v>41</v>
      </c>
      <c r="P186" s="12">
        <v>12154109.589</v>
      </c>
      <c r="Q186" s="12">
        <f>IF(O186="Guaraníes",P186,P186*#REF!)</f>
        <v>12154109.589</v>
      </c>
      <c r="R186" s="12" t="e">
        <f>IF(O186="Guaraníes",P186/#REF!,P186)</f>
        <v>#REF!</v>
      </c>
      <c r="S186" s="5" t="s">
        <v>52</v>
      </c>
      <c r="T186" s="5">
        <v>10834</v>
      </c>
      <c r="W186" s="5" t="s">
        <v>65</v>
      </c>
      <c r="X186" s="5">
        <v>0</v>
      </c>
      <c r="Y186" s="5">
        <v>0</v>
      </c>
      <c r="Z186" s="5">
        <v>24308.219177999999</v>
      </c>
      <c r="AA186" s="5">
        <v>500</v>
      </c>
      <c r="AB186" s="5">
        <v>12154109.589</v>
      </c>
      <c r="AC186" s="5" t="str">
        <f t="shared" si="8"/>
        <v>Bonos</v>
      </c>
      <c r="AD186" s="5" t="s">
        <v>43</v>
      </c>
      <c r="AE186" s="5">
        <f t="shared" si="11"/>
        <v>3</v>
      </c>
      <c r="AF186" s="5">
        <f t="shared" si="12"/>
        <v>2023</v>
      </c>
    </row>
    <row r="187" s="5" customFormat="1" ht="13">
      <c r="A187" s="5" t="s">
        <v>44</v>
      </c>
      <c r="B187" s="5" t="s">
        <v>44</v>
      </c>
      <c r="C187" s="5" t="s">
        <v>45</v>
      </c>
      <c r="D187" s="5" t="s">
        <v>21</v>
      </c>
      <c r="E187" s="5" t="s">
        <v>44</v>
      </c>
      <c r="F187" s="5" t="s">
        <v>46</v>
      </c>
      <c r="G187" s="5" t="s">
        <v>86</v>
      </c>
      <c r="H187" s="9" t="s">
        <v>48</v>
      </c>
      <c r="I187" s="10"/>
      <c r="J187" s="10">
        <v>44949</v>
      </c>
      <c r="K187" s="5" t="s">
        <v>49</v>
      </c>
      <c r="L187" s="5" t="s">
        <v>50</v>
      </c>
      <c r="M187" s="11">
        <v>0.070000000000000007</v>
      </c>
      <c r="N187" s="5" t="e">
        <f>IF(AND(M187&gt;#REF!,Cartera!O187="Guaraníes"),"Rendimiento significativo",IF(AND(M187&gt;#REF!,Cartera!O187="Dólares americanos"),"Rendimiento significativo","Rendimiento no significativo"))</f>
        <v>#REF!</v>
      </c>
      <c r="O187" s="5" t="s">
        <v>51</v>
      </c>
      <c r="P187" s="13">
        <v>872.60275000000001</v>
      </c>
      <c r="Q187" s="12" t="e">
        <f>IF(O187="Guaraníes",P187,P187*#REF!)</f>
        <v>#REF!</v>
      </c>
      <c r="R187" s="12">
        <f>IF(O187="Guaraníes",P187/#REF!,P187)</f>
        <v>872.60275000000001</v>
      </c>
      <c r="S187" s="5" t="s">
        <v>52</v>
      </c>
      <c r="T187" s="5">
        <v>10834</v>
      </c>
      <c r="W187" s="5" t="s">
        <v>65</v>
      </c>
      <c r="X187" s="5">
        <v>0</v>
      </c>
      <c r="Y187" s="5">
        <v>0</v>
      </c>
      <c r="Z187" s="5">
        <v>17.452055000000001</v>
      </c>
      <c r="AA187" s="5">
        <v>50</v>
      </c>
      <c r="AB187" s="5">
        <v>872.60275000000001</v>
      </c>
      <c r="AC187" s="5" t="str">
        <f t="shared" si="8"/>
        <v>Bonos</v>
      </c>
      <c r="AD187" s="5" t="s">
        <v>43</v>
      </c>
      <c r="AE187" s="5">
        <f t="shared" si="11"/>
        <v>1</v>
      </c>
      <c r="AF187" s="5">
        <f t="shared" si="12"/>
        <v>2023</v>
      </c>
    </row>
    <row r="188" s="5" customFormat="1" ht="13">
      <c r="A188" s="5" t="s">
        <v>44</v>
      </c>
      <c r="B188" s="5" t="s">
        <v>44</v>
      </c>
      <c r="C188" s="5" t="s">
        <v>54</v>
      </c>
      <c r="D188" s="5" t="s">
        <v>21</v>
      </c>
      <c r="E188" s="5" t="s">
        <v>44</v>
      </c>
      <c r="F188" s="5" t="s">
        <v>46</v>
      </c>
      <c r="G188" s="5" t="s">
        <v>86</v>
      </c>
      <c r="H188" s="9" t="s">
        <v>147</v>
      </c>
      <c r="I188" s="10"/>
      <c r="J188" s="10">
        <v>45103</v>
      </c>
      <c r="K188" s="5" t="s">
        <v>57</v>
      </c>
      <c r="L188" s="5" t="s">
        <v>58</v>
      </c>
      <c r="M188" s="11">
        <v>0.12</v>
      </c>
      <c r="N188" s="5" t="e">
        <f>IF(AND(M188&gt;#REF!,Cartera!O188="Guaraníes"),"Rendimiento significativo",IF(AND(M188&gt;#REF!,Cartera!O188="Dólares americanos"),"Rendimiento significativo","Rendimiento no significativo"))</f>
        <v>#REF!</v>
      </c>
      <c r="O188" s="5" t="s">
        <v>41</v>
      </c>
      <c r="P188" s="12">
        <v>2991780.8218999999</v>
      </c>
      <c r="Q188" s="12">
        <f>IF(O188="Guaraníes",P188,P188*#REF!)</f>
        <v>2991780.8218999999</v>
      </c>
      <c r="R188" s="12" t="e">
        <f>IF(O188="Guaraníes",P188/#REF!,P188)</f>
        <v>#REF!</v>
      </c>
      <c r="S188" s="5" t="s">
        <v>52</v>
      </c>
      <c r="T188" s="5">
        <v>10834</v>
      </c>
      <c r="W188" s="5" t="s">
        <v>65</v>
      </c>
      <c r="X188" s="5">
        <v>0</v>
      </c>
      <c r="Y188" s="5">
        <v>0</v>
      </c>
      <c r="Z188" s="5">
        <v>29917.808218999999</v>
      </c>
      <c r="AA188" s="5">
        <v>100</v>
      </c>
      <c r="AB188" s="5">
        <v>2991780.8218999999</v>
      </c>
      <c r="AC188" s="5" t="str">
        <f t="shared" si="8"/>
        <v>Bonos</v>
      </c>
      <c r="AD188" s="5" t="s">
        <v>43</v>
      </c>
      <c r="AE188" s="5">
        <f t="shared" si="11"/>
        <v>6</v>
      </c>
      <c r="AF188" s="5">
        <f t="shared" si="12"/>
        <v>2023</v>
      </c>
    </row>
    <row r="189" s="5" customFormat="1" ht="13">
      <c r="A189" s="5" t="s">
        <v>44</v>
      </c>
      <c r="B189" s="5" t="s">
        <v>44</v>
      </c>
      <c r="C189" s="5" t="s">
        <v>54</v>
      </c>
      <c r="D189" s="5" t="s">
        <v>21</v>
      </c>
      <c r="E189" s="5" t="s">
        <v>44</v>
      </c>
      <c r="F189" s="5" t="s">
        <v>46</v>
      </c>
      <c r="G189" s="5" t="s">
        <v>86</v>
      </c>
      <c r="H189" s="9" t="s">
        <v>148</v>
      </c>
      <c r="I189" s="10"/>
      <c r="J189" s="10">
        <v>45103</v>
      </c>
      <c r="K189" s="5" t="s">
        <v>57</v>
      </c>
      <c r="L189" s="5" t="s">
        <v>58</v>
      </c>
      <c r="M189" s="11">
        <v>0.097500000000000003</v>
      </c>
      <c r="N189" s="5" t="e">
        <f>IF(AND(M189&gt;#REF!,Cartera!O189="Guaraníes"),"Rendimiento significativo",IF(AND(M189&gt;#REF!,Cartera!O189="Dólares americanos"),"Rendimiento significativo","Rendimiento no significativo"))</f>
        <v>#REF!</v>
      </c>
      <c r="O189" s="5" t="s">
        <v>41</v>
      </c>
      <c r="P189" s="12">
        <v>12154109.589</v>
      </c>
      <c r="Q189" s="12">
        <f>IF(O189="Guaraníes",P189,P189*#REF!)</f>
        <v>12154109.589</v>
      </c>
      <c r="R189" s="12" t="e">
        <f>IF(O189="Guaraníes",P189/#REF!,P189)</f>
        <v>#REF!</v>
      </c>
      <c r="S189" s="5" t="s">
        <v>52</v>
      </c>
      <c r="T189" s="5">
        <v>10834</v>
      </c>
      <c r="W189" s="5" t="s">
        <v>65</v>
      </c>
      <c r="X189" s="5">
        <v>0</v>
      </c>
      <c r="Y189" s="5">
        <v>0</v>
      </c>
      <c r="Z189" s="5">
        <v>24308.219177999999</v>
      </c>
      <c r="AA189" s="5">
        <v>500</v>
      </c>
      <c r="AB189" s="5">
        <v>12154109.589</v>
      </c>
      <c r="AC189" s="5" t="str">
        <f t="shared" si="8"/>
        <v>Bonos</v>
      </c>
      <c r="AD189" s="5" t="s">
        <v>43</v>
      </c>
      <c r="AE189" s="5">
        <f t="shared" si="11"/>
        <v>6</v>
      </c>
      <c r="AF189" s="5">
        <f t="shared" si="12"/>
        <v>2023</v>
      </c>
    </row>
    <row r="190" s="5" customFormat="1" ht="13">
      <c r="A190" s="5" t="s">
        <v>44</v>
      </c>
      <c r="B190" s="5" t="s">
        <v>44</v>
      </c>
      <c r="C190" s="5" t="s">
        <v>45</v>
      </c>
      <c r="D190" s="5" t="s">
        <v>21</v>
      </c>
      <c r="E190" s="5" t="s">
        <v>44</v>
      </c>
      <c r="F190" s="5" t="s">
        <v>46</v>
      </c>
      <c r="G190" s="5" t="s">
        <v>86</v>
      </c>
      <c r="H190" s="9" t="s">
        <v>48</v>
      </c>
      <c r="I190" s="10"/>
      <c r="J190" s="10">
        <v>45040</v>
      </c>
      <c r="K190" s="5" t="s">
        <v>49</v>
      </c>
      <c r="L190" s="5" t="s">
        <v>50</v>
      </c>
      <c r="M190" s="11">
        <v>0.070000000000000007</v>
      </c>
      <c r="N190" s="5" t="e">
        <f>IF(AND(M190&gt;#REF!,Cartera!O190="Guaraníes"),"Rendimiento significativo",IF(AND(M190&gt;#REF!,Cartera!O190="Dólares americanos"),"Rendimiento significativo","Rendimiento no significativo"))</f>
        <v>#REF!</v>
      </c>
      <c r="O190" s="5" t="s">
        <v>51</v>
      </c>
      <c r="P190" s="13">
        <v>872.60275000000001</v>
      </c>
      <c r="Q190" s="12" t="e">
        <f>IF(O190="Guaraníes",P190,P190*#REF!)</f>
        <v>#REF!</v>
      </c>
      <c r="R190" s="12">
        <f>IF(O190="Guaraníes",P190/#REF!,P190)</f>
        <v>872.60275000000001</v>
      </c>
      <c r="S190" s="5" t="s">
        <v>52</v>
      </c>
      <c r="T190" s="5">
        <v>10834</v>
      </c>
      <c r="W190" s="5" t="s">
        <v>65</v>
      </c>
      <c r="X190" s="5">
        <v>0</v>
      </c>
      <c r="Y190" s="5">
        <v>0</v>
      </c>
      <c r="Z190" s="5">
        <v>17.452055000000001</v>
      </c>
      <c r="AA190" s="5">
        <v>50</v>
      </c>
      <c r="AB190" s="5">
        <v>872.60275000000001</v>
      </c>
      <c r="AC190" s="5" t="str">
        <f t="shared" si="8"/>
        <v>Bonos</v>
      </c>
      <c r="AD190" s="5" t="s">
        <v>43</v>
      </c>
      <c r="AE190" s="5">
        <f t="shared" si="11"/>
        <v>4</v>
      </c>
      <c r="AF190" s="5">
        <f t="shared" si="12"/>
        <v>2023</v>
      </c>
    </row>
    <row r="191" s="5" customFormat="1" ht="13">
      <c r="A191" s="5" t="s">
        <v>44</v>
      </c>
      <c r="B191" s="5" t="s">
        <v>44</v>
      </c>
      <c r="C191" s="5" t="s">
        <v>99</v>
      </c>
      <c r="D191" s="5" t="s">
        <v>21</v>
      </c>
      <c r="E191" s="5" t="s">
        <v>44</v>
      </c>
      <c r="F191" s="5" t="s">
        <v>100</v>
      </c>
      <c r="G191" s="5" t="s">
        <v>86</v>
      </c>
      <c r="H191" s="9" t="s">
        <v>155</v>
      </c>
      <c r="I191" s="10"/>
      <c r="J191" s="10">
        <v>45172</v>
      </c>
      <c r="K191" s="5" t="s">
        <v>102</v>
      </c>
      <c r="L191" s="5" t="s">
        <v>102</v>
      </c>
      <c r="M191" s="11">
        <v>0.081000000000000003</v>
      </c>
      <c r="N191" s="5" t="e">
        <f>IF(AND(M191&gt;#REF!,Cartera!O191="Guaraníes"),"Rendimiento significativo",IF(AND(M191&gt;#REF!,Cartera!O191="Dólares americanos"),"Rendimiento significativo","Rendimiento no significativo"))</f>
        <v>#REF!</v>
      </c>
      <c r="O191" s="5" t="s">
        <v>41</v>
      </c>
      <c r="P191" s="12">
        <v>28000000</v>
      </c>
      <c r="Q191" s="12">
        <f>IF(O191="Guaraníes",P191,P191*#REF!)</f>
        <v>28000000</v>
      </c>
      <c r="R191" s="12" t="e">
        <f>IF(O191="Guaraníes",P191/#REF!,P191)</f>
        <v>#REF!</v>
      </c>
      <c r="S191" s="5" t="s">
        <v>52</v>
      </c>
      <c r="T191" s="5">
        <v>10834</v>
      </c>
      <c r="W191" s="5" t="s">
        <v>65</v>
      </c>
      <c r="X191" s="5">
        <v>0</v>
      </c>
      <c r="Y191" s="5">
        <v>0</v>
      </c>
      <c r="Z191" s="5">
        <v>40000</v>
      </c>
      <c r="AA191" s="5">
        <v>700</v>
      </c>
      <c r="AB191" s="5">
        <v>28000000</v>
      </c>
      <c r="AC191" s="5" t="str">
        <f t="shared" si="8"/>
        <v>Bonos</v>
      </c>
      <c r="AD191" s="5" t="s">
        <v>43</v>
      </c>
      <c r="AE191" s="5">
        <f t="shared" si="11"/>
        <v>9</v>
      </c>
      <c r="AF191" s="5">
        <f t="shared" si="12"/>
        <v>2023</v>
      </c>
    </row>
    <row r="192" s="5" customFormat="1" ht="13">
      <c r="A192" s="5" t="s">
        <v>44</v>
      </c>
      <c r="B192" s="5" t="s">
        <v>44</v>
      </c>
      <c r="C192" s="5" t="s">
        <v>54</v>
      </c>
      <c r="D192" s="5" t="s">
        <v>21</v>
      </c>
      <c r="E192" s="5" t="s">
        <v>44</v>
      </c>
      <c r="F192" s="5" t="s">
        <v>46</v>
      </c>
      <c r="G192" s="5" t="s">
        <v>86</v>
      </c>
      <c r="H192" s="9" t="s">
        <v>147</v>
      </c>
      <c r="I192" s="10"/>
      <c r="J192" s="10">
        <v>45194</v>
      </c>
      <c r="K192" s="5" t="s">
        <v>57</v>
      </c>
      <c r="L192" s="5" t="s">
        <v>58</v>
      </c>
      <c r="M192" s="11">
        <v>0.12</v>
      </c>
      <c r="N192" s="5" t="e">
        <f>IF(AND(M192&gt;#REF!,Cartera!O192="Guaraníes"),"Rendimiento significativo",IF(AND(M192&gt;#REF!,Cartera!O192="Dólares americanos"),"Rendimiento significativo","Rendimiento no significativo"))</f>
        <v>#REF!</v>
      </c>
      <c r="O192" s="5" t="s">
        <v>41</v>
      </c>
      <c r="P192" s="12">
        <v>2991780.8218999999</v>
      </c>
      <c r="Q192" s="12">
        <f>IF(O192="Guaraníes",P192,P192*#REF!)</f>
        <v>2991780.8218999999</v>
      </c>
      <c r="R192" s="12" t="e">
        <f>IF(O192="Guaraníes",P192/#REF!,P192)</f>
        <v>#REF!</v>
      </c>
      <c r="S192" s="5" t="s">
        <v>52</v>
      </c>
      <c r="T192" s="5">
        <v>10834</v>
      </c>
      <c r="W192" s="5" t="s">
        <v>65</v>
      </c>
      <c r="X192" s="5">
        <v>0</v>
      </c>
      <c r="Y192" s="5">
        <v>0</v>
      </c>
      <c r="Z192" s="5">
        <v>29917.808218999999</v>
      </c>
      <c r="AA192" s="5">
        <v>100</v>
      </c>
      <c r="AB192" s="5">
        <v>2991780.8218999999</v>
      </c>
      <c r="AC192" s="5" t="str">
        <f t="shared" ref="AC192:AC255" si="13">IF(ISNUMBER(SEARCH("Acciones",L192)),"Acciones",IF(ISNUMBER(SEARCH("Bono",L192)),"Bonos",IF(ISNUMBER(SEARCH("CDA",L192)),"CDA",IF(ISNUMBER(SEARCH("Fondo",L192)),"Fondo",0))))</f>
        <v>Bonos</v>
      </c>
      <c r="AD192" s="5" t="s">
        <v>43</v>
      </c>
      <c r="AE192" s="5">
        <f t="shared" si="11"/>
        <v>9</v>
      </c>
      <c r="AF192" s="5">
        <f t="shared" si="12"/>
        <v>2023</v>
      </c>
    </row>
    <row r="193" s="5" customFormat="1" ht="13">
      <c r="A193" s="5" t="s">
        <v>44</v>
      </c>
      <c r="B193" s="5" t="s">
        <v>44</v>
      </c>
      <c r="C193" s="5" t="s">
        <v>54</v>
      </c>
      <c r="D193" s="5" t="s">
        <v>21</v>
      </c>
      <c r="E193" s="5" t="s">
        <v>44</v>
      </c>
      <c r="F193" s="5" t="s">
        <v>46</v>
      </c>
      <c r="G193" s="5" t="s">
        <v>86</v>
      </c>
      <c r="H193" s="9" t="s">
        <v>148</v>
      </c>
      <c r="I193" s="10"/>
      <c r="J193" s="10">
        <v>45194</v>
      </c>
      <c r="K193" s="5" t="s">
        <v>57</v>
      </c>
      <c r="L193" s="5" t="s">
        <v>58</v>
      </c>
      <c r="M193" s="11">
        <v>0.097500000000000003</v>
      </c>
      <c r="N193" s="5" t="e">
        <f>IF(AND(M193&gt;#REF!,Cartera!O193="Guaraníes"),"Rendimiento significativo",IF(AND(M193&gt;#REF!,Cartera!O193="Dólares americanos"),"Rendimiento significativo","Rendimiento no significativo"))</f>
        <v>#REF!</v>
      </c>
      <c r="O193" s="5" t="s">
        <v>41</v>
      </c>
      <c r="P193" s="12">
        <v>12154109.589</v>
      </c>
      <c r="Q193" s="12">
        <f>IF(O193="Guaraníes",P193,P193*#REF!)</f>
        <v>12154109.589</v>
      </c>
      <c r="R193" s="12" t="e">
        <f>IF(O193="Guaraníes",P193/#REF!,P193)</f>
        <v>#REF!</v>
      </c>
      <c r="S193" s="5" t="s">
        <v>52</v>
      </c>
      <c r="T193" s="5">
        <v>10834</v>
      </c>
      <c r="W193" s="5" t="s">
        <v>65</v>
      </c>
      <c r="X193" s="5">
        <v>0</v>
      </c>
      <c r="Y193" s="5">
        <v>0</v>
      </c>
      <c r="Z193" s="5">
        <v>24308.219177999999</v>
      </c>
      <c r="AA193" s="5">
        <v>500</v>
      </c>
      <c r="AB193" s="5">
        <v>12154109.589</v>
      </c>
      <c r="AC193" s="5" t="str">
        <f t="shared" si="13"/>
        <v>Bonos</v>
      </c>
      <c r="AD193" s="5" t="s">
        <v>43</v>
      </c>
      <c r="AE193" s="5">
        <f t="shared" si="11"/>
        <v>9</v>
      </c>
      <c r="AF193" s="5">
        <f t="shared" si="12"/>
        <v>2023</v>
      </c>
    </row>
    <row r="194" s="5" customFormat="1" ht="13">
      <c r="A194" s="5" t="s">
        <v>44</v>
      </c>
      <c r="B194" s="5" t="s">
        <v>44</v>
      </c>
      <c r="C194" s="5" t="s">
        <v>45</v>
      </c>
      <c r="D194" s="5" t="s">
        <v>21</v>
      </c>
      <c r="E194" s="5" t="s">
        <v>44</v>
      </c>
      <c r="F194" s="5" t="s">
        <v>46</v>
      </c>
      <c r="G194" s="5" t="s">
        <v>86</v>
      </c>
      <c r="H194" s="9" t="s">
        <v>48</v>
      </c>
      <c r="I194" s="10"/>
      <c r="J194" s="10">
        <v>45131</v>
      </c>
      <c r="K194" s="5" t="s">
        <v>49</v>
      </c>
      <c r="L194" s="5" t="s">
        <v>50</v>
      </c>
      <c r="M194" s="11">
        <v>0.070000000000000007</v>
      </c>
      <c r="N194" s="5" t="e">
        <f>IF(AND(M194&gt;#REF!,Cartera!O194="Guaraníes"),"Rendimiento significativo",IF(AND(M194&gt;#REF!,Cartera!O194="Dólares americanos"),"Rendimiento significativo","Rendimiento no significativo"))</f>
        <v>#REF!</v>
      </c>
      <c r="O194" s="5" t="s">
        <v>51</v>
      </c>
      <c r="P194" s="13">
        <v>872.60275000000001</v>
      </c>
      <c r="Q194" s="12" t="e">
        <f>IF(O194="Guaraníes",P194,P194*#REF!)</f>
        <v>#REF!</v>
      </c>
      <c r="R194" s="12">
        <f>IF(O194="Guaraníes",P194/#REF!,P194)</f>
        <v>872.60275000000001</v>
      </c>
      <c r="S194" s="5" t="s">
        <v>52</v>
      </c>
      <c r="T194" s="5">
        <v>10834</v>
      </c>
      <c r="W194" s="5" t="s">
        <v>65</v>
      </c>
      <c r="X194" s="5">
        <v>0</v>
      </c>
      <c r="Y194" s="5">
        <v>0</v>
      </c>
      <c r="Z194" s="5">
        <v>17.452055000000001</v>
      </c>
      <c r="AA194" s="5">
        <v>50</v>
      </c>
      <c r="AB194" s="5">
        <v>872.60275000000001</v>
      </c>
      <c r="AC194" s="5" t="str">
        <f t="shared" si="13"/>
        <v>Bonos</v>
      </c>
      <c r="AD194" s="5" t="s">
        <v>43</v>
      </c>
      <c r="AE194" s="5">
        <f t="shared" si="11"/>
        <v>7</v>
      </c>
      <c r="AF194" s="5">
        <f t="shared" si="12"/>
        <v>2023</v>
      </c>
    </row>
    <row r="195" s="5" customFormat="1" ht="13">
      <c r="A195" s="5" t="s">
        <v>44</v>
      </c>
      <c r="B195" s="5" t="s">
        <v>44</v>
      </c>
      <c r="C195" s="5" t="s">
        <v>54</v>
      </c>
      <c r="D195" s="5" t="s">
        <v>21</v>
      </c>
      <c r="E195" s="5" t="s">
        <v>44</v>
      </c>
      <c r="F195" s="5" t="s">
        <v>46</v>
      </c>
      <c r="G195" s="5" t="s">
        <v>86</v>
      </c>
      <c r="H195" s="9" t="s">
        <v>147</v>
      </c>
      <c r="I195" s="10"/>
      <c r="J195" s="10">
        <v>45285</v>
      </c>
      <c r="K195" s="5" t="s">
        <v>57</v>
      </c>
      <c r="L195" s="5" t="s">
        <v>58</v>
      </c>
      <c r="M195" s="11">
        <v>0.12</v>
      </c>
      <c r="N195" s="5" t="e">
        <f>IF(AND(M195&gt;#REF!,Cartera!O195="Guaraníes"),"Rendimiento significativo",IF(AND(M195&gt;#REF!,Cartera!O195="Dólares americanos"),"Rendimiento significativo","Rendimiento no significativo"))</f>
        <v>#REF!</v>
      </c>
      <c r="O195" s="5" t="s">
        <v>41</v>
      </c>
      <c r="P195" s="12">
        <v>2991780.8218999999</v>
      </c>
      <c r="Q195" s="12">
        <f>IF(O195="Guaraníes",P195,P195*#REF!)</f>
        <v>2991780.8218999999</v>
      </c>
      <c r="R195" s="12" t="e">
        <f>IF(O195="Guaraníes",P195/#REF!,P195)</f>
        <v>#REF!</v>
      </c>
      <c r="S195" s="5" t="s">
        <v>52</v>
      </c>
      <c r="T195" s="5">
        <v>10834</v>
      </c>
      <c r="W195" s="5" t="s">
        <v>65</v>
      </c>
      <c r="X195" s="5">
        <v>0</v>
      </c>
      <c r="Y195" s="5">
        <v>0</v>
      </c>
      <c r="Z195" s="5">
        <v>29917.808218999999</v>
      </c>
      <c r="AA195" s="5">
        <v>100</v>
      </c>
      <c r="AB195" s="5">
        <v>2991780.8218999999</v>
      </c>
      <c r="AC195" s="5" t="str">
        <f t="shared" si="13"/>
        <v>Bonos</v>
      </c>
      <c r="AD195" s="5" t="s">
        <v>43</v>
      </c>
      <c r="AE195" s="5">
        <f t="shared" si="11"/>
        <v>12</v>
      </c>
      <c r="AF195" s="5">
        <f t="shared" si="12"/>
        <v>2023</v>
      </c>
    </row>
    <row r="196" s="5" customFormat="1" ht="13">
      <c r="A196" s="5" t="s">
        <v>44</v>
      </c>
      <c r="B196" s="5" t="s">
        <v>44</v>
      </c>
      <c r="C196" s="5" t="s">
        <v>54</v>
      </c>
      <c r="D196" s="5" t="s">
        <v>21</v>
      </c>
      <c r="E196" s="5" t="s">
        <v>44</v>
      </c>
      <c r="F196" s="5" t="s">
        <v>46</v>
      </c>
      <c r="G196" s="5" t="s">
        <v>86</v>
      </c>
      <c r="H196" s="9" t="s">
        <v>148</v>
      </c>
      <c r="I196" s="10"/>
      <c r="J196" s="10">
        <v>45285</v>
      </c>
      <c r="K196" s="5" t="s">
        <v>57</v>
      </c>
      <c r="L196" s="5" t="s">
        <v>58</v>
      </c>
      <c r="M196" s="11">
        <v>0.097500000000000003</v>
      </c>
      <c r="N196" s="5" t="e">
        <f>IF(AND(M196&gt;#REF!,Cartera!O196="Guaraníes"),"Rendimiento significativo",IF(AND(M196&gt;#REF!,Cartera!O196="Dólares americanos"),"Rendimiento significativo","Rendimiento no significativo"))</f>
        <v>#REF!</v>
      </c>
      <c r="O196" s="5" t="s">
        <v>41</v>
      </c>
      <c r="P196" s="12">
        <v>12154109.589</v>
      </c>
      <c r="Q196" s="12">
        <f>IF(O196="Guaraníes",P196,P196*#REF!)</f>
        <v>12154109.589</v>
      </c>
      <c r="R196" s="12" t="e">
        <f>IF(O196="Guaraníes",P196/#REF!,P196)</f>
        <v>#REF!</v>
      </c>
      <c r="S196" s="5" t="s">
        <v>52</v>
      </c>
      <c r="T196" s="5">
        <v>10834</v>
      </c>
      <c r="W196" s="5" t="s">
        <v>65</v>
      </c>
      <c r="X196" s="5">
        <v>0</v>
      </c>
      <c r="Y196" s="5">
        <v>0</v>
      </c>
      <c r="Z196" s="5">
        <v>24308.219177999999</v>
      </c>
      <c r="AA196" s="5">
        <v>500</v>
      </c>
      <c r="AB196" s="5">
        <v>12154109.589</v>
      </c>
      <c r="AC196" s="5" t="str">
        <f t="shared" si="13"/>
        <v>Bonos</v>
      </c>
      <c r="AD196" s="5" t="s">
        <v>43</v>
      </c>
      <c r="AE196" s="5">
        <f t="shared" si="11"/>
        <v>12</v>
      </c>
      <c r="AF196" s="5">
        <f t="shared" si="12"/>
        <v>2023</v>
      </c>
    </row>
    <row r="197" s="5" customFormat="1" ht="13">
      <c r="A197" s="5" t="s">
        <v>44</v>
      </c>
      <c r="B197" s="5" t="s">
        <v>44</v>
      </c>
      <c r="C197" s="5" t="s">
        <v>45</v>
      </c>
      <c r="D197" s="5" t="s">
        <v>21</v>
      </c>
      <c r="E197" s="5" t="s">
        <v>44</v>
      </c>
      <c r="F197" s="5" t="s">
        <v>46</v>
      </c>
      <c r="G197" s="5" t="s">
        <v>86</v>
      </c>
      <c r="H197" s="9" t="s">
        <v>48</v>
      </c>
      <c r="I197" s="10"/>
      <c r="J197" s="10">
        <v>45222</v>
      </c>
      <c r="K197" s="5" t="s">
        <v>49</v>
      </c>
      <c r="L197" s="5" t="s">
        <v>50</v>
      </c>
      <c r="M197" s="11">
        <v>0.070000000000000007</v>
      </c>
      <c r="N197" s="5" t="e">
        <f>IF(AND(M197&gt;#REF!,Cartera!O197="Guaraníes"),"Rendimiento significativo",IF(AND(M197&gt;#REF!,Cartera!O197="Dólares americanos"),"Rendimiento significativo","Rendimiento no significativo"))</f>
        <v>#REF!</v>
      </c>
      <c r="O197" s="5" t="s">
        <v>51</v>
      </c>
      <c r="P197" s="13">
        <v>872.60275000000001</v>
      </c>
      <c r="Q197" s="12" t="e">
        <f>IF(O197="Guaraníes",P197,P197*#REF!)</f>
        <v>#REF!</v>
      </c>
      <c r="R197" s="12">
        <f>IF(O197="Guaraníes",P197/#REF!,P197)</f>
        <v>872.60275000000001</v>
      </c>
      <c r="S197" s="5" t="s">
        <v>52</v>
      </c>
      <c r="T197" s="5">
        <v>10834</v>
      </c>
      <c r="W197" s="5" t="s">
        <v>65</v>
      </c>
      <c r="X197" s="5">
        <v>0</v>
      </c>
      <c r="Y197" s="5">
        <v>0</v>
      </c>
      <c r="Z197" s="5">
        <v>17.452055000000001</v>
      </c>
      <c r="AA197" s="5">
        <v>50</v>
      </c>
      <c r="AB197" s="5">
        <v>872.60275000000001</v>
      </c>
      <c r="AC197" s="5" t="str">
        <f t="shared" si="13"/>
        <v>Bonos</v>
      </c>
      <c r="AD197" s="5" t="s">
        <v>43</v>
      </c>
      <c r="AE197" s="5">
        <f t="shared" si="11"/>
        <v>10</v>
      </c>
      <c r="AF197" s="5">
        <f t="shared" si="12"/>
        <v>2023</v>
      </c>
    </row>
    <row r="198" s="5" customFormat="1" ht="13">
      <c r="A198" s="5" t="s">
        <v>44</v>
      </c>
      <c r="B198" s="5" t="s">
        <v>44</v>
      </c>
      <c r="C198" s="5" t="s">
        <v>99</v>
      </c>
      <c r="D198" s="5" t="s">
        <v>21</v>
      </c>
      <c r="E198" s="5" t="s">
        <v>44</v>
      </c>
      <c r="F198" s="5" t="s">
        <v>100</v>
      </c>
      <c r="G198" s="5" t="s">
        <v>86</v>
      </c>
      <c r="H198" s="9" t="s">
        <v>155</v>
      </c>
      <c r="I198" s="10"/>
      <c r="J198" s="10">
        <v>45354</v>
      </c>
      <c r="K198" s="5" t="s">
        <v>102</v>
      </c>
      <c r="L198" s="5" t="s">
        <v>102</v>
      </c>
      <c r="M198" s="11">
        <v>0.081000000000000003</v>
      </c>
      <c r="N198" s="5" t="e">
        <f>IF(AND(M198&gt;#REF!,Cartera!O198="Guaraníes"),"Rendimiento significativo",IF(AND(M198&gt;#REF!,Cartera!O198="Dólares americanos"),"Rendimiento significativo","Rendimiento no significativo"))</f>
        <v>#REF!</v>
      </c>
      <c r="O198" s="5" t="s">
        <v>41</v>
      </c>
      <c r="P198" s="12">
        <v>28000000</v>
      </c>
      <c r="Q198" s="12">
        <f>IF(O198="Guaraníes",P198,P198*#REF!)</f>
        <v>28000000</v>
      </c>
      <c r="R198" s="12" t="e">
        <f>IF(O198="Guaraníes",P198/#REF!,P198)</f>
        <v>#REF!</v>
      </c>
      <c r="S198" s="5" t="s">
        <v>52</v>
      </c>
      <c r="T198" s="5">
        <v>10834</v>
      </c>
      <c r="W198" s="5" t="s">
        <v>65</v>
      </c>
      <c r="X198" s="5">
        <v>0</v>
      </c>
      <c r="Y198" s="5">
        <v>0</v>
      </c>
      <c r="Z198" s="5">
        <v>40000</v>
      </c>
      <c r="AA198" s="5">
        <v>700</v>
      </c>
      <c r="AB198" s="5">
        <v>28000000</v>
      </c>
      <c r="AC198" s="5" t="str">
        <f t="shared" si="13"/>
        <v>Bonos</v>
      </c>
      <c r="AD198" s="5" t="s">
        <v>43</v>
      </c>
      <c r="AE198" s="5">
        <f t="shared" si="11"/>
        <v>3</v>
      </c>
      <c r="AF198" s="5">
        <f t="shared" si="12"/>
        <v>2024</v>
      </c>
    </row>
    <row r="199" s="5" customFormat="1" ht="13">
      <c r="A199" s="5" t="s">
        <v>44</v>
      </c>
      <c r="B199" s="5" t="s">
        <v>44</v>
      </c>
      <c r="C199" s="5" t="s">
        <v>54</v>
      </c>
      <c r="D199" s="5" t="s">
        <v>21</v>
      </c>
      <c r="E199" s="5" t="s">
        <v>44</v>
      </c>
      <c r="F199" s="5" t="s">
        <v>46</v>
      </c>
      <c r="G199" s="5" t="s">
        <v>86</v>
      </c>
      <c r="H199" s="9" t="s">
        <v>147</v>
      </c>
      <c r="I199" s="10"/>
      <c r="J199" s="10">
        <v>45376</v>
      </c>
      <c r="K199" s="5" t="s">
        <v>57</v>
      </c>
      <c r="L199" s="5" t="s">
        <v>58</v>
      </c>
      <c r="M199" s="11">
        <v>0.12</v>
      </c>
      <c r="N199" s="5" t="e">
        <f>IF(AND(M199&gt;#REF!,Cartera!O199="Guaraníes"),"Rendimiento significativo",IF(AND(M199&gt;#REF!,Cartera!O199="Dólares americanos"),"Rendimiento significativo","Rendimiento no significativo"))</f>
        <v>#REF!</v>
      </c>
      <c r="O199" s="5" t="s">
        <v>41</v>
      </c>
      <c r="P199" s="12">
        <v>2991780.8218999999</v>
      </c>
      <c r="Q199" s="12">
        <f>IF(O199="Guaraníes",P199,P199*#REF!)</f>
        <v>2991780.8218999999</v>
      </c>
      <c r="R199" s="12" t="e">
        <f>IF(O199="Guaraníes",P199/#REF!,P199)</f>
        <v>#REF!</v>
      </c>
      <c r="S199" s="5" t="s">
        <v>52</v>
      </c>
      <c r="T199" s="5">
        <v>10834</v>
      </c>
      <c r="W199" s="5" t="s">
        <v>65</v>
      </c>
      <c r="X199" s="5">
        <v>0</v>
      </c>
      <c r="Y199" s="5">
        <v>0</v>
      </c>
      <c r="Z199" s="5">
        <v>29917.808218999999</v>
      </c>
      <c r="AA199" s="5">
        <v>100</v>
      </c>
      <c r="AB199" s="5">
        <v>2991780.8218999999</v>
      </c>
      <c r="AC199" s="5" t="str">
        <f t="shared" si="13"/>
        <v>Bonos</v>
      </c>
      <c r="AD199" s="5" t="s">
        <v>43</v>
      </c>
      <c r="AE199" s="5">
        <f t="shared" si="11"/>
        <v>3</v>
      </c>
      <c r="AF199" s="5">
        <f t="shared" si="12"/>
        <v>2024</v>
      </c>
    </row>
    <row r="200" s="5" customFormat="1" ht="13">
      <c r="A200" s="5" t="s">
        <v>44</v>
      </c>
      <c r="B200" s="5" t="s">
        <v>44</v>
      </c>
      <c r="C200" s="5" t="s">
        <v>54</v>
      </c>
      <c r="D200" s="5" t="s">
        <v>21</v>
      </c>
      <c r="E200" s="5" t="s">
        <v>44</v>
      </c>
      <c r="F200" s="5" t="s">
        <v>46</v>
      </c>
      <c r="G200" s="5" t="s">
        <v>86</v>
      </c>
      <c r="H200" s="9" t="s">
        <v>148</v>
      </c>
      <c r="I200" s="10"/>
      <c r="J200" s="10">
        <v>45376</v>
      </c>
      <c r="K200" s="5" t="s">
        <v>57</v>
      </c>
      <c r="L200" s="5" t="s">
        <v>58</v>
      </c>
      <c r="M200" s="11">
        <v>0.097500000000000003</v>
      </c>
      <c r="N200" s="5" t="e">
        <f>IF(AND(M200&gt;#REF!,Cartera!O200="Guaraníes"),"Rendimiento significativo",IF(AND(M200&gt;#REF!,Cartera!O200="Dólares americanos"),"Rendimiento significativo","Rendimiento no significativo"))</f>
        <v>#REF!</v>
      </c>
      <c r="O200" s="5" t="s">
        <v>41</v>
      </c>
      <c r="P200" s="12">
        <v>12154109.589</v>
      </c>
      <c r="Q200" s="12">
        <f>IF(O200="Guaraníes",P200,P200*#REF!)</f>
        <v>12154109.589</v>
      </c>
      <c r="R200" s="12" t="e">
        <f>IF(O200="Guaraníes",P200/#REF!,P200)</f>
        <v>#REF!</v>
      </c>
      <c r="S200" s="5" t="s">
        <v>52</v>
      </c>
      <c r="T200" s="5">
        <v>10834</v>
      </c>
      <c r="W200" s="5" t="s">
        <v>65</v>
      </c>
      <c r="X200" s="5">
        <v>0</v>
      </c>
      <c r="Y200" s="5">
        <v>0</v>
      </c>
      <c r="Z200" s="5">
        <v>24308.219177999999</v>
      </c>
      <c r="AA200" s="5">
        <v>500</v>
      </c>
      <c r="AB200" s="5">
        <v>12154109.589</v>
      </c>
      <c r="AC200" s="5" t="str">
        <f t="shared" si="13"/>
        <v>Bonos</v>
      </c>
      <c r="AD200" s="5" t="s">
        <v>43</v>
      </c>
      <c r="AE200" s="5">
        <f t="shared" si="11"/>
        <v>3</v>
      </c>
      <c r="AF200" s="5">
        <f t="shared" si="12"/>
        <v>2024</v>
      </c>
    </row>
    <row r="201" s="5" customFormat="1" ht="13">
      <c r="A201" s="5" t="s">
        <v>44</v>
      </c>
      <c r="B201" s="5" t="s">
        <v>44</v>
      </c>
      <c r="C201" s="5" t="s">
        <v>45</v>
      </c>
      <c r="D201" s="5" t="s">
        <v>21</v>
      </c>
      <c r="E201" s="5" t="s">
        <v>44</v>
      </c>
      <c r="F201" s="5" t="s">
        <v>46</v>
      </c>
      <c r="G201" s="5" t="s">
        <v>86</v>
      </c>
      <c r="H201" s="9" t="s">
        <v>48</v>
      </c>
      <c r="I201" s="10"/>
      <c r="J201" s="10">
        <v>45313</v>
      </c>
      <c r="K201" s="5" t="s">
        <v>49</v>
      </c>
      <c r="L201" s="5" t="s">
        <v>50</v>
      </c>
      <c r="M201" s="11">
        <v>0.070000000000000007</v>
      </c>
      <c r="N201" s="5" t="e">
        <f>IF(AND(M201&gt;#REF!,Cartera!O201="Guaraníes"),"Rendimiento significativo",IF(AND(M201&gt;#REF!,Cartera!O201="Dólares americanos"),"Rendimiento significativo","Rendimiento no significativo"))</f>
        <v>#REF!</v>
      </c>
      <c r="O201" s="5" t="s">
        <v>51</v>
      </c>
      <c r="P201" s="13">
        <v>872.60275000000001</v>
      </c>
      <c r="Q201" s="12" t="e">
        <f>IF(O201="Guaraníes",P201,P201*#REF!)</f>
        <v>#REF!</v>
      </c>
      <c r="R201" s="12">
        <f>IF(O201="Guaraníes",P201/#REF!,P201)</f>
        <v>872.60275000000001</v>
      </c>
      <c r="S201" s="5" t="s">
        <v>52</v>
      </c>
      <c r="T201" s="5">
        <v>10834</v>
      </c>
      <c r="W201" s="5" t="s">
        <v>65</v>
      </c>
      <c r="X201" s="5">
        <v>0</v>
      </c>
      <c r="Y201" s="5">
        <v>0</v>
      </c>
      <c r="Z201" s="5">
        <v>17.452055000000001</v>
      </c>
      <c r="AA201" s="5">
        <v>50</v>
      </c>
      <c r="AB201" s="5">
        <v>872.60275000000001</v>
      </c>
      <c r="AC201" s="5" t="str">
        <f t="shared" si="13"/>
        <v>Bonos</v>
      </c>
      <c r="AD201" s="5" t="s">
        <v>43</v>
      </c>
      <c r="AE201" s="5">
        <f t="shared" si="11"/>
        <v>1</v>
      </c>
      <c r="AF201" s="5">
        <f t="shared" si="12"/>
        <v>2024</v>
      </c>
    </row>
    <row r="202" s="5" customFormat="1" ht="13">
      <c r="A202" s="5" t="s">
        <v>44</v>
      </c>
      <c r="B202" s="5" t="s">
        <v>44</v>
      </c>
      <c r="C202" s="5" t="s">
        <v>54</v>
      </c>
      <c r="D202" s="5" t="s">
        <v>21</v>
      </c>
      <c r="E202" s="5" t="s">
        <v>44</v>
      </c>
      <c r="F202" s="5" t="s">
        <v>46</v>
      </c>
      <c r="G202" s="5" t="s">
        <v>86</v>
      </c>
      <c r="H202" s="9" t="s">
        <v>147</v>
      </c>
      <c r="I202" s="10"/>
      <c r="J202" s="10">
        <v>45467</v>
      </c>
      <c r="K202" s="5" t="s">
        <v>57</v>
      </c>
      <c r="L202" s="5" t="s">
        <v>58</v>
      </c>
      <c r="M202" s="11">
        <v>0.12</v>
      </c>
      <c r="N202" s="5" t="e">
        <f>IF(AND(M202&gt;#REF!,Cartera!O202="Guaraníes"),"Rendimiento significativo",IF(AND(M202&gt;#REF!,Cartera!O202="Dólares americanos"),"Rendimiento significativo","Rendimiento no significativo"))</f>
        <v>#REF!</v>
      </c>
      <c r="O202" s="5" t="s">
        <v>41</v>
      </c>
      <c r="P202" s="12">
        <v>2991780.8218999999</v>
      </c>
      <c r="Q202" s="12">
        <f>IF(O202="Guaraníes",P202,P202*#REF!)</f>
        <v>2991780.8218999999</v>
      </c>
      <c r="R202" s="12" t="e">
        <f>IF(O202="Guaraníes",P202/#REF!,P202)</f>
        <v>#REF!</v>
      </c>
      <c r="S202" s="5" t="s">
        <v>52</v>
      </c>
      <c r="T202" s="5">
        <v>10834</v>
      </c>
      <c r="W202" s="5" t="s">
        <v>65</v>
      </c>
      <c r="X202" s="5">
        <v>0</v>
      </c>
      <c r="Y202" s="5">
        <v>0</v>
      </c>
      <c r="Z202" s="5">
        <v>29917.808218999999</v>
      </c>
      <c r="AA202" s="5">
        <v>100</v>
      </c>
      <c r="AB202" s="5">
        <v>2991780.8218999999</v>
      </c>
      <c r="AC202" s="5" t="str">
        <f t="shared" si="13"/>
        <v>Bonos</v>
      </c>
      <c r="AD202" s="5" t="s">
        <v>43</v>
      </c>
      <c r="AE202" s="5">
        <f t="shared" si="11"/>
        <v>6</v>
      </c>
      <c r="AF202" s="5">
        <f t="shared" si="12"/>
        <v>2024</v>
      </c>
    </row>
    <row r="203" s="5" customFormat="1" ht="13">
      <c r="A203" s="5" t="s">
        <v>44</v>
      </c>
      <c r="B203" s="5" t="s">
        <v>44</v>
      </c>
      <c r="C203" s="5" t="s">
        <v>54</v>
      </c>
      <c r="D203" s="5" t="s">
        <v>21</v>
      </c>
      <c r="E203" s="5" t="s">
        <v>44</v>
      </c>
      <c r="F203" s="5" t="s">
        <v>46</v>
      </c>
      <c r="G203" s="5" t="s">
        <v>86</v>
      </c>
      <c r="H203" s="9" t="s">
        <v>148</v>
      </c>
      <c r="I203" s="10"/>
      <c r="J203" s="10">
        <v>45467</v>
      </c>
      <c r="K203" s="5" t="s">
        <v>57</v>
      </c>
      <c r="L203" s="5" t="s">
        <v>58</v>
      </c>
      <c r="M203" s="11">
        <v>0.097500000000000003</v>
      </c>
      <c r="N203" s="5" t="e">
        <f>IF(AND(M203&gt;#REF!,Cartera!O203="Guaraníes"),"Rendimiento significativo",IF(AND(M203&gt;#REF!,Cartera!O203="Dólares americanos"),"Rendimiento significativo","Rendimiento no significativo"))</f>
        <v>#REF!</v>
      </c>
      <c r="O203" s="5" t="s">
        <v>41</v>
      </c>
      <c r="P203" s="12">
        <v>12154109.589</v>
      </c>
      <c r="Q203" s="12">
        <f>IF(O203="Guaraníes",P203,P203*#REF!)</f>
        <v>12154109.589</v>
      </c>
      <c r="R203" s="12" t="e">
        <f>IF(O203="Guaraníes",P203/#REF!,P203)</f>
        <v>#REF!</v>
      </c>
      <c r="S203" s="5" t="s">
        <v>52</v>
      </c>
      <c r="T203" s="5">
        <v>10834</v>
      </c>
      <c r="W203" s="5" t="s">
        <v>65</v>
      </c>
      <c r="X203" s="5">
        <v>0</v>
      </c>
      <c r="Y203" s="5">
        <v>0</v>
      </c>
      <c r="Z203" s="5">
        <v>24308.219177999999</v>
      </c>
      <c r="AA203" s="5">
        <v>500</v>
      </c>
      <c r="AB203" s="5">
        <v>12154109.589</v>
      </c>
      <c r="AC203" s="5" t="str">
        <f t="shared" si="13"/>
        <v>Bonos</v>
      </c>
      <c r="AD203" s="5" t="s">
        <v>43</v>
      </c>
      <c r="AE203" s="5">
        <f t="shared" si="11"/>
        <v>6</v>
      </c>
      <c r="AF203" s="5">
        <f t="shared" si="12"/>
        <v>2024</v>
      </c>
    </row>
    <row r="204" s="5" customFormat="1" ht="13">
      <c r="A204" s="5" t="s">
        <v>44</v>
      </c>
      <c r="B204" s="5" t="s">
        <v>44</v>
      </c>
      <c r="C204" s="5" t="s">
        <v>45</v>
      </c>
      <c r="D204" s="5" t="s">
        <v>21</v>
      </c>
      <c r="E204" s="5" t="s">
        <v>44</v>
      </c>
      <c r="F204" s="5" t="s">
        <v>46</v>
      </c>
      <c r="G204" s="5" t="s">
        <v>86</v>
      </c>
      <c r="H204" s="9" t="s">
        <v>48</v>
      </c>
      <c r="I204" s="10"/>
      <c r="J204" s="10">
        <v>45404</v>
      </c>
      <c r="K204" s="5" t="s">
        <v>49</v>
      </c>
      <c r="L204" s="5" t="s">
        <v>50</v>
      </c>
      <c r="M204" s="11">
        <v>0.070000000000000007</v>
      </c>
      <c r="N204" s="5" t="e">
        <f>IF(AND(M204&gt;#REF!,Cartera!O204="Guaraníes"),"Rendimiento significativo",IF(AND(M204&gt;#REF!,Cartera!O204="Dólares americanos"),"Rendimiento significativo","Rendimiento no significativo"))</f>
        <v>#REF!</v>
      </c>
      <c r="O204" s="5" t="s">
        <v>51</v>
      </c>
      <c r="P204" s="13">
        <v>872.60275000000001</v>
      </c>
      <c r="Q204" s="12" t="e">
        <f>IF(O204="Guaraníes",P204,P204*#REF!)</f>
        <v>#REF!</v>
      </c>
      <c r="R204" s="12">
        <f>IF(O204="Guaraníes",P204/#REF!,P204)</f>
        <v>872.60275000000001</v>
      </c>
      <c r="S204" s="5" t="s">
        <v>52</v>
      </c>
      <c r="T204" s="5">
        <v>10834</v>
      </c>
      <c r="W204" s="5" t="s">
        <v>65</v>
      </c>
      <c r="X204" s="5">
        <v>0</v>
      </c>
      <c r="Y204" s="5">
        <v>0</v>
      </c>
      <c r="Z204" s="5">
        <v>17.452055000000001</v>
      </c>
      <c r="AA204" s="5">
        <v>50</v>
      </c>
      <c r="AB204" s="5">
        <v>872.60275000000001</v>
      </c>
      <c r="AC204" s="5" t="str">
        <f t="shared" si="13"/>
        <v>Bonos</v>
      </c>
      <c r="AD204" s="5" t="s">
        <v>43</v>
      </c>
      <c r="AE204" s="5">
        <f t="shared" si="11"/>
        <v>4</v>
      </c>
      <c r="AF204" s="5">
        <f t="shared" si="12"/>
        <v>2024</v>
      </c>
    </row>
    <row r="205" s="5" customFormat="1" ht="13">
      <c r="A205" s="5" t="s">
        <v>44</v>
      </c>
      <c r="B205" s="5" t="s">
        <v>44</v>
      </c>
      <c r="C205" s="5" t="s">
        <v>99</v>
      </c>
      <c r="D205" s="5" t="s">
        <v>21</v>
      </c>
      <c r="E205" s="5" t="s">
        <v>44</v>
      </c>
      <c r="F205" s="5" t="s">
        <v>100</v>
      </c>
      <c r="G205" s="5" t="s">
        <v>86</v>
      </c>
      <c r="H205" s="9" t="s">
        <v>155</v>
      </c>
      <c r="I205" s="10"/>
      <c r="J205" s="10">
        <v>45538</v>
      </c>
      <c r="K205" s="5" t="s">
        <v>102</v>
      </c>
      <c r="L205" s="5" t="s">
        <v>102</v>
      </c>
      <c r="M205" s="11">
        <v>0.081000000000000003</v>
      </c>
      <c r="N205" s="5" t="e">
        <f>IF(AND(M205&gt;#REF!,Cartera!O205="Guaraníes"),"Rendimiento significativo",IF(AND(M205&gt;#REF!,Cartera!O205="Dólares americanos"),"Rendimiento significativo","Rendimiento no significativo"))</f>
        <v>#REF!</v>
      </c>
      <c r="O205" s="5" t="s">
        <v>41</v>
      </c>
      <c r="P205" s="12">
        <v>28000000</v>
      </c>
      <c r="Q205" s="12">
        <f>IF(O205="Guaraníes",P205,P205*#REF!)</f>
        <v>28000000</v>
      </c>
      <c r="R205" s="12" t="e">
        <f>IF(O205="Guaraníes",P205/#REF!,P205)</f>
        <v>#REF!</v>
      </c>
      <c r="S205" s="5" t="s">
        <v>52</v>
      </c>
      <c r="T205" s="5">
        <v>10834</v>
      </c>
      <c r="W205" s="5" t="s">
        <v>65</v>
      </c>
      <c r="X205" s="5">
        <v>0</v>
      </c>
      <c r="Y205" s="5">
        <v>0</v>
      </c>
      <c r="Z205" s="5">
        <v>40000</v>
      </c>
      <c r="AA205" s="5">
        <v>700</v>
      </c>
      <c r="AB205" s="5">
        <v>28000000</v>
      </c>
      <c r="AC205" s="5" t="str">
        <f t="shared" si="13"/>
        <v>Bonos</v>
      </c>
      <c r="AD205" s="5" t="s">
        <v>43</v>
      </c>
      <c r="AE205" s="5">
        <f t="shared" si="11"/>
        <v>9</v>
      </c>
      <c r="AF205" s="5">
        <f t="shared" si="12"/>
        <v>2024</v>
      </c>
    </row>
    <row r="206" s="5" customFormat="1" ht="13">
      <c r="A206" s="5" t="s">
        <v>44</v>
      </c>
      <c r="B206" s="5" t="s">
        <v>44</v>
      </c>
      <c r="C206" s="5" t="s">
        <v>99</v>
      </c>
      <c r="D206" s="5" t="s">
        <v>21</v>
      </c>
      <c r="E206" s="5" t="s">
        <v>44</v>
      </c>
      <c r="F206" s="5" t="s">
        <v>100</v>
      </c>
      <c r="G206" s="5" t="s">
        <v>75</v>
      </c>
      <c r="H206" s="9" t="s">
        <v>159</v>
      </c>
      <c r="I206" s="10"/>
      <c r="J206" s="10">
        <v>45538</v>
      </c>
      <c r="K206" s="5" t="s">
        <v>102</v>
      </c>
      <c r="L206" s="5" t="s">
        <v>102</v>
      </c>
      <c r="M206" s="11">
        <v>0.078</v>
      </c>
      <c r="N206" s="5" t="e">
        <f>IF(AND(M206&gt;#REF!,Cartera!O889="Guaraníes"),"Rendimiento significativo",IF(AND(M206&gt;#REF!,Cartera!O889="Dólares americanos"),"Rendimiento significativo","Rendimiento no significativo"))</f>
        <v>#REF!</v>
      </c>
      <c r="O206" s="5" t="s">
        <v>41</v>
      </c>
      <c r="P206" s="12">
        <v>31200000</v>
      </c>
      <c r="Q206" s="12">
        <f>IF(O206="Guaraníes",P206,P206*#REF!)</f>
        <v>31200000</v>
      </c>
      <c r="R206" s="12" t="e">
        <f>IF(O206="Guaraníes",P206/#REF!,P206)</f>
        <v>#REF!</v>
      </c>
      <c r="S206" s="5" t="s">
        <v>52</v>
      </c>
      <c r="T206" s="5">
        <v>25</v>
      </c>
      <c r="W206" s="5" t="s">
        <v>65</v>
      </c>
      <c r="X206" s="5">
        <v>0</v>
      </c>
      <c r="Y206" s="5">
        <v>0</v>
      </c>
      <c r="Z206" s="5">
        <v>39000</v>
      </c>
      <c r="AA206" s="5">
        <v>800</v>
      </c>
      <c r="AB206" s="5">
        <v>31200000</v>
      </c>
      <c r="AC206" s="5" t="str">
        <f t="shared" si="13"/>
        <v>Bonos</v>
      </c>
      <c r="AD206" s="5" t="s">
        <v>43</v>
      </c>
      <c r="AE206" s="5">
        <f t="shared" si="11"/>
        <v>9</v>
      </c>
      <c r="AF206" s="5">
        <f t="shared" si="12"/>
        <v>2024</v>
      </c>
    </row>
    <row r="207" s="5" customFormat="1" ht="13">
      <c r="A207" s="5" t="s">
        <v>44</v>
      </c>
      <c r="B207" s="5" t="s">
        <v>44</v>
      </c>
      <c r="C207" s="5" t="s">
        <v>99</v>
      </c>
      <c r="D207" s="5" t="s">
        <v>21</v>
      </c>
      <c r="E207" s="5" t="s">
        <v>44</v>
      </c>
      <c r="F207" s="5" t="s">
        <v>100</v>
      </c>
      <c r="G207" s="5" t="s">
        <v>145</v>
      </c>
      <c r="H207" s="9" t="s">
        <v>159</v>
      </c>
      <c r="I207" s="10">
        <v>44657</v>
      </c>
      <c r="J207" s="10">
        <v>45538</v>
      </c>
      <c r="K207" s="5" t="s">
        <v>102</v>
      </c>
      <c r="L207" s="5" t="s">
        <v>102</v>
      </c>
      <c r="M207" s="11">
        <v>0.078</v>
      </c>
      <c r="N207" s="5" t="e">
        <f>IF(AND(M207&gt;#REF!,Cartera!O1567="Guaraníes"),"Rendimiento significativo",IF(AND(M207&gt;#REF!,Cartera!O1567="Dólares americanos"),"Rendimiento significativo","Rendimiento no significativo"))</f>
        <v>#REF!</v>
      </c>
      <c r="O207" s="5" t="s">
        <v>41</v>
      </c>
      <c r="P207" s="12">
        <v>35100000</v>
      </c>
      <c r="Q207" s="12">
        <f>IF(O207="Guaraníes",P207,P207*#REF!)</f>
        <v>35100000</v>
      </c>
      <c r="R207" s="12" t="e">
        <f>IF(O207="Guaraníes",P207/#REF!,P207)</f>
        <v>#REF!</v>
      </c>
      <c r="S207" s="5" t="s">
        <v>52</v>
      </c>
      <c r="V207" s="5">
        <v>39000</v>
      </c>
      <c r="AA207" s="5">
        <v>900</v>
      </c>
      <c r="AC207" s="5" t="str">
        <f t="shared" si="13"/>
        <v>Bonos</v>
      </c>
      <c r="AD207" s="5" t="s">
        <v>43</v>
      </c>
      <c r="AE207" s="5">
        <f t="shared" si="11"/>
        <v>9</v>
      </c>
      <c r="AF207" s="5">
        <f t="shared" si="12"/>
        <v>2024</v>
      </c>
    </row>
    <row r="208" s="5" customFormat="1" ht="13">
      <c r="A208" s="5" t="s">
        <v>44</v>
      </c>
      <c r="B208" s="5" t="s">
        <v>44</v>
      </c>
      <c r="C208" s="5" t="s">
        <v>45</v>
      </c>
      <c r="D208" s="5" t="s">
        <v>21</v>
      </c>
      <c r="E208" s="5" t="s">
        <v>44</v>
      </c>
      <c r="F208" s="5" t="s">
        <v>46</v>
      </c>
      <c r="G208" s="5" t="s">
        <v>86</v>
      </c>
      <c r="H208" s="9" t="s">
        <v>48</v>
      </c>
      <c r="I208" s="10"/>
      <c r="J208" s="10">
        <v>45495</v>
      </c>
      <c r="K208" s="5" t="s">
        <v>49</v>
      </c>
      <c r="L208" s="5" t="s">
        <v>50</v>
      </c>
      <c r="M208" s="11">
        <v>0.070000000000000007</v>
      </c>
      <c r="N208" s="5" t="e">
        <f>IF(AND(M208&gt;#REF!,Cartera!O208="Guaraníes"),"Rendimiento significativo",IF(AND(M208&gt;#REF!,Cartera!O208="Dólares americanos"),"Rendimiento significativo","Rendimiento no significativo"))</f>
        <v>#REF!</v>
      </c>
      <c r="O208" s="5" t="s">
        <v>51</v>
      </c>
      <c r="P208" s="13">
        <v>872.60275000000001</v>
      </c>
      <c r="Q208" s="12" t="e">
        <f>IF(O208="Guaraníes",P208,P208*#REF!)</f>
        <v>#REF!</v>
      </c>
      <c r="R208" s="12">
        <f>IF(O208="Guaraníes",P208/#REF!,P208)</f>
        <v>872.60275000000001</v>
      </c>
      <c r="S208" s="5" t="s">
        <v>52</v>
      </c>
      <c r="T208" s="5">
        <v>10834</v>
      </c>
      <c r="W208" s="5" t="s">
        <v>65</v>
      </c>
      <c r="X208" s="5">
        <v>0</v>
      </c>
      <c r="Y208" s="5">
        <v>0</v>
      </c>
      <c r="Z208" s="5">
        <v>17.452055000000001</v>
      </c>
      <c r="AA208" s="5">
        <v>50</v>
      </c>
      <c r="AB208" s="5">
        <v>872.60275000000001</v>
      </c>
      <c r="AC208" s="5" t="str">
        <f t="shared" si="13"/>
        <v>Bonos</v>
      </c>
      <c r="AD208" s="5" t="s">
        <v>43</v>
      </c>
      <c r="AE208" s="5">
        <f t="shared" si="11"/>
        <v>7</v>
      </c>
      <c r="AF208" s="5">
        <f t="shared" si="12"/>
        <v>2024</v>
      </c>
    </row>
    <row r="209" s="5" customFormat="1" ht="13">
      <c r="A209" s="5" t="s">
        <v>44</v>
      </c>
      <c r="B209" s="5" t="s">
        <v>44</v>
      </c>
      <c r="C209" s="5" t="s">
        <v>160</v>
      </c>
      <c r="D209" s="5" t="s">
        <v>21</v>
      </c>
      <c r="E209" s="5" t="s">
        <v>44</v>
      </c>
      <c r="F209" s="5" t="s">
        <v>68</v>
      </c>
      <c r="G209" s="5" t="s">
        <v>91</v>
      </c>
      <c r="H209" s="9" t="s">
        <v>161</v>
      </c>
      <c r="I209" s="10">
        <v>44581</v>
      </c>
      <c r="J209" s="10">
        <v>45642</v>
      </c>
      <c r="K209" s="5" t="s">
        <v>162</v>
      </c>
      <c r="L209" s="5" t="s">
        <v>58</v>
      </c>
      <c r="M209" s="11">
        <v>0.086999999999999994</v>
      </c>
      <c r="N209" s="5" t="e">
        <f>IF(AND(M209&gt;#REF!,Cartera!O3139="Guaraníes"),"Rendimiento significativo",IF(AND(M209&gt;#REF!,Cartera!O3139="Dólares americanos"),"Rendimiento significativo","Rendimiento no significativo"))</f>
        <v>#REF!</v>
      </c>
      <c r="O209" s="5" t="s">
        <v>41</v>
      </c>
      <c r="P209" s="12">
        <v>17352328.767200001</v>
      </c>
      <c r="Q209" s="13">
        <f>IF(O209="Guaraníes",P209,P209*#REF!)</f>
        <v>17352328.767200001</v>
      </c>
      <c r="R209" s="12" t="e">
        <f>IF(O209="Guaraníes",P209/#REF!,P209)</f>
        <v>#REF!</v>
      </c>
      <c r="S209" s="5" t="s">
        <v>52</v>
      </c>
      <c r="AC209" s="5" t="str">
        <f t="shared" si="13"/>
        <v>Bonos</v>
      </c>
      <c r="AD209" s="5" t="s">
        <v>43</v>
      </c>
      <c r="AE209" s="5">
        <f t="shared" si="11"/>
        <v>12</v>
      </c>
      <c r="AF209" s="5">
        <f t="shared" si="12"/>
        <v>2024</v>
      </c>
    </row>
    <row r="210" s="5" customFormat="1" ht="13">
      <c r="A210" s="5" t="s">
        <v>44</v>
      </c>
      <c r="B210" s="5" t="s">
        <v>44</v>
      </c>
      <c r="C210" s="5" t="s">
        <v>135</v>
      </c>
      <c r="D210" s="5" t="s">
        <v>20</v>
      </c>
      <c r="E210" s="5" t="s">
        <v>44</v>
      </c>
      <c r="F210" s="5" t="s">
        <v>68</v>
      </c>
      <c r="G210" s="5" t="s">
        <v>75</v>
      </c>
      <c r="H210" s="9" t="s">
        <v>136</v>
      </c>
      <c r="I210" s="10"/>
      <c r="J210" s="10">
        <v>45642</v>
      </c>
      <c r="K210" s="5" t="s">
        <v>124</v>
      </c>
      <c r="L210" s="5" t="s">
        <v>58</v>
      </c>
      <c r="M210" s="11">
        <v>0.060999999999999999</v>
      </c>
      <c r="N210" s="5" t="e">
        <f>IF(AND(M210&gt;#REF!,Cartera!O3169="Guaraníes"),"Rendimiento significativo",IF(AND(M210&gt;#REF!,Cartera!O3169="Dólares americanos"),"Rendimiento significativo","Rendimiento no significativo"))</f>
        <v>#REF!</v>
      </c>
      <c r="O210" s="5" t="s">
        <v>41</v>
      </c>
      <c r="P210" s="12">
        <v>28571428.579999998</v>
      </c>
      <c r="Q210" s="13">
        <f>IF(O210="Guaraníes",P210,P210*#REF!)</f>
        <v>28571428.579999998</v>
      </c>
      <c r="R210" s="12" t="e">
        <f>IF(O210="Guaraníes",P210/#REF!,P210)</f>
        <v>#REF!</v>
      </c>
      <c r="S210" s="5" t="s">
        <v>52</v>
      </c>
      <c r="T210" s="5">
        <v>25</v>
      </c>
      <c r="AC210" s="5" t="str">
        <f t="shared" si="13"/>
        <v>Bonos</v>
      </c>
      <c r="AD210" s="5" t="s">
        <v>43</v>
      </c>
      <c r="AE210" s="5">
        <f t="shared" si="11"/>
        <v>12</v>
      </c>
      <c r="AF210" s="5">
        <f t="shared" si="12"/>
        <v>2024</v>
      </c>
      <c r="AG210" s="5" t="s">
        <v>163</v>
      </c>
    </row>
    <row r="211" s="5" customFormat="1" ht="13">
      <c r="A211" s="5" t="s">
        <v>44</v>
      </c>
      <c r="B211" s="5" t="s">
        <v>44</v>
      </c>
      <c r="C211" s="5" t="s">
        <v>74</v>
      </c>
      <c r="D211" s="5" t="s">
        <v>21</v>
      </c>
      <c r="E211" s="5" t="s">
        <v>44</v>
      </c>
      <c r="F211" s="5" t="s">
        <v>68</v>
      </c>
      <c r="G211" s="5" t="s">
        <v>75</v>
      </c>
      <c r="H211" s="9" t="s">
        <v>76</v>
      </c>
      <c r="I211" s="10"/>
      <c r="J211" s="10">
        <v>45566</v>
      </c>
      <c r="K211" s="5" t="s">
        <v>77</v>
      </c>
      <c r="L211" s="5" t="s">
        <v>50</v>
      </c>
      <c r="M211" s="11">
        <v>0.055</v>
      </c>
      <c r="N211" s="5" t="e">
        <f>IF(AND(M211&gt;#REF!,Cartera!O892="Guaraníes"),"Rendimiento significativo",IF(AND(M211&gt;#REF!,Cartera!O892="Dólares americanos"),"Rendimiento significativo","Rendimiento no significativo"))</f>
        <v>#REF!</v>
      </c>
      <c r="O211" s="5" t="s">
        <v>51</v>
      </c>
      <c r="P211" s="13">
        <v>415.89042000000001</v>
      </c>
      <c r="Q211" s="12" t="e">
        <f>IF(O211="Guaraníes",P211,P211*#REF!)</f>
        <v>#REF!</v>
      </c>
      <c r="R211" s="12">
        <f>IF(O211="Guaraníes",P211/#REF!,P211)</f>
        <v>415.89042000000001</v>
      </c>
      <c r="S211" s="5" t="s">
        <v>52</v>
      </c>
      <c r="T211" s="5">
        <v>25</v>
      </c>
      <c r="W211" s="5" t="s">
        <v>65</v>
      </c>
      <c r="X211" s="5">
        <v>0</v>
      </c>
      <c r="Y211" s="5">
        <v>0</v>
      </c>
      <c r="Z211" s="5">
        <v>13.863014</v>
      </c>
      <c r="AA211" s="5">
        <v>30</v>
      </c>
      <c r="AB211" s="5">
        <v>415.88999999999999</v>
      </c>
      <c r="AC211" s="5" t="str">
        <f t="shared" si="13"/>
        <v>Bonos</v>
      </c>
      <c r="AD211" s="5" t="s">
        <v>43</v>
      </c>
      <c r="AE211" s="5">
        <f t="shared" si="11"/>
        <v>10</v>
      </c>
      <c r="AF211" s="5">
        <f t="shared" si="12"/>
        <v>2024</v>
      </c>
    </row>
    <row r="212" s="5" customFormat="1" ht="13">
      <c r="A212" s="5">
        <v>12316</v>
      </c>
      <c r="B212" s="5" t="s">
        <v>78</v>
      </c>
      <c r="C212" s="5" t="s">
        <v>164</v>
      </c>
      <c r="D212" s="5" t="s">
        <v>21</v>
      </c>
      <c r="E212" s="5" t="s">
        <v>34</v>
      </c>
      <c r="F212" s="5" t="s">
        <v>68</v>
      </c>
      <c r="G212" s="5" t="s">
        <v>145</v>
      </c>
      <c r="H212" s="9" t="s">
        <v>165</v>
      </c>
      <c r="I212" s="10"/>
      <c r="J212" s="10">
        <v>45688</v>
      </c>
      <c r="K212" s="5" t="s">
        <v>124</v>
      </c>
      <c r="L212" s="5" t="s">
        <v>58</v>
      </c>
      <c r="M212" s="11">
        <v>0.10000000000000001</v>
      </c>
      <c r="N212" s="5" t="e">
        <f>IF(AND(M212&gt;#REF!,Cartera!O1509="Guaraníes"),"Rendimiento significativo",IF(AND(M212&gt;#REF!,Cartera!O1509="Dólares americanos"),"Rendimiento significativo","Rendimiento no significativo"))</f>
        <v>#REF!</v>
      </c>
      <c r="O212" s="5" t="s">
        <v>41</v>
      </c>
      <c r="P212" s="12">
        <v>3506849.3152000001</v>
      </c>
      <c r="Q212" s="12">
        <f>IF(O212="Guaraníes",P212,P212*#REF!)</f>
        <v>3506849.3152000001</v>
      </c>
      <c r="R212" s="12" t="e">
        <f>IF(O212="Guaraníes",P212/#REF!,P212)</f>
        <v>#REF!</v>
      </c>
      <c r="S212" s="5" t="s">
        <v>42</v>
      </c>
      <c r="T212" s="5">
        <v>1057</v>
      </c>
      <c r="W212" s="5" t="s">
        <v>65</v>
      </c>
      <c r="X212" s="5">
        <v>0</v>
      </c>
      <c r="Y212" s="5">
        <v>0</v>
      </c>
      <c r="Z212" s="5">
        <v>8767.1232880000007</v>
      </c>
      <c r="AA212" s="5">
        <v>400</v>
      </c>
      <c r="AB212" s="5">
        <v>3506849.3152000001</v>
      </c>
      <c r="AC212" s="5" t="str">
        <f t="shared" si="13"/>
        <v>Bonos</v>
      </c>
      <c r="AD212" s="5" t="s">
        <v>43</v>
      </c>
      <c r="AE212" s="5">
        <f t="shared" si="11"/>
        <v>1</v>
      </c>
      <c r="AF212" s="5">
        <f t="shared" si="12"/>
        <v>2025</v>
      </c>
    </row>
    <row r="213" s="5" customFormat="1" ht="13">
      <c r="A213" s="5">
        <v>12316</v>
      </c>
      <c r="B213" s="5" t="s">
        <v>78</v>
      </c>
      <c r="C213" s="5" t="s">
        <v>164</v>
      </c>
      <c r="D213" s="5" t="s">
        <v>21</v>
      </c>
      <c r="E213" s="5" t="s">
        <v>34</v>
      </c>
      <c r="F213" s="5" t="s">
        <v>68</v>
      </c>
      <c r="G213" s="5" t="s">
        <v>91</v>
      </c>
      <c r="H213" s="9" t="s">
        <v>166</v>
      </c>
      <c r="I213" s="10"/>
      <c r="J213" s="10">
        <v>45688</v>
      </c>
      <c r="K213" s="5" t="s">
        <v>124</v>
      </c>
      <c r="L213" s="5" t="s">
        <v>58</v>
      </c>
      <c r="M213" s="11">
        <v>0.092499999999999999</v>
      </c>
      <c r="N213" s="5" t="e">
        <f>IF(AND(M213&gt;#REF!,Cartera!O1867="Guaraníes"),"Rendimiento significativo",IF(AND(M213&gt;#REF!,Cartera!O1867="Dólares americanos"),"Rendimiento significativo","Rendimiento no significativo"))</f>
        <v>#REF!</v>
      </c>
      <c r="O213" s="5" t="s">
        <v>41</v>
      </c>
      <c r="P213" s="12">
        <v>1216438.3561500001</v>
      </c>
      <c r="Q213" s="13">
        <f>IF(O213="Guaraníes",P213,P213*#REF!)</f>
        <v>1216438.3561500001</v>
      </c>
      <c r="R213" s="12" t="e">
        <f>IF(O213="Guaraníes",P213/#REF!,P213)</f>
        <v>#REF!</v>
      </c>
      <c r="S213" s="5" t="s">
        <v>52</v>
      </c>
      <c r="T213" s="5">
        <v>3253</v>
      </c>
      <c r="W213" s="5" t="s">
        <v>65</v>
      </c>
      <c r="X213" s="5">
        <v>0</v>
      </c>
      <c r="Y213" s="5">
        <v>0</v>
      </c>
      <c r="Z213" s="5">
        <v>8109.5890410000002</v>
      </c>
      <c r="AA213" s="5">
        <v>150</v>
      </c>
      <c r="AB213" s="5">
        <v>1216438.3561499999</v>
      </c>
      <c r="AC213" s="5" t="str">
        <f t="shared" si="13"/>
        <v>Bonos</v>
      </c>
      <c r="AD213" s="5" t="s">
        <v>43</v>
      </c>
      <c r="AE213" s="5">
        <f t="shared" si="11"/>
        <v>1</v>
      </c>
      <c r="AF213" s="5">
        <f t="shared" si="12"/>
        <v>2025</v>
      </c>
    </row>
    <row r="214" s="5" customFormat="1" ht="13">
      <c r="A214" s="5">
        <v>12316</v>
      </c>
      <c r="B214" s="5" t="s">
        <v>78</v>
      </c>
      <c r="C214" s="5" t="s">
        <v>164</v>
      </c>
      <c r="D214" s="5" t="s">
        <v>21</v>
      </c>
      <c r="E214" s="5" t="s">
        <v>34</v>
      </c>
      <c r="F214" s="5" t="s">
        <v>68</v>
      </c>
      <c r="G214" s="5" t="s">
        <v>141</v>
      </c>
      <c r="H214" s="9" t="s">
        <v>165</v>
      </c>
      <c r="I214" s="10"/>
      <c r="J214" s="10">
        <v>45688</v>
      </c>
      <c r="K214" s="5" t="s">
        <v>124</v>
      </c>
      <c r="L214" s="5" t="s">
        <v>58</v>
      </c>
      <c r="M214" s="11">
        <v>0.10000000000000001</v>
      </c>
      <c r="N214" s="5" t="e">
        <f>IF(AND(M214&gt;#REF!,Cartera!O2086="Guaraníes"),"Rendimiento significativo",IF(AND(M214&gt;#REF!,Cartera!O2086="Dólares americanos"),"Rendimiento significativo","Rendimiento no significativo"))</f>
        <v>#REF!</v>
      </c>
      <c r="O214" s="5" t="s">
        <v>41</v>
      </c>
      <c r="P214" s="12">
        <v>876712.32880000002</v>
      </c>
      <c r="Q214" s="13">
        <f>IF(O214="Guaraníes",P214,P214*#REF!)</f>
        <v>876712.32880000002</v>
      </c>
      <c r="R214" s="12" t="e">
        <f>IF(O214="Guaraníes",P214/#REF!,P214)</f>
        <v>#REF!</v>
      </c>
      <c r="S214" s="5" t="s">
        <v>42</v>
      </c>
      <c r="T214" s="5">
        <v>9243</v>
      </c>
      <c r="W214" s="5" t="s">
        <v>65</v>
      </c>
      <c r="X214" s="5">
        <v>0</v>
      </c>
      <c r="Y214" s="5">
        <v>0</v>
      </c>
      <c r="Z214" s="5">
        <v>8767.1232880000007</v>
      </c>
      <c r="AA214" s="5">
        <v>100</v>
      </c>
      <c r="AB214" s="5">
        <v>876712.32880000002</v>
      </c>
      <c r="AC214" s="5" t="str">
        <f t="shared" si="13"/>
        <v>Bonos</v>
      </c>
      <c r="AD214" s="5" t="s">
        <v>43</v>
      </c>
      <c r="AE214" s="5">
        <f t="shared" si="11"/>
        <v>1</v>
      </c>
      <c r="AF214" s="5">
        <f t="shared" si="12"/>
        <v>2025</v>
      </c>
    </row>
    <row r="215" s="5" customFormat="1" ht="13">
      <c r="A215" s="5">
        <v>12302</v>
      </c>
      <c r="B215" s="5" t="s">
        <v>98</v>
      </c>
      <c r="C215" s="5" t="s">
        <v>45</v>
      </c>
      <c r="D215" s="5" t="s">
        <v>20</v>
      </c>
      <c r="E215" s="5" t="s">
        <v>34</v>
      </c>
      <c r="F215" s="5" t="s">
        <v>46</v>
      </c>
      <c r="G215" s="5" t="s">
        <v>86</v>
      </c>
      <c r="H215" s="9" t="s">
        <v>48</v>
      </c>
      <c r="I215" s="10">
        <v>44056</v>
      </c>
      <c r="J215" s="10">
        <v>45768</v>
      </c>
      <c r="K215" s="5" t="s">
        <v>49</v>
      </c>
      <c r="L215" s="5" t="s">
        <v>50</v>
      </c>
      <c r="M215" s="11">
        <v>0.070000000000000007</v>
      </c>
      <c r="N215" s="5" t="e">
        <f>IF(AND(M215&gt;#REF!,Cartera!O215="Guaraníes"),"Rendimiento significativo",IF(AND(M215&gt;#REF!,Cartera!O215="Dólares americanos"),"Rendimiento significativo","Rendimiento no significativo"))</f>
        <v>#REF!</v>
      </c>
      <c r="O215" s="5" t="s">
        <v>51</v>
      </c>
      <c r="P215" s="13">
        <v>50000</v>
      </c>
      <c r="Q215" s="12" t="e">
        <f>IF(O215="Guaraníes",P215,P215*#REF!)</f>
        <v>#REF!</v>
      </c>
      <c r="R215" s="12">
        <f>IF(O215="Guaraníes",P215/#REF!,P215)</f>
        <v>50000</v>
      </c>
      <c r="S215" s="5" t="s">
        <v>42</v>
      </c>
      <c r="T215" s="5">
        <v>10834</v>
      </c>
      <c r="AC215" s="5" t="str">
        <f t="shared" si="13"/>
        <v>Bonos</v>
      </c>
      <c r="AD215" s="5" t="s">
        <v>43</v>
      </c>
      <c r="AE215" s="5">
        <f t="shared" si="11"/>
        <v>4</v>
      </c>
      <c r="AF215" s="5">
        <f t="shared" si="12"/>
        <v>2025</v>
      </c>
    </row>
    <row r="216" s="5" customFormat="1" ht="13">
      <c r="A216" s="5">
        <v>12316</v>
      </c>
      <c r="B216" s="5" t="s">
        <v>78</v>
      </c>
      <c r="C216" s="5" t="s">
        <v>164</v>
      </c>
      <c r="D216" s="5" t="s">
        <v>21</v>
      </c>
      <c r="E216" s="5" t="s">
        <v>34</v>
      </c>
      <c r="F216" s="5" t="s">
        <v>68</v>
      </c>
      <c r="G216" s="5" t="s">
        <v>141</v>
      </c>
      <c r="H216" s="9" t="s">
        <v>167</v>
      </c>
      <c r="I216" s="10"/>
      <c r="J216" s="10">
        <v>45688</v>
      </c>
      <c r="K216" s="5" t="s">
        <v>124</v>
      </c>
      <c r="L216" s="5" t="s">
        <v>58</v>
      </c>
      <c r="M216" s="11">
        <v>0.092499999999999999</v>
      </c>
      <c r="N216" s="5" t="e">
        <f>IF(AND(M216&gt;#REF!,Cartera!O2087="Guaraníes"),"Rendimiento significativo",IF(AND(M216&gt;#REF!,Cartera!O2087="Dólares americanos"),"Rendimiento significativo","Rendimiento no significativo"))</f>
        <v>#REF!</v>
      </c>
      <c r="O216" s="5" t="s">
        <v>41</v>
      </c>
      <c r="P216" s="12">
        <v>810958.90410000004</v>
      </c>
      <c r="Q216" s="13">
        <f>IF(O216="Guaraníes",P216,P216*#REF!)</f>
        <v>810958.90410000004</v>
      </c>
      <c r="R216" s="12" t="e">
        <f>IF(O216="Guaraníes",P216/#REF!,P216)</f>
        <v>#REF!</v>
      </c>
      <c r="S216" s="5" t="s">
        <v>42</v>
      </c>
      <c r="T216" s="5">
        <v>9243</v>
      </c>
      <c r="W216" s="5" t="s">
        <v>65</v>
      </c>
      <c r="X216" s="5">
        <v>0</v>
      </c>
      <c r="Y216" s="5">
        <v>0</v>
      </c>
      <c r="Z216" s="5">
        <v>8109.5890410000002</v>
      </c>
      <c r="AA216" s="5">
        <v>100</v>
      </c>
      <c r="AB216" s="5">
        <v>810958.90410000004</v>
      </c>
      <c r="AC216" s="5" t="str">
        <f t="shared" si="13"/>
        <v>Bonos</v>
      </c>
      <c r="AD216" s="5" t="s">
        <v>43</v>
      </c>
      <c r="AE216" s="5">
        <f t="shared" si="11"/>
        <v>1</v>
      </c>
      <c r="AF216" s="5">
        <f t="shared" si="12"/>
        <v>2025</v>
      </c>
    </row>
    <row r="217" s="5" customFormat="1" ht="13">
      <c r="A217" s="5">
        <v>12316</v>
      </c>
      <c r="B217" s="5" t="s">
        <v>78</v>
      </c>
      <c r="C217" s="5" t="s">
        <v>74</v>
      </c>
      <c r="D217" s="5" t="s">
        <v>21</v>
      </c>
      <c r="E217" s="5" t="s">
        <v>34</v>
      </c>
      <c r="F217" s="5" t="s">
        <v>68</v>
      </c>
      <c r="H217" s="9" t="s">
        <v>133</v>
      </c>
      <c r="I217" s="10">
        <v>45329</v>
      </c>
      <c r="J217" s="10">
        <v>45691</v>
      </c>
      <c r="K217" s="5" t="s">
        <v>77</v>
      </c>
      <c r="L217" s="5" t="s">
        <v>82</v>
      </c>
      <c r="M217" s="11">
        <v>0.086499999999999994</v>
      </c>
      <c r="N217" s="5" t="e">
        <f>IF(AND(M217&gt;#REF!,Cartera!O3548="Guaraníes"),"Rendimiento significativo",IF(AND(M217&gt;#REF!,Cartera!O3548="Dólares americanos"),"Rendimiento significativo","Rendimiento no significativo"))</f>
        <v>#REF!</v>
      </c>
      <c r="O217" s="5" t="s">
        <v>41</v>
      </c>
      <c r="P217" s="12">
        <v>3234863</v>
      </c>
      <c r="Q217" s="12">
        <f>IF(O217="Guaraníes",P217,P217*#REF!)</f>
        <v>3234863</v>
      </c>
      <c r="R217" s="12" t="e">
        <f>IF(O217="Guaraníes",P217/#REF!,P217)</f>
        <v>#REF!</v>
      </c>
      <c r="S217" s="5" t="s">
        <v>42</v>
      </c>
      <c r="AC217" s="5" t="str">
        <f t="shared" si="13"/>
        <v>CDA</v>
      </c>
      <c r="AD217" s="5" t="s">
        <v>43</v>
      </c>
      <c r="AE217" s="5">
        <f t="shared" si="11"/>
        <v>2</v>
      </c>
      <c r="AF217" s="5">
        <f t="shared" si="12"/>
        <v>2025</v>
      </c>
    </row>
    <row r="218" s="5" customFormat="1" ht="13">
      <c r="A218" s="5">
        <v>12315</v>
      </c>
      <c r="B218" s="5" t="s">
        <v>73</v>
      </c>
      <c r="C218" s="5" t="s">
        <v>33</v>
      </c>
      <c r="D218" s="5" t="s">
        <v>21</v>
      </c>
      <c r="E218" s="5" t="s">
        <v>34</v>
      </c>
      <c r="F218" s="5" t="s">
        <v>35</v>
      </c>
      <c r="G218" s="5" t="s">
        <v>75</v>
      </c>
      <c r="H218" s="9" t="s">
        <v>168</v>
      </c>
      <c r="I218" s="10"/>
      <c r="J218" s="10">
        <v>45692</v>
      </c>
      <c r="K218" s="5" t="s">
        <v>39</v>
      </c>
      <c r="L218" s="5" t="s">
        <v>50</v>
      </c>
      <c r="M218" s="11">
        <v>0.070000000000000007</v>
      </c>
      <c r="N218" s="5" t="e">
        <f>IF(AND(M218&gt;#REF!,Cartera!O903="Guaraníes"),"Rendimiento significativo",IF(AND(M218&gt;#REF!,Cartera!O903="Dólares americanos"),"Rendimiento significativo","Rendimiento no significativo"))</f>
        <v>#REF!</v>
      </c>
      <c r="O218" s="5" t="s">
        <v>51</v>
      </c>
      <c r="P218" s="13">
        <v>1221.6438500000002</v>
      </c>
      <c r="Q218" s="12" t="e">
        <f>IF(O218="Guaraníes",P218,P218*#REF!)</f>
        <v>#REF!</v>
      </c>
      <c r="R218" s="12">
        <f>IF(O218="Guaraníes",P218/#REF!,P218)</f>
        <v>1221.6438500000002</v>
      </c>
      <c r="S218" s="5" t="s">
        <v>42</v>
      </c>
      <c r="T218" s="5">
        <v>25</v>
      </c>
      <c r="W218" s="5" t="s">
        <v>65</v>
      </c>
      <c r="X218" s="5">
        <v>0</v>
      </c>
      <c r="Y218" s="5">
        <v>0</v>
      </c>
      <c r="Z218" s="5">
        <v>17.452055000000001</v>
      </c>
      <c r="AA218" s="5">
        <v>70</v>
      </c>
      <c r="AB218" s="5">
        <v>1221.6438499999999</v>
      </c>
      <c r="AC218" s="5" t="str">
        <f t="shared" si="13"/>
        <v>Bonos</v>
      </c>
      <c r="AD218" s="5" t="s">
        <v>43</v>
      </c>
      <c r="AE218" s="5">
        <f t="shared" si="11"/>
        <v>2</v>
      </c>
      <c r="AF218" s="5">
        <f t="shared" si="12"/>
        <v>2025</v>
      </c>
    </row>
    <row r="219" s="5" customFormat="1" ht="13">
      <c r="A219" s="5">
        <v>12316</v>
      </c>
      <c r="B219" s="5" t="s">
        <v>78</v>
      </c>
      <c r="C219" s="5" t="s">
        <v>116</v>
      </c>
      <c r="D219" s="5" t="s">
        <v>21</v>
      </c>
      <c r="E219" s="5" t="s">
        <v>34</v>
      </c>
      <c r="F219" s="5" t="s">
        <v>68</v>
      </c>
      <c r="H219" s="9">
        <v>6208</v>
      </c>
      <c r="I219" s="10"/>
      <c r="J219" s="10">
        <v>45695</v>
      </c>
      <c r="K219" s="5" t="s">
        <v>118</v>
      </c>
      <c r="L219" s="5" t="s">
        <v>82</v>
      </c>
      <c r="M219" s="11">
        <v>0.080000000000000002</v>
      </c>
      <c r="N219" s="5" t="e">
        <f>IF(AND(M219&gt;#REF!,Cartera!O2945="Guaraníes"),"Rendimiento significativo",IF(AND(M219&gt;#REF!,Cartera!O2945="Dólares americanos"),"Rendimiento significativo","Rendimiento no significativo"))</f>
        <v>#REF!</v>
      </c>
      <c r="O219" s="5" t="s">
        <v>41</v>
      </c>
      <c r="P219" s="12">
        <v>1948055</v>
      </c>
      <c r="Q219" s="13">
        <f>IF(O219="Guaraníes",P219,P219*#REF!)</f>
        <v>1948055</v>
      </c>
      <c r="R219" s="12" t="e">
        <f>IF(O219="Guaraníes",P219/#REF!,P219)</f>
        <v>#REF!</v>
      </c>
      <c r="S219" s="5" t="s">
        <v>42</v>
      </c>
      <c r="V219" s="5">
        <v>1948055</v>
      </c>
      <c r="W219" s="5" t="s">
        <v>169</v>
      </c>
      <c r="AC219" s="5" t="str">
        <f t="shared" si="13"/>
        <v>CDA</v>
      </c>
      <c r="AD219" s="5" t="s">
        <v>43</v>
      </c>
      <c r="AE219" s="5">
        <f t="shared" si="11"/>
        <v>2</v>
      </c>
      <c r="AF219" s="5">
        <f t="shared" si="12"/>
        <v>2025</v>
      </c>
    </row>
    <row r="220" s="5" customFormat="1" ht="13">
      <c r="A220" s="5">
        <v>12316</v>
      </c>
      <c r="B220" s="5" t="s">
        <v>78</v>
      </c>
      <c r="C220" s="5" t="s">
        <v>114</v>
      </c>
      <c r="D220" s="5" t="s">
        <v>21</v>
      </c>
      <c r="E220" s="5" t="s">
        <v>34</v>
      </c>
      <c r="F220" s="5" t="s">
        <v>68</v>
      </c>
      <c r="G220" s="5" t="s">
        <v>75</v>
      </c>
      <c r="H220" s="9" t="s">
        <v>170</v>
      </c>
      <c r="I220" s="10"/>
      <c r="J220" s="10">
        <v>45699</v>
      </c>
      <c r="K220" s="5" t="s">
        <v>77</v>
      </c>
      <c r="L220" s="5" t="s">
        <v>50</v>
      </c>
      <c r="M220" s="11">
        <v>0.14000000000000001</v>
      </c>
      <c r="N220" s="5" t="e">
        <f>IF(AND(M220&gt;#REF!,Cartera!O904="Guaraníes"),"Rendimiento significativo",IF(AND(M220&gt;#REF!,Cartera!O904="Dólares americanos"),"Rendimiento significativo","Rendimiento no significativo"))</f>
        <v>#REF!</v>
      </c>
      <c r="O220" s="5" t="s">
        <v>41</v>
      </c>
      <c r="P220" s="12">
        <v>3490410.9589</v>
      </c>
      <c r="Q220" s="12">
        <f>IF(O220="Guaraníes",P220,P220*#REF!)</f>
        <v>3490410.9589</v>
      </c>
      <c r="R220" s="12" t="e">
        <f>IF(O220="Guaraníes",P220/#REF!,P220)</f>
        <v>#REF!</v>
      </c>
      <c r="S220" s="5" t="s">
        <v>42</v>
      </c>
      <c r="T220" s="5">
        <v>25</v>
      </c>
      <c r="W220" s="5" t="s">
        <v>65</v>
      </c>
      <c r="X220" s="5">
        <v>0</v>
      </c>
      <c r="Y220" s="5">
        <v>0</v>
      </c>
      <c r="Z220" s="5">
        <v>34904.109589</v>
      </c>
      <c r="AA220" s="5">
        <v>100</v>
      </c>
      <c r="AB220" s="5">
        <v>3490410.9589</v>
      </c>
      <c r="AC220" s="5" t="str">
        <f t="shared" si="13"/>
        <v>Bonos</v>
      </c>
      <c r="AD220" s="5" t="s">
        <v>43</v>
      </c>
      <c r="AE220" s="5">
        <f t="shared" si="11"/>
        <v>2</v>
      </c>
      <c r="AF220" s="5">
        <f t="shared" si="12"/>
        <v>2025</v>
      </c>
    </row>
    <row r="221" s="5" customFormat="1" ht="13">
      <c r="A221" s="5">
        <v>12316</v>
      </c>
      <c r="B221" s="5" t="s">
        <v>78</v>
      </c>
      <c r="C221" s="5" t="s">
        <v>171</v>
      </c>
      <c r="D221" s="5" t="s">
        <v>21</v>
      </c>
      <c r="E221" s="5" t="s">
        <v>34</v>
      </c>
      <c r="F221" s="5" t="s">
        <v>100</v>
      </c>
      <c r="G221" s="5" t="s">
        <v>69</v>
      </c>
      <c r="H221" s="9" t="s">
        <v>172</v>
      </c>
      <c r="I221" s="10"/>
      <c r="J221" s="10">
        <v>45702</v>
      </c>
      <c r="K221" s="5" t="s">
        <v>173</v>
      </c>
      <c r="L221" s="5" t="s">
        <v>58</v>
      </c>
      <c r="M221" s="11">
        <v>0.14999999999999999</v>
      </c>
      <c r="N221" s="5" t="e">
        <f>IF(AND(M221&gt;#REF!,Cartera!O2526="Guaraníes"),"Rendimiento significativo",IF(AND(M221&gt;#REF!,Cartera!O2526="Dólares americanos"),"Rendimiento significativo","Rendimiento no significativo"))</f>
        <v>#REF!</v>
      </c>
      <c r="O221" s="5" t="s">
        <v>41</v>
      </c>
      <c r="P221" s="12">
        <v>395753.42466000002</v>
      </c>
      <c r="Q221" s="13">
        <f>IF(O221="Guaraníes",P221,P221*#REF!)</f>
        <v>395753.42466000002</v>
      </c>
      <c r="R221" s="12" t="e">
        <f>IF(O221="Guaraníes",P221/#REF!,P221)</f>
        <v>#REF!</v>
      </c>
      <c r="S221" s="5" t="s">
        <v>42</v>
      </c>
      <c r="T221" s="5">
        <v>593</v>
      </c>
      <c r="U221" s="5">
        <v>4500750.0000060005</v>
      </c>
      <c r="V221" s="5">
        <v>397612.18265999947</v>
      </c>
      <c r="W221" s="5" t="s">
        <v>137</v>
      </c>
      <c r="X221" s="5">
        <v>50</v>
      </c>
      <c r="Y221" s="5">
        <v>500000</v>
      </c>
      <c r="Z221" s="5">
        <v>543972.60274</v>
      </c>
      <c r="AA221" s="5">
        <v>9</v>
      </c>
      <c r="AB221" s="5">
        <v>4895753.42466</v>
      </c>
      <c r="AC221" s="5" t="str">
        <f t="shared" si="13"/>
        <v>Bonos</v>
      </c>
      <c r="AD221" s="5" t="s">
        <v>43</v>
      </c>
      <c r="AE221" s="5">
        <f t="shared" si="11"/>
        <v>2</v>
      </c>
      <c r="AF221" s="5">
        <f t="shared" si="12"/>
        <v>2025</v>
      </c>
    </row>
    <row r="222" s="5" customFormat="1" ht="13">
      <c r="A222" s="5">
        <v>12316</v>
      </c>
      <c r="B222" s="5" t="s">
        <v>78</v>
      </c>
      <c r="C222" s="5" t="s">
        <v>99</v>
      </c>
      <c r="D222" s="5" t="s">
        <v>21</v>
      </c>
      <c r="E222" s="5" t="s">
        <v>34</v>
      </c>
      <c r="F222" s="5" t="s">
        <v>100</v>
      </c>
      <c r="G222" s="5" t="s">
        <v>91</v>
      </c>
      <c r="H222" s="9" t="s">
        <v>174</v>
      </c>
      <c r="I222" s="10">
        <v>44971</v>
      </c>
      <c r="J222" s="10">
        <v>45703</v>
      </c>
      <c r="K222" s="5" t="s">
        <v>102</v>
      </c>
      <c r="L222" s="5" t="s">
        <v>102</v>
      </c>
      <c r="M222" s="11">
        <v>0.090300000000000005</v>
      </c>
      <c r="N222" s="5" t="e">
        <f>IF(AND(M222&gt;#REF!,Cartera!O3044="Guaraníes"),"Rendimiento significativo",IF(AND(M222&gt;#REF!,Cartera!O3044="Dólares americanos"),"Rendimiento significativo","Rendimiento no significativo"))</f>
        <v>#REF!</v>
      </c>
      <c r="O222" s="5" t="s">
        <v>41</v>
      </c>
      <c r="P222" s="12">
        <v>20407800</v>
      </c>
      <c r="Q222" s="13">
        <f>IF(O222="Guaraníes",P222,P222*#REF!)</f>
        <v>20407800</v>
      </c>
      <c r="R222" s="12" t="e">
        <f>IF(O222="Guaraníes",P222/#REF!,P222)</f>
        <v>#REF!</v>
      </c>
      <c r="S222" s="5" t="s">
        <v>42</v>
      </c>
      <c r="AC222" s="5" t="str">
        <f t="shared" si="13"/>
        <v>Bonos</v>
      </c>
      <c r="AD222" s="5" t="s">
        <v>43</v>
      </c>
      <c r="AE222" s="5">
        <f t="shared" si="11"/>
        <v>2</v>
      </c>
      <c r="AF222" s="5">
        <f t="shared" si="12"/>
        <v>2025</v>
      </c>
    </row>
    <row r="223" s="5" customFormat="1" ht="13">
      <c r="A223" s="5">
        <v>12315</v>
      </c>
      <c r="B223" s="5" t="s">
        <v>73</v>
      </c>
      <c r="C223" s="5" t="s">
        <v>45</v>
      </c>
      <c r="D223" s="5" t="s">
        <v>21</v>
      </c>
      <c r="E223" s="5" t="s">
        <v>34</v>
      </c>
      <c r="F223" s="5" t="s">
        <v>46</v>
      </c>
      <c r="G223" s="5" t="s">
        <v>55</v>
      </c>
      <c r="H223" s="9" t="s">
        <v>108</v>
      </c>
      <c r="I223" s="10">
        <v>44704</v>
      </c>
      <c r="J223" s="10">
        <v>45705</v>
      </c>
      <c r="K223" s="5" t="s">
        <v>49</v>
      </c>
      <c r="L223" s="5" t="s">
        <v>58</v>
      </c>
      <c r="M223" s="11">
        <v>0.059999999999999998</v>
      </c>
      <c r="N223" s="5" t="e">
        <f>IF(AND(M223&gt;#REF!,Cartera!O43="Guaraníes"),"Rendimiento significativo",IF(AND(M223&gt;#REF!,Cartera!O43="Dólares americanos"),"Rendimiento significativo","Rendimiento no significativo"))</f>
        <v>#REF!</v>
      </c>
      <c r="O223" s="5" t="s">
        <v>51</v>
      </c>
      <c r="P223" s="13">
        <v>373.9726</v>
      </c>
      <c r="Q223" s="12" t="e">
        <f>IF(O223="Guaraníes",P223,P223*#REF!)</f>
        <v>#REF!</v>
      </c>
      <c r="R223" s="12">
        <f>IF(O223="Guaraníes",P223/#REF!,P223)</f>
        <v>373.9726</v>
      </c>
      <c r="S223" s="5" t="s">
        <v>42</v>
      </c>
      <c r="V223" s="5">
        <v>14.958904</v>
      </c>
      <c r="AA223" s="5">
        <v>25</v>
      </c>
      <c r="AC223" s="5" t="str">
        <f t="shared" si="13"/>
        <v>Bonos</v>
      </c>
      <c r="AD223" s="5" t="s">
        <v>43</v>
      </c>
      <c r="AE223" s="5">
        <f t="shared" ref="AE223:AE286" si="14">IFERROR((MONTH(J223)),0)</f>
        <v>2</v>
      </c>
      <c r="AF223" s="5">
        <f t="shared" ref="AF223:AF286" si="15">IFERROR((YEAR(J223)),0)</f>
        <v>2025</v>
      </c>
    </row>
    <row r="224" s="5" customFormat="1" ht="13">
      <c r="A224" s="5">
        <v>12315</v>
      </c>
      <c r="B224" s="5" t="s">
        <v>73</v>
      </c>
      <c r="C224" s="5" t="s">
        <v>45</v>
      </c>
      <c r="D224" s="5" t="s">
        <v>21</v>
      </c>
      <c r="E224" s="5" t="s">
        <v>34</v>
      </c>
      <c r="F224" s="5" t="s">
        <v>46</v>
      </c>
      <c r="G224" s="5" t="s">
        <v>86</v>
      </c>
      <c r="H224" s="9" t="s">
        <v>108</v>
      </c>
      <c r="I224" s="10">
        <v>44704</v>
      </c>
      <c r="J224" s="10">
        <v>45705</v>
      </c>
      <c r="K224" s="5" t="s">
        <v>49</v>
      </c>
      <c r="L224" s="5" t="s">
        <v>58</v>
      </c>
      <c r="M224" s="11">
        <v>0.059999999999999998</v>
      </c>
      <c r="N224" s="5" t="e">
        <f>IF(AND(M224&gt;#REF!,Cartera!O337="Guaraníes"),"Rendimiento significativo",IF(AND(M224&gt;#REF!,Cartera!O337="Dólares americanos"),"Rendimiento significativo","Rendimiento no significativo"))</f>
        <v>#REF!</v>
      </c>
      <c r="O224" s="5" t="s">
        <v>51</v>
      </c>
      <c r="P224" s="13">
        <v>478.68492800000001</v>
      </c>
      <c r="Q224" s="12" t="e">
        <f>IF(O224="Guaraníes",P224,P224*#REF!)</f>
        <v>#REF!</v>
      </c>
      <c r="R224" s="12">
        <f>IF(O224="Guaraníes",P224/#REF!,P224)</f>
        <v>478.68492800000001</v>
      </c>
      <c r="S224" s="5" t="s">
        <v>42</v>
      </c>
      <c r="AA224" s="5">
        <v>32</v>
      </c>
      <c r="AC224" s="5" t="str">
        <f t="shared" si="13"/>
        <v>Bonos</v>
      </c>
      <c r="AD224" s="5" t="s">
        <v>43</v>
      </c>
      <c r="AE224" s="5">
        <f t="shared" si="14"/>
        <v>2</v>
      </c>
      <c r="AF224" s="5">
        <f t="shared" si="15"/>
        <v>2025</v>
      </c>
    </row>
    <row r="225" s="5" customFormat="1" ht="13">
      <c r="A225" s="5">
        <v>12315</v>
      </c>
      <c r="B225" s="5" t="s">
        <v>73</v>
      </c>
      <c r="C225" s="5" t="s">
        <v>79</v>
      </c>
      <c r="D225" s="5" t="s">
        <v>21</v>
      </c>
      <c r="E225" s="5" t="s">
        <v>34</v>
      </c>
      <c r="F225" s="5" t="s">
        <v>68</v>
      </c>
      <c r="H225" s="9" t="s">
        <v>175</v>
      </c>
      <c r="I225" s="10">
        <v>45338</v>
      </c>
      <c r="J225" s="10">
        <v>45705</v>
      </c>
      <c r="K225" s="5" t="s">
        <v>81</v>
      </c>
      <c r="L225" s="5" t="s">
        <v>82</v>
      </c>
      <c r="M225" s="11">
        <v>0.042000000000000003</v>
      </c>
      <c r="N225" s="5" t="e">
        <f>IF(AND(M225&gt;#REF!,Cartera!O3543="Guaraníes"),"Rendimiento significativo",IF(AND(M225&gt;#REF!,Cartera!O3543="Dólares americanos"),"Rendimiento significativo","Rendimiento no significativo"))</f>
        <v>#REF!</v>
      </c>
      <c r="O225" s="5" t="s">
        <v>51</v>
      </c>
      <c r="P225" s="13">
        <v>739</v>
      </c>
      <c r="Q225" s="12" t="e">
        <f>IF(O225="Guaraníes",P225,P225*#REF!)</f>
        <v>#REF!</v>
      </c>
      <c r="R225" s="12">
        <f>IF(O225="Guaraníes",P225/#REF!,P225)</f>
        <v>739</v>
      </c>
      <c r="S225" s="5" t="s">
        <v>42</v>
      </c>
      <c r="AC225" s="5" t="str">
        <f t="shared" si="13"/>
        <v>CDA</v>
      </c>
      <c r="AD225" s="5" t="s">
        <v>43</v>
      </c>
      <c r="AE225" s="5">
        <f t="shared" si="14"/>
        <v>2</v>
      </c>
      <c r="AF225" s="5">
        <f t="shared" si="15"/>
        <v>2025</v>
      </c>
    </row>
    <row r="226" s="5" customFormat="1" ht="13">
      <c r="A226" s="5">
        <v>12315</v>
      </c>
      <c r="B226" s="5" t="s">
        <v>73</v>
      </c>
      <c r="C226" s="5" t="s">
        <v>176</v>
      </c>
      <c r="D226" s="5" t="s">
        <v>21</v>
      </c>
      <c r="E226" s="5" t="s">
        <v>34</v>
      </c>
      <c r="F226" s="5" t="s">
        <v>68</v>
      </c>
      <c r="G226" s="5" t="s">
        <v>91</v>
      </c>
      <c r="H226" s="9" t="s">
        <v>177</v>
      </c>
      <c r="I226" s="10"/>
      <c r="J226" s="10">
        <v>45707</v>
      </c>
      <c r="K226" s="5" t="s">
        <v>178</v>
      </c>
      <c r="L226" s="5" t="s">
        <v>58</v>
      </c>
      <c r="M226" s="11">
        <v>0.085000000000000006</v>
      </c>
      <c r="N226" s="5" t="e">
        <f>IF(AND(M226&gt;#REF!,Cartera!O1868="Guaraníes"),"Rendimiento significativo",IF(AND(M226&gt;#REF!,Cartera!O1868="Dólares americanos"),"Rendimiento significativo","Rendimiento no significativo"))</f>
        <v>#REF!</v>
      </c>
      <c r="O226" s="5" t="s">
        <v>51</v>
      </c>
      <c r="P226" s="13">
        <v>560.95890000000009</v>
      </c>
      <c r="Q226" s="13" t="e">
        <f>IF(O226="Guaraníes",P226,P226*#REF!)</f>
        <v>#REF!</v>
      </c>
      <c r="R226" s="12">
        <v>2000</v>
      </c>
      <c r="S226" s="5" t="s">
        <v>52</v>
      </c>
      <c r="T226" s="5">
        <v>3253</v>
      </c>
      <c r="W226" s="5" t="s">
        <v>65</v>
      </c>
      <c r="X226" s="5">
        <v>0</v>
      </c>
      <c r="Y226" s="5">
        <v>0</v>
      </c>
      <c r="Z226" s="5">
        <v>18.698630000000001</v>
      </c>
      <c r="AA226" s="5">
        <v>30</v>
      </c>
      <c r="AB226" s="5">
        <v>560.95889999999997</v>
      </c>
      <c r="AC226" s="5" t="str">
        <f t="shared" si="13"/>
        <v>Bonos</v>
      </c>
      <c r="AD226" s="5" t="s">
        <v>43</v>
      </c>
      <c r="AE226" s="5">
        <f t="shared" si="14"/>
        <v>2</v>
      </c>
      <c r="AF226" s="5">
        <f t="shared" si="15"/>
        <v>2025</v>
      </c>
    </row>
    <row r="227" s="5" customFormat="1" ht="13">
      <c r="A227" s="5">
        <v>12316</v>
      </c>
      <c r="B227" s="5" t="s">
        <v>78</v>
      </c>
      <c r="C227" s="5" t="s">
        <v>179</v>
      </c>
      <c r="D227" s="5" t="s">
        <v>21</v>
      </c>
      <c r="E227" s="5" t="s">
        <v>34</v>
      </c>
      <c r="F227" s="5" t="s">
        <v>68</v>
      </c>
      <c r="G227" s="5" t="s">
        <v>91</v>
      </c>
      <c r="H227" s="9" t="s">
        <v>180</v>
      </c>
      <c r="I227" s="10">
        <v>44614</v>
      </c>
      <c r="J227" s="10">
        <v>45709</v>
      </c>
      <c r="K227" s="5" t="s">
        <v>124</v>
      </c>
      <c r="L227" s="5" t="s">
        <v>181</v>
      </c>
      <c r="M227" s="11">
        <v>0.082500000000000004</v>
      </c>
      <c r="N227" s="5" t="e">
        <f>IF(AND(M227&gt;#REF!,Cartera!O1913="Guaraníes"),"Rendimiento significativo",IF(AND(M227&gt;#REF!,Cartera!O1913="Dólares americanos"),"Rendimiento significativo","Rendimiento no significativo"))</f>
        <v>#REF!</v>
      </c>
      <c r="O227" s="5" t="s">
        <v>41</v>
      </c>
      <c r="P227" s="12">
        <v>28954110</v>
      </c>
      <c r="Q227" s="13">
        <f>IF(O227="Guaraníes",P227,P227*#REF!)</f>
        <v>28954110</v>
      </c>
      <c r="R227" s="12" t="e">
        <f>IF(O227="Guaraníes",P227/#REF!,P227)</f>
        <v>#REF!</v>
      </c>
      <c r="S227" s="5" t="s">
        <v>42</v>
      </c>
      <c r="AA227" s="5">
        <v>700</v>
      </c>
      <c r="AC227" s="5" t="str">
        <f t="shared" si="13"/>
        <v>Bonos</v>
      </c>
      <c r="AD227" s="5" t="s">
        <v>43</v>
      </c>
      <c r="AE227" s="5">
        <f t="shared" si="14"/>
        <v>2</v>
      </c>
      <c r="AF227" s="5">
        <f t="shared" si="15"/>
        <v>2025</v>
      </c>
    </row>
    <row r="228" s="5" customFormat="1" ht="13">
      <c r="A228" s="5">
        <v>12315</v>
      </c>
      <c r="B228" s="5" t="s">
        <v>73</v>
      </c>
      <c r="C228" s="5" t="s">
        <v>60</v>
      </c>
      <c r="D228" s="5" t="s">
        <v>21</v>
      </c>
      <c r="E228" s="5" t="s">
        <v>34</v>
      </c>
      <c r="F228" s="5" t="s">
        <v>68</v>
      </c>
      <c r="H228" s="9"/>
      <c r="I228" s="10">
        <v>45527</v>
      </c>
      <c r="J228" s="10">
        <v>45709</v>
      </c>
      <c r="L228" s="5" t="s">
        <v>82</v>
      </c>
      <c r="M228" s="11">
        <v>0.057500000000000002</v>
      </c>
      <c r="N228" s="5"/>
      <c r="O228" s="5" t="s">
        <v>51</v>
      </c>
      <c r="P228" s="13">
        <v>286.70999999999998</v>
      </c>
      <c r="Q228" s="12" t="e">
        <f>IF(O228="Guaraníes",P228,P228*#REF!)</f>
        <v>#REF!</v>
      </c>
      <c r="R228" s="13">
        <f>IF(O228="Guaraníes",P228/#REF!,P228)</f>
        <v>286.70999999999998</v>
      </c>
      <c r="S228" s="5" t="s">
        <v>120</v>
      </c>
      <c r="AC228" s="5" t="str">
        <f t="shared" si="13"/>
        <v>CDA</v>
      </c>
      <c r="AD228" s="5" t="s">
        <v>43</v>
      </c>
      <c r="AE228" s="5">
        <f t="shared" si="14"/>
        <v>2</v>
      </c>
      <c r="AF228" s="5">
        <f t="shared" si="15"/>
        <v>2025</v>
      </c>
    </row>
    <row r="229" s="5" customFormat="1" ht="13">
      <c r="A229" s="5">
        <v>12316</v>
      </c>
      <c r="B229" s="5" t="s">
        <v>78</v>
      </c>
      <c r="C229" s="5" t="s">
        <v>94</v>
      </c>
      <c r="D229" s="5" t="s">
        <v>21</v>
      </c>
      <c r="E229" s="5" t="s">
        <v>34</v>
      </c>
      <c r="F229" s="5" t="s">
        <v>68</v>
      </c>
      <c r="H229" s="9" t="s">
        <v>182</v>
      </c>
      <c r="I229" s="10">
        <v>45530</v>
      </c>
      <c r="J229" s="10">
        <v>45710</v>
      </c>
      <c r="L229" s="5" t="s">
        <v>82</v>
      </c>
      <c r="M229" s="11">
        <v>0.082500000000000004</v>
      </c>
      <c r="N229" s="5"/>
      <c r="O229" s="5" t="s">
        <v>41</v>
      </c>
      <c r="P229" s="13">
        <v>4068493</v>
      </c>
      <c r="Q229" s="12">
        <f>IF(O229="Guaraníes",P229,P229*#REF!)</f>
        <v>4068493</v>
      </c>
      <c r="R229" s="13" t="e">
        <f>IF(O229="Guaraníes",P229/#REF!,P229)</f>
        <v>#REF!</v>
      </c>
      <c r="S229" s="5" t="s">
        <v>120</v>
      </c>
      <c r="AC229" s="5" t="str">
        <f t="shared" si="13"/>
        <v>CDA</v>
      </c>
      <c r="AD229" s="5" t="s">
        <v>43</v>
      </c>
      <c r="AE229" s="5">
        <f t="shared" si="14"/>
        <v>2</v>
      </c>
      <c r="AF229" s="5">
        <f t="shared" si="15"/>
        <v>2025</v>
      </c>
    </row>
    <row r="230" s="5" customFormat="1" ht="13">
      <c r="A230" s="5">
        <v>12316</v>
      </c>
      <c r="B230" s="5" t="s">
        <v>78</v>
      </c>
      <c r="C230" s="5" t="s">
        <v>138</v>
      </c>
      <c r="D230" s="5" t="s">
        <v>21</v>
      </c>
      <c r="E230" s="5" t="s">
        <v>34</v>
      </c>
      <c r="F230" s="5" t="s">
        <v>68</v>
      </c>
      <c r="G230" s="5" t="s">
        <v>86</v>
      </c>
      <c r="H230" s="9" t="s">
        <v>139</v>
      </c>
      <c r="I230" s="10">
        <v>43948</v>
      </c>
      <c r="J230" s="10">
        <v>45714</v>
      </c>
      <c r="K230" s="5" t="s">
        <v>140</v>
      </c>
      <c r="L230" s="5" t="s">
        <v>58</v>
      </c>
      <c r="M230" s="11">
        <v>0.11</v>
      </c>
      <c r="N230" s="5" t="e">
        <f>IF(AND(M230&gt;#REF!,Cartera!O3279="Guaraníes"),"Rendimiento significativo",IF(AND(M230&gt;#REF!,Cartera!O3279="Dólares americanos"),"Rendimiento significativo","Rendimiento no significativo"))</f>
        <v>#REF!</v>
      </c>
      <c r="O230" s="5" t="s">
        <v>41</v>
      </c>
      <c r="P230" s="12">
        <v>904109.58900000004</v>
      </c>
      <c r="Q230" s="13">
        <f>IF(O230="Guaraníes",P230,P230*#REF!)</f>
        <v>904109.58900000004</v>
      </c>
      <c r="R230" s="12" t="e">
        <f>IF(O230="Guaraníes",P230/#REF!,P230)</f>
        <v>#REF!</v>
      </c>
      <c r="S230" s="5" t="s">
        <v>42</v>
      </c>
      <c r="AC230" s="5" t="str">
        <f t="shared" si="13"/>
        <v>Bonos</v>
      </c>
      <c r="AD230" s="5" t="s">
        <v>43</v>
      </c>
      <c r="AE230" s="5">
        <f t="shared" si="14"/>
        <v>2</v>
      </c>
      <c r="AF230" s="5">
        <f t="shared" si="15"/>
        <v>2025</v>
      </c>
    </row>
    <row r="231" s="5" customFormat="1" ht="13">
      <c r="A231" s="5">
        <v>12315</v>
      </c>
      <c r="B231" s="5" t="s">
        <v>73</v>
      </c>
      <c r="C231" s="5" t="s">
        <v>143</v>
      </c>
      <c r="D231" s="5" t="s">
        <v>21</v>
      </c>
      <c r="E231" s="5" t="s">
        <v>34</v>
      </c>
      <c r="F231" s="5" t="s">
        <v>144</v>
      </c>
      <c r="G231" s="5" t="s">
        <v>145</v>
      </c>
      <c r="H231" s="9" t="s">
        <v>146</v>
      </c>
      <c r="I231" s="10"/>
      <c r="J231" s="10">
        <v>45716</v>
      </c>
      <c r="K231" s="5" t="s">
        <v>49</v>
      </c>
      <c r="L231" s="5" t="s">
        <v>106</v>
      </c>
      <c r="M231" s="11">
        <v>0.060999999999999999</v>
      </c>
      <c r="N231" s="5" t="e">
        <f>IF(AND(M231&gt;#REF!,Cartera!O1510="Guaraníes"),"Rendimiento significativo",IF(AND(M231&gt;#REF!,Cartera!O1510="Dólares americanos"),"Rendimiento significativo","Rendimiento no significativo"))</f>
        <v>#REF!</v>
      </c>
      <c r="O231" s="5" t="s">
        <v>51</v>
      </c>
      <c r="P231" s="13">
        <v>187.17808000000002</v>
      </c>
      <c r="Q231" s="12" t="e">
        <f>IF(O231="Guaraníes",P231,P231*#REF!)</f>
        <v>#REF!</v>
      </c>
      <c r="R231" s="12">
        <f>IF(O231="Guaraníes",P231/#REF!,P231)</f>
        <v>187.17808000000002</v>
      </c>
      <c r="S231" s="5" t="s">
        <v>42</v>
      </c>
      <c r="T231" s="5">
        <v>1057</v>
      </c>
      <c r="W231" s="5" t="s">
        <v>65</v>
      </c>
      <c r="X231" s="5">
        <v>0</v>
      </c>
      <c r="Y231" s="5">
        <v>0</v>
      </c>
      <c r="Z231" s="5">
        <v>4.6794520000000004</v>
      </c>
      <c r="AA231" s="5">
        <v>40</v>
      </c>
      <c r="AB231" s="5">
        <v>187.17807999999999</v>
      </c>
      <c r="AC231" s="5" t="str">
        <f t="shared" si="13"/>
        <v>Bonos</v>
      </c>
      <c r="AD231" s="5" t="s">
        <v>43</v>
      </c>
      <c r="AE231" s="5">
        <f t="shared" si="14"/>
        <v>2</v>
      </c>
      <c r="AF231" s="5">
        <f t="shared" si="15"/>
        <v>2025</v>
      </c>
    </row>
    <row r="232" s="5" customFormat="1" ht="13">
      <c r="A232" s="5">
        <v>12316</v>
      </c>
      <c r="B232" s="5" t="s">
        <v>78</v>
      </c>
      <c r="C232" s="5" t="s">
        <v>164</v>
      </c>
      <c r="D232" s="5" t="s">
        <v>21</v>
      </c>
      <c r="E232" s="5" t="s">
        <v>34</v>
      </c>
      <c r="F232" s="5" t="s">
        <v>68</v>
      </c>
      <c r="G232" s="5" t="s">
        <v>145</v>
      </c>
      <c r="H232" s="9" t="s">
        <v>165</v>
      </c>
      <c r="I232" s="10"/>
      <c r="J232" s="10">
        <v>45716</v>
      </c>
      <c r="K232" s="5" t="s">
        <v>124</v>
      </c>
      <c r="L232" s="5" t="s">
        <v>58</v>
      </c>
      <c r="M232" s="11">
        <v>0.10000000000000001</v>
      </c>
      <c r="N232" s="5" t="e">
        <f>IF(AND(M232&gt;#REF!,Cartera!O1511="Guaraníes"),"Rendimiento significativo",IF(AND(M232&gt;#REF!,Cartera!O1511="Dólares americanos"),"Rendimiento significativo","Rendimiento no significativo"))</f>
        <v>#REF!</v>
      </c>
      <c r="O232" s="5" t="s">
        <v>41</v>
      </c>
      <c r="P232" s="12">
        <v>3068493.1507999999</v>
      </c>
      <c r="Q232" s="12">
        <f>IF(O232="Guaraníes",P232,P232*#REF!)</f>
        <v>3068493.1507999999</v>
      </c>
      <c r="R232" s="12" t="e">
        <f>IF(O232="Guaraníes",P232/#REF!,P232)</f>
        <v>#REF!</v>
      </c>
      <c r="S232" s="5" t="s">
        <v>42</v>
      </c>
      <c r="T232" s="5">
        <v>1057</v>
      </c>
      <c r="W232" s="5" t="s">
        <v>65</v>
      </c>
      <c r="X232" s="5">
        <v>0</v>
      </c>
      <c r="Y232" s="5">
        <v>0</v>
      </c>
      <c r="Z232" s="5">
        <v>7671.2328770000004</v>
      </c>
      <c r="AA232" s="5">
        <v>400</v>
      </c>
      <c r="AB232" s="5">
        <v>3068493.1507999999</v>
      </c>
      <c r="AC232" s="5" t="str">
        <f t="shared" si="13"/>
        <v>Bonos</v>
      </c>
      <c r="AD232" s="5" t="s">
        <v>43</v>
      </c>
      <c r="AE232" s="5">
        <f t="shared" si="14"/>
        <v>2</v>
      </c>
      <c r="AF232" s="5">
        <f t="shared" si="15"/>
        <v>2025</v>
      </c>
    </row>
    <row r="233" s="5" customFormat="1" ht="13">
      <c r="A233" s="5">
        <v>12316</v>
      </c>
      <c r="B233" s="5" t="s">
        <v>78</v>
      </c>
      <c r="C233" s="5" t="s">
        <v>164</v>
      </c>
      <c r="D233" s="5" t="s">
        <v>21</v>
      </c>
      <c r="E233" s="5" t="s">
        <v>34</v>
      </c>
      <c r="F233" s="5" t="s">
        <v>68</v>
      </c>
      <c r="G233" s="5" t="s">
        <v>91</v>
      </c>
      <c r="H233" s="9" t="s">
        <v>166</v>
      </c>
      <c r="I233" s="10"/>
      <c r="J233" s="10">
        <v>45716</v>
      </c>
      <c r="K233" s="5" t="s">
        <v>124</v>
      </c>
      <c r="L233" s="5" t="s">
        <v>58</v>
      </c>
      <c r="M233" s="11">
        <v>0.092499999999999999</v>
      </c>
      <c r="N233" s="5" t="e">
        <f>IF(AND(M233&gt;#REF!,Cartera!O1869="Guaraníes"),"Rendimiento significativo",IF(AND(M233&gt;#REF!,Cartera!O1869="Dólares americanos"),"Rendimiento significativo","Rendimiento no significativo"))</f>
        <v>#REF!</v>
      </c>
      <c r="O233" s="5" t="s">
        <v>41</v>
      </c>
      <c r="P233" s="12">
        <v>1064383.56165</v>
      </c>
      <c r="Q233" s="13">
        <f>IF(O233="Guaraníes",P233,P233*#REF!)</f>
        <v>1064383.56165</v>
      </c>
      <c r="R233" s="12" t="e">
        <f>IF(O233="Guaraníes",P233/#REF!,P233)</f>
        <v>#REF!</v>
      </c>
      <c r="S233" s="5" t="s">
        <v>52</v>
      </c>
      <c r="T233" s="5">
        <v>3253</v>
      </c>
      <c r="W233" s="5" t="s">
        <v>65</v>
      </c>
      <c r="X233" s="5">
        <v>0</v>
      </c>
      <c r="Y233" s="5">
        <v>0</v>
      </c>
      <c r="Z233" s="5">
        <v>7095.8904110000003</v>
      </c>
      <c r="AA233" s="5">
        <v>150</v>
      </c>
      <c r="AB233" s="5">
        <v>1064383.56165</v>
      </c>
      <c r="AC233" s="5" t="str">
        <f t="shared" si="13"/>
        <v>Bonos</v>
      </c>
      <c r="AD233" s="5" t="s">
        <v>43</v>
      </c>
      <c r="AE233" s="5">
        <f t="shared" si="14"/>
        <v>2</v>
      </c>
      <c r="AF233" s="5">
        <f t="shared" si="15"/>
        <v>2025</v>
      </c>
    </row>
    <row r="234" s="5" customFormat="1" ht="13">
      <c r="A234" s="5">
        <v>12316</v>
      </c>
      <c r="B234" s="5" t="s">
        <v>78</v>
      </c>
      <c r="C234" s="5" t="s">
        <v>164</v>
      </c>
      <c r="D234" s="5" t="s">
        <v>21</v>
      </c>
      <c r="E234" s="5" t="s">
        <v>34</v>
      </c>
      <c r="F234" s="5" t="s">
        <v>68</v>
      </c>
      <c r="G234" s="5" t="s">
        <v>141</v>
      </c>
      <c r="H234" s="9" t="s">
        <v>165</v>
      </c>
      <c r="I234" s="10"/>
      <c r="J234" s="10">
        <v>45716</v>
      </c>
      <c r="K234" s="5" t="s">
        <v>124</v>
      </c>
      <c r="L234" s="5" t="s">
        <v>58</v>
      </c>
      <c r="M234" s="11">
        <v>0.10000000000000001</v>
      </c>
      <c r="N234" s="5" t="e">
        <f>IF(AND(M234&gt;#REF!,Cartera!O2089="Guaraníes"),"Rendimiento significativo",IF(AND(M234&gt;#REF!,Cartera!O2089="Dólares americanos"),"Rendimiento significativo","Rendimiento no significativo"))</f>
        <v>#REF!</v>
      </c>
      <c r="O234" s="5" t="s">
        <v>41</v>
      </c>
      <c r="P234" s="12">
        <v>767123.28769999999</v>
      </c>
      <c r="Q234" s="13">
        <f>IF(O234="Guaraníes",P234,P234*#REF!)</f>
        <v>767123.28769999999</v>
      </c>
      <c r="R234" s="12" t="e">
        <f>IF(O234="Guaraníes",P234/#REF!,P234)</f>
        <v>#REF!</v>
      </c>
      <c r="S234" s="5" t="s">
        <v>42</v>
      </c>
      <c r="T234" s="5">
        <v>9243</v>
      </c>
      <c r="W234" s="5" t="s">
        <v>65</v>
      </c>
      <c r="X234" s="5">
        <v>0</v>
      </c>
      <c r="Y234" s="5">
        <v>0</v>
      </c>
      <c r="Z234" s="5">
        <v>7671.2328770000004</v>
      </c>
      <c r="AA234" s="5">
        <v>100</v>
      </c>
      <c r="AB234" s="5">
        <v>767123.28769999999</v>
      </c>
      <c r="AC234" s="5" t="str">
        <f t="shared" si="13"/>
        <v>Bonos</v>
      </c>
      <c r="AD234" s="5" t="s">
        <v>43</v>
      </c>
      <c r="AE234" s="5">
        <f t="shared" si="14"/>
        <v>2</v>
      </c>
      <c r="AF234" s="5">
        <f t="shared" si="15"/>
        <v>2025</v>
      </c>
    </row>
    <row r="235" s="5" customFormat="1" ht="13">
      <c r="A235" s="5">
        <v>12316</v>
      </c>
      <c r="B235" s="5" t="s">
        <v>78</v>
      </c>
      <c r="C235" s="5" t="s">
        <v>164</v>
      </c>
      <c r="D235" s="5" t="s">
        <v>21</v>
      </c>
      <c r="E235" s="5" t="s">
        <v>34</v>
      </c>
      <c r="F235" s="5" t="s">
        <v>68</v>
      </c>
      <c r="G235" s="5" t="s">
        <v>141</v>
      </c>
      <c r="H235" s="9" t="s">
        <v>167</v>
      </c>
      <c r="I235" s="10"/>
      <c r="J235" s="10">
        <v>45716</v>
      </c>
      <c r="K235" s="5" t="s">
        <v>124</v>
      </c>
      <c r="L235" s="5" t="s">
        <v>58</v>
      </c>
      <c r="M235" s="11">
        <v>0.092499999999999999</v>
      </c>
      <c r="N235" s="5" t="e">
        <f>IF(AND(M235&gt;#REF!,Cartera!O2090="Guaraníes"),"Rendimiento significativo",IF(AND(M235&gt;#REF!,Cartera!O2090="Dólares americanos"),"Rendimiento significativo","Rendimiento no significativo"))</f>
        <v>#REF!</v>
      </c>
      <c r="O235" s="5" t="s">
        <v>41</v>
      </c>
      <c r="P235" s="12">
        <v>709589.04110000003</v>
      </c>
      <c r="Q235" s="13">
        <f>IF(O235="Guaraníes",P235,P235*#REF!)</f>
        <v>709589.04110000003</v>
      </c>
      <c r="R235" s="12" t="e">
        <f>IF(O235="Guaraníes",P235/#REF!,P235)</f>
        <v>#REF!</v>
      </c>
      <c r="S235" s="5" t="s">
        <v>42</v>
      </c>
      <c r="T235" s="5">
        <v>9243</v>
      </c>
      <c r="W235" s="5" t="s">
        <v>65</v>
      </c>
      <c r="X235" s="5">
        <v>0</v>
      </c>
      <c r="Y235" s="5">
        <v>0</v>
      </c>
      <c r="Z235" s="5">
        <v>7095.8904110000003</v>
      </c>
      <c r="AA235" s="5">
        <v>100</v>
      </c>
      <c r="AB235" s="5">
        <v>709589.04110000003</v>
      </c>
      <c r="AC235" s="5" t="str">
        <f t="shared" si="13"/>
        <v>Bonos</v>
      </c>
      <c r="AD235" s="5" t="s">
        <v>43</v>
      </c>
      <c r="AE235" s="5">
        <f t="shared" si="14"/>
        <v>2</v>
      </c>
      <c r="AF235" s="5">
        <f t="shared" si="15"/>
        <v>2025</v>
      </c>
    </row>
    <row r="236" s="5" customFormat="1" ht="13">
      <c r="A236" s="5">
        <v>12316</v>
      </c>
      <c r="B236" s="5" t="s">
        <v>78</v>
      </c>
      <c r="C236" s="5" t="s">
        <v>99</v>
      </c>
      <c r="D236" s="5" t="s">
        <v>21</v>
      </c>
      <c r="E236" s="5" t="s">
        <v>34</v>
      </c>
      <c r="F236" s="5" t="s">
        <v>100</v>
      </c>
      <c r="G236" s="5" t="s">
        <v>86</v>
      </c>
      <c r="H236" s="9" t="s">
        <v>155</v>
      </c>
      <c r="I236" s="10"/>
      <c r="J236" s="10">
        <v>45719</v>
      </c>
      <c r="K236" s="5" t="s">
        <v>102</v>
      </c>
      <c r="L236" s="5" t="s">
        <v>102</v>
      </c>
      <c r="M236" s="11">
        <v>0.081000000000000003</v>
      </c>
      <c r="N236" s="5" t="e">
        <f>IF(AND(M236&gt;#REF!,Cartera!O212="Guaraníes"),"Rendimiento significativo",IF(AND(M236&gt;#REF!,Cartera!O212="Dólares americanos"),"Rendimiento significativo","Rendimiento no significativo"))</f>
        <v>#REF!</v>
      </c>
      <c r="O236" s="5" t="s">
        <v>41</v>
      </c>
      <c r="P236" s="12">
        <v>28000000</v>
      </c>
      <c r="Q236" s="12">
        <f>IF(O236="Guaraníes",P236,P236*#REF!)</f>
        <v>28000000</v>
      </c>
      <c r="R236" s="12" t="e">
        <f>IF(O236="Guaraníes",P236/#REF!,P236)</f>
        <v>#REF!</v>
      </c>
      <c r="S236" s="5" t="s">
        <v>42</v>
      </c>
      <c r="T236" s="5">
        <v>10834</v>
      </c>
      <c r="W236" s="5" t="s">
        <v>65</v>
      </c>
      <c r="X236" s="5">
        <v>0</v>
      </c>
      <c r="Y236" s="5">
        <v>0</v>
      </c>
      <c r="Z236" s="5">
        <v>40000</v>
      </c>
      <c r="AA236" s="5">
        <v>700</v>
      </c>
      <c r="AB236" s="5">
        <v>28000000</v>
      </c>
      <c r="AC236" s="5" t="str">
        <f t="shared" si="13"/>
        <v>Bonos</v>
      </c>
      <c r="AD236" s="5" t="s">
        <v>43</v>
      </c>
      <c r="AE236" s="5">
        <f t="shared" si="14"/>
        <v>3</v>
      </c>
      <c r="AF236" s="5">
        <f t="shared" si="15"/>
        <v>2025</v>
      </c>
    </row>
    <row r="237" s="5" customFormat="1" ht="13">
      <c r="A237" s="5">
        <v>12316</v>
      </c>
      <c r="B237" s="5" t="s">
        <v>78</v>
      </c>
      <c r="C237" s="5" t="s">
        <v>99</v>
      </c>
      <c r="D237" s="5" t="s">
        <v>21</v>
      </c>
      <c r="E237" s="5" t="s">
        <v>34</v>
      </c>
      <c r="F237" s="5" t="s">
        <v>100</v>
      </c>
      <c r="G237" s="5" t="s">
        <v>75</v>
      </c>
      <c r="H237" s="9" t="s">
        <v>159</v>
      </c>
      <c r="I237" s="10"/>
      <c r="J237" s="10">
        <v>45719</v>
      </c>
      <c r="K237" s="5" t="s">
        <v>102</v>
      </c>
      <c r="L237" s="5" t="s">
        <v>102</v>
      </c>
      <c r="M237" s="11">
        <v>0.078</v>
      </c>
      <c r="N237" s="5" t="e">
        <f>IF(AND(M237&gt;#REF!,Cartera!O905="Guaraníes"),"Rendimiento significativo",IF(AND(M237&gt;#REF!,Cartera!O905="Dólares americanos"),"Rendimiento significativo","Rendimiento no significativo"))</f>
        <v>#REF!</v>
      </c>
      <c r="O237" s="5" t="s">
        <v>41</v>
      </c>
      <c r="P237" s="12">
        <v>31200000</v>
      </c>
      <c r="Q237" s="12">
        <f>IF(O237="Guaraníes",P237,P237*#REF!)</f>
        <v>31200000</v>
      </c>
      <c r="R237" s="12" t="e">
        <f>IF(O237="Guaraníes",P237/#REF!,P237)</f>
        <v>#REF!</v>
      </c>
      <c r="S237" s="5" t="s">
        <v>42</v>
      </c>
      <c r="T237" s="5">
        <v>25</v>
      </c>
      <c r="W237" s="5" t="s">
        <v>65</v>
      </c>
      <c r="X237" s="5">
        <v>0</v>
      </c>
      <c r="Y237" s="5">
        <v>0</v>
      </c>
      <c r="Z237" s="5">
        <v>39000</v>
      </c>
      <c r="AA237" s="5">
        <v>800</v>
      </c>
      <c r="AB237" s="5">
        <v>31200000</v>
      </c>
      <c r="AC237" s="5" t="str">
        <f t="shared" si="13"/>
        <v>Bonos</v>
      </c>
      <c r="AD237" s="5" t="s">
        <v>43</v>
      </c>
      <c r="AE237" s="5">
        <f t="shared" si="14"/>
        <v>3</v>
      </c>
      <c r="AF237" s="5">
        <f t="shared" si="15"/>
        <v>2025</v>
      </c>
    </row>
    <row r="238" s="5" customFormat="1" ht="13">
      <c r="A238" s="5">
        <v>12316</v>
      </c>
      <c r="B238" s="5" t="s">
        <v>78</v>
      </c>
      <c r="C238" s="5" t="s">
        <v>99</v>
      </c>
      <c r="D238" s="5" t="s">
        <v>21</v>
      </c>
      <c r="E238" s="5" t="s">
        <v>34</v>
      </c>
      <c r="F238" s="5" t="s">
        <v>100</v>
      </c>
      <c r="G238" s="5" t="s">
        <v>145</v>
      </c>
      <c r="H238" s="9" t="s">
        <v>159</v>
      </c>
      <c r="I238" s="10">
        <v>44657</v>
      </c>
      <c r="J238" s="10">
        <v>45719</v>
      </c>
      <c r="K238" s="5" t="s">
        <v>102</v>
      </c>
      <c r="L238" s="5" t="s">
        <v>102</v>
      </c>
      <c r="M238" s="11">
        <v>0.078</v>
      </c>
      <c r="N238" s="5" t="e">
        <f>IF(AND(M238&gt;#REF!,Cartera!O1568="Guaraníes"),"Rendimiento significativo",IF(AND(M238&gt;#REF!,Cartera!O1568="Dólares americanos"),"Rendimiento significativo","Rendimiento no significativo"))</f>
        <v>#REF!</v>
      </c>
      <c r="O238" s="5" t="s">
        <v>41</v>
      </c>
      <c r="P238" s="12">
        <v>35100000</v>
      </c>
      <c r="Q238" s="12">
        <f>IF(O238="Guaraníes",P238,P238*#REF!)</f>
        <v>35100000</v>
      </c>
      <c r="R238" s="12" t="e">
        <f>IF(O238="Guaraníes",P238/#REF!,P238)</f>
        <v>#REF!</v>
      </c>
      <c r="S238" s="5" t="s">
        <v>42</v>
      </c>
      <c r="V238" s="5">
        <v>39000</v>
      </c>
      <c r="AA238" s="5">
        <v>900</v>
      </c>
      <c r="AC238" s="5" t="str">
        <f t="shared" si="13"/>
        <v>Bonos</v>
      </c>
      <c r="AD238" s="5" t="s">
        <v>43</v>
      </c>
      <c r="AE238" s="5">
        <f t="shared" si="14"/>
        <v>3</v>
      </c>
      <c r="AF238" s="5">
        <f t="shared" si="15"/>
        <v>2025</v>
      </c>
    </row>
    <row r="239" s="5" customFormat="1" ht="13">
      <c r="A239" s="5">
        <v>12316</v>
      </c>
      <c r="B239" s="5" t="s">
        <v>78</v>
      </c>
      <c r="C239" s="5" t="s">
        <v>103</v>
      </c>
      <c r="D239" s="5" t="s">
        <v>21</v>
      </c>
      <c r="E239" s="5" t="s">
        <v>34</v>
      </c>
      <c r="F239" s="5" t="s">
        <v>68</v>
      </c>
      <c r="G239" s="5" t="s">
        <v>104</v>
      </c>
      <c r="H239" s="9" t="s">
        <v>105</v>
      </c>
      <c r="I239" s="10">
        <v>45266</v>
      </c>
      <c r="J239" s="10">
        <v>45721</v>
      </c>
      <c r="K239" s="5" t="s">
        <v>64</v>
      </c>
      <c r="L239" s="5" t="s">
        <v>106</v>
      </c>
      <c r="M239" s="11">
        <v>0.079500000000000001</v>
      </c>
      <c r="N239" s="5" t="e">
        <f>IF(AND(M239&gt;#REF!,Cartera!O3524="Guaraníes"),"Rendimiento significativo",IF(AND(M239&gt;#REF!,Cartera!O3524="Dólares americanos"),"Rendimiento significativo","Rendimiento no significativo"))</f>
        <v>#REF!</v>
      </c>
      <c r="O239" s="5" t="s">
        <v>41</v>
      </c>
      <c r="P239" s="12">
        <v>1982054.7944999998</v>
      </c>
      <c r="Q239" s="12">
        <f>IF(O239="Guaraníes",P239,P239*#REF!)</f>
        <v>1982054.7944999998</v>
      </c>
      <c r="R239" s="12" t="e">
        <f>IF(O239="Guaraníes",P239/#REF!,P239)</f>
        <v>#REF!</v>
      </c>
      <c r="S239" s="5" t="s">
        <v>42</v>
      </c>
      <c r="T239" s="5">
        <v>26543</v>
      </c>
      <c r="AC239" s="5" t="str">
        <f t="shared" si="13"/>
        <v>Bonos</v>
      </c>
      <c r="AD239" s="5" t="s">
        <v>43</v>
      </c>
      <c r="AE239" s="5">
        <f t="shared" si="14"/>
        <v>3</v>
      </c>
      <c r="AF239" s="5">
        <f t="shared" si="15"/>
        <v>2025</v>
      </c>
    </row>
    <row r="240" s="5" customFormat="1" ht="13">
      <c r="A240" s="5">
        <v>12316</v>
      </c>
      <c r="B240" s="5" t="s">
        <v>78</v>
      </c>
      <c r="C240" s="5" t="s">
        <v>183</v>
      </c>
      <c r="D240" s="5" t="s">
        <v>21</v>
      </c>
      <c r="E240" s="5" t="s">
        <v>34</v>
      </c>
      <c r="F240" s="5" t="s">
        <v>184</v>
      </c>
      <c r="H240" s="9">
        <v>6217</v>
      </c>
      <c r="I240" s="10"/>
      <c r="J240" s="10">
        <v>45723</v>
      </c>
      <c r="K240" s="5" t="s">
        <v>124</v>
      </c>
      <c r="L240" s="5" t="s">
        <v>82</v>
      </c>
      <c r="M240" s="11">
        <v>0.072499999999999995</v>
      </c>
      <c r="N240" s="5" t="e">
        <f>IF(AND(M240&gt;#REF!,Cartera!O2946="Guaraníes"),"Rendimiento significativo",IF(AND(M240&gt;#REF!,Cartera!O2946="Dólares americanos"),"Rendimiento significativo","Rendimiento no significativo"))</f>
        <v>#REF!</v>
      </c>
      <c r="O240" s="5" t="s">
        <v>41</v>
      </c>
      <c r="P240" s="12">
        <v>16968305</v>
      </c>
      <c r="Q240" s="13">
        <f>IF(O240="Guaraníes",P240,P240*#REF!)</f>
        <v>16968305</v>
      </c>
      <c r="R240" s="12" t="e">
        <f>IF(O240="Guaraníes",P240/#REF!,P240)</f>
        <v>#REF!</v>
      </c>
      <c r="S240" s="5" t="s">
        <v>42</v>
      </c>
      <c r="V240" s="5">
        <v>16968305</v>
      </c>
      <c r="W240" s="5" t="s">
        <v>185</v>
      </c>
      <c r="AC240" s="5" t="str">
        <f t="shared" si="13"/>
        <v>CDA</v>
      </c>
      <c r="AD240" s="5" t="s">
        <v>43</v>
      </c>
      <c r="AE240" s="5">
        <f t="shared" si="14"/>
        <v>3</v>
      </c>
      <c r="AF240" s="5">
        <f t="shared" si="15"/>
        <v>2025</v>
      </c>
    </row>
    <row r="241" s="5" customFormat="1" ht="13">
      <c r="A241" s="5">
        <v>12315</v>
      </c>
      <c r="B241" s="5" t="s">
        <v>73</v>
      </c>
      <c r="C241" s="5" t="s">
        <v>33</v>
      </c>
      <c r="D241" s="5" t="s">
        <v>21</v>
      </c>
      <c r="E241" s="5" t="s">
        <v>34</v>
      </c>
      <c r="F241" s="5" t="s">
        <v>35</v>
      </c>
      <c r="G241" s="5" t="s">
        <v>75</v>
      </c>
      <c r="H241" s="9" t="s">
        <v>186</v>
      </c>
      <c r="I241" s="10"/>
      <c r="J241" s="10">
        <v>45728</v>
      </c>
      <c r="K241" s="5" t="s">
        <v>39</v>
      </c>
      <c r="L241" s="5" t="s">
        <v>50</v>
      </c>
      <c r="M241" s="11">
        <v>0.044999999999999998</v>
      </c>
      <c r="N241" s="5" t="e">
        <f>IF(AND(M241&gt;#REF!,Cartera!O812="Guaraníes"),"Rendimiento significativo",IF(AND(M241&gt;#REF!,Cartera!O812="Dólares americanos"),"Rendimiento significativo","Rendimiento no significativo"))</f>
        <v>#REF!</v>
      </c>
      <c r="O241" s="5" t="s">
        <v>51</v>
      </c>
      <c r="P241" s="13">
        <v>336.57533999999998</v>
      </c>
      <c r="Q241" s="12" t="e">
        <f>IF(O241="Guaraníes",P241,P241*#REF!)</f>
        <v>#REF!</v>
      </c>
      <c r="R241" s="12">
        <f>IF(O241="Guaraníes",P241/#REF!,P241)</f>
        <v>336.57533999999998</v>
      </c>
      <c r="S241" s="5" t="s">
        <v>42</v>
      </c>
      <c r="T241" s="5">
        <v>25</v>
      </c>
      <c r="W241" s="5" t="s">
        <v>65</v>
      </c>
      <c r="X241" s="5">
        <v>0</v>
      </c>
      <c r="Y241" s="5">
        <v>0</v>
      </c>
      <c r="Z241" s="5">
        <v>11.219177999999999</v>
      </c>
      <c r="AA241" s="5">
        <v>30</v>
      </c>
      <c r="AB241" s="5">
        <v>336.57533999999998</v>
      </c>
      <c r="AC241" s="5" t="str">
        <f t="shared" si="13"/>
        <v>Bonos</v>
      </c>
      <c r="AD241" s="5" t="s">
        <v>43</v>
      </c>
      <c r="AE241" s="5">
        <f t="shared" si="14"/>
        <v>3</v>
      </c>
      <c r="AF241" s="5">
        <f t="shared" si="15"/>
        <v>2025</v>
      </c>
    </row>
    <row r="242" s="5" customFormat="1" ht="13">
      <c r="A242" s="5">
        <v>12315</v>
      </c>
      <c r="B242" s="5" t="s">
        <v>73</v>
      </c>
      <c r="C242" s="5" t="s">
        <v>33</v>
      </c>
      <c r="D242" s="5" t="s">
        <v>21</v>
      </c>
      <c r="E242" s="5" t="s">
        <v>34</v>
      </c>
      <c r="F242" s="5" t="s">
        <v>35</v>
      </c>
      <c r="G242" s="5" t="s">
        <v>69</v>
      </c>
      <c r="H242" s="9" t="s">
        <v>186</v>
      </c>
      <c r="I242" s="10"/>
      <c r="J242" s="10">
        <v>45728</v>
      </c>
      <c r="K242" s="5" t="s">
        <v>39</v>
      </c>
      <c r="L242" s="5" t="s">
        <v>50</v>
      </c>
      <c r="M242" s="11">
        <v>0.044999999999999998</v>
      </c>
      <c r="N242" s="5" t="e">
        <f>IF(AND(M242&gt;#REF!,Cartera!O2528="Guaraníes"),"Rendimiento significativo",IF(AND(M242&gt;#REF!,Cartera!O2528="Dólares americanos"),"Rendimiento significativo","Rendimiento no significativo"))</f>
        <v>#REF!</v>
      </c>
      <c r="O242" s="5" t="s">
        <v>51</v>
      </c>
      <c r="P242" s="13">
        <v>448.76711999999998</v>
      </c>
      <c r="Q242" s="13" t="e">
        <f>IF(O242="Guaraníes",P242,P242*#REF!)</f>
        <v>#REF!</v>
      </c>
      <c r="R242" s="12">
        <f>IF(O242="Guaraníes",P242/#REF!,P242)</f>
        <v>448.76711999999998</v>
      </c>
      <c r="S242" s="5" t="s">
        <v>42</v>
      </c>
      <c r="T242" s="5">
        <v>593</v>
      </c>
      <c r="W242" s="5" t="s">
        <v>65</v>
      </c>
      <c r="X242" s="5">
        <v>0</v>
      </c>
      <c r="Y242" s="5">
        <v>0</v>
      </c>
      <c r="Z242" s="5">
        <v>11.219177999999999</v>
      </c>
      <c r="AA242" s="5">
        <v>40</v>
      </c>
      <c r="AB242" s="5">
        <v>448.76711999999998</v>
      </c>
      <c r="AC242" s="5" t="str">
        <f t="shared" si="13"/>
        <v>Bonos</v>
      </c>
      <c r="AD242" s="5" t="s">
        <v>43</v>
      </c>
      <c r="AE242" s="5">
        <f t="shared" si="14"/>
        <v>3</v>
      </c>
      <c r="AF242" s="5">
        <f t="shared" si="15"/>
        <v>2025</v>
      </c>
    </row>
    <row r="243" s="5" customFormat="1" ht="13">
      <c r="A243" s="5">
        <v>12316</v>
      </c>
      <c r="B243" s="5" t="s">
        <v>78</v>
      </c>
      <c r="C243" s="5" t="s">
        <v>111</v>
      </c>
      <c r="D243" s="5" t="s">
        <v>21</v>
      </c>
      <c r="E243" s="5" t="s">
        <v>34</v>
      </c>
      <c r="F243" s="5" t="s">
        <v>68</v>
      </c>
      <c r="H243" s="9" t="s">
        <v>187</v>
      </c>
      <c r="I243" s="10">
        <v>45370</v>
      </c>
      <c r="J243" s="10">
        <v>45730</v>
      </c>
      <c r="K243" s="5" t="s">
        <v>140</v>
      </c>
      <c r="L243" s="5" t="s">
        <v>82</v>
      </c>
      <c r="M243" s="11">
        <v>0.086999999999999994</v>
      </c>
      <c r="N243" s="5" t="e">
        <f>IF(AND(M243&gt;#REF!,Cartera!O3555="Guaraníes"),"Rendimiento significativo",IF(AND(M243&gt;#REF!,Cartera!O3555="Dólares americanos"),"Rendimiento significativo","Rendimiento no significativo"))</f>
        <v>#REF!</v>
      </c>
      <c r="O243" s="5" t="s">
        <v>41</v>
      </c>
      <c r="P243" s="12">
        <v>6292603</v>
      </c>
      <c r="Q243" s="12">
        <f>IF(O243="Guaraníes",P243,P243*#REF!)</f>
        <v>6292603</v>
      </c>
      <c r="R243" s="12" t="e">
        <f>IF(O243="Guaraníes",P243/#REF!,P243)</f>
        <v>#REF!</v>
      </c>
      <c r="S243" s="5" t="s">
        <v>42</v>
      </c>
      <c r="AC243" s="5" t="str">
        <f t="shared" si="13"/>
        <v>CDA</v>
      </c>
      <c r="AD243" s="5" t="s">
        <v>43</v>
      </c>
      <c r="AE243" s="5">
        <f t="shared" si="14"/>
        <v>3</v>
      </c>
      <c r="AF243" s="5">
        <f t="shared" si="15"/>
        <v>2025</v>
      </c>
    </row>
    <row r="244" s="5" customFormat="1" ht="13">
      <c r="A244" s="5">
        <v>12315</v>
      </c>
      <c r="B244" s="5" t="s">
        <v>73</v>
      </c>
      <c r="C244" s="5" t="s">
        <v>111</v>
      </c>
      <c r="D244" s="5" t="s">
        <v>21</v>
      </c>
      <c r="E244" s="5" t="s">
        <v>34</v>
      </c>
      <c r="F244" s="5" t="s">
        <v>68</v>
      </c>
      <c r="H244" s="9" t="s">
        <v>188</v>
      </c>
      <c r="I244" s="10">
        <v>45370</v>
      </c>
      <c r="J244" s="10">
        <v>45730</v>
      </c>
      <c r="K244" s="5" t="s">
        <v>140</v>
      </c>
      <c r="L244" s="5" t="s">
        <v>82</v>
      </c>
      <c r="M244" s="11">
        <v>0.057000000000000002</v>
      </c>
      <c r="N244" s="5" t="e">
        <f>IF(AND(M244&gt;#REF!,Cartera!O3565="Guaraníes"),"Rendimiento significativo",IF(AND(M244&gt;#REF!,Cartera!O3565="Dólares americanos"),"Rendimiento significativo","Rendimiento no significativo"))</f>
        <v>#REF!</v>
      </c>
      <c r="O244" s="5" t="s">
        <v>51</v>
      </c>
      <c r="P244" s="13">
        <v>274.85000000000002</v>
      </c>
      <c r="Q244" s="12" t="e">
        <f>IF(O244="Guaraníes",P244,P244*#REF!)</f>
        <v>#REF!</v>
      </c>
      <c r="R244" s="12">
        <f>IF(O244="Guaraníes",P244/#REF!,P244)</f>
        <v>274.85000000000002</v>
      </c>
      <c r="S244" s="5" t="s">
        <v>42</v>
      </c>
      <c r="AC244" s="5" t="str">
        <f t="shared" si="13"/>
        <v>CDA</v>
      </c>
      <c r="AD244" s="5" t="s">
        <v>43</v>
      </c>
      <c r="AE244" s="5">
        <f t="shared" si="14"/>
        <v>3</v>
      </c>
      <c r="AF244" s="5">
        <f t="shared" si="15"/>
        <v>2025</v>
      </c>
    </row>
    <row r="245" s="5" customFormat="1" ht="13">
      <c r="A245" s="5">
        <v>12316</v>
      </c>
      <c r="B245" s="5" t="s">
        <v>78</v>
      </c>
      <c r="C245" s="5" t="s">
        <v>189</v>
      </c>
      <c r="D245" s="5" t="s">
        <v>21</v>
      </c>
      <c r="E245" s="5" t="s">
        <v>34</v>
      </c>
      <c r="F245" s="5" t="s">
        <v>190</v>
      </c>
      <c r="G245" s="5" t="s">
        <v>141</v>
      </c>
      <c r="H245" s="9" t="s">
        <v>191</v>
      </c>
      <c r="I245" s="10"/>
      <c r="J245" s="10">
        <v>45737</v>
      </c>
      <c r="K245" s="5" t="s">
        <v>77</v>
      </c>
      <c r="L245" s="5" t="s">
        <v>58</v>
      </c>
      <c r="M245" s="11">
        <v>0.089999999999999997</v>
      </c>
      <c r="N245" s="5" t="e">
        <f>IF(AND(M245&gt;#REF!,Cartera!O2091="Guaraníes"),"Rendimiento significativo",IF(AND(M245&gt;#REF!,Cartera!O2091="Dólares americanos"),"Rendimiento significativo","Rendimiento no significativo"))</f>
        <v>#REF!</v>
      </c>
      <c r="O245" s="5" t="s">
        <v>41</v>
      </c>
      <c r="P245" s="12">
        <v>6731506.8480000002</v>
      </c>
      <c r="Q245" s="13">
        <f>IF(O245="Guaraníes",P245,P245*#REF!)</f>
        <v>6731506.8480000002</v>
      </c>
      <c r="R245" s="12" t="e">
        <f>IF(O245="Guaraníes",P245/#REF!,P245)</f>
        <v>#REF!</v>
      </c>
      <c r="S245" s="5" t="s">
        <v>42</v>
      </c>
      <c r="T245" s="5">
        <v>9243</v>
      </c>
      <c r="W245" s="5" t="s">
        <v>65</v>
      </c>
      <c r="X245" s="5">
        <v>0</v>
      </c>
      <c r="Y245" s="5">
        <v>0</v>
      </c>
      <c r="Z245" s="5">
        <v>22438.356159999999</v>
      </c>
      <c r="AA245" s="5">
        <v>300</v>
      </c>
      <c r="AB245" s="5">
        <v>6731506.8490000004</v>
      </c>
      <c r="AC245" s="5" t="str">
        <f t="shared" si="13"/>
        <v>Bonos</v>
      </c>
      <c r="AD245" s="5" t="s">
        <v>43</v>
      </c>
      <c r="AE245" s="5">
        <f t="shared" si="14"/>
        <v>3</v>
      </c>
      <c r="AF245" s="5">
        <f t="shared" si="15"/>
        <v>2025</v>
      </c>
    </row>
    <row r="246" s="5" customFormat="1" ht="13">
      <c r="A246" s="5">
        <v>12316</v>
      </c>
      <c r="B246" s="5" t="s">
        <v>78</v>
      </c>
      <c r="C246" s="5" t="s">
        <v>54</v>
      </c>
      <c r="D246" s="5" t="s">
        <v>21</v>
      </c>
      <c r="E246" s="5" t="s">
        <v>34</v>
      </c>
      <c r="F246" s="5" t="s">
        <v>46</v>
      </c>
      <c r="G246" s="5" t="s">
        <v>86</v>
      </c>
      <c r="H246" s="9" t="s">
        <v>147</v>
      </c>
      <c r="I246" s="10"/>
      <c r="J246" s="10">
        <v>45740</v>
      </c>
      <c r="K246" s="5" t="s">
        <v>57</v>
      </c>
      <c r="L246" s="5" t="s">
        <v>58</v>
      </c>
      <c r="M246" s="11">
        <v>0.12</v>
      </c>
      <c r="N246" s="5" t="e">
        <f>IF(AND(M246&gt;#REF!,Cartera!O213="Guaraníes"),"Rendimiento significativo",IF(AND(M246&gt;#REF!,Cartera!O213="Dólares americanos"),"Rendimiento significativo","Rendimiento no significativo"))</f>
        <v>#REF!</v>
      </c>
      <c r="O246" s="5" t="s">
        <v>41</v>
      </c>
      <c r="P246" s="12">
        <v>2991780.8218999999</v>
      </c>
      <c r="Q246" s="12">
        <f>IF(O246="Guaraníes",P246,P246*#REF!)</f>
        <v>2991780.8218999999</v>
      </c>
      <c r="R246" s="12" t="e">
        <f>IF(O246="Guaraníes",P246/#REF!,P246)</f>
        <v>#REF!</v>
      </c>
      <c r="S246" s="5" t="s">
        <v>42</v>
      </c>
      <c r="T246" s="5">
        <v>10834</v>
      </c>
      <c r="W246" s="5" t="s">
        <v>65</v>
      </c>
      <c r="X246" s="5">
        <v>0</v>
      </c>
      <c r="Y246" s="5">
        <v>0</v>
      </c>
      <c r="Z246" s="5">
        <v>29917.808218999999</v>
      </c>
      <c r="AA246" s="5">
        <v>100</v>
      </c>
      <c r="AB246" s="5">
        <v>2991780.8218999999</v>
      </c>
      <c r="AC246" s="5" t="str">
        <f t="shared" si="13"/>
        <v>Bonos</v>
      </c>
      <c r="AD246" s="5" t="s">
        <v>43</v>
      </c>
      <c r="AE246" s="5">
        <f t="shared" si="14"/>
        <v>3</v>
      </c>
      <c r="AF246" s="5">
        <f t="shared" si="15"/>
        <v>2025</v>
      </c>
    </row>
    <row r="247" s="5" customFormat="1" ht="13">
      <c r="A247" s="5">
        <v>12316</v>
      </c>
      <c r="B247" s="5" t="s">
        <v>78</v>
      </c>
      <c r="C247" s="5" t="s">
        <v>54</v>
      </c>
      <c r="D247" s="5" t="s">
        <v>21</v>
      </c>
      <c r="E247" s="5" t="s">
        <v>34</v>
      </c>
      <c r="F247" s="5" t="s">
        <v>46</v>
      </c>
      <c r="G247" s="5" t="s">
        <v>86</v>
      </c>
      <c r="H247" s="9" t="s">
        <v>148</v>
      </c>
      <c r="I247" s="10"/>
      <c r="J247" s="10">
        <v>45740</v>
      </c>
      <c r="K247" s="5" t="s">
        <v>57</v>
      </c>
      <c r="L247" s="5" t="s">
        <v>58</v>
      </c>
      <c r="M247" s="11">
        <v>0.097500000000000003</v>
      </c>
      <c r="N247" s="5" t="e">
        <f>IF(AND(M247&gt;#REF!,Cartera!O214="Guaraníes"),"Rendimiento significativo",IF(AND(M247&gt;#REF!,Cartera!O214="Dólares americanos"),"Rendimiento significativo","Rendimiento no significativo"))</f>
        <v>#REF!</v>
      </c>
      <c r="O247" s="5" t="s">
        <v>41</v>
      </c>
      <c r="P247" s="12">
        <v>12154109.589</v>
      </c>
      <c r="Q247" s="12">
        <f>IF(O247="Guaraníes",P247,P247*#REF!)</f>
        <v>12154109.589</v>
      </c>
      <c r="R247" s="12" t="e">
        <f>IF(O247="Guaraníes",P247/#REF!,P247)</f>
        <v>#REF!</v>
      </c>
      <c r="S247" s="5" t="s">
        <v>42</v>
      </c>
      <c r="T247" s="5">
        <v>10834</v>
      </c>
      <c r="W247" s="5" t="s">
        <v>65</v>
      </c>
      <c r="X247" s="5">
        <v>0</v>
      </c>
      <c r="Y247" s="5">
        <v>0</v>
      </c>
      <c r="Z247" s="5">
        <v>24308.219177999999</v>
      </c>
      <c r="AA247" s="5">
        <v>500</v>
      </c>
      <c r="AB247" s="5">
        <v>12154109.589</v>
      </c>
      <c r="AC247" s="5" t="str">
        <f t="shared" si="13"/>
        <v>Bonos</v>
      </c>
      <c r="AD247" s="5" t="s">
        <v>43</v>
      </c>
      <c r="AE247" s="5">
        <f t="shared" si="14"/>
        <v>3</v>
      </c>
      <c r="AF247" s="5">
        <f t="shared" si="15"/>
        <v>2025</v>
      </c>
    </row>
    <row r="248" s="5" customFormat="1" ht="13">
      <c r="A248" s="5">
        <v>12316</v>
      </c>
      <c r="B248" s="5" t="s">
        <v>78</v>
      </c>
      <c r="C248" s="5" t="s">
        <v>54</v>
      </c>
      <c r="D248" s="5" t="s">
        <v>21</v>
      </c>
      <c r="E248" s="5" t="s">
        <v>34</v>
      </c>
      <c r="F248" s="5" t="s">
        <v>46</v>
      </c>
      <c r="G248" s="5" t="s">
        <v>75</v>
      </c>
      <c r="H248" s="9" t="s">
        <v>147</v>
      </c>
      <c r="I248" s="10"/>
      <c r="J248" s="10">
        <v>45740</v>
      </c>
      <c r="K248" s="5" t="s">
        <v>57</v>
      </c>
      <c r="L248" s="5" t="s">
        <v>58</v>
      </c>
      <c r="M248" s="11">
        <v>0.12</v>
      </c>
      <c r="N248" s="5" t="e">
        <f>IF(AND(M248&gt;#REF!,Cartera!O906="Guaraníes"),"Rendimiento significativo",IF(AND(M248&gt;#REF!,Cartera!O906="Dólares americanos"),"Rendimiento significativo","Rendimiento no significativo"))</f>
        <v>#REF!</v>
      </c>
      <c r="O248" s="5" t="s">
        <v>41</v>
      </c>
      <c r="P248" s="12">
        <v>4487671.2328500003</v>
      </c>
      <c r="Q248" s="12">
        <f>IF(O248="Guaraníes",P248,P248*#REF!)</f>
        <v>4487671.2328500003</v>
      </c>
      <c r="R248" s="12" t="e">
        <f>IF(O248="Guaraníes",P248/#REF!,P248)</f>
        <v>#REF!</v>
      </c>
      <c r="S248" s="5" t="s">
        <v>42</v>
      </c>
      <c r="T248" s="5">
        <v>25</v>
      </c>
      <c r="W248" s="5" t="s">
        <v>192</v>
      </c>
      <c r="X248" s="5">
        <v>0</v>
      </c>
      <c r="Y248" s="5">
        <v>0</v>
      </c>
      <c r="Z248" s="5">
        <v>29917.808218999999</v>
      </c>
      <c r="AA248" s="5">
        <v>150</v>
      </c>
      <c r="AB248" s="5">
        <v>4487671.2328500003</v>
      </c>
      <c r="AC248" s="5" t="str">
        <f t="shared" si="13"/>
        <v>Bonos</v>
      </c>
      <c r="AD248" s="5" t="s">
        <v>43</v>
      </c>
      <c r="AE248" s="5">
        <f t="shared" si="14"/>
        <v>3</v>
      </c>
      <c r="AF248" s="5">
        <f t="shared" si="15"/>
        <v>2025</v>
      </c>
    </row>
    <row r="249" s="5" customFormat="1" ht="13">
      <c r="A249" s="5">
        <v>12316</v>
      </c>
      <c r="B249" s="5" t="s">
        <v>78</v>
      </c>
      <c r="C249" s="5" t="s">
        <v>138</v>
      </c>
      <c r="D249" s="5" t="s">
        <v>21</v>
      </c>
      <c r="E249" s="5" t="s">
        <v>34</v>
      </c>
      <c r="F249" s="5" t="s">
        <v>68</v>
      </c>
      <c r="G249" s="5" t="s">
        <v>86</v>
      </c>
      <c r="H249" s="9" t="s">
        <v>193</v>
      </c>
      <c r="I249" s="10">
        <v>44104</v>
      </c>
      <c r="J249" s="10">
        <v>45741</v>
      </c>
      <c r="K249" s="5" t="s">
        <v>140</v>
      </c>
      <c r="L249" s="5" t="s">
        <v>58</v>
      </c>
      <c r="M249" s="11">
        <v>0.10000000000000001</v>
      </c>
      <c r="N249" s="5" t="e">
        <f>IF(AND(M249&gt;#REF!,Cartera!O3436="Guaraníes"),"Rendimiento significativo",IF(AND(M249&gt;#REF!,Cartera!O3436="Dólares americanos"),"Rendimiento significativo","Rendimiento no significativo"))</f>
        <v>#REF!</v>
      </c>
      <c r="O249" s="5" t="s">
        <v>41</v>
      </c>
      <c r="P249" s="12">
        <v>2493150.6849000002</v>
      </c>
      <c r="Q249" s="13">
        <f>IF(O249="Guaraníes",P249,P249*#REF!)</f>
        <v>2493150.6849000002</v>
      </c>
      <c r="R249" s="12" t="e">
        <f>IF(O249="Guaraníes",P249/#REF!,P249)</f>
        <v>#REF!</v>
      </c>
      <c r="S249" s="5" t="s">
        <v>42</v>
      </c>
      <c r="AC249" s="5" t="str">
        <f t="shared" si="13"/>
        <v>Bonos</v>
      </c>
      <c r="AD249" s="5" t="s">
        <v>43</v>
      </c>
      <c r="AE249" s="5">
        <f t="shared" si="14"/>
        <v>3</v>
      </c>
      <c r="AF249" s="5">
        <f t="shared" si="15"/>
        <v>2025</v>
      </c>
    </row>
    <row r="250" s="5" customFormat="1" ht="13">
      <c r="A250" s="5">
        <v>12315</v>
      </c>
      <c r="B250" s="5" t="s">
        <v>73</v>
      </c>
      <c r="C250" s="5" t="s">
        <v>116</v>
      </c>
      <c r="D250" s="5" t="s">
        <v>21</v>
      </c>
      <c r="E250" s="5" t="s">
        <v>34</v>
      </c>
      <c r="F250" s="5" t="s">
        <v>68</v>
      </c>
      <c r="G250" s="5" t="s">
        <v>69</v>
      </c>
      <c r="H250" s="9" t="s">
        <v>194</v>
      </c>
      <c r="I250" s="10"/>
      <c r="J250" s="10">
        <v>45742</v>
      </c>
      <c r="K250" s="5" t="s">
        <v>118</v>
      </c>
      <c r="L250" s="5" t="s">
        <v>50</v>
      </c>
      <c r="M250" s="11">
        <v>0.065000000000000002</v>
      </c>
      <c r="N250" s="5" t="e">
        <f>IF(AND(M250&gt;#REF!,Cartera!O2530="Guaraníes"),"Rendimiento significativo",IF(AND(M250&gt;#REF!,Cartera!O2530="Dólares americanos"),"Rendimiento significativo","Rendimiento no significativo"))</f>
        <v>#REF!</v>
      </c>
      <c r="O250" s="5" t="s">
        <v>51</v>
      </c>
      <c r="P250" s="13">
        <v>324.10958999999997</v>
      </c>
      <c r="Q250" s="13" t="e">
        <f>IF(O250="Guaraníes",P250,P250*#REF!)</f>
        <v>#REF!</v>
      </c>
      <c r="R250" s="12">
        <f>IF(O250="Guaraníes",P250/#REF!,P250)</f>
        <v>324.10958999999997</v>
      </c>
      <c r="S250" s="5" t="s">
        <v>42</v>
      </c>
      <c r="T250" s="5">
        <v>593</v>
      </c>
      <c r="W250" s="5" t="s">
        <v>195</v>
      </c>
      <c r="X250" s="5">
        <v>0</v>
      </c>
      <c r="Y250" s="5">
        <v>0</v>
      </c>
      <c r="Z250" s="5">
        <v>32.410958999999998</v>
      </c>
      <c r="AA250" s="5">
        <v>10</v>
      </c>
      <c r="AB250" s="5">
        <v>324.10959000000003</v>
      </c>
      <c r="AC250" s="5" t="str">
        <f t="shared" si="13"/>
        <v>Bonos</v>
      </c>
      <c r="AD250" s="5" t="s">
        <v>43</v>
      </c>
      <c r="AE250" s="5">
        <f t="shared" si="14"/>
        <v>3</v>
      </c>
      <c r="AF250" s="5">
        <f t="shared" si="15"/>
        <v>2025</v>
      </c>
    </row>
    <row r="251" s="5" customFormat="1" ht="13">
      <c r="A251" s="5" t="s">
        <v>44</v>
      </c>
      <c r="B251" s="5" t="s">
        <v>44</v>
      </c>
      <c r="C251" s="5" t="s">
        <v>85</v>
      </c>
      <c r="D251" s="5" t="s">
        <v>21</v>
      </c>
      <c r="E251" s="5" t="s">
        <v>44</v>
      </c>
      <c r="F251" s="5" t="s">
        <v>68</v>
      </c>
      <c r="G251" s="5" t="s">
        <v>86</v>
      </c>
      <c r="H251" s="9" t="s">
        <v>87</v>
      </c>
      <c r="I251" s="10">
        <v>44581</v>
      </c>
      <c r="J251" s="10">
        <v>44672</v>
      </c>
      <c r="K251" s="5" t="s">
        <v>39</v>
      </c>
      <c r="L251" s="5" t="s">
        <v>58</v>
      </c>
      <c r="M251" s="11">
        <v>0.059999999999999998</v>
      </c>
      <c r="N251" s="5" t="e">
        <f>IF(AND(M251&gt;#REF!,Cartera!O251="Guaraníes"),"Rendimiento significativo",IF(AND(M251&gt;#REF!,Cartera!O251="Dólares americanos"),"Rendimiento significativo","Rendimiento no significativo"))</f>
        <v>#REF!</v>
      </c>
      <c r="O251" s="5" t="s">
        <v>51</v>
      </c>
      <c r="P251" s="13">
        <v>747.9452</v>
      </c>
      <c r="Q251" s="12" t="e">
        <f>IF(O251="Guaraníes",P251,P251*#REF!)</f>
        <v>#REF!</v>
      </c>
      <c r="R251" s="12">
        <f>IF(O251="Guaraníes",P251/#REF!,P251)</f>
        <v>747.9452</v>
      </c>
      <c r="S251" s="5" t="s">
        <v>52</v>
      </c>
      <c r="T251" s="5">
        <v>10834</v>
      </c>
      <c r="X251" s="5">
        <v>100</v>
      </c>
      <c r="AC251" s="5" t="str">
        <f t="shared" si="13"/>
        <v>Bonos</v>
      </c>
      <c r="AD251" s="5" t="s">
        <v>43</v>
      </c>
      <c r="AE251" s="5">
        <f t="shared" si="14"/>
        <v>4</v>
      </c>
      <c r="AF251" s="5">
        <f t="shared" si="15"/>
        <v>2022</v>
      </c>
    </row>
    <row r="252" s="5" customFormat="1" ht="13">
      <c r="A252" s="5" t="s">
        <v>44</v>
      </c>
      <c r="B252" s="5" t="s">
        <v>44</v>
      </c>
      <c r="C252" s="5" t="s">
        <v>85</v>
      </c>
      <c r="D252" s="5" t="s">
        <v>21</v>
      </c>
      <c r="E252" s="5" t="s">
        <v>44</v>
      </c>
      <c r="F252" s="5" t="s">
        <v>68</v>
      </c>
      <c r="G252" s="5" t="s">
        <v>86</v>
      </c>
      <c r="H252" s="9" t="s">
        <v>87</v>
      </c>
      <c r="I252" s="10"/>
      <c r="J252" s="10">
        <v>44763</v>
      </c>
      <c r="K252" s="5" t="s">
        <v>39</v>
      </c>
      <c r="L252" s="5" t="s">
        <v>58</v>
      </c>
      <c r="M252" s="11">
        <v>0.059999999999999998</v>
      </c>
      <c r="N252" s="5" t="e">
        <f>IF(AND(M252&gt;#REF!,Cartera!O252="Guaraníes"),"Rendimiento significativo",IF(AND(M252&gt;#REF!,Cartera!O252="Dólares americanos"),"Rendimiento significativo","Rendimiento no significativo"))</f>
        <v>#REF!</v>
      </c>
      <c r="O252" s="5" t="s">
        <v>51</v>
      </c>
      <c r="P252" s="13">
        <v>747.9452</v>
      </c>
      <c r="Q252" s="12" t="e">
        <f>IF(O252="Guaraníes",P252,P252*#REF!)</f>
        <v>#REF!</v>
      </c>
      <c r="R252" s="12">
        <f>IF(O252="Guaraníes",P252/#REF!,P252)</f>
        <v>747.9452</v>
      </c>
      <c r="S252" s="5" t="s">
        <v>52</v>
      </c>
      <c r="T252" s="5">
        <v>10834</v>
      </c>
      <c r="W252" s="5" t="s">
        <v>196</v>
      </c>
      <c r="X252" s="5">
        <v>0</v>
      </c>
      <c r="Y252" s="5">
        <v>0</v>
      </c>
      <c r="Z252" s="5">
        <v>14.958904</v>
      </c>
      <c r="AA252" s="5">
        <v>50</v>
      </c>
      <c r="AB252" s="5">
        <v>747.9452</v>
      </c>
      <c r="AC252" s="5" t="str">
        <f t="shared" si="13"/>
        <v>Bonos</v>
      </c>
      <c r="AD252" s="5" t="s">
        <v>43</v>
      </c>
      <c r="AE252" s="5">
        <f t="shared" si="14"/>
        <v>7</v>
      </c>
      <c r="AF252" s="5">
        <f t="shared" si="15"/>
        <v>2022</v>
      </c>
    </row>
    <row r="253" s="5" customFormat="1" ht="13">
      <c r="A253" s="5" t="s">
        <v>44</v>
      </c>
      <c r="B253" s="5" t="s">
        <v>44</v>
      </c>
      <c r="C253" s="5" t="s">
        <v>197</v>
      </c>
      <c r="D253" s="5" t="s">
        <v>21</v>
      </c>
      <c r="E253" s="5" t="s">
        <v>44</v>
      </c>
      <c r="F253" s="5" t="s">
        <v>68</v>
      </c>
      <c r="G253" s="5" t="s">
        <v>75</v>
      </c>
      <c r="H253" s="9" t="s">
        <v>198</v>
      </c>
      <c r="I253" s="10"/>
      <c r="J253" s="10">
        <v>44756</v>
      </c>
      <c r="K253" s="5" t="s">
        <v>199</v>
      </c>
      <c r="L253" s="5" t="s">
        <v>58</v>
      </c>
      <c r="M253" s="11">
        <v>0.10000000000000001</v>
      </c>
      <c r="N253" s="5" t="e">
        <f>IF(AND(M253&gt;#REF!,Cartera!O253="Guaraníes"),"Rendimiento significativo",IF(AND(M253&gt;#REF!,Cartera!O253="Dólares americanos"),"Rendimiento significativo","Rendimiento no significativo"))</f>
        <v>#REF!</v>
      </c>
      <c r="O253" s="5" t="s">
        <v>41</v>
      </c>
      <c r="P253" s="12">
        <v>1421095.8903930001</v>
      </c>
      <c r="Q253" s="12">
        <f>IF(O253="Guaraníes",P253,P253*#REF!)</f>
        <v>1421095.8903930001</v>
      </c>
      <c r="R253" s="12" t="e">
        <f>IF(O253="Guaraníes",P253/#REF!,P253)</f>
        <v>#REF!</v>
      </c>
      <c r="S253" s="5" t="s">
        <v>52</v>
      </c>
      <c r="T253" s="5">
        <v>25</v>
      </c>
      <c r="W253" s="5" t="s">
        <v>200</v>
      </c>
      <c r="X253" s="5">
        <v>0</v>
      </c>
      <c r="Y253" s="5">
        <v>0</v>
      </c>
      <c r="Z253" s="5">
        <v>24931.506849000001</v>
      </c>
      <c r="AA253" s="5">
        <v>57</v>
      </c>
      <c r="AB253" s="5">
        <v>1421095.8903930001</v>
      </c>
      <c r="AC253" s="5" t="str">
        <f t="shared" si="13"/>
        <v>Bonos</v>
      </c>
      <c r="AD253" s="5" t="s">
        <v>43</v>
      </c>
      <c r="AE253" s="5">
        <f t="shared" si="14"/>
        <v>7</v>
      </c>
      <c r="AF253" s="5">
        <f t="shared" si="15"/>
        <v>2022</v>
      </c>
    </row>
    <row r="254" s="5" customFormat="1" ht="13">
      <c r="A254" s="5" t="s">
        <v>44</v>
      </c>
      <c r="B254" s="5" t="s">
        <v>44</v>
      </c>
      <c r="C254" s="5" t="s">
        <v>85</v>
      </c>
      <c r="D254" s="5" t="s">
        <v>21</v>
      </c>
      <c r="E254" s="5" t="s">
        <v>44</v>
      </c>
      <c r="F254" s="5" t="s">
        <v>68</v>
      </c>
      <c r="G254" s="5" t="s">
        <v>86</v>
      </c>
      <c r="H254" s="9" t="s">
        <v>87</v>
      </c>
      <c r="I254" s="10"/>
      <c r="J254" s="10">
        <v>44854</v>
      </c>
      <c r="K254" s="5" t="s">
        <v>39</v>
      </c>
      <c r="L254" s="5" t="s">
        <v>58</v>
      </c>
      <c r="M254" s="11">
        <v>0.059999999999999998</v>
      </c>
      <c r="N254" s="5" t="e">
        <f>IF(AND(M254&gt;#REF!,Cartera!O254="Guaraníes"),"Rendimiento significativo",IF(AND(M254&gt;#REF!,Cartera!O254="Dólares americanos"),"Rendimiento significativo","Rendimiento no significativo"))</f>
        <v>#REF!</v>
      </c>
      <c r="O254" s="5" t="s">
        <v>51</v>
      </c>
      <c r="P254" s="13">
        <v>747.9452</v>
      </c>
      <c r="Q254" s="12" t="e">
        <f>IF(O254="Guaraníes",P254,P254*#REF!)</f>
        <v>#REF!</v>
      </c>
      <c r="R254" s="12">
        <f>IF(O254="Guaraníes",P254/#REF!,P254)</f>
        <v>747.9452</v>
      </c>
      <c r="S254" s="5" t="s">
        <v>52</v>
      </c>
      <c r="T254" s="5">
        <v>10834</v>
      </c>
      <c r="W254" s="5" t="s">
        <v>201</v>
      </c>
      <c r="X254" s="5">
        <v>0</v>
      </c>
      <c r="Y254" s="5">
        <v>0</v>
      </c>
      <c r="Z254" s="5">
        <v>14.958904</v>
      </c>
      <c r="AA254" s="5">
        <v>50</v>
      </c>
      <c r="AB254" s="5">
        <v>747.9452</v>
      </c>
      <c r="AC254" s="5" t="str">
        <f t="shared" si="13"/>
        <v>Bonos</v>
      </c>
      <c r="AD254" s="5" t="s">
        <v>43</v>
      </c>
      <c r="AE254" s="5">
        <f t="shared" si="14"/>
        <v>10</v>
      </c>
      <c r="AF254" s="5">
        <f t="shared" si="15"/>
        <v>2022</v>
      </c>
    </row>
    <row r="255" s="5" customFormat="1" ht="13">
      <c r="A255" s="5" t="s">
        <v>44</v>
      </c>
      <c r="B255" s="5" t="s">
        <v>44</v>
      </c>
      <c r="C255" s="5" t="s">
        <v>85</v>
      </c>
      <c r="D255" s="5" t="s">
        <v>21</v>
      </c>
      <c r="E255" s="5" t="s">
        <v>44</v>
      </c>
      <c r="F255" s="5" t="s">
        <v>68</v>
      </c>
      <c r="G255" s="5" t="s">
        <v>86</v>
      </c>
      <c r="H255" s="9" t="s">
        <v>87</v>
      </c>
      <c r="I255" s="10"/>
      <c r="J255" s="10">
        <v>44945</v>
      </c>
      <c r="K255" s="5" t="s">
        <v>39</v>
      </c>
      <c r="L255" s="5" t="s">
        <v>58</v>
      </c>
      <c r="M255" s="11">
        <v>0.059999999999999998</v>
      </c>
      <c r="N255" s="5" t="e">
        <f>IF(AND(M255&gt;#REF!,Cartera!O255="Guaraníes"),"Rendimiento significativo",IF(AND(M255&gt;#REF!,Cartera!O255="Dólares americanos"),"Rendimiento significativo","Rendimiento no significativo"))</f>
        <v>#REF!</v>
      </c>
      <c r="O255" s="5" t="s">
        <v>51</v>
      </c>
      <c r="P255" s="13">
        <v>747.9452</v>
      </c>
      <c r="Q255" s="12" t="e">
        <f>IF(O255="Guaraníes",P255,P255*#REF!)</f>
        <v>#REF!</v>
      </c>
      <c r="R255" s="12">
        <f>IF(O255="Guaraníes",P255/#REF!,P255)</f>
        <v>747.9452</v>
      </c>
      <c r="S255" s="5" t="s">
        <v>52</v>
      </c>
      <c r="T255" s="5">
        <v>10834</v>
      </c>
      <c r="W255" s="5" t="s">
        <v>202</v>
      </c>
      <c r="X255" s="5">
        <v>0</v>
      </c>
      <c r="Y255" s="5">
        <v>0</v>
      </c>
      <c r="Z255" s="5">
        <v>14.958904</v>
      </c>
      <c r="AA255" s="5">
        <v>50</v>
      </c>
      <c r="AB255" s="5">
        <v>747.9452</v>
      </c>
      <c r="AC255" s="5" t="str">
        <f t="shared" si="13"/>
        <v>Bonos</v>
      </c>
      <c r="AD255" s="5" t="s">
        <v>43</v>
      </c>
      <c r="AE255" s="5">
        <f t="shared" si="14"/>
        <v>1</v>
      </c>
      <c r="AF255" s="5">
        <f t="shared" si="15"/>
        <v>2023</v>
      </c>
    </row>
    <row r="256" s="5" customFormat="1" ht="13">
      <c r="A256" s="5" t="s">
        <v>44</v>
      </c>
      <c r="B256" s="5" t="s">
        <v>44</v>
      </c>
      <c r="C256" s="5" t="s">
        <v>85</v>
      </c>
      <c r="D256" s="5" t="s">
        <v>21</v>
      </c>
      <c r="E256" s="5" t="s">
        <v>44</v>
      </c>
      <c r="F256" s="5" t="s">
        <v>68</v>
      </c>
      <c r="G256" s="5" t="s">
        <v>86</v>
      </c>
      <c r="H256" s="9" t="s">
        <v>87</v>
      </c>
      <c r="I256" s="10"/>
      <c r="J256" s="10">
        <v>45036</v>
      </c>
      <c r="K256" s="5" t="s">
        <v>39</v>
      </c>
      <c r="L256" s="5" t="s">
        <v>58</v>
      </c>
      <c r="M256" s="11">
        <v>0.059999999999999998</v>
      </c>
      <c r="N256" s="5" t="e">
        <f>IF(AND(M256&gt;#REF!,Cartera!O256="Guaraníes"),"Rendimiento significativo",IF(AND(M256&gt;#REF!,Cartera!O256="Dólares americanos"),"Rendimiento significativo","Rendimiento no significativo"))</f>
        <v>#REF!</v>
      </c>
      <c r="O256" s="5" t="s">
        <v>51</v>
      </c>
      <c r="P256" s="13">
        <v>747.9452</v>
      </c>
      <c r="Q256" s="12" t="e">
        <f>IF(O256="Guaraníes",P256,P256*#REF!)</f>
        <v>#REF!</v>
      </c>
      <c r="R256" s="12">
        <f>IF(O256="Guaraníes",P256/#REF!,P256)</f>
        <v>747.9452</v>
      </c>
      <c r="S256" s="5" t="s">
        <v>52</v>
      </c>
      <c r="T256" s="5">
        <v>10834</v>
      </c>
      <c r="W256" s="5" t="s">
        <v>203</v>
      </c>
      <c r="X256" s="5">
        <v>0</v>
      </c>
      <c r="Y256" s="5">
        <v>0</v>
      </c>
      <c r="Z256" s="5">
        <v>14.958904</v>
      </c>
      <c r="AA256" s="5">
        <v>50</v>
      </c>
      <c r="AB256" s="5">
        <v>747.9452</v>
      </c>
      <c r="AC256" s="5" t="str">
        <f t="shared" ref="AC256:AC319" si="16">IF(ISNUMBER(SEARCH("Acciones",L256)),"Acciones",IF(ISNUMBER(SEARCH("Bono",L256)),"Bonos",IF(ISNUMBER(SEARCH("CDA",L256)),"CDA",IF(ISNUMBER(SEARCH("Fondo",L256)),"Fondo",0))))</f>
        <v>Bonos</v>
      </c>
      <c r="AD256" s="5" t="s">
        <v>43</v>
      </c>
      <c r="AE256" s="5">
        <f t="shared" si="14"/>
        <v>4</v>
      </c>
      <c r="AF256" s="5">
        <f t="shared" si="15"/>
        <v>2023</v>
      </c>
    </row>
    <row r="257" s="5" customFormat="1" ht="13">
      <c r="A257" s="5" t="s">
        <v>44</v>
      </c>
      <c r="B257" s="5" t="s">
        <v>44</v>
      </c>
      <c r="C257" s="5" t="s">
        <v>85</v>
      </c>
      <c r="D257" s="5" t="s">
        <v>21</v>
      </c>
      <c r="E257" s="5" t="s">
        <v>44</v>
      </c>
      <c r="F257" s="5" t="s">
        <v>68</v>
      </c>
      <c r="G257" s="5" t="s">
        <v>86</v>
      </c>
      <c r="H257" s="9" t="s">
        <v>87</v>
      </c>
      <c r="I257" s="10"/>
      <c r="J257" s="10">
        <v>45127</v>
      </c>
      <c r="K257" s="5" t="s">
        <v>39</v>
      </c>
      <c r="L257" s="5" t="s">
        <v>58</v>
      </c>
      <c r="M257" s="11">
        <v>0.059999999999999998</v>
      </c>
      <c r="N257" s="5" t="e">
        <f>IF(AND(M257&gt;#REF!,Cartera!O257="Guaraníes"),"Rendimiento significativo",IF(AND(M257&gt;#REF!,Cartera!O257="Dólares americanos"),"Rendimiento significativo","Rendimiento no significativo"))</f>
        <v>#REF!</v>
      </c>
      <c r="O257" s="5" t="s">
        <v>51</v>
      </c>
      <c r="P257" s="13">
        <v>747.9452</v>
      </c>
      <c r="Q257" s="12" t="e">
        <f>IF(O257="Guaraníes",P257,P257*#REF!)</f>
        <v>#REF!</v>
      </c>
      <c r="R257" s="12">
        <f>IF(O257="Guaraníes",P257/#REF!,P257)</f>
        <v>747.9452</v>
      </c>
      <c r="S257" s="5" t="s">
        <v>52</v>
      </c>
      <c r="T257" s="5">
        <v>10834</v>
      </c>
      <c r="W257" s="5" t="s">
        <v>204</v>
      </c>
      <c r="X257" s="5">
        <v>0</v>
      </c>
      <c r="Y257" s="5">
        <v>0</v>
      </c>
      <c r="Z257" s="5">
        <v>14.958904</v>
      </c>
      <c r="AA257" s="5">
        <v>50</v>
      </c>
      <c r="AB257" s="5">
        <v>747.9452</v>
      </c>
      <c r="AC257" s="5" t="str">
        <f t="shared" si="16"/>
        <v>Bonos</v>
      </c>
      <c r="AD257" s="5" t="s">
        <v>43</v>
      </c>
      <c r="AE257" s="5">
        <f t="shared" si="14"/>
        <v>7</v>
      </c>
      <c r="AF257" s="5">
        <f t="shared" si="15"/>
        <v>2023</v>
      </c>
    </row>
    <row r="258" s="5" customFormat="1" ht="13">
      <c r="A258" s="5" t="s">
        <v>44</v>
      </c>
      <c r="B258" s="5" t="s">
        <v>44</v>
      </c>
      <c r="C258" s="5" t="s">
        <v>85</v>
      </c>
      <c r="D258" s="5" t="s">
        <v>21</v>
      </c>
      <c r="E258" s="5" t="s">
        <v>44</v>
      </c>
      <c r="F258" s="5" t="s">
        <v>68</v>
      </c>
      <c r="G258" s="5" t="s">
        <v>86</v>
      </c>
      <c r="H258" s="9" t="s">
        <v>87</v>
      </c>
      <c r="I258" s="10"/>
      <c r="J258" s="10">
        <v>45218</v>
      </c>
      <c r="K258" s="5" t="s">
        <v>39</v>
      </c>
      <c r="L258" s="5" t="s">
        <v>58</v>
      </c>
      <c r="M258" s="11">
        <v>0.059999999999999998</v>
      </c>
      <c r="N258" s="5" t="e">
        <f>IF(AND(M258&gt;#REF!,Cartera!O258="Guaraníes"),"Rendimiento significativo",IF(AND(M258&gt;#REF!,Cartera!O258="Dólares americanos"),"Rendimiento significativo","Rendimiento no significativo"))</f>
        <v>#REF!</v>
      </c>
      <c r="O258" s="5" t="s">
        <v>51</v>
      </c>
      <c r="P258" s="13">
        <v>747.9452</v>
      </c>
      <c r="Q258" s="12" t="e">
        <f>IF(O258="Guaraníes",P258,P258*#REF!)</f>
        <v>#REF!</v>
      </c>
      <c r="R258" s="12">
        <f>IF(O258="Guaraníes",P258/#REF!,P258)</f>
        <v>747.9452</v>
      </c>
      <c r="S258" s="5" t="s">
        <v>52</v>
      </c>
      <c r="T258" s="5">
        <v>10834</v>
      </c>
      <c r="W258" s="5" t="s">
        <v>205</v>
      </c>
      <c r="X258" s="5">
        <v>0</v>
      </c>
      <c r="Y258" s="5">
        <v>0</v>
      </c>
      <c r="Z258" s="5">
        <v>14.958904</v>
      </c>
      <c r="AA258" s="5">
        <v>50</v>
      </c>
      <c r="AB258" s="5">
        <v>747.9452</v>
      </c>
      <c r="AC258" s="5" t="str">
        <f t="shared" si="16"/>
        <v>Bonos</v>
      </c>
      <c r="AD258" s="5" t="s">
        <v>43</v>
      </c>
      <c r="AE258" s="5">
        <f t="shared" si="14"/>
        <v>10</v>
      </c>
      <c r="AF258" s="5">
        <f t="shared" si="15"/>
        <v>2023</v>
      </c>
    </row>
    <row r="259" s="5" customFormat="1" ht="13">
      <c r="A259" s="5" t="s">
        <v>44</v>
      </c>
      <c r="B259" s="5" t="s">
        <v>44</v>
      </c>
      <c r="C259" s="5" t="s">
        <v>85</v>
      </c>
      <c r="D259" s="5" t="s">
        <v>21</v>
      </c>
      <c r="E259" s="5" t="s">
        <v>44</v>
      </c>
      <c r="F259" s="5" t="s">
        <v>68</v>
      </c>
      <c r="G259" s="5" t="s">
        <v>86</v>
      </c>
      <c r="H259" s="9" t="s">
        <v>87</v>
      </c>
      <c r="I259" s="10"/>
      <c r="J259" s="10">
        <v>45309</v>
      </c>
      <c r="K259" s="5" t="s">
        <v>39</v>
      </c>
      <c r="L259" s="5" t="s">
        <v>58</v>
      </c>
      <c r="M259" s="11">
        <v>0.059999999999999998</v>
      </c>
      <c r="N259" s="5" t="e">
        <f>IF(AND(M259&gt;#REF!,Cartera!O259="Guaraníes"),"Rendimiento significativo",IF(AND(M259&gt;#REF!,Cartera!O259="Dólares americanos"),"Rendimiento significativo","Rendimiento no significativo"))</f>
        <v>#REF!</v>
      </c>
      <c r="O259" s="5" t="s">
        <v>51</v>
      </c>
      <c r="P259" s="13">
        <v>747.9452</v>
      </c>
      <c r="Q259" s="12" t="e">
        <f>IF(O259="Guaraníes",P259,P259*#REF!)</f>
        <v>#REF!</v>
      </c>
      <c r="R259" s="12">
        <f>IF(O259="Guaraníes",P259/#REF!,P259)</f>
        <v>747.9452</v>
      </c>
      <c r="S259" s="5" t="s">
        <v>52</v>
      </c>
      <c r="T259" s="5">
        <v>10834</v>
      </c>
      <c r="W259" s="5" t="s">
        <v>206</v>
      </c>
      <c r="X259" s="5">
        <v>0</v>
      </c>
      <c r="Y259" s="5">
        <v>0</v>
      </c>
      <c r="Z259" s="5">
        <v>14.958904</v>
      </c>
      <c r="AA259" s="5">
        <v>50</v>
      </c>
      <c r="AB259" s="5">
        <v>747.9452</v>
      </c>
      <c r="AC259" s="5" t="str">
        <f t="shared" si="16"/>
        <v>Bonos</v>
      </c>
      <c r="AD259" s="5" t="s">
        <v>43</v>
      </c>
      <c r="AE259" s="5">
        <f t="shared" si="14"/>
        <v>1</v>
      </c>
      <c r="AF259" s="5">
        <f t="shared" si="15"/>
        <v>2024</v>
      </c>
    </row>
    <row r="260" s="5" customFormat="1" ht="13">
      <c r="A260" s="5" t="s">
        <v>44</v>
      </c>
      <c r="B260" s="5" t="s">
        <v>44</v>
      </c>
      <c r="C260" s="5" t="s">
        <v>85</v>
      </c>
      <c r="D260" s="5" t="s">
        <v>21</v>
      </c>
      <c r="E260" s="5" t="s">
        <v>44</v>
      </c>
      <c r="F260" s="5" t="s">
        <v>68</v>
      </c>
      <c r="G260" s="5" t="s">
        <v>86</v>
      </c>
      <c r="H260" s="9" t="s">
        <v>87</v>
      </c>
      <c r="I260" s="10"/>
      <c r="J260" s="10">
        <v>45400</v>
      </c>
      <c r="K260" s="5" t="s">
        <v>39</v>
      </c>
      <c r="L260" s="5" t="s">
        <v>58</v>
      </c>
      <c r="M260" s="11">
        <v>0.059999999999999998</v>
      </c>
      <c r="N260" s="5" t="e">
        <f>IF(AND(M260&gt;#REF!,Cartera!O260="Guaraníes"),"Rendimiento significativo",IF(AND(M260&gt;#REF!,Cartera!O260="Dólares americanos"),"Rendimiento significativo","Rendimiento no significativo"))</f>
        <v>#REF!</v>
      </c>
      <c r="O260" s="5" t="s">
        <v>51</v>
      </c>
      <c r="P260" s="13">
        <v>747.9452</v>
      </c>
      <c r="Q260" s="12" t="e">
        <f>IF(O260="Guaraníes",P260,P260*#REF!)</f>
        <v>#REF!</v>
      </c>
      <c r="R260" s="12">
        <f>IF(O260="Guaraníes",P260/#REF!,P260)</f>
        <v>747.9452</v>
      </c>
      <c r="S260" s="5" t="s">
        <v>52</v>
      </c>
      <c r="T260" s="5">
        <v>10834</v>
      </c>
      <c r="W260" s="5" t="s">
        <v>207</v>
      </c>
      <c r="X260" s="5">
        <v>0</v>
      </c>
      <c r="Y260" s="5">
        <v>0</v>
      </c>
      <c r="Z260" s="5">
        <v>14.958904</v>
      </c>
      <c r="AA260" s="5">
        <v>50</v>
      </c>
      <c r="AB260" s="5">
        <v>747.9452</v>
      </c>
      <c r="AC260" s="5" t="str">
        <f t="shared" si="16"/>
        <v>Bonos</v>
      </c>
      <c r="AD260" s="5" t="s">
        <v>43</v>
      </c>
      <c r="AE260" s="5">
        <f t="shared" si="14"/>
        <v>4</v>
      </c>
      <c r="AF260" s="5">
        <f t="shared" si="15"/>
        <v>2024</v>
      </c>
    </row>
    <row r="261" s="5" customFormat="1" ht="13">
      <c r="A261" s="5" t="s">
        <v>44</v>
      </c>
      <c r="B261" s="5" t="s">
        <v>44</v>
      </c>
      <c r="C261" s="5" t="s">
        <v>85</v>
      </c>
      <c r="D261" s="5" t="s">
        <v>21</v>
      </c>
      <c r="E261" s="5" t="s">
        <v>44</v>
      </c>
      <c r="F261" s="5" t="s">
        <v>68</v>
      </c>
      <c r="G261" s="5" t="s">
        <v>86</v>
      </c>
      <c r="H261" s="9" t="s">
        <v>87</v>
      </c>
      <c r="I261" s="10"/>
      <c r="J261" s="10">
        <v>45491</v>
      </c>
      <c r="K261" s="5" t="s">
        <v>39</v>
      </c>
      <c r="L261" s="5" t="s">
        <v>58</v>
      </c>
      <c r="M261" s="11">
        <v>0.059999999999999998</v>
      </c>
      <c r="N261" s="5" t="e">
        <f>IF(AND(M261&gt;#REF!,Cartera!O261="Guaraníes"),"Rendimiento significativo",IF(AND(M261&gt;#REF!,Cartera!O261="Dólares americanos"),"Rendimiento significativo","Rendimiento no significativo"))</f>
        <v>#REF!</v>
      </c>
      <c r="O261" s="5" t="s">
        <v>51</v>
      </c>
      <c r="P261" s="13">
        <v>747.9452</v>
      </c>
      <c r="Q261" s="12" t="e">
        <f>IF(O261="Guaraníes",P261,P261*#REF!)</f>
        <v>#REF!</v>
      </c>
      <c r="R261" s="12">
        <f>IF(O261="Guaraníes",P261/#REF!,P261)</f>
        <v>747.9452</v>
      </c>
      <c r="S261" s="5" t="s">
        <v>52</v>
      </c>
      <c r="T261" s="5">
        <v>10834</v>
      </c>
      <c r="W261" s="5" t="s">
        <v>208</v>
      </c>
      <c r="X261" s="5">
        <v>0</v>
      </c>
      <c r="Y261" s="5">
        <v>0</v>
      </c>
      <c r="Z261" s="5">
        <v>14.958904</v>
      </c>
      <c r="AA261" s="5">
        <v>50</v>
      </c>
      <c r="AB261" s="5">
        <v>747.9452</v>
      </c>
      <c r="AC261" s="5" t="str">
        <f t="shared" si="16"/>
        <v>Bonos</v>
      </c>
      <c r="AD261" s="5" t="s">
        <v>43</v>
      </c>
      <c r="AE261" s="5">
        <f t="shared" si="14"/>
        <v>7</v>
      </c>
      <c r="AF261" s="5">
        <f t="shared" si="15"/>
        <v>2024</v>
      </c>
    </row>
    <row r="262" s="5" customFormat="1" ht="13">
      <c r="A262" s="5" t="s">
        <v>44</v>
      </c>
      <c r="B262" s="5" t="s">
        <v>44</v>
      </c>
      <c r="C262" s="5" t="s">
        <v>116</v>
      </c>
      <c r="D262" s="5" t="s">
        <v>21</v>
      </c>
      <c r="E262" s="5" t="s">
        <v>44</v>
      </c>
      <c r="F262" s="5" t="s">
        <v>68</v>
      </c>
      <c r="H262" s="9" t="s">
        <v>209</v>
      </c>
      <c r="I262" s="10">
        <v>45393</v>
      </c>
      <c r="J262" s="10">
        <v>45573</v>
      </c>
      <c r="K262" s="5" t="s">
        <v>118</v>
      </c>
      <c r="L262" s="5" t="s">
        <v>82</v>
      </c>
      <c r="M262" s="11">
        <v>0.087499999999999994</v>
      </c>
      <c r="N262" s="5" t="e">
        <f>IF(AND(M262&gt;#REF!,Cartera!O3581="Guaraníes"),"Rendimiento significativo",IF(AND(M262&gt;#REF!,Cartera!O3581="Dólares americanos"),"Rendimiento significativo","Rendimiento no significativo"))</f>
        <v>#REF!</v>
      </c>
      <c r="O262" s="5" t="s">
        <v>41</v>
      </c>
      <c r="P262" s="12">
        <v>19417808</v>
      </c>
      <c r="Q262" s="12">
        <f>IF(O262="Guaraníes",P262,P262*#REF!)</f>
        <v>19417808</v>
      </c>
      <c r="R262" s="12" t="e">
        <f>IF(O262="Guaraníes",P262/#REF!,P262)</f>
        <v>#REF!</v>
      </c>
      <c r="S262" s="5" t="s">
        <v>52</v>
      </c>
      <c r="AC262" s="5" t="str">
        <f t="shared" si="16"/>
        <v>CDA</v>
      </c>
      <c r="AD262" s="5" t="s">
        <v>43</v>
      </c>
      <c r="AE262" s="5">
        <f t="shared" si="14"/>
        <v>10</v>
      </c>
      <c r="AF262" s="5">
        <f t="shared" si="15"/>
        <v>2024</v>
      </c>
    </row>
    <row r="263" s="5" customFormat="1" ht="13">
      <c r="A263" s="5">
        <v>12316</v>
      </c>
      <c r="B263" s="5" t="s">
        <v>78</v>
      </c>
      <c r="C263" s="5" t="s">
        <v>183</v>
      </c>
      <c r="D263" s="5" t="s">
        <v>21</v>
      </c>
      <c r="E263" s="5" t="s">
        <v>34</v>
      </c>
      <c r="H263" s="9" t="s">
        <v>210</v>
      </c>
      <c r="I263" s="10">
        <v>45562</v>
      </c>
      <c r="J263" s="10">
        <v>45742</v>
      </c>
      <c r="L263" s="11" t="s">
        <v>82</v>
      </c>
      <c r="M263" s="11">
        <v>0.053800000000000001</v>
      </c>
      <c r="N263" s="11"/>
      <c r="O263" s="5" t="s">
        <v>41</v>
      </c>
      <c r="P263" s="13">
        <v>2653110</v>
      </c>
      <c r="Q263" s="12">
        <v>2653110</v>
      </c>
      <c r="R263" s="13">
        <v>340.58331942643679</v>
      </c>
      <c r="S263" s="5" t="s">
        <v>42</v>
      </c>
      <c r="AC263" s="5" t="str">
        <f t="shared" si="16"/>
        <v>CDA</v>
      </c>
      <c r="AD263" s="5" t="s">
        <v>43</v>
      </c>
    </row>
    <row r="264" s="5" customFormat="1" ht="13">
      <c r="A264" s="5">
        <v>12315</v>
      </c>
      <c r="B264" s="5" t="s">
        <v>73</v>
      </c>
      <c r="C264" s="5" t="s">
        <v>183</v>
      </c>
      <c r="D264" s="5" t="s">
        <v>21</v>
      </c>
      <c r="E264" s="5" t="s">
        <v>34</v>
      </c>
      <c r="H264" s="9" t="s">
        <v>211</v>
      </c>
      <c r="I264" s="10">
        <v>45562</v>
      </c>
      <c r="J264" s="10">
        <v>45742</v>
      </c>
      <c r="L264" s="11" t="s">
        <v>82</v>
      </c>
      <c r="M264" s="11">
        <v>0.026800000000000001</v>
      </c>
      <c r="N264" s="11" t="e">
        <f>IF(AND(M264&gt;#REF!,Cartera!O264="Guaraníes"),"Rendimiento significativo",IF(AND(M264&gt;#REF!,Cartera!O264="Dólares americanos"),"Rendimiento significativo","Rendimiento no significativo"))</f>
        <v>#REF!</v>
      </c>
      <c r="O264" s="5" t="s">
        <v>51</v>
      </c>
      <c r="P264" s="13">
        <v>132.16</v>
      </c>
      <c r="Q264" s="12">
        <v>1029513.184</v>
      </c>
      <c r="R264" s="17">
        <v>132.16</v>
      </c>
      <c r="S264" s="5" t="s">
        <v>42</v>
      </c>
      <c r="AC264" s="5" t="str">
        <f t="shared" si="16"/>
        <v>CDA</v>
      </c>
      <c r="AD264" s="5" t="s">
        <v>43</v>
      </c>
    </row>
    <row r="265" s="5" customFormat="1" ht="13">
      <c r="A265" s="5">
        <v>12315</v>
      </c>
      <c r="B265" s="5" t="s">
        <v>73</v>
      </c>
      <c r="C265" s="5" t="s">
        <v>212</v>
      </c>
      <c r="D265" s="5" t="s">
        <v>21</v>
      </c>
      <c r="E265" s="5" t="s">
        <v>34</v>
      </c>
      <c r="F265" s="5" t="s">
        <v>68</v>
      </c>
      <c r="G265" s="5" t="s">
        <v>86</v>
      </c>
      <c r="H265" s="9" t="s">
        <v>213</v>
      </c>
      <c r="I265" s="10">
        <v>44651</v>
      </c>
      <c r="J265" s="10">
        <v>45743</v>
      </c>
      <c r="K265" s="5" t="s">
        <v>81</v>
      </c>
      <c r="L265" s="5" t="s">
        <v>58</v>
      </c>
      <c r="M265" s="11">
        <v>0.053499999999999999</v>
      </c>
      <c r="N265" s="5" t="e">
        <f>IF(AND(M265&gt;#REF!,Cartera!O312="Guaraníes"),"Rendimiento significativo",IF(AND(M265&gt;#REF!,Cartera!O312="Dólares americanos"),"Rendimiento significativo","Rendimiento no significativo"))</f>
        <v>#REF!</v>
      </c>
      <c r="O265" s="5" t="s">
        <v>51</v>
      </c>
      <c r="P265" s="13">
        <v>2667.6712000000002</v>
      </c>
      <c r="Q265" s="12" t="e">
        <f>IF(O265="Guaraníes",P265,P265*#REF!)</f>
        <v>#REF!</v>
      </c>
      <c r="R265" s="12">
        <f>IF(O265="Guaraníes",P265/#REF!,P265)</f>
        <v>2667.6712000000002</v>
      </c>
      <c r="S265" s="5" t="s">
        <v>42</v>
      </c>
      <c r="V265" s="5">
        <v>26.676711999999998</v>
      </c>
      <c r="AA265" s="5">
        <v>100</v>
      </c>
      <c r="AC265" s="5" t="str">
        <f t="shared" si="16"/>
        <v>Bonos</v>
      </c>
      <c r="AD265" s="5" t="s">
        <v>43</v>
      </c>
      <c r="AE265" s="5">
        <f t="shared" si="14"/>
        <v>3</v>
      </c>
      <c r="AF265" s="5">
        <f t="shared" si="15"/>
        <v>2025</v>
      </c>
    </row>
    <row r="266" s="5" customFormat="1" ht="13">
      <c r="A266" s="5">
        <v>12316</v>
      </c>
      <c r="B266" s="5" t="s">
        <v>78</v>
      </c>
      <c r="C266" s="5" t="s">
        <v>33</v>
      </c>
      <c r="D266" s="5" t="s">
        <v>21</v>
      </c>
      <c r="E266" s="5" t="s">
        <v>34</v>
      </c>
      <c r="F266" s="5" t="s">
        <v>35</v>
      </c>
      <c r="G266" s="5" t="s">
        <v>141</v>
      </c>
      <c r="H266" s="9" t="s">
        <v>214</v>
      </c>
      <c r="I266" s="10">
        <v>45015</v>
      </c>
      <c r="J266" s="10">
        <v>45743</v>
      </c>
      <c r="K266" s="5" t="s">
        <v>39</v>
      </c>
      <c r="L266" s="5" t="s">
        <v>106</v>
      </c>
      <c r="M266" s="11">
        <v>0.092700000000000005</v>
      </c>
      <c r="N266" s="5" t="e">
        <f>IF(AND(M266&gt;#REF!,Cartera!O3093="Guaraníes"),"Rendimiento significativo",IF(AND(M266&gt;#REF!,Cartera!O3093="Dólares americanos"),"Rendimiento significativo","Rendimiento no significativo"))</f>
        <v>#REF!</v>
      </c>
      <c r="O266" s="5" t="s">
        <v>41</v>
      </c>
      <c r="P266" s="12">
        <v>6933452.0547000002</v>
      </c>
      <c r="Q266" s="13">
        <f>IF(O266="Guaraníes",P266,P266*#REF!)</f>
        <v>6933452.0547000002</v>
      </c>
      <c r="R266" s="12" t="e">
        <f>IF(O266="Guaraníes",P266/#REF!,P266)</f>
        <v>#REF!</v>
      </c>
      <c r="S266" s="5" t="s">
        <v>42</v>
      </c>
      <c r="AC266" s="5" t="str">
        <f t="shared" si="16"/>
        <v>Bonos</v>
      </c>
      <c r="AD266" s="5" t="s">
        <v>43</v>
      </c>
      <c r="AE266" s="5">
        <f t="shared" si="14"/>
        <v>3</v>
      </c>
      <c r="AF266" s="5">
        <f t="shared" si="15"/>
        <v>2025</v>
      </c>
    </row>
    <row r="267" s="5" customFormat="1" ht="13">
      <c r="A267" s="5">
        <v>12316</v>
      </c>
      <c r="B267" s="5" t="s">
        <v>78</v>
      </c>
      <c r="C267" s="5" t="s">
        <v>138</v>
      </c>
      <c r="D267" s="5" t="s">
        <v>21</v>
      </c>
      <c r="E267" s="5" t="s">
        <v>34</v>
      </c>
      <c r="F267" s="5" t="s">
        <v>68</v>
      </c>
      <c r="G267" s="5" t="s">
        <v>86</v>
      </c>
      <c r="H267" s="9" t="s">
        <v>139</v>
      </c>
      <c r="I267" s="10">
        <v>43948</v>
      </c>
      <c r="J267" s="10">
        <v>45744</v>
      </c>
      <c r="K267" s="5" t="s">
        <v>140</v>
      </c>
      <c r="L267" s="5" t="s">
        <v>58</v>
      </c>
      <c r="M267" s="11">
        <v>0.11</v>
      </c>
      <c r="N267" s="5" t="e">
        <f>IF(AND(M267&gt;#REF!,Cartera!O3278="Guaraníes"),"Rendimiento significativo",IF(AND(M267&gt;#REF!,Cartera!O3278="Dólares americanos"),"Rendimiento significativo","Rendimiento no significativo"))</f>
        <v>#REF!</v>
      </c>
      <c r="O267" s="5" t="s">
        <v>41</v>
      </c>
      <c r="P267" s="12">
        <v>904109.58900000004</v>
      </c>
      <c r="Q267" s="13">
        <f>IF(O267="Guaraníes",P267,P267*#REF!)</f>
        <v>904109.58900000004</v>
      </c>
      <c r="R267" s="12" t="e">
        <f>IF(O267="Guaraníes",P267/#REF!,P267)</f>
        <v>#REF!</v>
      </c>
      <c r="S267" s="5" t="s">
        <v>42</v>
      </c>
      <c r="AC267" s="5" t="str">
        <f t="shared" si="16"/>
        <v>Bonos</v>
      </c>
      <c r="AD267" s="5" t="s">
        <v>43</v>
      </c>
      <c r="AE267" s="5">
        <f t="shared" si="14"/>
        <v>3</v>
      </c>
      <c r="AF267" s="5">
        <f t="shared" si="15"/>
        <v>2025</v>
      </c>
    </row>
    <row r="268" s="5" customFormat="1" ht="13">
      <c r="A268" s="5">
        <v>12315</v>
      </c>
      <c r="B268" s="5" t="s">
        <v>73</v>
      </c>
      <c r="C268" s="5" t="s">
        <v>143</v>
      </c>
      <c r="D268" s="5" t="s">
        <v>21</v>
      </c>
      <c r="E268" s="5" t="s">
        <v>34</v>
      </c>
      <c r="F268" s="5" t="s">
        <v>144</v>
      </c>
      <c r="G268" s="5" t="s">
        <v>145</v>
      </c>
      <c r="H268" s="9" t="s">
        <v>146</v>
      </c>
      <c r="I268" s="10"/>
      <c r="J268" s="10">
        <v>45747</v>
      </c>
      <c r="K268" s="5" t="s">
        <v>49</v>
      </c>
      <c r="L268" s="5" t="s">
        <v>106</v>
      </c>
      <c r="M268" s="11">
        <v>0.060999999999999999</v>
      </c>
      <c r="N268" s="5" t="e">
        <f>IF(AND(M268&gt;#REF!,Cartera!O1512="Guaraníes"),"Rendimiento significativo",IF(AND(M268&gt;#REF!,Cartera!O1512="Dólares americanos"),"Rendimiento significativo","Rendimiento no significativo"))</f>
        <v>#REF!</v>
      </c>
      <c r="O268" s="5" t="s">
        <v>51</v>
      </c>
      <c r="P268" s="13">
        <v>207.23287999999999</v>
      </c>
      <c r="Q268" s="12" t="e">
        <f>IF(O268="Guaraníes",P268,P268*#REF!)</f>
        <v>#REF!</v>
      </c>
      <c r="R268" s="12">
        <f>IF(O268="Guaraníes",P268/#REF!,P268)</f>
        <v>207.23287999999999</v>
      </c>
      <c r="S268" s="5" t="s">
        <v>42</v>
      </c>
      <c r="T268" s="5">
        <v>1057</v>
      </c>
      <c r="W268" s="5" t="s">
        <v>65</v>
      </c>
      <c r="X268" s="5">
        <v>0</v>
      </c>
      <c r="Y268" s="5">
        <v>0</v>
      </c>
      <c r="Z268" s="5">
        <v>5.180822</v>
      </c>
      <c r="AA268" s="5">
        <v>40</v>
      </c>
      <c r="AB268" s="5">
        <v>207.23287999999999</v>
      </c>
      <c r="AC268" s="5" t="str">
        <f t="shared" si="16"/>
        <v>Bonos</v>
      </c>
      <c r="AD268" s="5" t="s">
        <v>43</v>
      </c>
      <c r="AE268" s="5">
        <f t="shared" si="14"/>
        <v>3</v>
      </c>
      <c r="AF268" s="5">
        <f t="shared" si="15"/>
        <v>2025</v>
      </c>
    </row>
    <row r="269" s="5" customFormat="1" ht="13">
      <c r="A269" s="5">
        <v>12316</v>
      </c>
      <c r="B269" s="5" t="s">
        <v>78</v>
      </c>
      <c r="C269" s="5" t="s">
        <v>164</v>
      </c>
      <c r="D269" s="5" t="s">
        <v>21</v>
      </c>
      <c r="E269" s="5" t="s">
        <v>34</v>
      </c>
      <c r="F269" s="5" t="s">
        <v>68</v>
      </c>
      <c r="G269" s="5" t="s">
        <v>145</v>
      </c>
      <c r="H269" s="9" t="s">
        <v>165</v>
      </c>
      <c r="I269" s="10"/>
      <c r="J269" s="10">
        <v>45747</v>
      </c>
      <c r="K269" s="5" t="s">
        <v>124</v>
      </c>
      <c r="L269" s="5" t="s">
        <v>58</v>
      </c>
      <c r="M269" s="11">
        <v>0.10000000000000001</v>
      </c>
      <c r="N269" s="5" t="e">
        <f>IF(AND(M269&gt;#REF!,Cartera!O1513="Guaraníes"),"Rendimiento significativo",IF(AND(M269&gt;#REF!,Cartera!O1513="Dólares americanos"),"Rendimiento significativo","Rendimiento no significativo"))</f>
        <v>#REF!</v>
      </c>
      <c r="O269" s="5" t="s">
        <v>41</v>
      </c>
      <c r="P269" s="12">
        <v>3397260.2740000002</v>
      </c>
      <c r="Q269" s="12">
        <f>IF(O269="Guaraníes",P269,P269*#REF!)</f>
        <v>3397260.2740000002</v>
      </c>
      <c r="R269" s="12" t="e">
        <f>IF(O269="Guaraníes",P269/#REF!,P269)</f>
        <v>#REF!</v>
      </c>
      <c r="S269" s="5" t="s">
        <v>42</v>
      </c>
      <c r="T269" s="5">
        <v>1057</v>
      </c>
      <c r="W269" s="5" t="s">
        <v>65</v>
      </c>
      <c r="X269" s="5">
        <v>0</v>
      </c>
      <c r="Y269" s="5">
        <v>0</v>
      </c>
      <c r="Z269" s="5">
        <v>8493.1506850000005</v>
      </c>
      <c r="AA269" s="5">
        <v>400</v>
      </c>
      <c r="AB269" s="5">
        <v>3397260.2740000002</v>
      </c>
      <c r="AC269" s="5" t="str">
        <f t="shared" si="16"/>
        <v>Bonos</v>
      </c>
      <c r="AD269" s="5" t="s">
        <v>43</v>
      </c>
      <c r="AE269" s="5">
        <f t="shared" si="14"/>
        <v>3</v>
      </c>
      <c r="AF269" s="5">
        <f t="shared" si="15"/>
        <v>2025</v>
      </c>
    </row>
    <row r="270" s="5" customFormat="1" ht="13">
      <c r="A270" s="5">
        <v>12316</v>
      </c>
      <c r="B270" s="5" t="s">
        <v>78</v>
      </c>
      <c r="C270" s="5" t="s">
        <v>164</v>
      </c>
      <c r="D270" s="5" t="s">
        <v>21</v>
      </c>
      <c r="E270" s="5" t="s">
        <v>34</v>
      </c>
      <c r="F270" s="5" t="s">
        <v>68</v>
      </c>
      <c r="G270" s="5" t="s">
        <v>91</v>
      </c>
      <c r="H270" s="9" t="s">
        <v>166</v>
      </c>
      <c r="I270" s="10"/>
      <c r="J270" s="10">
        <v>45747</v>
      </c>
      <c r="K270" s="5" t="s">
        <v>124</v>
      </c>
      <c r="L270" s="5" t="s">
        <v>58</v>
      </c>
      <c r="M270" s="11">
        <v>0.092499999999999999</v>
      </c>
      <c r="N270" s="5" t="e">
        <f>IF(AND(M274&gt;'Dashboard Sin Cavapy'!$B$21,Cartera!#REF!="Guaraníes"),"Rendimiento significativo", IF(AND(M274&gt;'Dashboard Sin Cavapy'!$B$22,Cartera!#REF!="Dólares americanos"),"Rendimiento significativo","Rendimiento no significativo"))</f>
        <v>#NAME?</v>
      </c>
      <c r="O270" s="5" t="s">
        <v>41</v>
      </c>
      <c r="P270" s="12">
        <v>1178424.6576</v>
      </c>
      <c r="Q270" s="13">
        <f>IF(O270="Guaraníes",P270,P270*#REF!)</f>
        <v>1178424.6576</v>
      </c>
      <c r="R270" s="12" t="e">
        <f>IF(O270="Guaraníes",P270/#REF!,P270)</f>
        <v>#REF!</v>
      </c>
      <c r="S270" s="5" t="s">
        <v>42</v>
      </c>
      <c r="T270" s="5">
        <v>3253</v>
      </c>
      <c r="W270" s="5" t="s">
        <v>65</v>
      </c>
      <c r="X270" s="5">
        <v>0</v>
      </c>
      <c r="Y270" s="5">
        <v>0</v>
      </c>
      <c r="Z270" s="5">
        <v>7856.1643839999997</v>
      </c>
      <c r="AA270" s="5">
        <v>150</v>
      </c>
      <c r="AB270" s="5">
        <v>1178424.6576</v>
      </c>
      <c r="AC270" s="5" t="str">
        <f t="shared" si="16"/>
        <v>Bonos</v>
      </c>
      <c r="AD270" s="5" t="s">
        <v>43</v>
      </c>
      <c r="AE270" s="5">
        <f t="shared" si="14"/>
        <v>3</v>
      </c>
      <c r="AF270" s="5">
        <f t="shared" si="15"/>
        <v>2025</v>
      </c>
    </row>
    <row r="271" s="5" customFormat="1" ht="13">
      <c r="A271" s="5">
        <v>12316</v>
      </c>
      <c r="B271" s="5" t="s">
        <v>78</v>
      </c>
      <c r="C271" s="5" t="s">
        <v>164</v>
      </c>
      <c r="D271" s="5" t="s">
        <v>21</v>
      </c>
      <c r="E271" s="5" t="s">
        <v>34</v>
      </c>
      <c r="F271" s="5" t="s">
        <v>68</v>
      </c>
      <c r="G271" s="5" t="s">
        <v>141</v>
      </c>
      <c r="H271" s="9" t="s">
        <v>165</v>
      </c>
      <c r="I271" s="10"/>
      <c r="J271" s="10">
        <v>45747</v>
      </c>
      <c r="K271" s="5" t="s">
        <v>124</v>
      </c>
      <c r="L271" s="5" t="s">
        <v>58</v>
      </c>
      <c r="M271" s="11">
        <v>0.10000000000000001</v>
      </c>
      <c r="N271" s="5" t="e">
        <f>IF(AND(M271&gt;#REF!,Cartera!O2092="Guaraníes"),"Rendimiento significativo",IF(AND(M271&gt;#REF!,Cartera!O2092="Dólares americanos"),"Rendimiento significativo","Rendimiento no significativo"))</f>
        <v>#REF!</v>
      </c>
      <c r="O271" s="5" t="s">
        <v>41</v>
      </c>
      <c r="P271" s="12">
        <v>849315.06850000005</v>
      </c>
      <c r="Q271" s="13">
        <f>IF(O271="Guaraníes",P271,P271*#REF!)</f>
        <v>849315.06850000005</v>
      </c>
      <c r="R271" s="12" t="e">
        <f>IF(O271="Guaraníes",P271/#REF!,P271)</f>
        <v>#REF!</v>
      </c>
      <c r="S271" s="5" t="s">
        <v>42</v>
      </c>
      <c r="T271" s="5">
        <v>9243</v>
      </c>
      <c r="W271" s="5" t="s">
        <v>65</v>
      </c>
      <c r="X271" s="5">
        <v>0</v>
      </c>
      <c r="Y271" s="5">
        <v>0</v>
      </c>
      <c r="Z271" s="5">
        <v>8493.1506850000005</v>
      </c>
      <c r="AA271" s="5">
        <v>100</v>
      </c>
      <c r="AB271" s="5">
        <v>849315.06850000005</v>
      </c>
      <c r="AC271" s="5" t="str">
        <f t="shared" si="16"/>
        <v>Bonos</v>
      </c>
      <c r="AD271" s="5" t="s">
        <v>43</v>
      </c>
      <c r="AE271" s="5">
        <f t="shared" si="14"/>
        <v>3</v>
      </c>
      <c r="AF271" s="5">
        <f t="shared" si="15"/>
        <v>2025</v>
      </c>
    </row>
    <row r="272" s="5" customFormat="1" ht="13">
      <c r="A272" s="5">
        <v>12316</v>
      </c>
      <c r="B272" s="5" t="s">
        <v>78</v>
      </c>
      <c r="C272" s="5" t="s">
        <v>164</v>
      </c>
      <c r="D272" s="5" t="s">
        <v>21</v>
      </c>
      <c r="E272" s="5" t="s">
        <v>34</v>
      </c>
      <c r="F272" s="5" t="s">
        <v>68</v>
      </c>
      <c r="G272" s="5" t="s">
        <v>141</v>
      </c>
      <c r="H272" s="9" t="s">
        <v>167</v>
      </c>
      <c r="I272" s="10"/>
      <c r="J272" s="10">
        <v>45747</v>
      </c>
      <c r="K272" s="5" t="s">
        <v>124</v>
      </c>
      <c r="L272" s="5" t="s">
        <v>58</v>
      </c>
      <c r="M272" s="11">
        <v>0.092499999999999999</v>
      </c>
      <c r="N272" s="5" t="e">
        <f>IF(AND(M272&gt;#REF!,Cartera!O2093="Guaraníes"),"Rendimiento significativo",IF(AND(M272&gt;#REF!,Cartera!O2093="Dólares americanos"),"Rendimiento significativo","Rendimiento no significativo"))</f>
        <v>#REF!</v>
      </c>
      <c r="O272" s="5" t="s">
        <v>41</v>
      </c>
      <c r="P272" s="12">
        <v>785616.43839999998</v>
      </c>
      <c r="Q272" s="13">
        <f>IF(O272="Guaraníes",P272,P272*#REF!)</f>
        <v>785616.43839999998</v>
      </c>
      <c r="R272" s="12" t="e">
        <f>IF(O272="Guaraníes",P272/#REF!,P272)</f>
        <v>#REF!</v>
      </c>
      <c r="S272" s="5" t="s">
        <v>42</v>
      </c>
      <c r="T272" s="5">
        <v>9243</v>
      </c>
      <c r="W272" s="5" t="s">
        <v>65</v>
      </c>
      <c r="X272" s="5">
        <v>0</v>
      </c>
      <c r="Y272" s="5">
        <v>0</v>
      </c>
      <c r="Z272" s="5">
        <v>7856.1643839999997</v>
      </c>
      <c r="AA272" s="5">
        <v>100</v>
      </c>
      <c r="AB272" s="5">
        <v>785616.43839999998</v>
      </c>
      <c r="AC272" s="5" t="str">
        <f t="shared" si="16"/>
        <v>Bonos</v>
      </c>
      <c r="AD272" s="5" t="s">
        <v>43</v>
      </c>
      <c r="AE272" s="5">
        <f t="shared" si="14"/>
        <v>3</v>
      </c>
      <c r="AF272" s="5">
        <f t="shared" si="15"/>
        <v>2025</v>
      </c>
    </row>
    <row r="273" s="5" customFormat="1" ht="13">
      <c r="A273" s="5">
        <v>12316</v>
      </c>
      <c r="B273" s="5" t="s">
        <v>78</v>
      </c>
      <c r="C273" s="5" t="s">
        <v>79</v>
      </c>
      <c r="D273" s="5" t="s">
        <v>21</v>
      </c>
      <c r="E273" s="5" t="s">
        <v>34</v>
      </c>
      <c r="F273" s="5" t="s">
        <v>68</v>
      </c>
      <c r="H273" s="9" t="s">
        <v>80</v>
      </c>
      <c r="I273" s="10">
        <v>45013</v>
      </c>
      <c r="J273" s="10">
        <v>45747</v>
      </c>
      <c r="K273" s="5" t="s">
        <v>81</v>
      </c>
      <c r="L273" s="5" t="s">
        <v>82</v>
      </c>
      <c r="M273" s="11">
        <v>0.098000000000000004</v>
      </c>
      <c r="N273" s="5" t="e">
        <f>IF(AND(M273&gt;#REF!,Cartera!O3106="Guaraníes"),"Rendimiento significativo",IF(AND(M273&gt;#REF!,Cartera!O3106="Dólares americanos"),"Rendimiento significativo","Rendimiento no significativo"))</f>
        <v>#REF!</v>
      </c>
      <c r="O273" s="5" t="s">
        <v>41</v>
      </c>
      <c r="P273" s="12">
        <v>4310993</v>
      </c>
      <c r="Q273" s="13">
        <f>IF(O273="Guaraníes",P273,P273*#REF!)</f>
        <v>4310993</v>
      </c>
      <c r="R273" s="12" t="e">
        <f>IF(O273="Guaraníes",P273/#REF!,P273)</f>
        <v>#REF!</v>
      </c>
      <c r="S273" s="5" t="s">
        <v>42</v>
      </c>
      <c r="AC273" s="5" t="str">
        <f t="shared" si="16"/>
        <v>CDA</v>
      </c>
      <c r="AD273" s="5" t="s">
        <v>43</v>
      </c>
      <c r="AE273" s="5">
        <f t="shared" si="14"/>
        <v>3</v>
      </c>
      <c r="AF273" s="5">
        <f t="shared" si="15"/>
        <v>2025</v>
      </c>
    </row>
    <row r="274" s="5" customFormat="1" ht="13">
      <c r="A274" s="5">
        <v>12315</v>
      </c>
      <c r="B274" s="5" t="s">
        <v>73</v>
      </c>
      <c r="C274" s="5" t="s">
        <v>74</v>
      </c>
      <c r="D274" s="5" t="s">
        <v>21</v>
      </c>
      <c r="E274" s="5" t="s">
        <v>34</v>
      </c>
      <c r="F274" s="5" t="s">
        <v>68</v>
      </c>
      <c r="G274" s="5" t="s">
        <v>75</v>
      </c>
      <c r="H274" s="9" t="s">
        <v>76</v>
      </c>
      <c r="I274" s="10"/>
      <c r="J274" s="10">
        <v>45748</v>
      </c>
      <c r="K274" s="5" t="s">
        <v>77</v>
      </c>
      <c r="L274" s="5" t="s">
        <v>50</v>
      </c>
      <c r="M274" s="11">
        <v>0.055</v>
      </c>
      <c r="N274" s="5" t="e">
        <f>IF(AND(M274&gt;#REF!,Cartera!O907="Guaraníes"),"Rendimiento significativo",IF(AND(M274&gt;#REF!,Cartera!O907="Dólares americanos"),"Rendimiento significativo","Rendimiento no significativo"))</f>
        <v>#REF!</v>
      </c>
      <c r="O274" s="5" t="s">
        <v>51</v>
      </c>
      <c r="P274" s="13">
        <v>402.32877000000002</v>
      </c>
      <c r="Q274" s="12" t="e">
        <f>IF(O274="Guaraníes",P274,P274*#REF!)</f>
        <v>#REF!</v>
      </c>
      <c r="R274" s="12">
        <f>IF(O274="Guaraníes",P274/#REF!,P274)</f>
        <v>402.32877000000002</v>
      </c>
      <c r="S274" s="5" t="s">
        <v>42</v>
      </c>
      <c r="T274" s="5">
        <v>25</v>
      </c>
      <c r="W274" s="5" t="s">
        <v>65</v>
      </c>
      <c r="X274" s="5">
        <v>0</v>
      </c>
      <c r="Y274" s="5">
        <v>0</v>
      </c>
      <c r="Z274" s="5">
        <v>13.410959</v>
      </c>
      <c r="AA274" s="5">
        <v>30</v>
      </c>
      <c r="AB274" s="5">
        <v>402.32999999999998</v>
      </c>
      <c r="AC274" s="5" t="str">
        <f t="shared" si="16"/>
        <v>Bonos</v>
      </c>
      <c r="AD274" s="5" t="s">
        <v>43</v>
      </c>
      <c r="AE274" s="5">
        <f t="shared" si="14"/>
        <v>4</v>
      </c>
      <c r="AF274" s="5">
        <f t="shared" si="15"/>
        <v>2025</v>
      </c>
    </row>
    <row r="275" s="5" customFormat="1" ht="13">
      <c r="A275" s="5">
        <v>12316</v>
      </c>
      <c r="B275" s="5" t="s">
        <v>78</v>
      </c>
      <c r="C275" s="5" t="s">
        <v>116</v>
      </c>
      <c r="D275" s="5" t="s">
        <v>21</v>
      </c>
      <c r="E275" s="5" t="s">
        <v>34</v>
      </c>
      <c r="F275" s="5" t="s">
        <v>68</v>
      </c>
      <c r="H275" s="9" t="s">
        <v>209</v>
      </c>
      <c r="I275" s="10">
        <v>45393</v>
      </c>
      <c r="J275" s="10">
        <v>45754</v>
      </c>
      <c r="K275" s="5" t="s">
        <v>118</v>
      </c>
      <c r="L275" s="5" t="s">
        <v>82</v>
      </c>
      <c r="M275" s="11">
        <v>0.087499999999999994</v>
      </c>
      <c r="N275" s="5" t="e">
        <f>IF(AND(M275&gt;#REF!,Cartera!O3582="Guaraníes"),"Rendimiento significativo",IF(AND(M275&gt;#REF!,Cartera!O3582="Dólares americanos"),"Rendimiento significativo","Rendimiento no significativo"))</f>
        <v>#REF!</v>
      </c>
      <c r="O275" s="5" t="s">
        <v>41</v>
      </c>
      <c r="P275" s="12">
        <v>19525685</v>
      </c>
      <c r="Q275" s="12">
        <f>IF(O275="Guaraníes",P275,P275*#REF!)</f>
        <v>19525685</v>
      </c>
      <c r="R275" s="12" t="e">
        <f>IF(O275="Guaraníes",P275/#REF!,P275)</f>
        <v>#REF!</v>
      </c>
      <c r="S275" s="5" t="s">
        <v>42</v>
      </c>
      <c r="AC275" s="5" t="str">
        <f t="shared" si="16"/>
        <v>CDA</v>
      </c>
      <c r="AD275" s="5" t="s">
        <v>43</v>
      </c>
      <c r="AE275" s="5">
        <f t="shared" si="14"/>
        <v>4</v>
      </c>
      <c r="AF275" s="5">
        <f t="shared" si="15"/>
        <v>2025</v>
      </c>
    </row>
    <row r="276" s="5" customFormat="1" ht="13">
      <c r="A276" s="5">
        <v>12316</v>
      </c>
      <c r="B276" s="5" t="s">
        <v>78</v>
      </c>
      <c r="C276" s="5" t="s">
        <v>74</v>
      </c>
      <c r="D276" s="5" t="s">
        <v>21</v>
      </c>
      <c r="E276" s="5" t="s">
        <v>34</v>
      </c>
      <c r="F276" s="5" t="s">
        <v>68</v>
      </c>
      <c r="H276" s="9">
        <v>1093</v>
      </c>
      <c r="I276" s="10"/>
      <c r="J276" s="10">
        <v>45757</v>
      </c>
      <c r="K276" s="5" t="s">
        <v>77</v>
      </c>
      <c r="L276" s="5" t="s">
        <v>82</v>
      </c>
      <c r="M276" s="11">
        <v>0.065000000000000002</v>
      </c>
      <c r="N276" s="5" t="e">
        <f>IF(AND(M276&gt;#REF!,Cartera!O2947="Guaraníes"),"Rendimiento significativo",IF(AND(M276&gt;#REF!,Cartera!O2947="Dólares americanos"),"Rendimiento significativo","Rendimiento no significativo"))</f>
        <v>#REF!</v>
      </c>
      <c r="O276" s="5" t="s">
        <v>41</v>
      </c>
      <c r="P276" s="12">
        <v>3205479</v>
      </c>
      <c r="Q276" s="13">
        <f>IF(O276="Guaraníes",P276,P276*#REF!)</f>
        <v>3205479</v>
      </c>
      <c r="R276" s="12" t="e">
        <f>IF(O276="Guaraníes",P276/#REF!,P276)</f>
        <v>#REF!</v>
      </c>
      <c r="S276" s="5" t="s">
        <v>42</v>
      </c>
      <c r="V276" s="5">
        <v>3205479</v>
      </c>
      <c r="W276" s="5" t="s">
        <v>215</v>
      </c>
      <c r="AC276" s="5" t="str">
        <f t="shared" si="16"/>
        <v>CDA</v>
      </c>
      <c r="AD276" s="5" t="s">
        <v>43</v>
      </c>
      <c r="AE276" s="5">
        <f t="shared" si="14"/>
        <v>4</v>
      </c>
      <c r="AF276" s="5">
        <f t="shared" si="15"/>
        <v>2025</v>
      </c>
    </row>
    <row r="277" s="5" customFormat="1" ht="13">
      <c r="A277" s="5">
        <v>12315</v>
      </c>
      <c r="B277" s="5" t="s">
        <v>73</v>
      </c>
      <c r="C277" s="5" t="s">
        <v>60</v>
      </c>
      <c r="D277" s="5" t="s">
        <v>21</v>
      </c>
      <c r="E277" s="5" t="s">
        <v>34</v>
      </c>
      <c r="F277" s="5" t="s">
        <v>68</v>
      </c>
      <c r="H277" s="9" t="s">
        <v>84</v>
      </c>
      <c r="I277" s="10">
        <v>45393</v>
      </c>
      <c r="J277" s="10">
        <v>45761</v>
      </c>
      <c r="K277" s="5" t="s">
        <v>64</v>
      </c>
      <c r="L277" s="5" t="s">
        <v>82</v>
      </c>
      <c r="M277" s="11">
        <v>0.055</v>
      </c>
      <c r="N277" s="5" t="e">
        <f>IF(AND(M277&gt;#REF!,Cartera!O3575="Guaraníes"),"Rendimiento significativo",IF(AND(M277&gt;#REF!,Cartera!O3575="Dólares americanos"),"Rendimiento significativo","Rendimiento no significativo"))</f>
        <v>#REF!</v>
      </c>
      <c r="O277" s="5" t="s">
        <v>51</v>
      </c>
      <c r="P277" s="13">
        <v>291.12</v>
      </c>
      <c r="Q277" s="12" t="e">
        <f>IF(O277="Guaraníes",P277,P277*#REF!)</f>
        <v>#REF!</v>
      </c>
      <c r="R277" s="12">
        <f>IF(O277="Guaraníes",P277/#REF!,P277)</f>
        <v>291.12</v>
      </c>
      <c r="S277" s="5" t="s">
        <v>42</v>
      </c>
      <c r="AC277" s="5" t="str">
        <f t="shared" si="16"/>
        <v>CDA</v>
      </c>
      <c r="AD277" s="5" t="s">
        <v>43</v>
      </c>
      <c r="AE277" s="5">
        <f t="shared" si="14"/>
        <v>4</v>
      </c>
      <c r="AF277" s="5">
        <f t="shared" si="15"/>
        <v>2025</v>
      </c>
    </row>
    <row r="278" s="5" customFormat="1" ht="13">
      <c r="A278" s="5">
        <v>12316</v>
      </c>
      <c r="B278" s="5" t="s">
        <v>78</v>
      </c>
      <c r="C278" s="5" t="s">
        <v>33</v>
      </c>
      <c r="D278" s="5" t="s">
        <v>21</v>
      </c>
      <c r="E278" s="5" t="s">
        <v>34</v>
      </c>
      <c r="F278" s="5" t="s">
        <v>35</v>
      </c>
      <c r="H278" s="9">
        <v>86</v>
      </c>
      <c r="I278" s="10">
        <v>45043</v>
      </c>
      <c r="J278" s="10">
        <v>45763</v>
      </c>
      <c r="K278" s="5" t="s">
        <v>39</v>
      </c>
      <c r="L278" s="5" t="s">
        <v>82</v>
      </c>
      <c r="M278" s="11">
        <v>0.089999999999999997</v>
      </c>
      <c r="N278" s="5" t="e">
        <f>IF(AND(M278&gt;#REF!,Cartera!O3187="Guaraníes"),"Rendimiento significativo",IF(AND(M278&gt;#REF!,Cartera!O3187="Dólares americanos"),"Rendimiento significativo","Rendimiento no significativo"))</f>
        <v>#REF!</v>
      </c>
      <c r="O278" s="5" t="s">
        <v>41</v>
      </c>
      <c r="P278" s="12">
        <v>11095890</v>
      </c>
      <c r="Q278" s="13">
        <f>IF(O278="Guaraníes",P278,P278*#REF!)</f>
        <v>11095890</v>
      </c>
      <c r="R278" s="12" t="e">
        <f>IF(O278="Guaraníes",P278/#REF!,P278)</f>
        <v>#REF!</v>
      </c>
      <c r="S278" s="5" t="s">
        <v>42</v>
      </c>
      <c r="AC278" s="5" t="str">
        <f t="shared" si="16"/>
        <v>CDA</v>
      </c>
      <c r="AD278" s="5" t="s">
        <v>43</v>
      </c>
      <c r="AE278" s="5">
        <f t="shared" si="14"/>
        <v>4</v>
      </c>
      <c r="AF278" s="5">
        <f t="shared" si="15"/>
        <v>2025</v>
      </c>
    </row>
    <row r="279" s="5" customFormat="1" ht="13">
      <c r="A279" s="5">
        <v>12315</v>
      </c>
      <c r="B279" s="5" t="s">
        <v>73</v>
      </c>
      <c r="C279" s="5" t="s">
        <v>85</v>
      </c>
      <c r="D279" s="5" t="s">
        <v>21</v>
      </c>
      <c r="E279" s="5" t="s">
        <v>34</v>
      </c>
      <c r="F279" s="5" t="s">
        <v>68</v>
      </c>
      <c r="G279" s="5" t="s">
        <v>86</v>
      </c>
      <c r="H279" s="9" t="s">
        <v>87</v>
      </c>
      <c r="I279" s="10"/>
      <c r="J279" s="10">
        <v>45764</v>
      </c>
      <c r="K279" s="5" t="s">
        <v>39</v>
      </c>
      <c r="L279" s="5" t="s">
        <v>58</v>
      </c>
      <c r="M279" s="11">
        <v>0.059999999999999998</v>
      </c>
      <c r="N279" s="5" t="e">
        <f>IF(AND(M279&gt;#REF!,Cartera!O264="Guaraníes"),"Rendimiento significativo",IF(AND(M279&gt;#REF!,Cartera!O264="Dólares americanos"),"Rendimiento significativo","Rendimiento no significativo"))</f>
        <v>#REF!</v>
      </c>
      <c r="O279" s="5" t="s">
        <v>51</v>
      </c>
      <c r="P279" s="13">
        <v>747.9452</v>
      </c>
      <c r="Q279" s="12" t="e">
        <f>IF(O279="Guaraníes",P279,P279*#REF!)</f>
        <v>#REF!</v>
      </c>
      <c r="R279" s="12">
        <f>IF(O279="Guaraníes",P279/#REF!,P279)</f>
        <v>747.9452</v>
      </c>
      <c r="S279" s="5" t="s">
        <v>42</v>
      </c>
      <c r="T279" s="5">
        <v>10834</v>
      </c>
      <c r="W279" s="5" t="s">
        <v>216</v>
      </c>
      <c r="X279" s="5">
        <v>0</v>
      </c>
      <c r="Y279" s="5">
        <v>0</v>
      </c>
      <c r="Z279" s="5">
        <v>14.958904</v>
      </c>
      <c r="AA279" s="5">
        <v>50</v>
      </c>
      <c r="AB279" s="5">
        <v>747.9452</v>
      </c>
      <c r="AC279" s="5" t="str">
        <f t="shared" si="16"/>
        <v>Bonos</v>
      </c>
      <c r="AD279" s="5" t="s">
        <v>43</v>
      </c>
      <c r="AE279" s="5">
        <f t="shared" si="14"/>
        <v>4</v>
      </c>
      <c r="AF279" s="5">
        <f t="shared" si="15"/>
        <v>2025</v>
      </c>
    </row>
    <row r="280" s="5" customFormat="1" ht="13">
      <c r="A280" s="5">
        <v>12315</v>
      </c>
      <c r="B280" s="5" t="s">
        <v>73</v>
      </c>
      <c r="C280" s="5" t="s">
        <v>89</v>
      </c>
      <c r="D280" s="5" t="s">
        <v>21</v>
      </c>
      <c r="E280" s="5" t="s">
        <v>34</v>
      </c>
      <c r="F280" s="5" t="s">
        <v>90</v>
      </c>
      <c r="G280" s="5" t="s">
        <v>91</v>
      </c>
      <c r="H280" s="9" t="s">
        <v>92</v>
      </c>
      <c r="I280" s="10"/>
      <c r="J280" s="10">
        <v>45764</v>
      </c>
      <c r="K280" s="5" t="s">
        <v>93</v>
      </c>
      <c r="L280" s="5" t="s">
        <v>58</v>
      </c>
      <c r="M280" s="11">
        <v>0.080000000000000002</v>
      </c>
      <c r="N280" s="5" t="e">
        <f>IF(AND(M280&gt;#REF!,Cartera!O1870="Guaraníes"),"Rendimiento significativo",IF(AND(M280&gt;#REF!,Cartera!O1870="Dólares americanos"),"Rendimiento significativo","Rendimiento no significativo"))</f>
        <v>#REF!</v>
      </c>
      <c r="O280" s="5" t="s">
        <v>51</v>
      </c>
      <c r="P280" s="13">
        <v>299.17807500000004</v>
      </c>
      <c r="Q280" s="12" t="e">
        <f>IF(O280="Guaraníes",P280,P280*#REF!)</f>
        <v>#REF!</v>
      </c>
      <c r="R280" s="12">
        <f>IF(O280="Guaraníes",P280/#REF!,P280)</f>
        <v>299.17807500000004</v>
      </c>
      <c r="S280" s="5" t="s">
        <v>42</v>
      </c>
      <c r="T280" s="5">
        <v>3253</v>
      </c>
      <c r="W280" s="5" t="s">
        <v>65</v>
      </c>
      <c r="X280" s="5">
        <v>0</v>
      </c>
      <c r="Y280" s="5">
        <v>0</v>
      </c>
      <c r="Z280" s="5">
        <v>19.945205000000001</v>
      </c>
      <c r="AA280" s="5">
        <v>15</v>
      </c>
      <c r="AB280" s="5">
        <v>299.17807499999998</v>
      </c>
      <c r="AC280" s="5" t="str">
        <f t="shared" si="16"/>
        <v>Bonos</v>
      </c>
      <c r="AD280" s="5" t="s">
        <v>43</v>
      </c>
      <c r="AE280" s="5">
        <f t="shared" si="14"/>
        <v>4</v>
      </c>
      <c r="AF280" s="5">
        <f t="shared" si="15"/>
        <v>2025</v>
      </c>
    </row>
    <row r="281" s="5" customFormat="1" ht="13">
      <c r="A281" s="5">
        <v>12316</v>
      </c>
      <c r="B281" s="5" t="s">
        <v>78</v>
      </c>
      <c r="C281" s="5" t="s">
        <v>94</v>
      </c>
      <c r="D281" s="5" t="s">
        <v>21</v>
      </c>
      <c r="E281" s="5" t="s">
        <v>34</v>
      </c>
      <c r="F281" s="5" t="s">
        <v>68</v>
      </c>
      <c r="H281" s="9" t="s">
        <v>95</v>
      </c>
      <c r="I281" s="10">
        <v>45404</v>
      </c>
      <c r="J281" s="10">
        <v>45764</v>
      </c>
      <c r="K281" s="5" t="s">
        <v>96</v>
      </c>
      <c r="L281" s="5" t="s">
        <v>82</v>
      </c>
      <c r="M281" s="11">
        <v>0.085000000000000006</v>
      </c>
      <c r="N281" s="5" t="e">
        <f>IF(AND(M281&gt;#REF!,Cartera!O3589="Guaraníes"),"Rendimiento significativo",IF(AND(M281&gt;#REF!,Cartera!O3589="Dólares americanos"),"Rendimiento significativo","Rendimiento no significativo"))</f>
        <v>#REF!</v>
      </c>
      <c r="O281" s="5" t="s">
        <v>41</v>
      </c>
      <c r="P281" s="12">
        <v>4191781</v>
      </c>
      <c r="Q281" s="12">
        <f>IF(O281="Guaraníes",P281,P281*#REF!)</f>
        <v>4191781</v>
      </c>
      <c r="R281" s="12" t="e">
        <f>IF(O281="Guaraníes",P281/#REF!,P281)</f>
        <v>#REF!</v>
      </c>
      <c r="S281" s="5" t="s">
        <v>42</v>
      </c>
      <c r="AC281" s="5" t="str">
        <f t="shared" si="16"/>
        <v>CDA</v>
      </c>
      <c r="AD281" s="5" t="s">
        <v>43</v>
      </c>
      <c r="AE281" s="5">
        <f t="shared" si="14"/>
        <v>4</v>
      </c>
      <c r="AF281" s="5">
        <f t="shared" si="15"/>
        <v>2025</v>
      </c>
    </row>
    <row r="282" s="5" customFormat="1" ht="13">
      <c r="A282" s="5">
        <v>12315</v>
      </c>
      <c r="B282" s="5" t="s">
        <v>73</v>
      </c>
      <c r="C282" s="5" t="s">
        <v>45</v>
      </c>
      <c r="D282" s="5" t="s">
        <v>21</v>
      </c>
      <c r="E282" s="5" t="s">
        <v>34</v>
      </c>
      <c r="F282" s="5" t="s">
        <v>46</v>
      </c>
      <c r="G282" s="5" t="s">
        <v>86</v>
      </c>
      <c r="H282" s="9" t="s">
        <v>48</v>
      </c>
      <c r="I282" s="10"/>
      <c r="J282" s="10">
        <v>45768</v>
      </c>
      <c r="K282" s="5" t="s">
        <v>49</v>
      </c>
      <c r="L282" s="5" t="s">
        <v>50</v>
      </c>
      <c r="M282" s="11">
        <v>0.070000000000000007</v>
      </c>
      <c r="N282" s="5" t="e">
        <f>IF(AND(M282&gt;#REF!,Cartera!O1989="Guaraníes"),"Rendimiento significativo",IF(AND(M282&gt;#REF!,Cartera!O1989="Dólares americanos"),"Rendimiento significativo","Rendimiento no significativo"))</f>
        <v>#REF!</v>
      </c>
      <c r="O282" s="5" t="s">
        <v>51</v>
      </c>
      <c r="P282" s="13">
        <v>872.60275000000001</v>
      </c>
      <c r="Q282" s="13" t="e">
        <f>IF(O282="Guaraníes",P282,P282*#REF!)</f>
        <v>#REF!</v>
      </c>
      <c r="R282" s="12">
        <f>IF(O282="Guaraníes",P282/#REF!,P282)</f>
        <v>872.60275000000001</v>
      </c>
      <c r="S282" s="5" t="s">
        <v>42</v>
      </c>
      <c r="T282" s="5">
        <v>10834</v>
      </c>
      <c r="W282" s="5" t="s">
        <v>65</v>
      </c>
      <c r="X282" s="5">
        <v>0</v>
      </c>
      <c r="Y282" s="5">
        <v>0</v>
      </c>
      <c r="Z282" s="5">
        <v>17.452055000000001</v>
      </c>
      <c r="AA282" s="5">
        <v>50</v>
      </c>
      <c r="AB282" s="5">
        <v>872.60275000000001</v>
      </c>
      <c r="AC282" s="5" t="str">
        <f t="shared" si="16"/>
        <v>Bonos</v>
      </c>
      <c r="AD282" s="5" t="s">
        <v>43</v>
      </c>
      <c r="AE282" s="5">
        <f t="shared" si="14"/>
        <v>4</v>
      </c>
      <c r="AF282" s="5">
        <f t="shared" si="15"/>
        <v>2025</v>
      </c>
    </row>
    <row r="283" s="5" customFormat="1" ht="13">
      <c r="A283" s="5">
        <v>12315</v>
      </c>
      <c r="B283" s="5" t="s">
        <v>73</v>
      </c>
      <c r="C283" s="5" t="s">
        <v>45</v>
      </c>
      <c r="D283" s="5" t="s">
        <v>21</v>
      </c>
      <c r="E283" s="5" t="s">
        <v>34</v>
      </c>
      <c r="F283" s="5" t="s">
        <v>46</v>
      </c>
      <c r="G283" s="5" t="s">
        <v>47</v>
      </c>
      <c r="H283" s="9" t="s">
        <v>48</v>
      </c>
      <c r="I283" s="10"/>
      <c r="J283" s="10">
        <v>45768</v>
      </c>
      <c r="K283" s="5" t="s">
        <v>49</v>
      </c>
      <c r="L283" s="5" t="s">
        <v>50</v>
      </c>
      <c r="M283" s="11">
        <v>0.052499999999999998</v>
      </c>
      <c r="N283" s="5" t="e">
        <f>IF(AND(M283&gt;#REF!,Cartera!O3112="Guaraníes"),"Rendimiento significativo",IF(AND(M283&gt;#REF!,Cartera!O3112="Dólares americanos"),"Rendimiento significativo","Rendimiento no significativo"))</f>
        <v>#REF!</v>
      </c>
      <c r="O283" s="5" t="s">
        <v>51</v>
      </c>
      <c r="P283" s="13">
        <v>174.52000000000001</v>
      </c>
      <c r="Q283" s="13" t="e">
        <f>IF(O283="Guaraníes",P283,P283*#REF!)</f>
        <v>#REF!</v>
      </c>
      <c r="R283" s="12">
        <f>IF(O283="Guaraníes",P283/#REF!,P283)</f>
        <v>174.52000000000001</v>
      </c>
      <c r="S283" s="5" t="s">
        <v>42</v>
      </c>
      <c r="T283" s="5">
        <v>4</v>
      </c>
      <c r="AC283" s="5" t="str">
        <f t="shared" si="16"/>
        <v>Bonos</v>
      </c>
      <c r="AD283" s="5" t="s">
        <v>43</v>
      </c>
      <c r="AE283" s="5">
        <f t="shared" si="14"/>
        <v>4</v>
      </c>
      <c r="AF283" s="5">
        <f t="shared" si="15"/>
        <v>2025</v>
      </c>
    </row>
    <row r="284" s="5" customFormat="1" ht="13">
      <c r="A284" s="5">
        <v>12315</v>
      </c>
      <c r="B284" s="5" t="s">
        <v>73</v>
      </c>
      <c r="C284" s="5" t="s">
        <v>111</v>
      </c>
      <c r="D284" s="5" t="s">
        <v>21</v>
      </c>
      <c r="E284" s="5" t="s">
        <v>34</v>
      </c>
      <c r="F284" s="5" t="s">
        <v>68</v>
      </c>
      <c r="H284" s="9"/>
      <c r="I284" s="10">
        <v>45497</v>
      </c>
      <c r="J284" s="10">
        <v>45768</v>
      </c>
      <c r="L284" s="5" t="s">
        <v>82</v>
      </c>
      <c r="M284" s="11">
        <v>0.058000000000000003</v>
      </c>
      <c r="N284" s="5"/>
      <c r="O284" s="5" t="s">
        <v>51</v>
      </c>
      <c r="P284" s="18">
        <v>289.20999999999998</v>
      </c>
      <c r="Q284" s="12" t="e">
        <f>IF(O284="Guaraníes",P284,P284*#REF!)</f>
        <v>#REF!</v>
      </c>
      <c r="R284" s="12">
        <f>IF(O284="Guaraníes",P284/#REF!,P284)</f>
        <v>289.20999999999998</v>
      </c>
      <c r="S284" s="5" t="s">
        <v>42</v>
      </c>
      <c r="AC284" s="5" t="str">
        <f t="shared" si="16"/>
        <v>CDA</v>
      </c>
      <c r="AD284" s="5" t="s">
        <v>43</v>
      </c>
      <c r="AE284" s="5">
        <f t="shared" si="14"/>
        <v>4</v>
      </c>
      <c r="AF284" s="5">
        <f t="shared" si="15"/>
        <v>2025</v>
      </c>
    </row>
    <row r="285" s="5" customFormat="1" ht="13">
      <c r="A285" s="5">
        <v>12316</v>
      </c>
      <c r="B285" s="5" t="s">
        <v>78</v>
      </c>
      <c r="C285" s="5" t="s">
        <v>111</v>
      </c>
      <c r="D285" s="5" t="s">
        <v>21</v>
      </c>
      <c r="E285" s="5" t="s">
        <v>34</v>
      </c>
      <c r="F285" s="12" t="s">
        <v>68</v>
      </c>
      <c r="G285" s="12"/>
      <c r="H285" s="19"/>
      <c r="I285" s="10">
        <v>45497</v>
      </c>
      <c r="J285" s="10">
        <v>45768</v>
      </c>
      <c r="K285" s="12"/>
      <c r="L285" s="5" t="s">
        <v>82</v>
      </c>
      <c r="M285" s="11">
        <v>0.073999999999999996</v>
      </c>
      <c r="N285" s="5"/>
      <c r="O285" s="5" t="s">
        <v>41</v>
      </c>
      <c r="P285" s="15">
        <v>3228630</v>
      </c>
      <c r="Q285" s="12">
        <f>IF(O285="Guaraníes",P285,P285*#REF!)</f>
        <v>3228630</v>
      </c>
      <c r="R285" s="12" t="e">
        <f>IF(O285="Guaraníes",P285/#REF!,P285)</f>
        <v>#REF!</v>
      </c>
      <c r="S285" s="5" t="s">
        <v>42</v>
      </c>
      <c r="AC285" s="5" t="str">
        <f t="shared" si="16"/>
        <v>CDA</v>
      </c>
      <c r="AD285" s="5" t="s">
        <v>43</v>
      </c>
      <c r="AE285" s="5">
        <f t="shared" si="14"/>
        <v>4</v>
      </c>
      <c r="AF285" s="5">
        <f t="shared" si="15"/>
        <v>2025</v>
      </c>
    </row>
    <row r="286" s="5" customFormat="1" ht="13">
      <c r="A286" s="5">
        <v>12315</v>
      </c>
      <c r="B286" s="5" t="s">
        <v>73</v>
      </c>
      <c r="C286" s="5" t="s">
        <v>89</v>
      </c>
      <c r="D286" s="5" t="s">
        <v>21</v>
      </c>
      <c r="E286" s="5" t="s">
        <v>34</v>
      </c>
      <c r="F286" s="5" t="s">
        <v>68</v>
      </c>
      <c r="G286" s="5" t="s">
        <v>112</v>
      </c>
      <c r="H286" s="9" t="s">
        <v>113</v>
      </c>
      <c r="I286" s="10"/>
      <c r="J286" s="10">
        <v>45770</v>
      </c>
      <c r="K286" s="5" t="s">
        <v>64</v>
      </c>
      <c r="L286" s="5" t="s">
        <v>58</v>
      </c>
      <c r="M286" s="11">
        <v>0.085000000000000006</v>
      </c>
      <c r="N286" s="5" t="e">
        <f>IF(AND(M286&gt;#REF!,Cartera!O1211="Guaraníes"),"Rendimiento significativo",IF(AND(M286&gt;#REF!,Cartera!O1211="Dólares americanos"),"Rendimiento significativo","Rendimiento no significativo"))</f>
        <v>#REF!</v>
      </c>
      <c r="O286" s="5" t="s">
        <v>51</v>
      </c>
      <c r="P286" s="13">
        <v>423.83561999999995</v>
      </c>
      <c r="Q286" s="12" t="e">
        <f>IF(O286="Guaraníes",P286,P286*#REF!)</f>
        <v>#REF!</v>
      </c>
      <c r="R286" s="12">
        <f>IF(O286="Guaraníes",P286/#REF!,P286)</f>
        <v>423.83561999999995</v>
      </c>
      <c r="S286" s="5" t="s">
        <v>42</v>
      </c>
      <c r="T286" s="5">
        <v>2475</v>
      </c>
      <c r="W286" s="5" t="s">
        <v>65</v>
      </c>
      <c r="X286" s="5">
        <v>0</v>
      </c>
      <c r="Y286" s="5">
        <v>0</v>
      </c>
      <c r="Z286" s="5">
        <v>21.191780999999999</v>
      </c>
      <c r="AA286" s="5">
        <v>20</v>
      </c>
      <c r="AB286" s="5">
        <v>423.83562000000001</v>
      </c>
      <c r="AC286" s="5" t="str">
        <f t="shared" si="16"/>
        <v>Bonos</v>
      </c>
      <c r="AD286" s="5" t="s">
        <v>43</v>
      </c>
      <c r="AE286" s="5">
        <f t="shared" si="14"/>
        <v>4</v>
      </c>
      <c r="AF286" s="5">
        <f t="shared" si="15"/>
        <v>2025</v>
      </c>
    </row>
    <row r="287" s="5" customFormat="1" ht="13">
      <c r="A287" s="5">
        <v>12315</v>
      </c>
      <c r="B287" s="5" t="s">
        <v>73</v>
      </c>
      <c r="C287" s="5" t="s">
        <v>122</v>
      </c>
      <c r="D287" s="5" t="s">
        <v>21</v>
      </c>
      <c r="E287" s="5" t="s">
        <v>34</v>
      </c>
      <c r="F287" s="5" t="s">
        <v>61</v>
      </c>
      <c r="G287" s="5" t="s">
        <v>91</v>
      </c>
      <c r="H287" s="9" t="s">
        <v>132</v>
      </c>
      <c r="I287" s="10"/>
      <c r="J287" s="10">
        <v>45770</v>
      </c>
      <c r="K287" s="5" t="s">
        <v>124</v>
      </c>
      <c r="L287" s="5" t="s">
        <v>50</v>
      </c>
      <c r="M287" s="11">
        <v>0.059999999999999998</v>
      </c>
      <c r="N287" s="5" t="e">
        <f>IF(AND(M287&gt;#REF!,Cartera!O1871="Guaraníes"),"Rendimiento significativo",IF(AND(M287&gt;#REF!,Cartera!O1871="Dólares americanos"),"Rendimiento significativo","Rendimiento no significativo"))</f>
        <v>#REF!</v>
      </c>
      <c r="O287" s="5" t="s">
        <v>51</v>
      </c>
      <c r="P287" s="13">
        <v>299.17808000000002</v>
      </c>
      <c r="Q287" s="12" t="e">
        <f>IF(O287="Guaraníes",P287,P287*#REF!)</f>
        <v>#REF!</v>
      </c>
      <c r="R287" s="12">
        <v>2000</v>
      </c>
      <c r="S287" s="5" t="s">
        <v>42</v>
      </c>
      <c r="T287" s="5">
        <v>3253</v>
      </c>
      <c r="W287" s="5" t="s">
        <v>65</v>
      </c>
      <c r="X287" s="5">
        <v>0</v>
      </c>
      <c r="Y287" s="5">
        <v>0</v>
      </c>
      <c r="Z287" s="5">
        <v>29.917808000000001</v>
      </c>
      <c r="AA287" s="5">
        <v>10</v>
      </c>
      <c r="AB287" s="5">
        <v>299.17808000000002</v>
      </c>
      <c r="AC287" s="5" t="str">
        <f t="shared" si="16"/>
        <v>Bonos</v>
      </c>
      <c r="AD287" s="5" t="s">
        <v>43</v>
      </c>
      <c r="AE287" s="5">
        <f t="shared" ref="AE287:AE350" si="17">IFERROR((MONTH(J287)),0)</f>
        <v>4</v>
      </c>
      <c r="AF287" s="5">
        <f t="shared" ref="AF287:AF350" si="18">IFERROR((YEAR(J287)),0)</f>
        <v>2025</v>
      </c>
    </row>
    <row r="288" s="5" customFormat="1" ht="13">
      <c r="A288" s="5">
        <v>12316</v>
      </c>
      <c r="B288" s="5" t="s">
        <v>78</v>
      </c>
      <c r="C288" s="5" t="s">
        <v>99</v>
      </c>
      <c r="D288" s="5" t="s">
        <v>21</v>
      </c>
      <c r="E288" s="5" t="s">
        <v>34</v>
      </c>
      <c r="F288" s="5" t="s">
        <v>100</v>
      </c>
      <c r="G288" s="5" t="s">
        <v>75</v>
      </c>
      <c r="H288" s="9" t="s">
        <v>217</v>
      </c>
      <c r="I288" s="10"/>
      <c r="J288" s="10">
        <v>45771</v>
      </c>
      <c r="K288" s="5" t="s">
        <v>102</v>
      </c>
      <c r="L288" s="5" t="s">
        <v>102</v>
      </c>
      <c r="M288" s="11">
        <v>0.080000000000000002</v>
      </c>
      <c r="N288" s="5" t="e">
        <f>IF(AND(M288&gt;#REF!,Cartera!O908="Guaraníes"),"Rendimiento significativo",IF(AND(M288&gt;#REF!,Cartera!O908="Dólares americanos"),"Rendimiento significativo","Rendimiento no significativo"))</f>
        <v>#REF!</v>
      </c>
      <c r="O288" s="5" t="s">
        <v>41</v>
      </c>
      <c r="P288" s="12">
        <v>5767000</v>
      </c>
      <c r="Q288" s="12">
        <f>IF(O288="Guaraníes",P288,P288*#REF!)</f>
        <v>5767000</v>
      </c>
      <c r="R288" s="12" t="e">
        <f>IF(O288="Guaraníes",P288/#REF!,P288)</f>
        <v>#REF!</v>
      </c>
      <c r="S288" s="5" t="s">
        <v>42</v>
      </c>
      <c r="T288" s="5">
        <v>25</v>
      </c>
      <c r="W288" s="5" t="s">
        <v>218</v>
      </c>
      <c r="X288" s="5">
        <v>0</v>
      </c>
      <c r="Y288" s="5">
        <v>0</v>
      </c>
      <c r="Z288" s="5">
        <v>39500</v>
      </c>
      <c r="AA288" s="5">
        <v>146</v>
      </c>
      <c r="AB288" s="5">
        <v>5767000</v>
      </c>
      <c r="AC288" s="5" t="str">
        <f t="shared" si="16"/>
        <v>Bonos</v>
      </c>
      <c r="AD288" s="5" t="s">
        <v>43</v>
      </c>
      <c r="AE288" s="5">
        <f t="shared" si="17"/>
        <v>4</v>
      </c>
      <c r="AF288" s="5">
        <f t="shared" si="18"/>
        <v>2025</v>
      </c>
    </row>
    <row r="289" s="5" customFormat="1" ht="13">
      <c r="A289" s="5">
        <v>12316</v>
      </c>
      <c r="B289" s="5" t="s">
        <v>78</v>
      </c>
      <c r="C289" s="5" t="s">
        <v>114</v>
      </c>
      <c r="D289" s="5" t="s">
        <v>21</v>
      </c>
      <c r="E289" s="5" t="s">
        <v>34</v>
      </c>
      <c r="F289" s="5" t="s">
        <v>68</v>
      </c>
      <c r="G289" s="5" t="s">
        <v>75</v>
      </c>
      <c r="H289" s="9" t="s">
        <v>115</v>
      </c>
      <c r="I289" s="10"/>
      <c r="J289" s="10">
        <v>45771</v>
      </c>
      <c r="K289" s="5" t="s">
        <v>77</v>
      </c>
      <c r="L289" s="5" t="s">
        <v>50</v>
      </c>
      <c r="M289" s="11">
        <v>0.125</v>
      </c>
      <c r="N289" s="5" t="e">
        <f>IF(AND(M289&gt;#REF!,Cartera!O910="Guaraníes"),"Rendimiento significativo",IF(AND(M289&gt;#REF!,Cartera!O910="Dólares americanos"),"Rendimiento significativo","Rendimiento no significativo"))</f>
        <v>#REF!</v>
      </c>
      <c r="O289" s="5" t="s">
        <v>41</v>
      </c>
      <c r="P289" s="12">
        <v>897534.25</v>
      </c>
      <c r="Q289" s="12">
        <f>IF(O289="Guaraníes",P289,P289*#REF!)</f>
        <v>897534.25</v>
      </c>
      <c r="R289" s="12" t="e">
        <f>IF(O289="Guaraníes",P289/#REF!,P289)</f>
        <v>#REF!</v>
      </c>
      <c r="S289" s="5" t="s">
        <v>42</v>
      </c>
      <c r="T289" s="5">
        <v>25</v>
      </c>
      <c r="U289" s="5">
        <v>30000000</v>
      </c>
      <c r="V289" s="5">
        <v>91620107.482969999</v>
      </c>
      <c r="W289" s="5" t="s">
        <v>65</v>
      </c>
      <c r="X289" s="5">
        <v>100</v>
      </c>
      <c r="Y289" s="5">
        <v>1000000</v>
      </c>
      <c r="Z289" s="5">
        <v>1029917.808219</v>
      </c>
      <c r="AA289" s="5">
        <v>30</v>
      </c>
      <c r="AB289" s="5">
        <v>30897534.246569999</v>
      </c>
      <c r="AC289" s="5" t="str">
        <f t="shared" si="16"/>
        <v>Bonos</v>
      </c>
      <c r="AD289" s="5" t="s">
        <v>43</v>
      </c>
      <c r="AE289" s="5">
        <f t="shared" si="17"/>
        <v>4</v>
      </c>
      <c r="AF289" s="5">
        <f t="shared" si="18"/>
        <v>2025</v>
      </c>
    </row>
    <row r="290" s="5" customFormat="1" ht="13">
      <c r="A290" s="5">
        <v>12315</v>
      </c>
      <c r="B290" s="5" t="s">
        <v>73</v>
      </c>
      <c r="C290" s="5" t="s">
        <v>116</v>
      </c>
      <c r="D290" s="5" t="s">
        <v>21</v>
      </c>
      <c r="E290" s="5" t="s">
        <v>34</v>
      </c>
      <c r="F290" s="5" t="s">
        <v>68</v>
      </c>
      <c r="H290" s="9" t="s">
        <v>117</v>
      </c>
      <c r="I290" s="10">
        <v>45321</v>
      </c>
      <c r="J290" s="10">
        <v>45771</v>
      </c>
      <c r="K290" s="5" t="s">
        <v>118</v>
      </c>
      <c r="L290" s="5" t="s">
        <v>82</v>
      </c>
      <c r="M290" s="11">
        <v>0.055</v>
      </c>
      <c r="N290" s="5" t="e">
        <f>IF(AND(M290&gt;#REF!,Cartera!O3536="Guaraníes"),"Rendimiento significativo",IF(AND(M290&gt;#REF!,Cartera!O3536="Dólares americanos"),"Rendimiento significativo","Rendimiento no significativo"))</f>
        <v>#REF!</v>
      </c>
      <c r="O290" s="5" t="s">
        <v>51</v>
      </c>
      <c r="P290" s="13">
        <v>542.47000000000003</v>
      </c>
      <c r="Q290" s="12" t="e">
        <f>IF(O290="Guaraníes",P290,P290*#REF!)</f>
        <v>#REF!</v>
      </c>
      <c r="R290" s="12">
        <f>IF(O290="Guaraníes",P290/#REF!,P290)</f>
        <v>542.47000000000003</v>
      </c>
      <c r="S290" s="5" t="s">
        <v>42</v>
      </c>
      <c r="AC290" s="5" t="str">
        <f t="shared" si="16"/>
        <v>CDA</v>
      </c>
      <c r="AD290" s="5" t="s">
        <v>43</v>
      </c>
      <c r="AE290" s="5">
        <f t="shared" si="17"/>
        <v>4</v>
      </c>
      <c r="AF290" s="5">
        <f t="shared" si="18"/>
        <v>2025</v>
      </c>
    </row>
    <row r="291" s="5" customFormat="1" ht="13">
      <c r="A291" s="5">
        <v>12301</v>
      </c>
      <c r="B291" s="5" t="s">
        <v>107</v>
      </c>
      <c r="C291" s="5" t="s">
        <v>54</v>
      </c>
      <c r="D291" s="5" t="s">
        <v>20</v>
      </c>
      <c r="E291" s="5" t="s">
        <v>34</v>
      </c>
      <c r="F291" s="5" t="s">
        <v>46</v>
      </c>
      <c r="G291" s="5" t="s">
        <v>86</v>
      </c>
      <c r="H291" s="9" t="s">
        <v>147</v>
      </c>
      <c r="I291" s="10">
        <v>44056</v>
      </c>
      <c r="J291" s="10">
        <v>47560</v>
      </c>
      <c r="K291" s="5" t="s">
        <v>57</v>
      </c>
      <c r="L291" s="5" t="s">
        <v>58</v>
      </c>
      <c r="M291" s="11">
        <v>0.12</v>
      </c>
      <c r="N291" s="5" t="e">
        <f>IF(AND(M291&gt;#REF!,Cartera!O291="Guaraníes"),"Rendimiento significativo",IF(AND(M291&gt;#REF!,Cartera!O291="Dólares americanos"),"Rendimiento significativo","Rendimiento no significativo"))</f>
        <v>#REF!</v>
      </c>
      <c r="O291" s="5" t="s">
        <v>41</v>
      </c>
      <c r="P291" s="12">
        <v>100000000</v>
      </c>
      <c r="Q291" s="12">
        <f>IF(O291="Guaraníes",P291,P291*#REF!)</f>
        <v>100000000</v>
      </c>
      <c r="R291" s="12" t="e">
        <f>IF(O291="Guaraníes",P291/#REF!,P291)</f>
        <v>#REF!</v>
      </c>
      <c r="S291" s="5" t="s">
        <v>42</v>
      </c>
      <c r="T291" s="5">
        <v>10834</v>
      </c>
      <c r="AC291" s="5" t="str">
        <f t="shared" si="16"/>
        <v>Bonos</v>
      </c>
      <c r="AD291" s="5" t="s">
        <v>43</v>
      </c>
      <c r="AE291" s="5">
        <f t="shared" si="17"/>
        <v>3</v>
      </c>
      <c r="AF291" s="5">
        <f t="shared" si="18"/>
        <v>2030</v>
      </c>
    </row>
    <row r="292" s="5" customFormat="1" ht="13">
      <c r="A292" s="5">
        <v>12316</v>
      </c>
      <c r="B292" s="5" t="s">
        <v>78</v>
      </c>
      <c r="C292" s="5" t="s">
        <v>79</v>
      </c>
      <c r="D292" s="5" t="s">
        <v>21</v>
      </c>
      <c r="E292" s="5" t="s">
        <v>34</v>
      </c>
      <c r="F292" s="12" t="s">
        <v>68</v>
      </c>
      <c r="G292" s="12"/>
      <c r="H292" s="9" t="s">
        <v>119</v>
      </c>
      <c r="I292" s="10">
        <v>45497</v>
      </c>
      <c r="J292" s="10">
        <v>45771</v>
      </c>
      <c r="K292" s="12"/>
      <c r="L292" s="5" t="s">
        <v>82</v>
      </c>
      <c r="M292" s="11">
        <v>0.083500000000000005</v>
      </c>
      <c r="N292" s="5"/>
      <c r="O292" s="5" t="s">
        <v>41</v>
      </c>
      <c r="P292" s="12">
        <v>3151267</v>
      </c>
      <c r="Q292" s="12">
        <f>IF(O292="Guaraníes",P292,P292*#REF!)</f>
        <v>3151267</v>
      </c>
      <c r="R292" s="13" t="e">
        <f>IF(O292="Guaraníes",P292/#REF!,P292)</f>
        <v>#REF!</v>
      </c>
      <c r="S292" s="5" t="s">
        <v>120</v>
      </c>
      <c r="AC292" s="5" t="str">
        <f t="shared" si="16"/>
        <v>CDA</v>
      </c>
      <c r="AD292" s="5" t="s">
        <v>43</v>
      </c>
      <c r="AE292" s="5">
        <f t="shared" si="17"/>
        <v>4</v>
      </c>
      <c r="AF292" s="5">
        <f t="shared" si="18"/>
        <v>2025</v>
      </c>
    </row>
    <row r="293" s="5" customFormat="1" ht="13">
      <c r="A293" s="5">
        <v>12315</v>
      </c>
      <c r="B293" s="5" t="s">
        <v>73</v>
      </c>
      <c r="C293" s="5" t="s">
        <v>79</v>
      </c>
      <c r="D293" s="5" t="s">
        <v>21</v>
      </c>
      <c r="E293" s="5" t="s">
        <v>34</v>
      </c>
      <c r="F293" s="12" t="s">
        <v>68</v>
      </c>
      <c r="G293" s="12"/>
      <c r="H293" s="9" t="s">
        <v>121</v>
      </c>
      <c r="I293" s="10">
        <v>45497</v>
      </c>
      <c r="J293" s="10">
        <v>45771</v>
      </c>
      <c r="L293" s="5" t="s">
        <v>82</v>
      </c>
      <c r="M293" s="11">
        <v>0.042000000000000003</v>
      </c>
      <c r="N293" s="5"/>
      <c r="O293" s="5" t="s">
        <v>51</v>
      </c>
      <c r="P293" s="13">
        <v>211</v>
      </c>
      <c r="Q293" s="12" t="e">
        <f>IF(O293="Guaraníes",P293,P293*#REF!)</f>
        <v>#REF!</v>
      </c>
      <c r="R293" s="13">
        <f>IF(O293="Guaraníes",P293/#REF!,P293)</f>
        <v>211</v>
      </c>
      <c r="S293" s="5" t="s">
        <v>120</v>
      </c>
      <c r="AC293" s="5" t="str">
        <f t="shared" si="16"/>
        <v>CDA</v>
      </c>
      <c r="AD293" s="5" t="s">
        <v>43</v>
      </c>
      <c r="AE293" s="5">
        <f t="shared" si="17"/>
        <v>4</v>
      </c>
      <c r="AF293" s="5">
        <f t="shared" si="18"/>
        <v>2025</v>
      </c>
    </row>
    <row r="294" s="5" customFormat="1" ht="13">
      <c r="A294" s="5">
        <v>12315</v>
      </c>
      <c r="B294" s="5" t="s">
        <v>73</v>
      </c>
      <c r="C294" s="5" t="s">
        <v>54</v>
      </c>
      <c r="D294" s="5" t="s">
        <v>21</v>
      </c>
      <c r="E294" s="5" t="s">
        <v>34</v>
      </c>
      <c r="F294" s="5" t="s">
        <v>46</v>
      </c>
      <c r="G294" s="5" t="s">
        <v>55</v>
      </c>
      <c r="H294" s="9" t="s">
        <v>56</v>
      </c>
      <c r="I294" s="10">
        <v>44680</v>
      </c>
      <c r="J294" s="10">
        <v>45772</v>
      </c>
      <c r="K294" s="5" t="s">
        <v>57</v>
      </c>
      <c r="L294" s="5" t="s">
        <v>58</v>
      </c>
      <c r="M294" s="11">
        <v>0.059999999999999998</v>
      </c>
      <c r="N294" s="5" t="e">
        <f>IF(AND(M294&gt;#REF!,Cartera!O15="Guaraníes"),"Rendimiento significativo",IF(AND(M294&gt;#REF!,Cartera!O15="Dólares americanos"),"Rendimiento significativo","Rendimiento no significativo"))</f>
        <v>#REF!</v>
      </c>
      <c r="O294" s="5" t="s">
        <v>51</v>
      </c>
      <c r="P294" s="13">
        <v>747.9452</v>
      </c>
      <c r="Q294" s="12" t="e">
        <f>IF(O294="Guaraníes",P294,P294*#REF!)</f>
        <v>#REF!</v>
      </c>
      <c r="R294" s="12">
        <f>IF(O294="Guaraníes",P294/#REF!,P294)</f>
        <v>747.9452</v>
      </c>
      <c r="S294" s="5" t="s">
        <v>42</v>
      </c>
      <c r="T294" s="5">
        <v>17035</v>
      </c>
      <c r="V294" s="5">
        <v>14.960000000000001</v>
      </c>
      <c r="AA294" s="5">
        <v>50</v>
      </c>
      <c r="AC294" s="5" t="str">
        <f t="shared" si="16"/>
        <v>Bonos</v>
      </c>
      <c r="AD294" s="5" t="s">
        <v>43</v>
      </c>
      <c r="AE294" s="5">
        <f t="shared" si="17"/>
        <v>4</v>
      </c>
      <c r="AF294" s="5">
        <f t="shared" si="18"/>
        <v>2025</v>
      </c>
    </row>
    <row r="295" s="5" customFormat="1" ht="13">
      <c r="A295" s="5">
        <v>12301</v>
      </c>
      <c r="B295" s="5" t="s">
        <v>107</v>
      </c>
      <c r="C295" s="5" t="s">
        <v>54</v>
      </c>
      <c r="D295" s="5" t="s">
        <v>20</v>
      </c>
      <c r="E295" s="5" t="s">
        <v>34</v>
      </c>
      <c r="F295" s="5" t="s">
        <v>46</v>
      </c>
      <c r="G295" s="5" t="s">
        <v>86</v>
      </c>
      <c r="H295" s="9" t="s">
        <v>148</v>
      </c>
      <c r="I295" s="10">
        <v>44182</v>
      </c>
      <c r="J295" s="10">
        <v>47833</v>
      </c>
      <c r="K295" s="5" t="s">
        <v>57</v>
      </c>
      <c r="L295" s="5" t="s">
        <v>58</v>
      </c>
      <c r="M295" s="11">
        <v>0.097500000000000003</v>
      </c>
      <c r="N295" s="5" t="e">
        <f>IF(AND(M295&gt;#REF!,Cartera!O295="Guaraníes"),"Rendimiento significativo",IF(AND(M295&gt;#REF!,Cartera!O295="Dólares americanos"),"Rendimiento significativo","Rendimiento no significativo"))</f>
        <v>#REF!</v>
      </c>
      <c r="O295" s="5" t="s">
        <v>41</v>
      </c>
      <c r="P295" s="12">
        <v>500000000</v>
      </c>
      <c r="Q295" s="12">
        <f>IF(O295="Guaraníes",P295,P295*#REF!)</f>
        <v>500000000</v>
      </c>
      <c r="R295" s="12" t="e">
        <f>IF(O295="Guaraníes",P295/#REF!,P295)</f>
        <v>#REF!</v>
      </c>
      <c r="S295" s="5" t="s">
        <v>42</v>
      </c>
      <c r="T295" s="5">
        <v>10834</v>
      </c>
      <c r="AC295" s="5" t="str">
        <f t="shared" si="16"/>
        <v>Bonos</v>
      </c>
      <c r="AD295" s="5" t="s">
        <v>43</v>
      </c>
      <c r="AE295" s="5">
        <f t="shared" si="17"/>
        <v>12</v>
      </c>
      <c r="AF295" s="5">
        <f t="shared" si="18"/>
        <v>2030</v>
      </c>
    </row>
    <row r="296" s="5" customFormat="1" ht="13">
      <c r="A296" s="5">
        <v>12316</v>
      </c>
      <c r="B296" s="5" t="s">
        <v>78</v>
      </c>
      <c r="C296" s="5" t="s">
        <v>138</v>
      </c>
      <c r="D296" s="5" t="s">
        <v>21</v>
      </c>
      <c r="E296" s="5" t="s">
        <v>34</v>
      </c>
      <c r="F296" s="5" t="s">
        <v>68</v>
      </c>
      <c r="G296" s="5" t="s">
        <v>86</v>
      </c>
      <c r="H296" s="9" t="s">
        <v>139</v>
      </c>
      <c r="I296" s="10">
        <v>43948</v>
      </c>
      <c r="J296" s="10">
        <v>45775</v>
      </c>
      <c r="K296" s="5" t="s">
        <v>140</v>
      </c>
      <c r="L296" s="5" t="s">
        <v>58</v>
      </c>
      <c r="M296" s="11">
        <v>0.11</v>
      </c>
      <c r="N296" s="5" t="e">
        <f>IF(AND(M296&gt;#REF!,Cartera!O3277="Guaraníes"),"Rendimiento significativo",IF(AND(M296&gt;#REF!,Cartera!O3277="Dólares americanos"),"Rendimiento significativo","Rendimiento no significativo"))</f>
        <v>#REF!</v>
      </c>
      <c r="O296" s="5" t="s">
        <v>41</v>
      </c>
      <c r="P296" s="12">
        <v>934246.57530000003</v>
      </c>
      <c r="Q296" s="13">
        <f>IF(O296="Guaraníes",P296,P296*#REF!)</f>
        <v>934246.57530000003</v>
      </c>
      <c r="R296" s="12" t="e">
        <f>IF(O296="Guaraníes",P296/#REF!,P296)</f>
        <v>#REF!</v>
      </c>
      <c r="S296" s="5" t="s">
        <v>42</v>
      </c>
      <c r="AC296" s="5" t="str">
        <f t="shared" si="16"/>
        <v>Bonos</v>
      </c>
      <c r="AD296" s="5" t="s">
        <v>43</v>
      </c>
      <c r="AE296" s="5">
        <f t="shared" si="17"/>
        <v>4</v>
      </c>
      <c r="AF296" s="5">
        <f t="shared" si="18"/>
        <v>2025</v>
      </c>
    </row>
    <row r="297" s="5" customFormat="1" ht="13">
      <c r="A297" s="5">
        <v>12315</v>
      </c>
      <c r="B297" s="5" t="s">
        <v>73</v>
      </c>
      <c r="C297" s="5" t="s">
        <v>33</v>
      </c>
      <c r="D297" s="5" t="s">
        <v>21</v>
      </c>
      <c r="E297" s="5" t="s">
        <v>34</v>
      </c>
      <c r="F297" s="5" t="s">
        <v>35</v>
      </c>
      <c r="G297" s="5" t="s">
        <v>141</v>
      </c>
      <c r="H297" s="9" t="s">
        <v>142</v>
      </c>
      <c r="I297" s="10">
        <v>44956</v>
      </c>
      <c r="J297" s="10">
        <v>45776</v>
      </c>
      <c r="K297" s="5" t="s">
        <v>39</v>
      </c>
      <c r="L297" s="5" t="s">
        <v>50</v>
      </c>
      <c r="M297" s="11">
        <v>0.065000000000000002</v>
      </c>
      <c r="N297" s="5" t="e">
        <f>IF(AND(M297&gt;#REF!,Cartera!O3065="Guaraníes"),"Rendimiento significativo",IF(AND(M297&gt;#REF!,Cartera!O3065="Dólares americanos"),"Rendimiento significativo","Rendimiento no significativo"))</f>
        <v>#REF!</v>
      </c>
      <c r="O297" s="5" t="s">
        <v>51</v>
      </c>
      <c r="P297" s="13">
        <v>1296.43832</v>
      </c>
      <c r="Q297" s="13" t="e">
        <f>IF(O297="Guaraníes",P297,P297*#REF!)</f>
        <v>#REF!</v>
      </c>
      <c r="R297" s="12">
        <f>IF(O297="Guaraníes",P297/#REF!,P297)</f>
        <v>1296.43832</v>
      </c>
      <c r="S297" s="5" t="s">
        <v>42</v>
      </c>
      <c r="AC297" s="5" t="str">
        <f t="shared" si="16"/>
        <v>Bonos</v>
      </c>
      <c r="AD297" s="5" t="s">
        <v>43</v>
      </c>
      <c r="AE297" s="5">
        <f t="shared" si="17"/>
        <v>4</v>
      </c>
      <c r="AF297" s="5">
        <f t="shared" si="18"/>
        <v>2025</v>
      </c>
    </row>
    <row r="298" s="5" customFormat="1" ht="13">
      <c r="A298" s="5">
        <v>12315</v>
      </c>
      <c r="B298" s="5" t="s">
        <v>73</v>
      </c>
      <c r="C298" s="5" t="s">
        <v>143</v>
      </c>
      <c r="D298" s="5" t="s">
        <v>21</v>
      </c>
      <c r="E298" s="5" t="s">
        <v>34</v>
      </c>
      <c r="F298" s="5" t="s">
        <v>144</v>
      </c>
      <c r="G298" s="5" t="s">
        <v>145</v>
      </c>
      <c r="H298" s="9" t="s">
        <v>146</v>
      </c>
      <c r="I298" s="10"/>
      <c r="J298" s="10">
        <v>45777</v>
      </c>
      <c r="K298" s="5" t="s">
        <v>49</v>
      </c>
      <c r="L298" s="5" t="s">
        <v>106</v>
      </c>
      <c r="M298" s="11">
        <v>0.060999999999999999</v>
      </c>
      <c r="N298" s="5" t="e">
        <f>IF(AND(M302&gt;'Dashboard Sin Cavapy'!$B$21,Cartera!#REF!="Guaraníes"),"Rendimiento significativo", IF(AND(M302&gt;'Dashboard Sin Cavapy'!$B$22,Cartera!#REF!="Dólares americanos"),"Rendimiento significativo","Rendimiento no significativo"))</f>
        <v>#NAME?</v>
      </c>
      <c r="O298" s="5" t="s">
        <v>51</v>
      </c>
      <c r="P298" s="13">
        <v>200.54795999999999</v>
      </c>
      <c r="Q298" s="12" t="e">
        <f>IF(O298="Guaraníes",P298,P298*#REF!)</f>
        <v>#REF!</v>
      </c>
      <c r="R298" s="12">
        <f>IF(O298="Guaraníes",P298/#REF!,P298)</f>
        <v>200.54795999999999</v>
      </c>
      <c r="S298" s="5" t="s">
        <v>42</v>
      </c>
      <c r="T298" s="5">
        <v>1057</v>
      </c>
      <c r="W298" s="5" t="s">
        <v>65</v>
      </c>
      <c r="X298" s="5">
        <v>0</v>
      </c>
      <c r="Y298" s="5">
        <v>0</v>
      </c>
      <c r="Z298" s="5">
        <v>5.0136989999999999</v>
      </c>
      <c r="AA298" s="5">
        <v>40</v>
      </c>
      <c r="AB298" s="5">
        <v>200.54795999999999</v>
      </c>
      <c r="AC298" s="5" t="str">
        <f t="shared" si="16"/>
        <v>Bonos</v>
      </c>
      <c r="AD298" s="5" t="s">
        <v>43</v>
      </c>
      <c r="AE298" s="5">
        <f t="shared" si="17"/>
        <v>4</v>
      </c>
      <c r="AF298" s="5">
        <f t="shared" si="18"/>
        <v>2025</v>
      </c>
    </row>
    <row r="299" s="5" customFormat="1" ht="13">
      <c r="A299" s="5">
        <v>12316</v>
      </c>
      <c r="B299" s="5" t="s">
        <v>78</v>
      </c>
      <c r="C299" s="5" t="s">
        <v>164</v>
      </c>
      <c r="D299" s="5" t="s">
        <v>21</v>
      </c>
      <c r="E299" s="5" t="s">
        <v>34</v>
      </c>
      <c r="F299" s="5" t="s">
        <v>68</v>
      </c>
      <c r="G299" s="5" t="s">
        <v>145</v>
      </c>
      <c r="H299" s="9" t="s">
        <v>165</v>
      </c>
      <c r="I299" s="10"/>
      <c r="J299" s="10">
        <v>45777</v>
      </c>
      <c r="K299" s="5" t="s">
        <v>124</v>
      </c>
      <c r="L299" s="5" t="s">
        <v>58</v>
      </c>
      <c r="M299" s="11">
        <v>0.10000000000000001</v>
      </c>
      <c r="N299" s="5" t="e">
        <f>IF(AND(M299&gt;#REF!,Cartera!O1514="Guaraníes"),"Rendimiento significativo",IF(AND(M299&gt;#REF!,Cartera!O1514="Dólares americanos"),"Rendimiento significativo","Rendimiento no significativo"))</f>
        <v>#REF!</v>
      </c>
      <c r="O299" s="5" t="s">
        <v>41</v>
      </c>
      <c r="P299" s="12">
        <v>3287671.2328000003</v>
      </c>
      <c r="Q299" s="12">
        <f>IF(O299="Guaraníes",P299,P299*#REF!)</f>
        <v>3287671.2328000003</v>
      </c>
      <c r="R299" s="12" t="e">
        <f>IF(O299="Guaraníes",P299/#REF!,P299)</f>
        <v>#REF!</v>
      </c>
      <c r="S299" s="5" t="s">
        <v>42</v>
      </c>
      <c r="T299" s="5">
        <v>1057</v>
      </c>
      <c r="W299" s="5" t="s">
        <v>65</v>
      </c>
      <c r="X299" s="5">
        <v>0</v>
      </c>
      <c r="Y299" s="5">
        <v>0</v>
      </c>
      <c r="Z299" s="5">
        <v>8219.1780820000004</v>
      </c>
      <c r="AA299" s="5">
        <v>400</v>
      </c>
      <c r="AB299" s="5">
        <v>3287671.2327999999</v>
      </c>
      <c r="AC299" s="5" t="str">
        <f t="shared" si="16"/>
        <v>Bonos</v>
      </c>
      <c r="AD299" s="5" t="s">
        <v>43</v>
      </c>
      <c r="AE299" s="5">
        <f t="shared" si="17"/>
        <v>4</v>
      </c>
      <c r="AF299" s="5">
        <f t="shared" si="18"/>
        <v>2025</v>
      </c>
    </row>
    <row r="300" s="5" customFormat="1" ht="13">
      <c r="A300" s="5">
        <v>12316</v>
      </c>
      <c r="B300" s="5" t="s">
        <v>78</v>
      </c>
      <c r="C300" s="5" t="s">
        <v>164</v>
      </c>
      <c r="D300" s="5" t="s">
        <v>21</v>
      </c>
      <c r="E300" s="5" t="s">
        <v>34</v>
      </c>
      <c r="F300" s="5" t="s">
        <v>68</v>
      </c>
      <c r="G300" s="5" t="s">
        <v>91</v>
      </c>
      <c r="H300" s="9" t="s">
        <v>166</v>
      </c>
      <c r="I300" s="10"/>
      <c r="J300" s="10">
        <v>45777</v>
      </c>
      <c r="K300" s="5" t="s">
        <v>124</v>
      </c>
      <c r="L300" s="5" t="s">
        <v>58</v>
      </c>
      <c r="M300" s="11">
        <v>0.092499999999999999</v>
      </c>
      <c r="N300" s="5" t="e">
        <f>IF(AND(M300&gt;#REF!,Cartera!O1872="Guaraníes"),"Rendimiento significativo",IF(AND(M300&gt;#REF!,Cartera!O1872="Dólares americanos"),"Rendimiento significativo","Rendimiento no significativo"))</f>
        <v>#REF!</v>
      </c>
      <c r="O300" s="5" t="s">
        <v>41</v>
      </c>
      <c r="P300" s="12">
        <v>1140410.9589</v>
      </c>
      <c r="Q300" s="13">
        <f>IF(O300="Guaraníes",P300,P300*#REF!)</f>
        <v>1140410.9589</v>
      </c>
      <c r="R300" s="12" t="e">
        <f>IF(O300="Guaraníes",P300/#REF!,P300)</f>
        <v>#REF!</v>
      </c>
      <c r="T300" s="5">
        <v>3253</v>
      </c>
      <c r="W300" s="5" t="s">
        <v>65</v>
      </c>
      <c r="X300" s="5">
        <v>0</v>
      </c>
      <c r="Y300" s="5">
        <v>0</v>
      </c>
      <c r="Z300" s="5">
        <v>7602.7397259999998</v>
      </c>
      <c r="AA300" s="5">
        <v>150</v>
      </c>
      <c r="AB300" s="5">
        <v>1140410.9589</v>
      </c>
      <c r="AC300" s="5" t="str">
        <f t="shared" si="16"/>
        <v>Bonos</v>
      </c>
      <c r="AD300" s="5" t="s">
        <v>43</v>
      </c>
      <c r="AE300" s="5">
        <f t="shared" si="17"/>
        <v>4</v>
      </c>
      <c r="AF300" s="5">
        <f t="shared" si="18"/>
        <v>2025</v>
      </c>
    </row>
    <row r="301" s="5" customFormat="1" ht="13">
      <c r="A301" s="5">
        <v>12316</v>
      </c>
      <c r="B301" s="5" t="s">
        <v>78</v>
      </c>
      <c r="C301" s="5" t="s">
        <v>164</v>
      </c>
      <c r="D301" s="5" t="s">
        <v>21</v>
      </c>
      <c r="E301" s="5" t="s">
        <v>34</v>
      </c>
      <c r="F301" s="5" t="s">
        <v>68</v>
      </c>
      <c r="G301" s="5" t="s">
        <v>141</v>
      </c>
      <c r="H301" s="9" t="s">
        <v>165</v>
      </c>
      <c r="I301" s="10"/>
      <c r="J301" s="10">
        <v>45777</v>
      </c>
      <c r="K301" s="5" t="s">
        <v>124</v>
      </c>
      <c r="L301" s="5" t="s">
        <v>58</v>
      </c>
      <c r="M301" s="11">
        <v>0.10000000000000001</v>
      </c>
      <c r="N301" s="5" t="e">
        <f>IF(AND(M301&gt;#REF!,Cartera!O2094="Guaraníes"),"Rendimiento significativo",IF(AND(M301&gt;#REF!,Cartera!O2094="Dólares americanos"),"Rendimiento significativo","Rendimiento no significativo"))</f>
        <v>#REF!</v>
      </c>
      <c r="O301" s="5" t="s">
        <v>41</v>
      </c>
      <c r="P301" s="12">
        <v>821917.80820000009</v>
      </c>
      <c r="Q301" s="13">
        <f>IF(O301="Guaraníes",P301,P301*#REF!)</f>
        <v>821917.80820000009</v>
      </c>
      <c r="R301" s="12" t="e">
        <f>IF(O301="Guaraníes",P301/#REF!,P301)</f>
        <v>#REF!</v>
      </c>
      <c r="S301" s="5" t="s">
        <v>42</v>
      </c>
      <c r="T301" s="5">
        <v>9243</v>
      </c>
      <c r="W301" s="5" t="s">
        <v>65</v>
      </c>
      <c r="X301" s="5">
        <v>0</v>
      </c>
      <c r="Y301" s="5">
        <v>0</v>
      </c>
      <c r="Z301" s="5">
        <v>8219.1780820000004</v>
      </c>
      <c r="AA301" s="5">
        <v>100</v>
      </c>
      <c r="AB301" s="5">
        <v>821917.80819999997</v>
      </c>
      <c r="AC301" s="5" t="str">
        <f t="shared" si="16"/>
        <v>Bonos</v>
      </c>
      <c r="AD301" s="5" t="s">
        <v>43</v>
      </c>
      <c r="AE301" s="5">
        <f t="shared" si="17"/>
        <v>4</v>
      </c>
      <c r="AF301" s="5">
        <f t="shared" si="18"/>
        <v>2025</v>
      </c>
    </row>
    <row r="302" s="5" customFormat="1" ht="13">
      <c r="A302" s="5">
        <v>12316</v>
      </c>
      <c r="B302" s="5" t="s">
        <v>78</v>
      </c>
      <c r="C302" s="5" t="s">
        <v>164</v>
      </c>
      <c r="D302" s="5" t="s">
        <v>21</v>
      </c>
      <c r="E302" s="5" t="s">
        <v>34</v>
      </c>
      <c r="F302" s="5" t="s">
        <v>68</v>
      </c>
      <c r="G302" s="5" t="s">
        <v>141</v>
      </c>
      <c r="H302" s="9" t="s">
        <v>167</v>
      </c>
      <c r="I302" s="10"/>
      <c r="J302" s="10">
        <v>45777</v>
      </c>
      <c r="K302" s="5" t="s">
        <v>124</v>
      </c>
      <c r="L302" s="5" t="s">
        <v>58</v>
      </c>
      <c r="M302" s="11">
        <v>0.092499999999999999</v>
      </c>
      <c r="N302" s="5" t="e">
        <f>IF(AND(M302&gt;#REF!,Cartera!O2095="Guaraníes"),"Rendimiento significativo",IF(AND(M302&gt;#REF!,Cartera!O2095="Dólares americanos"),"Rendimiento significativo","Rendimiento no significativo"))</f>
        <v>#REF!</v>
      </c>
      <c r="O302" s="5" t="s">
        <v>41</v>
      </c>
      <c r="P302" s="12">
        <v>760273.97259999998</v>
      </c>
      <c r="Q302" s="13">
        <f>IF(O302="Guaraníes",P302,P302*#REF!)</f>
        <v>760273.97259999998</v>
      </c>
      <c r="R302" s="12" t="e">
        <f>IF(O302="Guaraníes",P302/#REF!,P302)</f>
        <v>#REF!</v>
      </c>
      <c r="S302" s="5" t="s">
        <v>42</v>
      </c>
      <c r="T302" s="5">
        <v>9243</v>
      </c>
      <c r="W302" s="5" t="s">
        <v>65</v>
      </c>
      <c r="X302" s="5">
        <v>0</v>
      </c>
      <c r="Y302" s="5">
        <v>0</v>
      </c>
      <c r="Z302" s="5">
        <v>7602.7397259999998</v>
      </c>
      <c r="AA302" s="5">
        <v>100</v>
      </c>
      <c r="AB302" s="5">
        <v>760273.97259999998</v>
      </c>
      <c r="AC302" s="5" t="str">
        <f t="shared" si="16"/>
        <v>Bonos</v>
      </c>
      <c r="AD302" s="5" t="s">
        <v>43</v>
      </c>
      <c r="AE302" s="5">
        <f t="shared" si="17"/>
        <v>4</v>
      </c>
      <c r="AF302" s="5">
        <f t="shared" si="18"/>
        <v>2025</v>
      </c>
    </row>
    <row r="303" s="5" customFormat="1" ht="13">
      <c r="A303" s="5">
        <v>12316</v>
      </c>
      <c r="B303" s="5" t="s">
        <v>78</v>
      </c>
      <c r="C303" s="5" t="s">
        <v>74</v>
      </c>
      <c r="D303" s="5" t="s">
        <v>21</v>
      </c>
      <c r="E303" s="5" t="s">
        <v>34</v>
      </c>
      <c r="F303" s="5" t="s">
        <v>68</v>
      </c>
      <c r="H303" s="9" t="s">
        <v>133</v>
      </c>
      <c r="I303" s="10">
        <v>45329</v>
      </c>
      <c r="J303" s="10">
        <v>45779</v>
      </c>
      <c r="K303" s="5" t="s">
        <v>77</v>
      </c>
      <c r="L303" s="5" t="s">
        <v>82</v>
      </c>
      <c r="M303" s="11">
        <v>0.086499999999999994</v>
      </c>
      <c r="N303" s="5" t="e">
        <f>IF(AND(M303&gt;#REF!,Cartera!O3549="Guaraníes"),"Rendimiento significativo",IF(AND(M303&gt;#REF!,Cartera!O3549="Dólares americanos"),"Rendimiento significativo","Rendimiento no significativo"))</f>
        <v>#REF!</v>
      </c>
      <c r="O303" s="5" t="s">
        <v>41</v>
      </c>
      <c r="P303" s="12">
        <v>3128219</v>
      </c>
      <c r="Q303" s="12">
        <f>IF(O303="Guaraníes",P303,P303*#REF!)</f>
        <v>3128219</v>
      </c>
      <c r="R303" s="12" t="e">
        <f>IF(O303="Guaraníes",P303/#REF!,P303)</f>
        <v>#REF!</v>
      </c>
      <c r="S303" s="5" t="s">
        <v>42</v>
      </c>
      <c r="AC303" s="5" t="str">
        <f t="shared" si="16"/>
        <v>CDA</v>
      </c>
      <c r="AD303" s="5" t="s">
        <v>43</v>
      </c>
      <c r="AE303" s="5">
        <f t="shared" si="17"/>
        <v>5</v>
      </c>
      <c r="AF303" s="5">
        <f t="shared" si="18"/>
        <v>2025</v>
      </c>
    </row>
    <row r="304" s="5" customFormat="1" ht="13">
      <c r="A304" s="5">
        <v>12315</v>
      </c>
      <c r="B304" s="5" t="s">
        <v>73</v>
      </c>
      <c r="C304" s="5" t="s">
        <v>33</v>
      </c>
      <c r="D304" s="5" t="s">
        <v>21</v>
      </c>
      <c r="E304" s="5" t="s">
        <v>34</v>
      </c>
      <c r="F304" s="5" t="s">
        <v>35</v>
      </c>
      <c r="G304" s="5" t="s">
        <v>75</v>
      </c>
      <c r="H304" s="9" t="s">
        <v>168</v>
      </c>
      <c r="I304" s="10"/>
      <c r="J304" s="10">
        <v>45783</v>
      </c>
      <c r="K304" s="5" t="s">
        <v>39</v>
      </c>
      <c r="L304" s="5" t="s">
        <v>50</v>
      </c>
      <c r="M304" s="11">
        <v>0.070000000000000007</v>
      </c>
      <c r="N304" s="5" t="e">
        <f>IF(AND(M304&gt;#REF!,Cartera!O911="Guaraníes"),"Rendimiento significativo",IF(AND(M304&gt;#REF!,Cartera!O911="Dólares americanos"),"Rendimiento significativo","Rendimiento no significativo"))</f>
        <v>#REF!</v>
      </c>
      <c r="O304" s="5" t="s">
        <v>51</v>
      </c>
      <c r="P304" s="13">
        <v>1221.6438500000002</v>
      </c>
      <c r="Q304" s="12" t="e">
        <f>IF(O304="Guaraníes",P304,P304*#REF!)</f>
        <v>#REF!</v>
      </c>
      <c r="R304" s="12">
        <f>IF(O304="Guaraníes",P304/#REF!,P304)</f>
        <v>1221.6438500000002</v>
      </c>
      <c r="S304" s="5" t="s">
        <v>42</v>
      </c>
      <c r="T304" s="5">
        <v>25</v>
      </c>
      <c r="W304" s="5" t="s">
        <v>65</v>
      </c>
      <c r="X304" s="5">
        <v>0</v>
      </c>
      <c r="Y304" s="5">
        <v>0</v>
      </c>
      <c r="Z304" s="5">
        <v>17.452055000000001</v>
      </c>
      <c r="AA304" s="5">
        <v>70</v>
      </c>
      <c r="AB304" s="5">
        <v>1221.6438499999999</v>
      </c>
      <c r="AC304" s="5" t="str">
        <f t="shared" si="16"/>
        <v>Bonos</v>
      </c>
      <c r="AD304" s="5" t="s">
        <v>43</v>
      </c>
      <c r="AE304" s="5">
        <f t="shared" si="17"/>
        <v>5</v>
      </c>
      <c r="AF304" s="5">
        <f t="shared" si="18"/>
        <v>2025</v>
      </c>
    </row>
    <row r="305" s="5" customFormat="1" ht="13">
      <c r="A305" s="5">
        <v>12316</v>
      </c>
      <c r="B305" s="5" t="s">
        <v>78</v>
      </c>
      <c r="C305" s="5" t="s">
        <v>116</v>
      </c>
      <c r="D305" s="5" t="s">
        <v>21</v>
      </c>
      <c r="E305" s="5" t="s">
        <v>34</v>
      </c>
      <c r="F305" s="5" t="s">
        <v>68</v>
      </c>
      <c r="H305" s="9">
        <v>6208</v>
      </c>
      <c r="I305" s="10"/>
      <c r="J305" s="10">
        <v>45785</v>
      </c>
      <c r="K305" s="5" t="s">
        <v>118</v>
      </c>
      <c r="L305" s="5" t="s">
        <v>82</v>
      </c>
      <c r="M305" s="11">
        <v>0.080000000000000002</v>
      </c>
      <c r="N305" s="5" t="e">
        <f>IF(AND(M305&gt;#REF!,Cartera!O2948="Guaraníes"),"Rendimiento significativo",IF(AND(M305&gt;#REF!,Cartera!O2948="Dólares americanos"),"Rendimiento significativo","Rendimiento no significativo"))</f>
        <v>#REF!</v>
      </c>
      <c r="O305" s="5" t="s">
        <v>41</v>
      </c>
      <c r="P305" s="12">
        <v>1992329</v>
      </c>
      <c r="Q305" s="13">
        <f>IF(O305="Guaraníes",P305,P305*#REF!)</f>
        <v>1992329</v>
      </c>
      <c r="R305" s="12" t="e">
        <f>IF(O305="Guaraníes",P305/#REF!,P305)</f>
        <v>#REF!</v>
      </c>
      <c r="S305" s="5" t="s">
        <v>42</v>
      </c>
      <c r="V305" s="5">
        <v>1992329</v>
      </c>
      <c r="W305" s="5" t="s">
        <v>219</v>
      </c>
      <c r="AC305" s="5" t="str">
        <f t="shared" si="16"/>
        <v>CDA</v>
      </c>
      <c r="AD305" s="5" t="s">
        <v>43</v>
      </c>
      <c r="AE305" s="5">
        <f t="shared" si="17"/>
        <v>5</v>
      </c>
      <c r="AF305" s="5">
        <f t="shared" si="18"/>
        <v>2025</v>
      </c>
    </row>
    <row r="306" s="5" customFormat="1" ht="13">
      <c r="A306" s="5">
        <v>12316</v>
      </c>
      <c r="B306" s="5" t="s">
        <v>78</v>
      </c>
      <c r="C306" s="5" t="s">
        <v>183</v>
      </c>
      <c r="D306" s="5" t="s">
        <v>21</v>
      </c>
      <c r="E306" s="5" t="s">
        <v>34</v>
      </c>
      <c r="F306" s="5" t="s">
        <v>184</v>
      </c>
      <c r="H306" s="9">
        <v>6389</v>
      </c>
      <c r="I306" s="10"/>
      <c r="J306" s="10">
        <v>45786</v>
      </c>
      <c r="K306" s="5" t="s">
        <v>124</v>
      </c>
      <c r="L306" s="5" t="s">
        <v>82</v>
      </c>
      <c r="M306" s="11">
        <v>0.079000000000000001</v>
      </c>
      <c r="N306" s="5" t="e">
        <f>IF(AND(M306&gt;#REF!,Cartera!O2950="Guaraníes"),"Rendimiento significativo",IF(AND(M306&gt;#REF!,Cartera!O2950="Dólares americanos"),"Rendimiento significativo","Rendimiento no significativo"))</f>
        <v>#REF!</v>
      </c>
      <c r="O306" s="5" t="s">
        <v>41</v>
      </c>
      <c r="P306" s="12">
        <v>9685690</v>
      </c>
      <c r="Q306" s="13">
        <f>IF(O306="Guaraníes",P306,P306*#REF!)</f>
        <v>9685690</v>
      </c>
      <c r="R306" s="12" t="e">
        <f>IF(O306="Guaraníes",P306/#REF!,P306)</f>
        <v>#REF!</v>
      </c>
      <c r="S306" s="5" t="s">
        <v>42</v>
      </c>
      <c r="V306" s="5">
        <v>9685690</v>
      </c>
      <c r="W306" s="5" t="s">
        <v>220</v>
      </c>
      <c r="AC306" s="5" t="str">
        <f t="shared" si="16"/>
        <v>CDA</v>
      </c>
      <c r="AD306" s="5" t="s">
        <v>43</v>
      </c>
      <c r="AE306" s="5">
        <f t="shared" si="17"/>
        <v>5</v>
      </c>
      <c r="AF306" s="5">
        <f t="shared" si="18"/>
        <v>2025</v>
      </c>
    </row>
    <row r="307" s="5" customFormat="1" ht="13">
      <c r="A307" s="5" t="s">
        <v>44</v>
      </c>
      <c r="B307" s="5" t="s">
        <v>44</v>
      </c>
      <c r="C307" s="5" t="s">
        <v>212</v>
      </c>
      <c r="D307" s="5" t="s">
        <v>21</v>
      </c>
      <c r="E307" s="5" t="s">
        <v>44</v>
      </c>
      <c r="F307" s="5" t="s">
        <v>68</v>
      </c>
      <c r="G307" s="5" t="s">
        <v>86</v>
      </c>
      <c r="H307" s="9" t="s">
        <v>213</v>
      </c>
      <c r="I307" s="10">
        <v>44651</v>
      </c>
      <c r="J307" s="10">
        <v>44833</v>
      </c>
      <c r="K307" s="5" t="s">
        <v>81</v>
      </c>
      <c r="L307" s="5" t="s">
        <v>58</v>
      </c>
      <c r="M307" s="11">
        <v>0.053499999999999999</v>
      </c>
      <c r="N307" s="5" t="e">
        <f>IF(AND(M307&gt;#REF!,Cartera!O307="Guaraníes"),"Rendimiento significativo",IF(AND(M307&gt;#REF!,Cartera!O307="Dólares americanos"),"Rendimiento significativo","Rendimiento no significativo"))</f>
        <v>#REF!</v>
      </c>
      <c r="O307" s="5" t="s">
        <v>51</v>
      </c>
      <c r="P307" s="13">
        <v>2667.6712000000002</v>
      </c>
      <c r="Q307" s="12" t="e">
        <f>IF(O307="Guaraníes",P307,P307*#REF!)</f>
        <v>#REF!</v>
      </c>
      <c r="R307" s="12">
        <f>IF(O307="Guaraníes",P307/#REF!,P307)</f>
        <v>2667.6712000000002</v>
      </c>
      <c r="S307" s="5" t="s">
        <v>52</v>
      </c>
      <c r="V307" s="5">
        <v>26.676711999999998</v>
      </c>
      <c r="AA307" s="5">
        <v>100</v>
      </c>
      <c r="AC307" s="5" t="str">
        <f t="shared" si="16"/>
        <v>Bonos</v>
      </c>
      <c r="AD307" s="5" t="s">
        <v>43</v>
      </c>
      <c r="AE307" s="5">
        <f t="shared" si="17"/>
        <v>9</v>
      </c>
      <c r="AF307" s="5">
        <f t="shared" si="18"/>
        <v>2022</v>
      </c>
    </row>
    <row r="308" s="5" customFormat="1" ht="13">
      <c r="A308" s="5" t="s">
        <v>44</v>
      </c>
      <c r="B308" s="5" t="s">
        <v>44</v>
      </c>
      <c r="C308" s="5" t="s">
        <v>212</v>
      </c>
      <c r="D308" s="5" t="s">
        <v>21</v>
      </c>
      <c r="E308" s="5" t="s">
        <v>44</v>
      </c>
      <c r="F308" s="5" t="s">
        <v>68</v>
      </c>
      <c r="G308" s="5" t="s">
        <v>86</v>
      </c>
      <c r="H308" s="9" t="s">
        <v>213</v>
      </c>
      <c r="I308" s="10">
        <v>44651</v>
      </c>
      <c r="J308" s="10">
        <v>45015</v>
      </c>
      <c r="K308" s="5" t="s">
        <v>81</v>
      </c>
      <c r="L308" s="5" t="s">
        <v>58</v>
      </c>
      <c r="M308" s="11">
        <v>0.053499999999999999</v>
      </c>
      <c r="N308" s="5" t="e">
        <f>IF(AND(M308&gt;#REF!,Cartera!O308="Guaraníes"),"Rendimiento significativo",IF(AND(M308&gt;#REF!,Cartera!O308="Dólares americanos"),"Rendimiento significativo","Rendimiento no significativo"))</f>
        <v>#REF!</v>
      </c>
      <c r="O308" s="5" t="s">
        <v>51</v>
      </c>
      <c r="P308" s="13">
        <v>2667.6712000000002</v>
      </c>
      <c r="Q308" s="12" t="e">
        <f>IF(O308="Guaraníes",P308,P308*#REF!)</f>
        <v>#REF!</v>
      </c>
      <c r="R308" s="12">
        <f>IF(O308="Guaraníes",P308/#REF!,P308)</f>
        <v>2667.6712000000002</v>
      </c>
      <c r="S308" s="5" t="s">
        <v>52</v>
      </c>
      <c r="V308" s="5">
        <v>26.676711999999998</v>
      </c>
      <c r="AA308" s="5">
        <v>100</v>
      </c>
      <c r="AC308" s="5" t="str">
        <f t="shared" si="16"/>
        <v>Bonos</v>
      </c>
      <c r="AD308" s="5" t="s">
        <v>43</v>
      </c>
      <c r="AE308" s="5">
        <f t="shared" si="17"/>
        <v>3</v>
      </c>
      <c r="AF308" s="5">
        <f t="shared" si="18"/>
        <v>2023</v>
      </c>
    </row>
    <row r="309" s="5" customFormat="1" ht="13">
      <c r="A309" s="5" t="s">
        <v>44</v>
      </c>
      <c r="B309" s="5" t="s">
        <v>44</v>
      </c>
      <c r="C309" s="5" t="s">
        <v>212</v>
      </c>
      <c r="D309" s="5" t="s">
        <v>21</v>
      </c>
      <c r="E309" s="5" t="s">
        <v>44</v>
      </c>
      <c r="F309" s="5" t="s">
        <v>68</v>
      </c>
      <c r="G309" s="5" t="s">
        <v>86</v>
      </c>
      <c r="H309" s="9" t="s">
        <v>213</v>
      </c>
      <c r="I309" s="10">
        <v>44651</v>
      </c>
      <c r="J309" s="10">
        <v>45197</v>
      </c>
      <c r="K309" s="5" t="s">
        <v>81</v>
      </c>
      <c r="L309" s="5" t="s">
        <v>58</v>
      </c>
      <c r="M309" s="11">
        <v>0.053499999999999999</v>
      </c>
      <c r="N309" s="5" t="e">
        <f>IF(AND(M309&gt;#REF!,Cartera!O309="Guaraníes"),"Rendimiento significativo",IF(AND(M309&gt;#REF!,Cartera!O309="Dólares americanos"),"Rendimiento significativo","Rendimiento no significativo"))</f>
        <v>#REF!</v>
      </c>
      <c r="O309" s="5" t="s">
        <v>51</v>
      </c>
      <c r="P309" s="13">
        <v>2667.6712000000002</v>
      </c>
      <c r="Q309" s="12" t="e">
        <f>IF(O309="Guaraníes",P309,P309*#REF!)</f>
        <v>#REF!</v>
      </c>
      <c r="R309" s="12">
        <f>IF(O309="Guaraníes",P309/#REF!,P309)</f>
        <v>2667.6712000000002</v>
      </c>
      <c r="S309" s="5" t="s">
        <v>52</v>
      </c>
      <c r="V309" s="5">
        <v>26.676711999999998</v>
      </c>
      <c r="AA309" s="5">
        <v>100</v>
      </c>
      <c r="AC309" s="5" t="str">
        <f t="shared" si="16"/>
        <v>Bonos</v>
      </c>
      <c r="AD309" s="5" t="s">
        <v>43</v>
      </c>
      <c r="AE309" s="5">
        <f t="shared" si="17"/>
        <v>9</v>
      </c>
      <c r="AF309" s="5">
        <f t="shared" si="18"/>
        <v>2023</v>
      </c>
    </row>
    <row r="310" s="5" customFormat="1" ht="13">
      <c r="A310" s="5" t="s">
        <v>44</v>
      </c>
      <c r="B310" s="5" t="s">
        <v>44</v>
      </c>
      <c r="C310" s="5" t="s">
        <v>212</v>
      </c>
      <c r="D310" s="5" t="s">
        <v>21</v>
      </c>
      <c r="E310" s="5" t="s">
        <v>44</v>
      </c>
      <c r="F310" s="5" t="s">
        <v>68</v>
      </c>
      <c r="G310" s="5" t="s">
        <v>86</v>
      </c>
      <c r="H310" s="9" t="s">
        <v>213</v>
      </c>
      <c r="I310" s="10">
        <v>44651</v>
      </c>
      <c r="J310" s="10">
        <v>45379</v>
      </c>
      <c r="K310" s="5" t="s">
        <v>81</v>
      </c>
      <c r="L310" s="5" t="s">
        <v>58</v>
      </c>
      <c r="M310" s="11">
        <v>0.053499999999999999</v>
      </c>
      <c r="N310" s="5" t="e">
        <f>IF(AND(M310&gt;#REF!,Cartera!O310="Guaraníes"),"Rendimiento significativo",IF(AND(M310&gt;#REF!,Cartera!O310="Dólares americanos"),"Rendimiento significativo","Rendimiento no significativo"))</f>
        <v>#REF!</v>
      </c>
      <c r="O310" s="5" t="s">
        <v>51</v>
      </c>
      <c r="P310" s="13">
        <v>2667.6712000000002</v>
      </c>
      <c r="Q310" s="12" t="e">
        <f>IF(O310="Guaraníes",P310,P310*#REF!)</f>
        <v>#REF!</v>
      </c>
      <c r="R310" s="12">
        <f>IF(O310="Guaraníes",P310/#REF!,P310)</f>
        <v>2667.6712000000002</v>
      </c>
      <c r="S310" s="5" t="s">
        <v>52</v>
      </c>
      <c r="V310" s="5">
        <v>26.676711999999998</v>
      </c>
      <c r="AA310" s="5">
        <v>100</v>
      </c>
      <c r="AC310" s="5" t="str">
        <f t="shared" si="16"/>
        <v>Bonos</v>
      </c>
      <c r="AD310" s="5" t="s">
        <v>43</v>
      </c>
      <c r="AE310" s="5">
        <f t="shared" si="17"/>
        <v>3</v>
      </c>
      <c r="AF310" s="5">
        <f t="shared" si="18"/>
        <v>2024</v>
      </c>
    </row>
    <row r="311" s="5" customFormat="1" ht="13">
      <c r="A311" s="5" t="s">
        <v>44</v>
      </c>
      <c r="B311" s="5" t="s">
        <v>44</v>
      </c>
      <c r="C311" s="5" t="s">
        <v>103</v>
      </c>
      <c r="D311" s="5" t="s">
        <v>21</v>
      </c>
      <c r="E311" s="5" t="s">
        <v>44</v>
      </c>
      <c r="F311" s="5" t="s">
        <v>68</v>
      </c>
      <c r="G311" s="5" t="s">
        <v>104</v>
      </c>
      <c r="H311" s="9" t="s">
        <v>105</v>
      </c>
      <c r="I311" s="10">
        <v>45266</v>
      </c>
      <c r="J311" s="10">
        <v>45539</v>
      </c>
      <c r="K311" s="5" t="s">
        <v>64</v>
      </c>
      <c r="L311" s="5" t="s">
        <v>106</v>
      </c>
      <c r="M311" s="11">
        <v>0.079500000000000001</v>
      </c>
      <c r="N311" s="5" t="e">
        <f>IF(AND(M311&gt;#REF!,Cartera!O3522="Guaraníes"),"Rendimiento significativo",IF(AND(M311&gt;#REF!,Cartera!O3522="Dólares americanos"),"Rendimiento significativo","Rendimiento no significativo"))</f>
        <v>#REF!</v>
      </c>
      <c r="O311" s="5" t="s">
        <v>41</v>
      </c>
      <c r="P311" s="12">
        <v>1982054.7944999998</v>
      </c>
      <c r="Q311" s="12">
        <f>IF(O311="Guaraníes",P311,P311*#REF!)</f>
        <v>1982054.7944999998</v>
      </c>
      <c r="R311" s="12" t="e">
        <f>IF(O311="Guaraníes",P311/#REF!,P311)</f>
        <v>#REF!</v>
      </c>
      <c r="S311" s="5" t="s">
        <v>52</v>
      </c>
      <c r="T311" s="5">
        <v>26543</v>
      </c>
      <c r="AC311" s="5" t="str">
        <f t="shared" si="16"/>
        <v>Bonos</v>
      </c>
      <c r="AD311" s="5" t="s">
        <v>43</v>
      </c>
      <c r="AE311" s="5">
        <f t="shared" si="17"/>
        <v>9</v>
      </c>
      <c r="AF311" s="5">
        <f t="shared" si="18"/>
        <v>2024</v>
      </c>
    </row>
    <row r="312" s="5" customFormat="1" ht="13">
      <c r="A312" s="5">
        <v>12316</v>
      </c>
      <c r="B312" s="5" t="s">
        <v>78</v>
      </c>
      <c r="C312" s="5" t="s">
        <v>183</v>
      </c>
      <c r="D312" s="5" t="s">
        <v>21</v>
      </c>
      <c r="E312" s="5" t="s">
        <v>34</v>
      </c>
      <c r="F312" s="5" t="s">
        <v>184</v>
      </c>
      <c r="H312" s="9">
        <v>6390</v>
      </c>
      <c r="I312" s="10"/>
      <c r="J312" s="10">
        <v>45786</v>
      </c>
      <c r="K312" s="5" t="s">
        <v>124</v>
      </c>
      <c r="L312" s="5" t="s">
        <v>82</v>
      </c>
      <c r="M312" s="11">
        <v>0.079000000000000001</v>
      </c>
      <c r="N312" s="5" t="e">
        <f>IF(AND(M312&gt;#REF!,Cartera!O2951="Guaraníes"),"Rendimiento significativo",IF(AND(M312&gt;#REF!,Cartera!O2951="Dólares americanos"),"Rendimiento significativo","Rendimiento no significativo"))</f>
        <v>#REF!</v>
      </c>
      <c r="O312" s="5" t="s">
        <v>41</v>
      </c>
      <c r="P312" s="12">
        <v>9685690</v>
      </c>
      <c r="Q312" s="13">
        <f>IF(O312="Guaraníes",P312,P312*#REF!)</f>
        <v>9685690</v>
      </c>
      <c r="R312" s="12" t="e">
        <f>IF(O312="Guaraníes",P312/#REF!,P312)</f>
        <v>#REF!</v>
      </c>
      <c r="S312" s="5" t="s">
        <v>42</v>
      </c>
      <c r="V312" s="5">
        <v>9685690</v>
      </c>
      <c r="W312" s="5" t="s">
        <v>220</v>
      </c>
      <c r="AC312" s="5" t="str">
        <f t="shared" si="16"/>
        <v>CDA</v>
      </c>
      <c r="AD312" s="5" t="s">
        <v>43</v>
      </c>
      <c r="AE312" s="5">
        <f t="shared" si="17"/>
        <v>5</v>
      </c>
      <c r="AF312" s="5">
        <f t="shared" si="18"/>
        <v>2025</v>
      </c>
    </row>
    <row r="313" s="5" customFormat="1" ht="13">
      <c r="A313" s="5">
        <v>12316</v>
      </c>
      <c r="B313" s="5" t="s">
        <v>78</v>
      </c>
      <c r="C313" s="5" t="s">
        <v>183</v>
      </c>
      <c r="D313" s="5" t="s">
        <v>21</v>
      </c>
      <c r="E313" s="5" t="s">
        <v>34</v>
      </c>
      <c r="F313" s="5" t="s">
        <v>184</v>
      </c>
      <c r="H313" s="9">
        <v>6391</v>
      </c>
      <c r="I313" s="10"/>
      <c r="J313" s="10">
        <v>45786</v>
      </c>
      <c r="K313" s="5" t="s">
        <v>124</v>
      </c>
      <c r="L313" s="5" t="s">
        <v>82</v>
      </c>
      <c r="M313" s="11">
        <v>0.079000000000000001</v>
      </c>
      <c r="N313" s="5" t="e">
        <f>IF(AND(M313&gt;#REF!,Cartera!O2952="Guaraníes"),"Rendimiento significativo",IF(AND(M313&gt;#REF!,Cartera!O2952="Dólares americanos"),"Rendimiento significativo","Rendimiento no significativo"))</f>
        <v>#REF!</v>
      </c>
      <c r="O313" s="5" t="s">
        <v>41</v>
      </c>
      <c r="P313" s="12">
        <v>9685690</v>
      </c>
      <c r="Q313" s="13">
        <f>IF(O313="Guaraníes",P313,P313*#REF!)</f>
        <v>9685690</v>
      </c>
      <c r="R313" s="12" t="e">
        <f>IF(O313="Guaraníes",P313/#REF!,P313)</f>
        <v>#REF!</v>
      </c>
      <c r="S313" s="5" t="s">
        <v>42</v>
      </c>
      <c r="V313" s="5">
        <v>9685690</v>
      </c>
      <c r="W313" s="5" t="s">
        <v>220</v>
      </c>
      <c r="AC313" s="5" t="str">
        <f t="shared" si="16"/>
        <v>CDA</v>
      </c>
      <c r="AD313" s="5" t="s">
        <v>43</v>
      </c>
      <c r="AE313" s="5">
        <f t="shared" si="17"/>
        <v>5</v>
      </c>
      <c r="AF313" s="5">
        <f t="shared" si="18"/>
        <v>2025</v>
      </c>
    </row>
    <row r="314" s="5" customFormat="1" ht="13">
      <c r="A314" s="5">
        <v>12316</v>
      </c>
      <c r="B314" s="5" t="s">
        <v>78</v>
      </c>
      <c r="C314" s="5" t="s">
        <v>183</v>
      </c>
      <c r="D314" s="5" t="s">
        <v>21</v>
      </c>
      <c r="E314" s="5" t="s">
        <v>34</v>
      </c>
      <c r="F314" s="5" t="s">
        <v>184</v>
      </c>
      <c r="H314" s="9">
        <v>6388</v>
      </c>
      <c r="I314" s="10"/>
      <c r="J314" s="10">
        <v>45786</v>
      </c>
      <c r="K314" s="5" t="s">
        <v>124</v>
      </c>
      <c r="L314" s="5" t="s">
        <v>82</v>
      </c>
      <c r="M314" s="11">
        <v>0.079000000000000001</v>
      </c>
      <c r="N314" s="5" t="e">
        <f>IF(AND(M314&gt;#REF!,Cartera!O2973="Guaraníes"),"Rendimiento significativo",IF(AND(M314&gt;#REF!,Cartera!O2973="Dólares americanos"),"Rendimiento significativo","Rendimiento no significativo"))</f>
        <v>#REF!</v>
      </c>
      <c r="O314" s="5" t="s">
        <v>41</v>
      </c>
      <c r="P314" s="12">
        <v>9685690</v>
      </c>
      <c r="Q314" s="13">
        <f>IF(O314="Guaraníes",P314,P314*#REF!)</f>
        <v>9685690</v>
      </c>
      <c r="R314" s="12" t="e">
        <f>IF(O314="Guaraníes",P314/#REF!,P314)</f>
        <v>#REF!</v>
      </c>
      <c r="S314" s="5" t="s">
        <v>42</v>
      </c>
      <c r="V314" s="5">
        <v>9848020</v>
      </c>
      <c r="W314" s="5" t="s">
        <v>221</v>
      </c>
      <c r="AC314" s="5" t="str">
        <f t="shared" si="16"/>
        <v>CDA</v>
      </c>
      <c r="AD314" s="5" t="s">
        <v>43</v>
      </c>
      <c r="AE314" s="5">
        <f t="shared" si="17"/>
        <v>5</v>
      </c>
      <c r="AF314" s="5">
        <f t="shared" si="18"/>
        <v>2025</v>
      </c>
    </row>
    <row r="315" s="5" customFormat="1" ht="13">
      <c r="A315" s="5">
        <v>12315</v>
      </c>
      <c r="B315" s="5" t="s">
        <v>73</v>
      </c>
      <c r="C315" s="5" t="s">
        <v>60</v>
      </c>
      <c r="D315" s="5" t="s">
        <v>21</v>
      </c>
      <c r="E315" s="5" t="s">
        <v>34</v>
      </c>
      <c r="F315" s="5" t="s">
        <v>61</v>
      </c>
      <c r="G315" s="5" t="s">
        <v>62</v>
      </c>
      <c r="H315" s="9" t="s">
        <v>63</v>
      </c>
      <c r="I315" s="10"/>
      <c r="J315" s="10">
        <v>45789</v>
      </c>
      <c r="K315" s="5" t="s">
        <v>64</v>
      </c>
      <c r="L315" s="5" t="s">
        <v>50</v>
      </c>
      <c r="M315" s="11">
        <v>0.052499999999999998</v>
      </c>
      <c r="N315" s="5" t="e">
        <f>IF(AND(M315&gt;#REF!,Cartera!O145="Guaraníes"),"Rendimiento significativo",IF(AND(M315&gt;#REF!,Cartera!O145="Dólares americanos"),"Rendimiento significativo","Rendimiento no significativo"))</f>
        <v>#REF!</v>
      </c>
      <c r="O315" s="5" t="s">
        <v>51</v>
      </c>
      <c r="P315" s="13">
        <v>781.02741000000003</v>
      </c>
      <c r="Q315" s="12" t="e">
        <f>IF(O315="Guaraníes",P315,P315*#REF!)</f>
        <v>#REF!</v>
      </c>
      <c r="R315" s="12">
        <f>IF(O315="Guaraníes",P315/#REF!,P315)</f>
        <v>781.02741000000003</v>
      </c>
      <c r="S315" s="5" t="s">
        <v>42</v>
      </c>
      <c r="T315" s="5">
        <v>8</v>
      </c>
      <c r="W315" s="5" t="s">
        <v>65</v>
      </c>
      <c r="X315" s="5">
        <v>0</v>
      </c>
      <c r="Y315" s="5">
        <v>0</v>
      </c>
      <c r="Z315" s="5">
        <v>26.034247000000001</v>
      </c>
      <c r="AA315" s="5">
        <v>30</v>
      </c>
      <c r="AB315" s="5">
        <v>781.02741000000003</v>
      </c>
      <c r="AC315" s="5" t="str">
        <f t="shared" si="16"/>
        <v>Bonos</v>
      </c>
      <c r="AD315" s="5" t="s">
        <v>43</v>
      </c>
      <c r="AE315" s="5">
        <f t="shared" si="17"/>
        <v>5</v>
      </c>
      <c r="AF315" s="5">
        <f t="shared" si="18"/>
        <v>2025</v>
      </c>
    </row>
    <row r="316" s="5" customFormat="1" ht="13">
      <c r="A316" s="5">
        <v>12316</v>
      </c>
      <c r="B316" s="5" t="s">
        <v>78</v>
      </c>
      <c r="C316" s="5" t="s">
        <v>114</v>
      </c>
      <c r="D316" s="5" t="s">
        <v>21</v>
      </c>
      <c r="E316" s="5" t="s">
        <v>34</v>
      </c>
      <c r="F316" s="5" t="s">
        <v>68</v>
      </c>
      <c r="G316" s="5" t="s">
        <v>75</v>
      </c>
      <c r="H316" s="9" t="s">
        <v>170</v>
      </c>
      <c r="I316" s="10"/>
      <c r="J316" s="10">
        <v>45790</v>
      </c>
      <c r="K316" s="5" t="s">
        <v>77</v>
      </c>
      <c r="L316" s="5" t="s">
        <v>50</v>
      </c>
      <c r="M316" s="11">
        <v>0.14000000000000001</v>
      </c>
      <c r="N316" s="5" t="e">
        <f>IF(AND(M316&gt;#REF!,Cartera!O912="Guaraníes"),"Rendimiento significativo",IF(AND(M316&gt;#REF!,Cartera!O912="Dólares americanos"),"Rendimiento significativo","Rendimiento no significativo"))</f>
        <v>#REF!</v>
      </c>
      <c r="O316" s="5" t="s">
        <v>41</v>
      </c>
      <c r="P316" s="12">
        <v>3490410.9589</v>
      </c>
      <c r="Q316" s="12">
        <f>IF(O316="Guaraníes",P316,P316*#REF!)</f>
        <v>3490410.9589</v>
      </c>
      <c r="R316" s="12" t="e">
        <f>IF(O316="Guaraníes",P316/#REF!,P316)</f>
        <v>#REF!</v>
      </c>
      <c r="S316" s="5" t="s">
        <v>42</v>
      </c>
      <c r="T316" s="5">
        <v>25</v>
      </c>
      <c r="W316" s="5" t="s">
        <v>65</v>
      </c>
      <c r="X316" s="5">
        <v>0</v>
      </c>
      <c r="Y316" s="5">
        <v>0</v>
      </c>
      <c r="Z316" s="5">
        <v>34904.109589</v>
      </c>
      <c r="AA316" s="5">
        <v>100</v>
      </c>
      <c r="AB316" s="5">
        <v>3490410.9589</v>
      </c>
      <c r="AC316" s="5" t="str">
        <f t="shared" si="16"/>
        <v>Bonos</v>
      </c>
      <c r="AD316" s="5" t="s">
        <v>43</v>
      </c>
      <c r="AE316" s="5">
        <f t="shared" si="17"/>
        <v>5</v>
      </c>
      <c r="AF316" s="5">
        <f t="shared" si="18"/>
        <v>2025</v>
      </c>
    </row>
    <row r="317" s="5" customFormat="1" ht="13">
      <c r="A317" s="5">
        <v>12315</v>
      </c>
      <c r="B317" s="5" t="s">
        <v>73</v>
      </c>
      <c r="C317" s="5" t="s">
        <v>45</v>
      </c>
      <c r="D317" s="5" t="s">
        <v>21</v>
      </c>
      <c r="E317" s="5" t="s">
        <v>34</v>
      </c>
      <c r="F317" s="5" t="s">
        <v>46</v>
      </c>
      <c r="G317" s="5" t="s">
        <v>55</v>
      </c>
      <c r="H317" s="9" t="s">
        <v>108</v>
      </c>
      <c r="I317" s="10">
        <v>44704</v>
      </c>
      <c r="J317" s="10">
        <v>45796</v>
      </c>
      <c r="K317" s="5" t="s">
        <v>49</v>
      </c>
      <c r="L317" s="5" t="s">
        <v>58</v>
      </c>
      <c r="M317" s="11">
        <v>0.059999999999999998</v>
      </c>
      <c r="N317" s="5" t="e">
        <f>IF(AND(M317&gt;#REF!,Cartera!O44="Guaraníes"),"Rendimiento significativo",IF(AND(M317&gt;#REF!,Cartera!O44="Dólares americanos"),"Rendimiento significativo","Rendimiento no significativo"))</f>
        <v>#REF!</v>
      </c>
      <c r="O317" s="5" t="s">
        <v>51</v>
      </c>
      <c r="P317" s="13">
        <v>373.9726</v>
      </c>
      <c r="Q317" s="12" t="e">
        <f>IF(O317="Guaraníes",P317,P317*#REF!)</f>
        <v>#REF!</v>
      </c>
      <c r="R317" s="12">
        <f>IF(O317="Guaraníes",P317/#REF!,P317)</f>
        <v>373.9726</v>
      </c>
      <c r="S317" s="5" t="s">
        <v>42</v>
      </c>
      <c r="V317" s="5">
        <v>14.958904</v>
      </c>
      <c r="AA317" s="5">
        <v>25</v>
      </c>
      <c r="AC317" s="5" t="str">
        <f t="shared" si="16"/>
        <v>Bonos</v>
      </c>
      <c r="AD317" s="5" t="s">
        <v>43</v>
      </c>
      <c r="AE317" s="5">
        <f t="shared" si="17"/>
        <v>5</v>
      </c>
      <c r="AF317" s="5">
        <f t="shared" si="18"/>
        <v>2025</v>
      </c>
    </row>
    <row r="318" s="5" customFormat="1" ht="13">
      <c r="A318" s="5">
        <v>12315</v>
      </c>
      <c r="B318" s="5" t="s">
        <v>73</v>
      </c>
      <c r="C318" s="5" t="s">
        <v>45</v>
      </c>
      <c r="D318" s="5" t="s">
        <v>21</v>
      </c>
      <c r="E318" s="5" t="s">
        <v>34</v>
      </c>
      <c r="F318" s="5" t="s">
        <v>46</v>
      </c>
      <c r="G318" s="5" t="s">
        <v>86</v>
      </c>
      <c r="H318" s="9" t="s">
        <v>108</v>
      </c>
      <c r="I318" s="10">
        <v>44704</v>
      </c>
      <c r="J318" s="10">
        <v>45796</v>
      </c>
      <c r="K318" s="5" t="s">
        <v>49</v>
      </c>
      <c r="L318" s="5" t="s">
        <v>58</v>
      </c>
      <c r="M318" s="11">
        <v>0.059999999999999998</v>
      </c>
      <c r="N318" s="5" t="e">
        <f>IF(AND(M318&gt;#REF!,Cartera!O338="Guaraníes"),"Rendimiento significativo",IF(AND(M318&gt;#REF!,Cartera!O338="Dólares americanos"),"Rendimiento significativo","Rendimiento no significativo"))</f>
        <v>#REF!</v>
      </c>
      <c r="O318" s="5" t="s">
        <v>51</v>
      </c>
      <c r="P318" s="13">
        <v>478.68492800000001</v>
      </c>
      <c r="Q318" s="12" t="e">
        <f>IF(O318="Guaraníes",P318,P318*#REF!)</f>
        <v>#REF!</v>
      </c>
      <c r="R318" s="12">
        <f>IF(O318="Guaraníes",P318/#REF!,P318)</f>
        <v>478.68492800000001</v>
      </c>
      <c r="S318" s="5" t="s">
        <v>42</v>
      </c>
      <c r="AA318" s="5">
        <v>32</v>
      </c>
      <c r="AC318" s="5" t="str">
        <f t="shared" si="16"/>
        <v>Bonos</v>
      </c>
      <c r="AD318" s="5" t="s">
        <v>43</v>
      </c>
      <c r="AE318" s="5">
        <f t="shared" si="17"/>
        <v>5</v>
      </c>
      <c r="AF318" s="5">
        <f t="shared" si="18"/>
        <v>2025</v>
      </c>
    </row>
    <row r="319" s="5" customFormat="1" ht="13">
      <c r="A319" s="5">
        <v>12315</v>
      </c>
      <c r="B319" s="5" t="s">
        <v>73</v>
      </c>
      <c r="C319" s="5" t="s">
        <v>176</v>
      </c>
      <c r="D319" s="5" t="s">
        <v>21</v>
      </c>
      <c r="E319" s="5" t="s">
        <v>34</v>
      </c>
      <c r="F319" s="5" t="s">
        <v>68</v>
      </c>
      <c r="G319" s="5" t="s">
        <v>91</v>
      </c>
      <c r="H319" s="9" t="s">
        <v>177</v>
      </c>
      <c r="I319" s="10"/>
      <c r="J319" s="10">
        <v>45798</v>
      </c>
      <c r="K319" s="5" t="s">
        <v>178</v>
      </c>
      <c r="L319" s="5" t="s">
        <v>58</v>
      </c>
      <c r="M319" s="11">
        <v>0.085000000000000006</v>
      </c>
      <c r="N319" s="5" t="e">
        <f>IF(AND(M319&gt;#REF!,Cartera!O1873="Guaraníes"),"Rendimiento significativo",IF(AND(M319&gt;#REF!,Cartera!O1873="Dólares americanos"),"Rendimiento significativo","Rendimiento no significativo"))</f>
        <v>#REF!</v>
      </c>
      <c r="O319" s="5" t="s">
        <v>51</v>
      </c>
      <c r="P319" s="13">
        <v>560.95890000000009</v>
      </c>
      <c r="Q319" s="13" t="e">
        <f>IF(O319="Guaraníes",P319,P319*#REF!)</f>
        <v>#REF!</v>
      </c>
      <c r="R319" s="12">
        <f>IF(O319="Guaraníes",P319/#REF!,P319)</f>
        <v>560.95890000000009</v>
      </c>
      <c r="S319" s="5" t="s">
        <v>42</v>
      </c>
      <c r="T319" s="5">
        <v>3253</v>
      </c>
      <c r="W319" s="5" t="s">
        <v>65</v>
      </c>
      <c r="X319" s="5">
        <v>0</v>
      </c>
      <c r="Y319" s="5">
        <v>0</v>
      </c>
      <c r="Z319" s="5">
        <v>18.698630000000001</v>
      </c>
      <c r="AA319" s="5">
        <v>30</v>
      </c>
      <c r="AB319" s="5">
        <v>560.95889999999997</v>
      </c>
      <c r="AC319" s="5" t="str">
        <f t="shared" si="16"/>
        <v>Bonos</v>
      </c>
      <c r="AD319" s="5" t="s">
        <v>43</v>
      </c>
      <c r="AE319" s="5">
        <f t="shared" si="17"/>
        <v>5</v>
      </c>
      <c r="AF319" s="5">
        <f t="shared" si="18"/>
        <v>2025</v>
      </c>
    </row>
    <row r="320" s="5" customFormat="1" ht="13">
      <c r="A320" s="5">
        <v>12315</v>
      </c>
      <c r="B320" s="5" t="s">
        <v>73</v>
      </c>
      <c r="C320" s="5" t="s">
        <v>222</v>
      </c>
      <c r="D320" s="5" t="s">
        <v>21</v>
      </c>
      <c r="E320" s="5" t="s">
        <v>34</v>
      </c>
      <c r="F320" s="5" t="s">
        <v>68</v>
      </c>
      <c r="G320" s="5" t="s">
        <v>91</v>
      </c>
      <c r="H320" s="9" t="s">
        <v>223</v>
      </c>
      <c r="I320" s="10"/>
      <c r="J320" s="10">
        <v>45799</v>
      </c>
      <c r="K320" s="5" t="s">
        <v>127</v>
      </c>
      <c r="L320" s="5" t="s">
        <v>50</v>
      </c>
      <c r="M320" s="11">
        <v>0.070000000000000007</v>
      </c>
      <c r="N320" s="5" t="e">
        <f>IF(AND(M320&gt;#REF!,Cartera!O1874="Guaraníes"),"Rendimiento significativo",IF(AND(M320&gt;#REF!,Cartera!O1874="Dólares americanos"),"Rendimiento significativo","Rendimiento no significativo"))</f>
        <v>#REF!</v>
      </c>
      <c r="O320" s="5" t="s">
        <v>51</v>
      </c>
      <c r="P320" s="13">
        <v>1745.2055</v>
      </c>
      <c r="Q320" s="13" t="e">
        <f>IF(O320="Guaraníes",P320,P320*#REF!)</f>
        <v>#REF!</v>
      </c>
      <c r="R320" s="12">
        <f>IF(O320="Guaraníes",P320/#REF!,P320)</f>
        <v>1745.2055</v>
      </c>
      <c r="S320" s="5" t="s">
        <v>42</v>
      </c>
      <c r="T320" s="5">
        <v>3253</v>
      </c>
      <c r="W320" s="5" t="s">
        <v>65</v>
      </c>
      <c r="X320" s="5">
        <v>0</v>
      </c>
      <c r="Y320" s="5">
        <v>0</v>
      </c>
      <c r="Z320" s="5">
        <v>34.904110000000003</v>
      </c>
      <c r="AA320" s="5">
        <v>50</v>
      </c>
      <c r="AB320" s="5">
        <v>1745.2055</v>
      </c>
      <c r="AC320" s="5" t="str">
        <f t="shared" ref="AC320:AC383" si="19">IF(ISNUMBER(SEARCH("Acciones",L320)),"Acciones",IF(ISNUMBER(SEARCH("Bono",L320)),"Bonos",IF(ISNUMBER(SEARCH("CDA",L320)),"CDA",IF(ISNUMBER(SEARCH("Fondo",L320)),"Fondo",0))))</f>
        <v>Bonos</v>
      </c>
      <c r="AD320" s="5" t="s">
        <v>43</v>
      </c>
      <c r="AE320" s="5">
        <f t="shared" si="17"/>
        <v>5</v>
      </c>
      <c r="AF320" s="5">
        <f t="shared" si="18"/>
        <v>2025</v>
      </c>
    </row>
    <row r="321" s="5" customFormat="1" ht="13">
      <c r="A321" s="5">
        <v>12315</v>
      </c>
      <c r="B321" s="5" t="s">
        <v>73</v>
      </c>
      <c r="C321" s="5" t="s">
        <v>60</v>
      </c>
      <c r="D321" s="5" t="s">
        <v>21</v>
      </c>
      <c r="E321" s="5" t="s">
        <v>34</v>
      </c>
      <c r="F321" s="5" t="s">
        <v>68</v>
      </c>
      <c r="H321" s="9"/>
      <c r="I321" s="10">
        <v>45527</v>
      </c>
      <c r="J321" s="10">
        <v>45800</v>
      </c>
      <c r="L321" s="5" t="s">
        <v>82</v>
      </c>
      <c r="M321" s="11">
        <v>0.057500000000000002</v>
      </c>
      <c r="N321" s="5"/>
      <c r="O321" s="5" t="s">
        <v>51</v>
      </c>
      <c r="P321" s="13">
        <v>286.70999999999998</v>
      </c>
      <c r="Q321" s="12" t="e">
        <f>IF(O321="Guaraníes",P321,P321*#REF!)</f>
        <v>#REF!</v>
      </c>
      <c r="R321" s="13">
        <f>IF(O321="Guaraníes",P321/#REF!,P321)</f>
        <v>286.70999999999998</v>
      </c>
      <c r="S321" s="5" t="s">
        <v>120</v>
      </c>
      <c r="AC321" s="5" t="str">
        <f t="shared" si="19"/>
        <v>CDA</v>
      </c>
      <c r="AD321" s="5" t="s">
        <v>43</v>
      </c>
      <c r="AE321" s="5">
        <f t="shared" si="17"/>
        <v>5</v>
      </c>
      <c r="AF321" s="5">
        <f t="shared" si="18"/>
        <v>2025</v>
      </c>
    </row>
    <row r="322" s="5" customFormat="1" ht="13">
      <c r="A322" s="5">
        <v>12316</v>
      </c>
      <c r="B322" s="5" t="s">
        <v>78</v>
      </c>
      <c r="C322" s="5" t="s">
        <v>94</v>
      </c>
      <c r="D322" s="5" t="s">
        <v>21</v>
      </c>
      <c r="E322" s="5" t="s">
        <v>34</v>
      </c>
      <c r="F322" s="5" t="s">
        <v>68</v>
      </c>
      <c r="H322" s="9" t="s">
        <v>182</v>
      </c>
      <c r="I322" s="10">
        <v>45530</v>
      </c>
      <c r="J322" s="10">
        <v>45800</v>
      </c>
      <c r="L322" s="5" t="s">
        <v>82</v>
      </c>
      <c r="M322" s="11">
        <v>0.082500000000000004</v>
      </c>
      <c r="N322" s="5"/>
      <c r="O322" s="5" t="s">
        <v>41</v>
      </c>
      <c r="P322" s="13">
        <v>4068493</v>
      </c>
      <c r="Q322" s="12">
        <f>IF(O322="Guaraníes",P322,P322*#REF!)</f>
        <v>4068493</v>
      </c>
      <c r="R322" s="13" t="e">
        <f>IF(O322="Guaraníes",P322/#REF!,P322)</f>
        <v>#REF!</v>
      </c>
      <c r="S322" s="5" t="s">
        <v>120</v>
      </c>
      <c r="AC322" s="5" t="str">
        <f t="shared" si="19"/>
        <v>CDA</v>
      </c>
      <c r="AD322" s="5" t="s">
        <v>43</v>
      </c>
      <c r="AE322" s="5">
        <f t="shared" si="17"/>
        <v>5</v>
      </c>
      <c r="AF322" s="5">
        <f t="shared" si="18"/>
        <v>2025</v>
      </c>
    </row>
    <row r="323" s="5" customFormat="1" ht="13">
      <c r="A323" s="5">
        <v>12315</v>
      </c>
      <c r="B323" s="5" t="s">
        <v>73</v>
      </c>
      <c r="C323" s="5" t="s">
        <v>116</v>
      </c>
      <c r="D323" s="5" t="s">
        <v>21</v>
      </c>
      <c r="E323" s="5" t="s">
        <v>34</v>
      </c>
      <c r="F323" s="5" t="s">
        <v>68</v>
      </c>
      <c r="H323" s="9">
        <v>1519</v>
      </c>
      <c r="I323" s="10"/>
      <c r="J323" s="10">
        <v>45804</v>
      </c>
      <c r="K323" s="5" t="s">
        <v>118</v>
      </c>
      <c r="L323" s="5" t="s">
        <v>82</v>
      </c>
      <c r="M323" s="11">
        <v>0.105</v>
      </c>
      <c r="N323" s="5" t="e">
        <f>IF(AND(M323&gt;#REF!,Cartera!O2953="Guaraníes"),"Rendimiento significativo",IF(AND(M323&gt;#REF!,Cartera!O2953="Dólares americanos"),"Rendimiento significativo","Rendimiento no significativo"))</f>
        <v>#REF!</v>
      </c>
      <c r="O323" s="5" t="s">
        <v>51</v>
      </c>
      <c r="P323" s="13">
        <v>877.44000000000005</v>
      </c>
      <c r="Q323" s="13" t="e">
        <f>IF(O323="Guaraníes",P323,P323*#REF!)</f>
        <v>#REF!</v>
      </c>
      <c r="R323" s="12">
        <f>IF(O323="Guaraníes",P323/#REF!,P323)</f>
        <v>877.44000000000005</v>
      </c>
      <c r="S323" s="5" t="s">
        <v>42</v>
      </c>
      <c r="V323" s="5">
        <v>877.44000000000005</v>
      </c>
      <c r="W323" s="5" t="s">
        <v>224</v>
      </c>
      <c r="AC323" s="5" t="str">
        <f t="shared" si="19"/>
        <v>CDA</v>
      </c>
      <c r="AD323" s="5" t="s">
        <v>43</v>
      </c>
      <c r="AE323" s="5">
        <f t="shared" si="17"/>
        <v>5</v>
      </c>
      <c r="AF323" s="5">
        <f t="shared" si="18"/>
        <v>2025</v>
      </c>
    </row>
    <row r="324" s="5" customFormat="1" ht="13">
      <c r="A324" s="5">
        <v>12316</v>
      </c>
      <c r="B324" s="5" t="s">
        <v>78</v>
      </c>
      <c r="C324" s="5" t="s">
        <v>138</v>
      </c>
      <c r="D324" s="5" t="s">
        <v>21</v>
      </c>
      <c r="E324" s="5" t="s">
        <v>34</v>
      </c>
      <c r="F324" s="5" t="s">
        <v>68</v>
      </c>
      <c r="G324" s="5" t="s">
        <v>86</v>
      </c>
      <c r="H324" s="9" t="s">
        <v>139</v>
      </c>
      <c r="I324" s="10">
        <v>43948</v>
      </c>
      <c r="J324" s="10">
        <v>45805</v>
      </c>
      <c r="K324" s="5" t="s">
        <v>140</v>
      </c>
      <c r="L324" s="5" t="s">
        <v>58</v>
      </c>
      <c r="M324" s="11">
        <v>0.11</v>
      </c>
      <c r="N324" s="5" t="e">
        <f>IF(AND(M324&gt;#REF!,Cartera!O3276="Guaraníes"),"Rendimiento significativo",IF(AND(M324&gt;#REF!,Cartera!O3276="Dólares americanos"),"Rendimiento significativo","Rendimiento no significativo"))</f>
        <v>#REF!</v>
      </c>
      <c r="O324" s="5" t="s">
        <v>41</v>
      </c>
      <c r="P324" s="12">
        <v>904109.58900000004</v>
      </c>
      <c r="Q324" s="13">
        <f>IF(O324="Guaraníes",P324,P324*#REF!)</f>
        <v>904109.58900000004</v>
      </c>
      <c r="R324" s="12" t="e">
        <f>IF(O324="Guaraníes",P324/#REF!,P324)</f>
        <v>#REF!</v>
      </c>
      <c r="S324" s="5" t="s">
        <v>42</v>
      </c>
      <c r="AC324" s="5" t="str">
        <f t="shared" si="19"/>
        <v>Bonos</v>
      </c>
      <c r="AD324" s="5" t="s">
        <v>43</v>
      </c>
      <c r="AE324" s="5">
        <f t="shared" si="17"/>
        <v>5</v>
      </c>
      <c r="AF324" s="5">
        <f t="shared" si="18"/>
        <v>2025</v>
      </c>
    </row>
    <row r="325" s="5" customFormat="1" ht="13">
      <c r="A325" s="5">
        <v>12316</v>
      </c>
      <c r="B325" s="5" t="s">
        <v>78</v>
      </c>
      <c r="C325" s="5" t="s">
        <v>164</v>
      </c>
      <c r="D325" s="5" t="s">
        <v>21</v>
      </c>
      <c r="E325" s="5" t="s">
        <v>34</v>
      </c>
      <c r="F325" s="5" t="s">
        <v>68</v>
      </c>
      <c r="G325" s="5" t="s">
        <v>145</v>
      </c>
      <c r="H325" s="9" t="s">
        <v>165</v>
      </c>
      <c r="I325" s="10"/>
      <c r="J325" s="10">
        <v>45807</v>
      </c>
      <c r="K325" s="5" t="s">
        <v>124</v>
      </c>
      <c r="L325" s="5" t="s">
        <v>58</v>
      </c>
      <c r="M325" s="11">
        <v>0.10000000000000001</v>
      </c>
      <c r="N325" s="5" t="e">
        <f>IF(AND(M325&gt;#REF!,Cartera!O1516="Guaraníes"),"Rendimiento significativo",IF(AND(M325&gt;#REF!,Cartera!O1516="Dólares americanos"),"Rendimiento significativo","Rendimiento no significativo"))</f>
        <v>#REF!</v>
      </c>
      <c r="O325" s="5" t="s">
        <v>41</v>
      </c>
      <c r="P325" s="12">
        <v>3287671.2328000003</v>
      </c>
      <c r="Q325" s="12">
        <f>IF(O325="Guaraníes",P325,P325*#REF!)</f>
        <v>3287671.2328000003</v>
      </c>
      <c r="R325" s="12" t="e">
        <f>IF(O325="Guaraníes",P325/#REF!,P325)</f>
        <v>#REF!</v>
      </c>
      <c r="S325" s="5" t="s">
        <v>42</v>
      </c>
      <c r="T325" s="5">
        <v>1057</v>
      </c>
      <c r="W325" s="5" t="s">
        <v>65</v>
      </c>
      <c r="X325" s="5">
        <v>0</v>
      </c>
      <c r="Y325" s="5">
        <v>0</v>
      </c>
      <c r="Z325" s="5">
        <v>8219.1780820000004</v>
      </c>
      <c r="AA325" s="5">
        <v>400</v>
      </c>
      <c r="AB325" s="5">
        <v>3287671.2327999999</v>
      </c>
      <c r="AC325" s="5" t="str">
        <f t="shared" si="19"/>
        <v>Bonos</v>
      </c>
      <c r="AD325" s="5" t="s">
        <v>43</v>
      </c>
      <c r="AE325" s="5">
        <f t="shared" si="17"/>
        <v>5</v>
      </c>
      <c r="AF325" s="5">
        <f t="shared" si="18"/>
        <v>2025</v>
      </c>
    </row>
    <row r="326" s="5" customFormat="1" ht="13">
      <c r="A326" s="5">
        <v>12302</v>
      </c>
      <c r="B326" s="5" t="s">
        <v>98</v>
      </c>
      <c r="C326" s="5" t="s">
        <v>212</v>
      </c>
      <c r="D326" s="5" t="s">
        <v>20</v>
      </c>
      <c r="E326" s="5" t="s">
        <v>34</v>
      </c>
      <c r="F326" s="5" t="s">
        <v>68</v>
      </c>
      <c r="G326" s="5" t="s">
        <v>86</v>
      </c>
      <c r="H326" s="9" t="s">
        <v>213</v>
      </c>
      <c r="I326" s="10">
        <v>44651</v>
      </c>
      <c r="J326" s="10">
        <v>48291</v>
      </c>
      <c r="K326" s="5" t="s">
        <v>81</v>
      </c>
      <c r="L326" s="5" t="s">
        <v>58</v>
      </c>
      <c r="M326" s="11">
        <v>0.053499999999999999</v>
      </c>
      <c r="N326" s="5" t="e">
        <f>IF(AND(M326&gt;#REF!,Cartera!O326="Guaraníes"),"Rendimiento significativo",IF(AND(M326&gt;#REF!,Cartera!O326="Dólares americanos"),"Rendimiento significativo","Rendimiento no significativo"))</f>
        <v>#REF!</v>
      </c>
      <c r="O326" s="5" t="s">
        <v>51</v>
      </c>
      <c r="P326" s="13">
        <v>100000</v>
      </c>
      <c r="Q326" s="12" t="e">
        <f>IF(O326="Guaraníes",P326,P326*#REF!)</f>
        <v>#REF!</v>
      </c>
      <c r="R326" s="12">
        <f>IF(O326="Guaraníes",P326/#REF!,P326)</f>
        <v>100000</v>
      </c>
      <c r="S326" s="5" t="s">
        <v>42</v>
      </c>
      <c r="V326" s="5">
        <v>39000</v>
      </c>
      <c r="AA326" s="5">
        <v>900</v>
      </c>
      <c r="AC326" s="5" t="str">
        <f t="shared" si="19"/>
        <v>Bonos</v>
      </c>
      <c r="AD326" s="5" t="s">
        <v>43</v>
      </c>
      <c r="AE326" s="5">
        <f t="shared" si="17"/>
        <v>3</v>
      </c>
      <c r="AF326" s="5">
        <f t="shared" si="18"/>
        <v>2032</v>
      </c>
    </row>
    <row r="327" s="5" customFormat="1" ht="13">
      <c r="A327" s="5" t="s">
        <v>44</v>
      </c>
      <c r="B327" s="5" t="s">
        <v>44</v>
      </c>
      <c r="C327" s="5" t="s">
        <v>45</v>
      </c>
      <c r="D327" s="5" t="s">
        <v>21</v>
      </c>
      <c r="E327" s="5" t="s">
        <v>44</v>
      </c>
      <c r="F327" s="5" t="s">
        <v>46</v>
      </c>
      <c r="G327" s="5" t="s">
        <v>86</v>
      </c>
      <c r="H327" s="9" t="s">
        <v>108</v>
      </c>
      <c r="I327" s="10">
        <v>44704</v>
      </c>
      <c r="J327" s="10">
        <v>44795</v>
      </c>
      <c r="K327" s="5" t="s">
        <v>49</v>
      </c>
      <c r="L327" s="5" t="s">
        <v>58</v>
      </c>
      <c r="M327" s="11">
        <v>0.059999999999999998</v>
      </c>
      <c r="N327" s="5" t="e">
        <f>IF(AND(M327&gt;#REF!,Cartera!O327="Guaraníes"),"Rendimiento significativo",IF(AND(M327&gt;#REF!,Cartera!O327="Dólares americanos"),"Rendimiento significativo","Rendimiento no significativo"))</f>
        <v>#REF!</v>
      </c>
      <c r="O327" s="5" t="s">
        <v>51</v>
      </c>
      <c r="P327" s="13">
        <v>478.68492800000001</v>
      </c>
      <c r="Q327" s="12" t="e">
        <f>IF(O327="Guaraníes",P327,P327*#REF!)</f>
        <v>#REF!</v>
      </c>
      <c r="R327" s="12">
        <f>IF(O327="Guaraníes",P327/#REF!,P327)</f>
        <v>478.68492800000001</v>
      </c>
      <c r="S327" s="5" t="s">
        <v>52</v>
      </c>
      <c r="AA327" s="5">
        <v>32</v>
      </c>
      <c r="AC327" s="5" t="str">
        <f t="shared" si="19"/>
        <v>Bonos</v>
      </c>
      <c r="AD327" s="5" t="s">
        <v>43</v>
      </c>
      <c r="AE327" s="5">
        <f t="shared" si="17"/>
        <v>8</v>
      </c>
      <c r="AF327" s="5">
        <f t="shared" si="18"/>
        <v>2022</v>
      </c>
    </row>
    <row r="328" s="5" customFormat="1" ht="13">
      <c r="A328" s="5" t="s">
        <v>44</v>
      </c>
      <c r="B328" s="5" t="s">
        <v>44</v>
      </c>
      <c r="C328" s="5" t="s">
        <v>45</v>
      </c>
      <c r="D328" s="5" t="s">
        <v>21</v>
      </c>
      <c r="E328" s="5" t="s">
        <v>44</v>
      </c>
      <c r="F328" s="5" t="s">
        <v>46</v>
      </c>
      <c r="G328" s="5" t="s">
        <v>86</v>
      </c>
      <c r="H328" s="9" t="s">
        <v>108</v>
      </c>
      <c r="I328" s="10">
        <v>44704</v>
      </c>
      <c r="J328" s="10">
        <v>44886</v>
      </c>
      <c r="K328" s="5" t="s">
        <v>49</v>
      </c>
      <c r="L328" s="5" t="s">
        <v>58</v>
      </c>
      <c r="M328" s="11">
        <v>0.059999999999999998</v>
      </c>
      <c r="N328" s="5" t="e">
        <f>IF(AND(M328&gt;#REF!,Cartera!O328="Guaraníes"),"Rendimiento significativo",IF(AND(M328&gt;#REF!,Cartera!O328="Dólares americanos"),"Rendimiento significativo","Rendimiento no significativo"))</f>
        <v>#REF!</v>
      </c>
      <c r="O328" s="5" t="s">
        <v>51</v>
      </c>
      <c r="P328" s="13">
        <v>478.68492800000001</v>
      </c>
      <c r="Q328" s="12" t="e">
        <f>IF(O328="Guaraníes",P328,P328*#REF!)</f>
        <v>#REF!</v>
      </c>
      <c r="R328" s="12">
        <f>IF(O328="Guaraníes",P328/#REF!,P328)</f>
        <v>478.68492800000001</v>
      </c>
      <c r="S328" s="5" t="s">
        <v>52</v>
      </c>
      <c r="AA328" s="5">
        <v>32</v>
      </c>
      <c r="AC328" s="5" t="str">
        <f t="shared" si="19"/>
        <v>Bonos</v>
      </c>
      <c r="AD328" s="5" t="s">
        <v>43</v>
      </c>
      <c r="AE328" s="5">
        <f t="shared" si="17"/>
        <v>11</v>
      </c>
      <c r="AF328" s="5">
        <f t="shared" si="18"/>
        <v>2022</v>
      </c>
    </row>
    <row r="329" s="5" customFormat="1" ht="13">
      <c r="A329" s="5" t="s">
        <v>44</v>
      </c>
      <c r="B329" s="5" t="s">
        <v>44</v>
      </c>
      <c r="C329" s="5" t="s">
        <v>45</v>
      </c>
      <c r="D329" s="5" t="s">
        <v>21</v>
      </c>
      <c r="E329" s="5" t="s">
        <v>44</v>
      </c>
      <c r="F329" s="5" t="s">
        <v>46</v>
      </c>
      <c r="G329" s="5" t="s">
        <v>86</v>
      </c>
      <c r="H329" s="9" t="s">
        <v>108</v>
      </c>
      <c r="I329" s="10">
        <v>44704</v>
      </c>
      <c r="J329" s="10">
        <v>44977</v>
      </c>
      <c r="K329" s="5" t="s">
        <v>49</v>
      </c>
      <c r="L329" s="5" t="s">
        <v>58</v>
      </c>
      <c r="M329" s="11">
        <v>0.059999999999999998</v>
      </c>
      <c r="N329" s="5" t="e">
        <f>IF(AND(M329&gt;#REF!,Cartera!O329="Guaraníes"),"Rendimiento significativo",IF(AND(M329&gt;#REF!,Cartera!O329="Dólares americanos"),"Rendimiento significativo","Rendimiento no significativo"))</f>
        <v>#REF!</v>
      </c>
      <c r="O329" s="5" t="s">
        <v>51</v>
      </c>
      <c r="P329" s="13">
        <v>478.68492800000001</v>
      </c>
      <c r="Q329" s="12" t="e">
        <f>IF(O329="Guaraníes",P329,P329*#REF!)</f>
        <v>#REF!</v>
      </c>
      <c r="R329" s="12">
        <f>IF(O329="Guaraníes",P329/#REF!,P329)</f>
        <v>478.68492800000001</v>
      </c>
      <c r="S329" s="5" t="s">
        <v>52</v>
      </c>
      <c r="AA329" s="5">
        <v>32</v>
      </c>
      <c r="AC329" s="5" t="str">
        <f t="shared" si="19"/>
        <v>Bonos</v>
      </c>
      <c r="AD329" s="5" t="s">
        <v>43</v>
      </c>
      <c r="AE329" s="5">
        <f t="shared" si="17"/>
        <v>2</v>
      </c>
      <c r="AF329" s="5">
        <f t="shared" si="18"/>
        <v>2023</v>
      </c>
    </row>
    <row r="330" s="5" customFormat="1" ht="13">
      <c r="A330" s="5" t="s">
        <v>44</v>
      </c>
      <c r="B330" s="5" t="s">
        <v>44</v>
      </c>
      <c r="C330" s="5" t="s">
        <v>45</v>
      </c>
      <c r="D330" s="5" t="s">
        <v>21</v>
      </c>
      <c r="E330" s="5" t="s">
        <v>44</v>
      </c>
      <c r="F330" s="5" t="s">
        <v>46</v>
      </c>
      <c r="G330" s="5" t="s">
        <v>86</v>
      </c>
      <c r="H330" s="9" t="s">
        <v>108</v>
      </c>
      <c r="I330" s="10">
        <v>44704</v>
      </c>
      <c r="J330" s="10">
        <v>45068</v>
      </c>
      <c r="K330" s="5" t="s">
        <v>49</v>
      </c>
      <c r="L330" s="5" t="s">
        <v>58</v>
      </c>
      <c r="M330" s="11">
        <v>0.059999999999999998</v>
      </c>
      <c r="N330" s="5" t="e">
        <f>IF(AND(M330&gt;#REF!,Cartera!O330="Guaraníes"),"Rendimiento significativo",IF(AND(M330&gt;#REF!,Cartera!O330="Dólares americanos"),"Rendimiento significativo","Rendimiento no significativo"))</f>
        <v>#REF!</v>
      </c>
      <c r="O330" s="5" t="s">
        <v>51</v>
      </c>
      <c r="P330" s="13">
        <v>478.68492800000001</v>
      </c>
      <c r="Q330" s="12" t="e">
        <f>IF(O330="Guaraníes",P330,P330*#REF!)</f>
        <v>#REF!</v>
      </c>
      <c r="R330" s="12">
        <f>IF(O330="Guaraníes",P330/#REF!,P330)</f>
        <v>478.68492800000001</v>
      </c>
      <c r="S330" s="5" t="s">
        <v>52</v>
      </c>
      <c r="AA330" s="5">
        <v>32</v>
      </c>
      <c r="AC330" s="5" t="str">
        <f t="shared" si="19"/>
        <v>Bonos</v>
      </c>
      <c r="AD330" s="5" t="s">
        <v>43</v>
      </c>
      <c r="AE330" s="5">
        <f t="shared" si="17"/>
        <v>5</v>
      </c>
      <c r="AF330" s="5">
        <f t="shared" si="18"/>
        <v>2023</v>
      </c>
    </row>
    <row r="331" s="5" customFormat="1" ht="13">
      <c r="A331" s="5" t="s">
        <v>44</v>
      </c>
      <c r="B331" s="5" t="s">
        <v>44</v>
      </c>
      <c r="C331" s="5" t="s">
        <v>45</v>
      </c>
      <c r="D331" s="5" t="s">
        <v>21</v>
      </c>
      <c r="E331" s="5" t="s">
        <v>44</v>
      </c>
      <c r="F331" s="5" t="s">
        <v>46</v>
      </c>
      <c r="G331" s="5" t="s">
        <v>86</v>
      </c>
      <c r="H331" s="9" t="s">
        <v>108</v>
      </c>
      <c r="I331" s="10">
        <v>44704</v>
      </c>
      <c r="J331" s="10">
        <v>45159</v>
      </c>
      <c r="K331" s="5" t="s">
        <v>49</v>
      </c>
      <c r="L331" s="5" t="s">
        <v>58</v>
      </c>
      <c r="M331" s="11">
        <v>0.059999999999999998</v>
      </c>
      <c r="N331" s="5" t="e">
        <f>IF(AND(M331&gt;#REF!,Cartera!O331="Guaraníes"),"Rendimiento significativo",IF(AND(M331&gt;#REF!,Cartera!O331="Dólares americanos"),"Rendimiento significativo","Rendimiento no significativo"))</f>
        <v>#REF!</v>
      </c>
      <c r="O331" s="5" t="s">
        <v>51</v>
      </c>
      <c r="P331" s="13">
        <v>478.68492800000001</v>
      </c>
      <c r="Q331" s="12" t="e">
        <f>IF(O331="Guaraníes",P331,P331*#REF!)</f>
        <v>#REF!</v>
      </c>
      <c r="R331" s="12">
        <f>IF(O331="Guaraníes",P331/#REF!,P331)</f>
        <v>478.68492800000001</v>
      </c>
      <c r="S331" s="5" t="s">
        <v>52</v>
      </c>
      <c r="AA331" s="5">
        <v>32</v>
      </c>
      <c r="AC331" s="5" t="str">
        <f t="shared" si="19"/>
        <v>Bonos</v>
      </c>
      <c r="AD331" s="5" t="s">
        <v>43</v>
      </c>
      <c r="AE331" s="5">
        <f t="shared" si="17"/>
        <v>8</v>
      </c>
      <c r="AF331" s="5">
        <f t="shared" si="18"/>
        <v>2023</v>
      </c>
    </row>
    <row r="332" s="5" customFormat="1" ht="13">
      <c r="A332" s="5" t="s">
        <v>44</v>
      </c>
      <c r="B332" s="5" t="s">
        <v>44</v>
      </c>
      <c r="C332" s="5" t="s">
        <v>45</v>
      </c>
      <c r="D332" s="5" t="s">
        <v>21</v>
      </c>
      <c r="E332" s="5" t="s">
        <v>44</v>
      </c>
      <c r="F332" s="5" t="s">
        <v>46</v>
      </c>
      <c r="G332" s="5" t="s">
        <v>86</v>
      </c>
      <c r="H332" s="9" t="s">
        <v>108</v>
      </c>
      <c r="I332" s="10">
        <v>44704</v>
      </c>
      <c r="J332" s="10">
        <v>45250</v>
      </c>
      <c r="K332" s="5" t="s">
        <v>49</v>
      </c>
      <c r="L332" s="5" t="s">
        <v>58</v>
      </c>
      <c r="M332" s="11">
        <v>0.059999999999999998</v>
      </c>
      <c r="N332" s="5" t="e">
        <f>IF(AND(M332&gt;#REF!,Cartera!O332="Guaraníes"),"Rendimiento significativo",IF(AND(M332&gt;#REF!,Cartera!O332="Dólares americanos"),"Rendimiento significativo","Rendimiento no significativo"))</f>
        <v>#REF!</v>
      </c>
      <c r="O332" s="5" t="s">
        <v>51</v>
      </c>
      <c r="P332" s="13">
        <v>478.68492800000001</v>
      </c>
      <c r="Q332" s="12" t="e">
        <f>IF(O332="Guaraníes",P332,P332*#REF!)</f>
        <v>#REF!</v>
      </c>
      <c r="R332" s="12">
        <f>IF(O332="Guaraníes",P332/#REF!,P332)</f>
        <v>478.68492800000001</v>
      </c>
      <c r="S332" s="5" t="s">
        <v>52</v>
      </c>
      <c r="AA332" s="5">
        <v>32</v>
      </c>
      <c r="AC332" s="5" t="str">
        <f t="shared" si="19"/>
        <v>Bonos</v>
      </c>
      <c r="AD332" s="5" t="s">
        <v>43</v>
      </c>
      <c r="AE332" s="5">
        <f t="shared" si="17"/>
        <v>11</v>
      </c>
      <c r="AF332" s="5">
        <f t="shared" si="18"/>
        <v>2023</v>
      </c>
    </row>
    <row r="333" s="5" customFormat="1" ht="13">
      <c r="A333" s="5" t="s">
        <v>44</v>
      </c>
      <c r="B333" s="5" t="s">
        <v>44</v>
      </c>
      <c r="C333" s="5" t="s">
        <v>45</v>
      </c>
      <c r="D333" s="5" t="s">
        <v>21</v>
      </c>
      <c r="E333" s="5" t="s">
        <v>44</v>
      </c>
      <c r="F333" s="5" t="s">
        <v>46</v>
      </c>
      <c r="G333" s="5" t="s">
        <v>86</v>
      </c>
      <c r="H333" s="9" t="s">
        <v>108</v>
      </c>
      <c r="I333" s="10">
        <v>44704</v>
      </c>
      <c r="J333" s="10">
        <v>45341</v>
      </c>
      <c r="K333" s="5" t="s">
        <v>49</v>
      </c>
      <c r="L333" s="5" t="s">
        <v>58</v>
      </c>
      <c r="M333" s="11">
        <v>0.059999999999999998</v>
      </c>
      <c r="N333" s="5" t="e">
        <f>IF(AND(M333&gt;#REF!,Cartera!O333="Guaraníes"),"Rendimiento significativo",IF(AND(M333&gt;#REF!,Cartera!O333="Dólares americanos"),"Rendimiento significativo","Rendimiento no significativo"))</f>
        <v>#REF!</v>
      </c>
      <c r="O333" s="5" t="s">
        <v>51</v>
      </c>
      <c r="P333" s="13">
        <v>478.68492800000001</v>
      </c>
      <c r="Q333" s="12" t="e">
        <f>IF(O333="Guaraníes",P333,P333*#REF!)</f>
        <v>#REF!</v>
      </c>
      <c r="R333" s="12">
        <f>IF(O333="Guaraníes",P333/#REF!,P333)</f>
        <v>478.68492800000001</v>
      </c>
      <c r="S333" s="5" t="s">
        <v>52</v>
      </c>
      <c r="AA333" s="5">
        <v>32</v>
      </c>
      <c r="AC333" s="5" t="str">
        <f t="shared" si="19"/>
        <v>Bonos</v>
      </c>
      <c r="AD333" s="5" t="s">
        <v>43</v>
      </c>
      <c r="AE333" s="5">
        <f t="shared" si="17"/>
        <v>2</v>
      </c>
      <c r="AF333" s="5">
        <f t="shared" si="18"/>
        <v>2024</v>
      </c>
    </row>
    <row r="334" s="5" customFormat="1" ht="13">
      <c r="A334" s="5" t="s">
        <v>44</v>
      </c>
      <c r="B334" s="5" t="s">
        <v>44</v>
      </c>
      <c r="C334" s="5" t="s">
        <v>45</v>
      </c>
      <c r="D334" s="5" t="s">
        <v>21</v>
      </c>
      <c r="E334" s="5" t="s">
        <v>44</v>
      </c>
      <c r="F334" s="5" t="s">
        <v>46</v>
      </c>
      <c r="G334" s="5" t="s">
        <v>86</v>
      </c>
      <c r="H334" s="9" t="s">
        <v>108</v>
      </c>
      <c r="I334" s="10">
        <v>44704</v>
      </c>
      <c r="J334" s="10">
        <v>45432</v>
      </c>
      <c r="K334" s="5" t="s">
        <v>49</v>
      </c>
      <c r="L334" s="5" t="s">
        <v>58</v>
      </c>
      <c r="M334" s="11">
        <v>0.059999999999999998</v>
      </c>
      <c r="N334" s="5" t="e">
        <f>IF(AND(M334&gt;#REF!,Cartera!O334="Guaraníes"),"Rendimiento significativo",IF(AND(M334&gt;#REF!,Cartera!O334="Dólares americanos"),"Rendimiento significativo","Rendimiento no significativo"))</f>
        <v>#REF!</v>
      </c>
      <c r="O334" s="5" t="s">
        <v>51</v>
      </c>
      <c r="P334" s="13">
        <v>478.68492800000001</v>
      </c>
      <c r="Q334" s="12" t="e">
        <f>IF(O334="Guaraníes",P334,P334*#REF!)</f>
        <v>#REF!</v>
      </c>
      <c r="R334" s="12">
        <f>IF(O334="Guaraníes",P334/#REF!,P334)</f>
        <v>478.68492800000001</v>
      </c>
      <c r="S334" s="5" t="s">
        <v>52</v>
      </c>
      <c r="AA334" s="5">
        <v>32</v>
      </c>
      <c r="AC334" s="5" t="str">
        <f t="shared" si="19"/>
        <v>Bonos</v>
      </c>
      <c r="AD334" s="5" t="s">
        <v>43</v>
      </c>
      <c r="AE334" s="5">
        <f t="shared" si="17"/>
        <v>5</v>
      </c>
      <c r="AF334" s="5">
        <f t="shared" si="18"/>
        <v>2024</v>
      </c>
    </row>
    <row r="335" s="5" customFormat="1" ht="13">
      <c r="A335" s="5" t="s">
        <v>44</v>
      </c>
      <c r="B335" s="5" t="s">
        <v>44</v>
      </c>
      <c r="C335" s="5" t="s">
        <v>33</v>
      </c>
      <c r="D335" s="5" t="s">
        <v>21</v>
      </c>
      <c r="E335" s="5" t="s">
        <v>44</v>
      </c>
      <c r="F335" s="5" t="s">
        <v>35</v>
      </c>
      <c r="G335" s="5" t="s">
        <v>75</v>
      </c>
      <c r="H335" s="9" t="s">
        <v>168</v>
      </c>
      <c r="I335" s="20"/>
      <c r="J335" s="10">
        <v>45510</v>
      </c>
      <c r="K335" s="5" t="s">
        <v>39</v>
      </c>
      <c r="L335" s="5" t="s">
        <v>50</v>
      </c>
      <c r="M335" s="11">
        <v>0.070000000000000007</v>
      </c>
      <c r="N335" s="5" t="e">
        <f>IF(AND(M335&gt;#REF!,Cartera!O887="Guaraníes"),"Rendimiento significativo",IF(AND(M335&gt;#REF!,Cartera!O887="Dólares americanos"),"Rendimiento significativo","Rendimiento no significativo"))</f>
        <v>#REF!</v>
      </c>
      <c r="O335" s="5" t="s">
        <v>51</v>
      </c>
      <c r="P335" s="13">
        <v>1221.6438500000002</v>
      </c>
      <c r="Q335" s="12" t="e">
        <f>IF(O335="Guaraníes",P335,P335*#REF!)</f>
        <v>#REF!</v>
      </c>
      <c r="R335" s="12">
        <f>IF(O335="Guaraníes",P335/#REF!,P335)</f>
        <v>1221.6438500000002</v>
      </c>
      <c r="S335" s="5" t="s">
        <v>52</v>
      </c>
      <c r="T335" s="5">
        <v>25</v>
      </c>
      <c r="W335" s="5" t="s">
        <v>65</v>
      </c>
      <c r="X335" s="5">
        <v>0</v>
      </c>
      <c r="Y335" s="5">
        <v>0</v>
      </c>
      <c r="Z335" s="5">
        <v>17.452055000000001</v>
      </c>
      <c r="AA335" s="5">
        <v>70</v>
      </c>
      <c r="AB335" s="5">
        <v>1221.6438499999999</v>
      </c>
      <c r="AC335" s="5" t="str">
        <f t="shared" si="19"/>
        <v>Bonos</v>
      </c>
      <c r="AD335" s="5" t="s">
        <v>43</v>
      </c>
      <c r="AE335" s="5">
        <f t="shared" si="17"/>
        <v>8</v>
      </c>
      <c r="AF335" s="5">
        <f t="shared" si="18"/>
        <v>2024</v>
      </c>
    </row>
    <row r="336" s="5" customFormat="1" ht="13">
      <c r="A336" s="5" t="s">
        <v>44</v>
      </c>
      <c r="B336" s="5" t="s">
        <v>44</v>
      </c>
      <c r="C336" s="5" t="s">
        <v>183</v>
      </c>
      <c r="D336" s="5" t="s">
        <v>21</v>
      </c>
      <c r="E336" s="5" t="s">
        <v>44</v>
      </c>
      <c r="F336" s="5" t="s">
        <v>184</v>
      </c>
      <c r="H336" s="9">
        <v>6217</v>
      </c>
      <c r="I336" s="10"/>
      <c r="J336" s="10">
        <v>45544</v>
      </c>
      <c r="K336" s="5" t="s">
        <v>124</v>
      </c>
      <c r="L336" s="5" t="s">
        <v>82</v>
      </c>
      <c r="M336" s="11">
        <v>0.072499999999999995</v>
      </c>
      <c r="N336" s="5" t="e">
        <f>IF(AND(M336&gt;#REF!,Cartera!O2933="Guaraníes"),"Rendimiento significativo",IF(AND(M336&gt;#REF!,Cartera!O2933="Dólares americanos"),"Rendimiento significativo","Rendimiento no significativo"))</f>
        <v>#REF!</v>
      </c>
      <c r="O336" s="5" t="s">
        <v>41</v>
      </c>
      <c r="P336" s="12">
        <v>17631870</v>
      </c>
      <c r="Q336" s="12">
        <f>IF(O336="Guaraníes",P336,P336*#REF!)</f>
        <v>17631870</v>
      </c>
      <c r="R336" s="12" t="e">
        <f>IF(O336="Guaraníes",P336/#REF!,P336)</f>
        <v>#REF!</v>
      </c>
      <c r="S336" s="5" t="s">
        <v>52</v>
      </c>
      <c r="V336" s="5">
        <v>17631870</v>
      </c>
      <c r="W336" s="5" t="s">
        <v>225</v>
      </c>
      <c r="AC336" s="5" t="str">
        <f t="shared" si="19"/>
        <v>CDA</v>
      </c>
      <c r="AD336" s="5" t="s">
        <v>43</v>
      </c>
      <c r="AE336" s="5">
        <f t="shared" si="17"/>
        <v>9</v>
      </c>
      <c r="AF336" s="5">
        <f t="shared" si="18"/>
        <v>2024</v>
      </c>
    </row>
    <row r="337" s="5" customFormat="1" ht="13">
      <c r="A337" s="5">
        <v>12316</v>
      </c>
      <c r="B337" s="5" t="s">
        <v>78</v>
      </c>
      <c r="C337" s="5" t="s">
        <v>164</v>
      </c>
      <c r="D337" s="5" t="s">
        <v>21</v>
      </c>
      <c r="E337" s="5" t="s">
        <v>34</v>
      </c>
      <c r="F337" s="5" t="s">
        <v>68</v>
      </c>
      <c r="G337" s="5" t="s">
        <v>91</v>
      </c>
      <c r="H337" s="9" t="s">
        <v>166</v>
      </c>
      <c r="I337" s="10"/>
      <c r="J337" s="10">
        <v>45807</v>
      </c>
      <c r="K337" s="5" t="s">
        <v>124</v>
      </c>
      <c r="L337" s="5" t="s">
        <v>58</v>
      </c>
      <c r="M337" s="11">
        <v>0.092499999999999999</v>
      </c>
      <c r="N337" s="5" t="e">
        <f>IF(AND(M337&gt;#REF!,Cartera!O1875="Guaraníes"),"Rendimiento significativo",IF(AND(M337&gt;#REF!,Cartera!O1875="Dólares americanos"),"Rendimiento significativo","Rendimiento no significativo"))</f>
        <v>#REF!</v>
      </c>
      <c r="O337" s="5" t="s">
        <v>41</v>
      </c>
      <c r="P337" s="12">
        <v>1140410.9589</v>
      </c>
      <c r="Q337" s="13">
        <f>IF(O337="Guaraníes",P337,P337*#REF!)</f>
        <v>1140410.9589</v>
      </c>
      <c r="R337" s="12" t="e">
        <f>IF(O337="Guaraníes",P337/#REF!,P337)</f>
        <v>#REF!</v>
      </c>
      <c r="S337" s="5" t="s">
        <v>42</v>
      </c>
      <c r="T337" s="5">
        <v>3253</v>
      </c>
      <c r="W337" s="5" t="s">
        <v>65</v>
      </c>
      <c r="X337" s="5">
        <v>0</v>
      </c>
      <c r="Y337" s="5">
        <v>0</v>
      </c>
      <c r="Z337" s="5">
        <v>7602.7397259999998</v>
      </c>
      <c r="AA337" s="5">
        <v>150</v>
      </c>
      <c r="AB337" s="5">
        <v>1140410.9589</v>
      </c>
      <c r="AC337" s="5" t="str">
        <f t="shared" si="19"/>
        <v>Bonos</v>
      </c>
      <c r="AD337" s="5" t="s">
        <v>43</v>
      </c>
      <c r="AE337" s="5">
        <f t="shared" si="17"/>
        <v>5</v>
      </c>
      <c r="AF337" s="5">
        <f t="shared" si="18"/>
        <v>2025</v>
      </c>
    </row>
    <row r="338" s="5" customFormat="1" ht="13">
      <c r="A338" s="5">
        <v>12316</v>
      </c>
      <c r="B338" s="5" t="s">
        <v>78</v>
      </c>
      <c r="C338" s="5" t="s">
        <v>164</v>
      </c>
      <c r="D338" s="5" t="s">
        <v>21</v>
      </c>
      <c r="E338" s="5" t="s">
        <v>34</v>
      </c>
      <c r="F338" s="5" t="s">
        <v>68</v>
      </c>
      <c r="G338" s="5" t="s">
        <v>141</v>
      </c>
      <c r="H338" s="9" t="s">
        <v>165</v>
      </c>
      <c r="I338" s="10"/>
      <c r="J338" s="10">
        <v>45807</v>
      </c>
      <c r="K338" s="5" t="s">
        <v>124</v>
      </c>
      <c r="L338" s="5" t="s">
        <v>58</v>
      </c>
      <c r="M338" s="11">
        <v>0.10000000000000001</v>
      </c>
      <c r="N338" s="5" t="e">
        <f>IF(AND(M338&gt;#REF!,Cartera!O2097="Guaraníes"),"Rendimiento significativo",IF(AND(M338&gt;#REF!,Cartera!O2097="Dólares americanos"),"Rendimiento significativo","Rendimiento no significativo"))</f>
        <v>#REF!</v>
      </c>
      <c r="O338" s="5" t="s">
        <v>41</v>
      </c>
      <c r="P338" s="12">
        <v>821917.80820000009</v>
      </c>
      <c r="Q338" s="13">
        <f>IF(O338="Guaraníes",P338,P338*#REF!)</f>
        <v>821917.80820000009</v>
      </c>
      <c r="R338" s="12" t="e">
        <f>IF(O338="Guaraníes",P338/#REF!,P338)</f>
        <v>#REF!</v>
      </c>
      <c r="S338" s="5" t="s">
        <v>42</v>
      </c>
      <c r="T338" s="5">
        <v>9243</v>
      </c>
      <c r="W338" s="5" t="s">
        <v>65</v>
      </c>
      <c r="X338" s="5">
        <v>0</v>
      </c>
      <c r="Y338" s="5">
        <v>0</v>
      </c>
      <c r="Z338" s="5">
        <v>8219.1780820000004</v>
      </c>
      <c r="AA338" s="5">
        <v>100</v>
      </c>
      <c r="AB338" s="5">
        <v>821917.80819999997</v>
      </c>
      <c r="AC338" s="5" t="str">
        <f t="shared" si="19"/>
        <v>Bonos</v>
      </c>
      <c r="AD338" s="5" t="s">
        <v>43</v>
      </c>
      <c r="AE338" s="5">
        <f t="shared" si="17"/>
        <v>5</v>
      </c>
      <c r="AF338" s="5">
        <f t="shared" si="18"/>
        <v>2025</v>
      </c>
    </row>
    <row r="339" s="5" customFormat="1" ht="13">
      <c r="A339" s="5">
        <v>12316</v>
      </c>
      <c r="B339" s="5" t="s">
        <v>78</v>
      </c>
      <c r="C339" s="5" t="s">
        <v>164</v>
      </c>
      <c r="D339" s="5" t="s">
        <v>21</v>
      </c>
      <c r="E339" s="5" t="s">
        <v>34</v>
      </c>
      <c r="F339" s="5" t="s">
        <v>68</v>
      </c>
      <c r="G339" s="5" t="s">
        <v>141</v>
      </c>
      <c r="H339" s="9" t="s">
        <v>167</v>
      </c>
      <c r="I339" s="10"/>
      <c r="J339" s="10">
        <v>45807</v>
      </c>
      <c r="K339" s="5" t="s">
        <v>124</v>
      </c>
      <c r="L339" s="5" t="s">
        <v>58</v>
      </c>
      <c r="M339" s="11">
        <v>0.092499999999999999</v>
      </c>
      <c r="N339" s="5" t="e">
        <f>IF(AND(M339&gt;#REF!,Cartera!O2098="Guaraníes"),"Rendimiento significativo",IF(AND(M339&gt;#REF!,Cartera!O2098="Dólares americanos"),"Rendimiento significativo","Rendimiento no significativo"))</f>
        <v>#REF!</v>
      </c>
      <c r="O339" s="5" t="s">
        <v>41</v>
      </c>
      <c r="P339" s="12">
        <v>760273.97259999998</v>
      </c>
      <c r="Q339" s="13">
        <f>IF(O339="Guaraníes",P339,P339*#REF!)</f>
        <v>760273.97259999998</v>
      </c>
      <c r="R339" s="12" t="e">
        <f>IF(O339="Guaraníes",P339/#REF!,P339)</f>
        <v>#REF!</v>
      </c>
      <c r="S339" s="5" t="s">
        <v>42</v>
      </c>
      <c r="T339" s="5">
        <v>9243</v>
      </c>
      <c r="W339" s="5" t="s">
        <v>65</v>
      </c>
      <c r="X339" s="5">
        <v>0</v>
      </c>
      <c r="Y339" s="5">
        <v>0</v>
      </c>
      <c r="Z339" s="5">
        <v>7602.7397259999998</v>
      </c>
      <c r="AA339" s="5">
        <v>100</v>
      </c>
      <c r="AB339" s="5">
        <v>760273.97259999998</v>
      </c>
      <c r="AC339" s="5" t="str">
        <f t="shared" si="19"/>
        <v>Bonos</v>
      </c>
      <c r="AD339" s="5" t="s">
        <v>43</v>
      </c>
      <c r="AE339" s="5">
        <f t="shared" si="17"/>
        <v>5</v>
      </c>
      <c r="AF339" s="5">
        <f t="shared" si="18"/>
        <v>2025</v>
      </c>
    </row>
    <row r="340" s="5" customFormat="1" ht="13">
      <c r="A340" s="5">
        <v>12315</v>
      </c>
      <c r="B340" s="5" t="s">
        <v>73</v>
      </c>
      <c r="C340" s="5" t="s">
        <v>143</v>
      </c>
      <c r="D340" s="5" t="s">
        <v>21</v>
      </c>
      <c r="E340" s="5" t="s">
        <v>34</v>
      </c>
      <c r="F340" s="5" t="s">
        <v>144</v>
      </c>
      <c r="G340" s="5" t="s">
        <v>145</v>
      </c>
      <c r="H340" s="9" t="s">
        <v>146</v>
      </c>
      <c r="I340" s="10"/>
      <c r="J340" s="10">
        <v>45807</v>
      </c>
      <c r="K340" s="5" t="s">
        <v>49</v>
      </c>
      <c r="L340" s="5" t="s">
        <v>106</v>
      </c>
      <c r="M340" s="11">
        <v>0.060999999999999999</v>
      </c>
      <c r="N340" s="5" t="e">
        <f>IF(AND(M340&gt;#REF!,Cartera!O3177="Guaraníes"),"Rendimiento significativo",IF(AND(M340&gt;#REF!,Cartera!O3177="Dólares americanos"),"Rendimiento significativo","Rendimiento no significativo"))</f>
        <v>#REF!</v>
      </c>
      <c r="O340" s="5" t="s">
        <v>51</v>
      </c>
      <c r="P340" s="13">
        <v>200.55000000000001</v>
      </c>
      <c r="Q340" s="13" t="e">
        <f>IF(O340="Guaraníes",P340,P340*#REF!)</f>
        <v>#REF!</v>
      </c>
      <c r="R340" s="12">
        <f>IF(O340="Guaraníes",P340/#REF!,P340)</f>
        <v>200.55000000000001</v>
      </c>
      <c r="S340" s="5" t="s">
        <v>42</v>
      </c>
      <c r="T340" s="5">
        <v>1057</v>
      </c>
      <c r="AC340" s="5" t="str">
        <f t="shared" si="19"/>
        <v>Bonos</v>
      </c>
      <c r="AD340" s="5" t="s">
        <v>43</v>
      </c>
      <c r="AE340" s="5">
        <f t="shared" si="17"/>
        <v>5</v>
      </c>
      <c r="AF340" s="5">
        <f t="shared" si="18"/>
        <v>2025</v>
      </c>
    </row>
    <row r="341" s="5" customFormat="1" ht="13">
      <c r="A341" s="5">
        <v>12316</v>
      </c>
      <c r="B341" s="5" t="s">
        <v>78</v>
      </c>
      <c r="C341" s="5" t="s">
        <v>103</v>
      </c>
      <c r="D341" s="5" t="s">
        <v>21</v>
      </c>
      <c r="E341" s="5" t="s">
        <v>34</v>
      </c>
      <c r="F341" s="5" t="s">
        <v>68</v>
      </c>
      <c r="G341" s="5" t="s">
        <v>104</v>
      </c>
      <c r="H341" s="9" t="s">
        <v>105</v>
      </c>
      <c r="I341" s="10">
        <v>45266</v>
      </c>
      <c r="J341" s="10">
        <v>45817</v>
      </c>
      <c r="K341" s="5" t="s">
        <v>64</v>
      </c>
      <c r="L341" s="5" t="s">
        <v>106</v>
      </c>
      <c r="M341" s="11">
        <v>0.079500000000000001</v>
      </c>
      <c r="N341" s="5" t="e">
        <f>IF(AND(M341&gt;#REF!,Cartera!O3525="Guaraníes"),"Rendimiento significativo",IF(AND(M341&gt;#REF!,Cartera!O3525="Dólares americanos"),"Rendimiento significativo","Rendimiento no significativo"))</f>
        <v>#REF!</v>
      </c>
      <c r="O341" s="5" t="s">
        <v>41</v>
      </c>
      <c r="P341" s="12">
        <v>2090958.9040999999</v>
      </c>
      <c r="Q341" s="12">
        <f>IF(O341="Guaraníes",P341,P341*#REF!)</f>
        <v>2090958.9040999999</v>
      </c>
      <c r="R341" s="12" t="e">
        <f>IF(O341="Guaraníes",P341/#REF!,P341)</f>
        <v>#REF!</v>
      </c>
      <c r="S341" s="5" t="s">
        <v>42</v>
      </c>
      <c r="T341" s="5">
        <v>26543</v>
      </c>
      <c r="AC341" s="5" t="str">
        <f t="shared" si="19"/>
        <v>Bonos</v>
      </c>
      <c r="AD341" s="5" t="s">
        <v>43</v>
      </c>
      <c r="AE341" s="5">
        <f t="shared" si="17"/>
        <v>6</v>
      </c>
      <c r="AF341" s="5">
        <f t="shared" si="18"/>
        <v>2025</v>
      </c>
    </row>
    <row r="342" s="5" customFormat="1" ht="13">
      <c r="A342" s="5">
        <v>12315</v>
      </c>
      <c r="B342" s="5" t="s">
        <v>73</v>
      </c>
      <c r="C342" s="5" t="s">
        <v>33</v>
      </c>
      <c r="D342" s="5" t="s">
        <v>21</v>
      </c>
      <c r="E342" s="5" t="s">
        <v>34</v>
      </c>
      <c r="F342" s="5" t="s">
        <v>35</v>
      </c>
      <c r="G342" s="5" t="s">
        <v>75</v>
      </c>
      <c r="H342" s="9" t="s">
        <v>186</v>
      </c>
      <c r="I342" s="10"/>
      <c r="J342" s="10">
        <v>45819</v>
      </c>
      <c r="K342" s="5" t="s">
        <v>39</v>
      </c>
      <c r="L342" s="5" t="s">
        <v>50</v>
      </c>
      <c r="M342" s="11">
        <v>0.044999999999999998</v>
      </c>
      <c r="N342" s="5" t="e">
        <f>IF(AND(M342&gt;#REF!,Cartera!O913="Guaraníes"),"Rendimiento significativo",IF(AND(M342&gt;#REF!,Cartera!O913="Dólares americanos"),"Rendimiento significativo","Rendimiento no significativo"))</f>
        <v>#REF!</v>
      </c>
      <c r="O342" s="5" t="s">
        <v>51</v>
      </c>
      <c r="P342" s="13">
        <v>336.57533999999998</v>
      </c>
      <c r="Q342" s="12" t="e">
        <f>IF(O342="Guaraníes",P342,P342*#REF!)</f>
        <v>#REF!</v>
      </c>
      <c r="R342" s="12">
        <f>IF(O342="Guaraníes",P342/#REF!,P342)</f>
        <v>336.57533999999998</v>
      </c>
      <c r="S342" s="5" t="s">
        <v>42</v>
      </c>
      <c r="T342" s="5">
        <v>25</v>
      </c>
      <c r="W342" s="5" t="s">
        <v>65</v>
      </c>
      <c r="X342" s="5">
        <v>0</v>
      </c>
      <c r="Y342" s="5">
        <v>0</v>
      </c>
      <c r="Z342" s="5">
        <v>11.219177999999999</v>
      </c>
      <c r="AA342" s="5">
        <v>30</v>
      </c>
      <c r="AB342" s="5">
        <v>336.57533999999998</v>
      </c>
      <c r="AC342" s="5" t="str">
        <f t="shared" si="19"/>
        <v>Bonos</v>
      </c>
      <c r="AD342" s="5" t="s">
        <v>43</v>
      </c>
      <c r="AE342" s="5">
        <f t="shared" si="17"/>
        <v>6</v>
      </c>
      <c r="AF342" s="5">
        <f t="shared" si="18"/>
        <v>2025</v>
      </c>
    </row>
    <row r="343" s="5" customFormat="1" ht="13">
      <c r="A343" s="5">
        <v>12315</v>
      </c>
      <c r="B343" s="5" t="s">
        <v>73</v>
      </c>
      <c r="C343" s="5" t="s">
        <v>33</v>
      </c>
      <c r="D343" s="5" t="s">
        <v>21</v>
      </c>
      <c r="E343" s="5" t="s">
        <v>34</v>
      </c>
      <c r="F343" s="5" t="s">
        <v>35</v>
      </c>
      <c r="G343" s="5" t="s">
        <v>69</v>
      </c>
      <c r="H343" s="9" t="s">
        <v>186</v>
      </c>
      <c r="I343" s="10"/>
      <c r="J343" s="10">
        <v>45819</v>
      </c>
      <c r="K343" s="5" t="s">
        <v>39</v>
      </c>
      <c r="L343" s="5" t="s">
        <v>50</v>
      </c>
      <c r="M343" s="11">
        <v>0.044999999999999998</v>
      </c>
      <c r="N343" s="5" t="e">
        <f>IF(AND(M343&gt;#REF!,Cartera!O2533="Guaraníes"),"Rendimiento significativo",IF(AND(M343&gt;#REF!,Cartera!O2533="Dólares americanos"),"Rendimiento significativo","Rendimiento no significativo"))</f>
        <v>#REF!</v>
      </c>
      <c r="O343" s="5" t="s">
        <v>51</v>
      </c>
      <c r="P343" s="13">
        <v>448.76711999999998</v>
      </c>
      <c r="Q343" s="13" t="e">
        <f>IF(O343="Guaraníes",P343,P343*#REF!)</f>
        <v>#REF!</v>
      </c>
      <c r="R343" s="12">
        <f>IF(O343="Guaraníes",P343/#REF!,P343)</f>
        <v>448.76711999999998</v>
      </c>
      <c r="S343" s="5" t="s">
        <v>42</v>
      </c>
      <c r="T343" s="5">
        <v>593</v>
      </c>
      <c r="W343" s="5" t="s">
        <v>65</v>
      </c>
      <c r="X343" s="5">
        <v>0</v>
      </c>
      <c r="Y343" s="5">
        <v>0</v>
      </c>
      <c r="Z343" s="5">
        <v>11.219177999999999</v>
      </c>
      <c r="AA343" s="5">
        <v>40</v>
      </c>
      <c r="AB343" s="5">
        <v>448.76711999999998</v>
      </c>
      <c r="AC343" s="5" t="str">
        <f t="shared" si="19"/>
        <v>Bonos</v>
      </c>
      <c r="AD343" s="5" t="s">
        <v>43</v>
      </c>
      <c r="AE343" s="5">
        <f t="shared" si="17"/>
        <v>6</v>
      </c>
      <c r="AF343" s="5">
        <f t="shared" si="18"/>
        <v>2025</v>
      </c>
    </row>
    <row r="344" s="5" customFormat="1" ht="13">
      <c r="A344" s="5">
        <v>12316</v>
      </c>
      <c r="B344" s="5" t="s">
        <v>78</v>
      </c>
      <c r="C344" s="5" t="s">
        <v>111</v>
      </c>
      <c r="D344" s="5" t="s">
        <v>21</v>
      </c>
      <c r="E344" s="5" t="s">
        <v>34</v>
      </c>
      <c r="F344" s="5" t="s">
        <v>68</v>
      </c>
      <c r="H344" s="9" t="s">
        <v>187</v>
      </c>
      <c r="I344" s="10">
        <v>45370</v>
      </c>
      <c r="J344" s="10">
        <v>45820</v>
      </c>
      <c r="K344" s="5" t="s">
        <v>140</v>
      </c>
      <c r="L344" s="5" t="s">
        <v>82</v>
      </c>
      <c r="M344" s="11">
        <v>0.086999999999999994</v>
      </c>
      <c r="N344" s="5" t="e">
        <f>IF(AND(M344&gt;#REF!,Cartera!O3556="Guaraníes"),"Rendimiento significativo",IF(AND(M344&gt;#REF!,Cartera!O3556="Dólares americanos"),"Rendimiento significativo","Rendimiento no significativo"))</f>
        <v>#REF!</v>
      </c>
      <c r="O344" s="5" t="s">
        <v>41</v>
      </c>
      <c r="P344" s="12">
        <v>6435616</v>
      </c>
      <c r="Q344" s="12">
        <f>IF(O344="Guaraníes",P344,P344*#REF!)</f>
        <v>6435616</v>
      </c>
      <c r="R344" s="12" t="e">
        <f>IF(O344="Guaraníes",P344/#REF!,P344)</f>
        <v>#REF!</v>
      </c>
      <c r="S344" s="5" t="s">
        <v>42</v>
      </c>
      <c r="AC344" s="5" t="str">
        <f t="shared" si="19"/>
        <v>CDA</v>
      </c>
      <c r="AD344" s="5" t="s">
        <v>43</v>
      </c>
      <c r="AE344" s="5">
        <f t="shared" si="17"/>
        <v>6</v>
      </c>
      <c r="AF344" s="5">
        <f t="shared" si="18"/>
        <v>2025</v>
      </c>
    </row>
    <row r="345" s="5" customFormat="1" ht="13">
      <c r="A345" s="5">
        <v>12315</v>
      </c>
      <c r="B345" s="5" t="s">
        <v>73</v>
      </c>
      <c r="C345" s="5" t="s">
        <v>111</v>
      </c>
      <c r="D345" s="5" t="s">
        <v>21</v>
      </c>
      <c r="E345" s="5" t="s">
        <v>34</v>
      </c>
      <c r="F345" s="5" t="s">
        <v>68</v>
      </c>
      <c r="H345" s="9" t="s">
        <v>188</v>
      </c>
      <c r="I345" s="10">
        <v>45370</v>
      </c>
      <c r="J345" s="10">
        <v>45820</v>
      </c>
      <c r="K345" s="5" t="s">
        <v>140</v>
      </c>
      <c r="L345" s="5" t="s">
        <v>82</v>
      </c>
      <c r="M345" s="11">
        <v>0.057000000000000002</v>
      </c>
      <c r="N345" s="5" t="e">
        <f>IF(AND(M345&gt;#REF!,Cartera!O3566="Guaraníes"),"Rendimiento significativo",IF(AND(M345&gt;#REF!,Cartera!O3566="Dólares americanos"),"Rendimiento significativo","Rendimiento no significativo"))</f>
        <v>#REF!</v>
      </c>
      <c r="O345" s="5" t="s">
        <v>51</v>
      </c>
      <c r="P345" s="13">
        <v>281.10000000000002</v>
      </c>
      <c r="Q345" s="12" t="e">
        <f>IF(O345="Guaraníes",P345,P345*#REF!)</f>
        <v>#REF!</v>
      </c>
      <c r="R345" s="12">
        <f>IF(O345="Guaraníes",P345/#REF!,P345)</f>
        <v>281.10000000000002</v>
      </c>
      <c r="S345" s="5" t="s">
        <v>42</v>
      </c>
      <c r="AC345" s="5" t="str">
        <f t="shared" si="19"/>
        <v>CDA</v>
      </c>
      <c r="AD345" s="5" t="s">
        <v>43</v>
      </c>
      <c r="AE345" s="5">
        <f t="shared" si="17"/>
        <v>6</v>
      </c>
      <c r="AF345" s="5">
        <f t="shared" si="18"/>
        <v>2025</v>
      </c>
    </row>
    <row r="346" s="5" customFormat="1" ht="13">
      <c r="A346" s="5">
        <v>12302</v>
      </c>
      <c r="B346" s="5" t="s">
        <v>98</v>
      </c>
      <c r="C346" s="5" t="s">
        <v>45</v>
      </c>
      <c r="D346" s="5" t="s">
        <v>20</v>
      </c>
      <c r="E346" s="5" t="s">
        <v>34</v>
      </c>
      <c r="F346" s="5" t="s">
        <v>46</v>
      </c>
      <c r="G346" s="5" t="s">
        <v>86</v>
      </c>
      <c r="H346" s="9" t="s">
        <v>108</v>
      </c>
      <c r="I346" s="10">
        <v>44704</v>
      </c>
      <c r="J346" s="10">
        <v>46524</v>
      </c>
      <c r="K346" s="5" t="s">
        <v>49</v>
      </c>
      <c r="L346" s="5" t="s">
        <v>106</v>
      </c>
      <c r="M346" s="11">
        <v>0.059999999999999998</v>
      </c>
      <c r="N346" s="5" t="e">
        <f>IF(AND(M346&gt;#REF!,Cartera!O346="Guaraníes"),"Rendimiento significativo",IF(AND(M346&gt;#REF!,Cartera!O346="Dólares americanos"),"Rendimiento significativo","Rendimiento no significativo"))</f>
        <v>#REF!</v>
      </c>
      <c r="O346" s="5" t="s">
        <v>51</v>
      </c>
      <c r="P346" s="13">
        <v>32000</v>
      </c>
      <c r="Q346" s="12" t="e">
        <f>IF(O346="Guaraníes",P346,P346*#REF!)</f>
        <v>#REF!</v>
      </c>
      <c r="R346" s="12">
        <f>IF(O346="Guaraníes",P346/#REF!,P346)</f>
        <v>32000</v>
      </c>
      <c r="S346" s="5" t="s">
        <v>42</v>
      </c>
      <c r="AA346" s="5">
        <v>32</v>
      </c>
      <c r="AC346" s="5" t="str">
        <f t="shared" si="19"/>
        <v>Bonos</v>
      </c>
      <c r="AD346" s="5" t="s">
        <v>43</v>
      </c>
      <c r="AE346" s="5">
        <f t="shared" si="17"/>
        <v>5</v>
      </c>
      <c r="AF346" s="5">
        <f t="shared" si="18"/>
        <v>2027</v>
      </c>
    </row>
    <row r="347" s="5" customFormat="1" ht="13">
      <c r="A347" s="5" t="s">
        <v>44</v>
      </c>
      <c r="B347" s="5" t="s">
        <v>44</v>
      </c>
      <c r="C347" s="5" t="s">
        <v>114</v>
      </c>
      <c r="D347" s="5" t="s">
        <v>21</v>
      </c>
      <c r="E347" s="5" t="s">
        <v>44</v>
      </c>
      <c r="F347" s="5" t="s">
        <v>68</v>
      </c>
      <c r="G347" s="5" t="s">
        <v>75</v>
      </c>
      <c r="H347" s="9" t="s">
        <v>226</v>
      </c>
      <c r="I347" s="10"/>
      <c r="J347" s="10">
        <v>41726</v>
      </c>
      <c r="K347" s="5" t="s">
        <v>77</v>
      </c>
      <c r="L347" s="5" t="s">
        <v>58</v>
      </c>
      <c r="M347" s="11">
        <v>0.14000000000000001</v>
      </c>
      <c r="N347" s="5" t="e">
        <f>IF(AND(M347&gt;#REF!,Cartera!O347="Guaraníes"),"Rendimiento significativo",IF(AND(M347&gt;#REF!,Cartera!O347="Dólares americanos"),"Rendimiento significativo","Rendimiento no significativo"))</f>
        <v>#REF!</v>
      </c>
      <c r="O347" s="5" t="s">
        <v>41</v>
      </c>
      <c r="P347" s="12">
        <v>523561.643835</v>
      </c>
      <c r="Q347" s="12">
        <f>IF(O347="Guaraníes",P347,P347*#REF!)</f>
        <v>523561.643835</v>
      </c>
      <c r="R347" s="12" t="e">
        <f>IF(O347="Guaraníes",P347/#REF!,P347)</f>
        <v>#REF!</v>
      </c>
      <c r="S347" s="5" t="s">
        <v>52</v>
      </c>
      <c r="T347" s="5">
        <v>25</v>
      </c>
      <c r="W347" s="5" t="s">
        <v>65</v>
      </c>
      <c r="X347" s="5">
        <v>0</v>
      </c>
      <c r="Y347" s="5">
        <v>0</v>
      </c>
      <c r="Z347" s="5">
        <v>34904.109589</v>
      </c>
      <c r="AA347" s="5">
        <v>15</v>
      </c>
      <c r="AB347" s="5">
        <v>523561.643835</v>
      </c>
      <c r="AC347" s="5" t="str">
        <f t="shared" si="19"/>
        <v>Bonos</v>
      </c>
      <c r="AD347" s="5" t="s">
        <v>43</v>
      </c>
      <c r="AE347" s="5">
        <f t="shared" si="17"/>
        <v>3</v>
      </c>
      <c r="AF347" s="5">
        <f t="shared" si="18"/>
        <v>2014</v>
      </c>
    </row>
    <row r="348" s="5" customFormat="1" ht="13">
      <c r="A348" s="5" t="s">
        <v>44</v>
      </c>
      <c r="B348" s="5" t="s">
        <v>44</v>
      </c>
      <c r="C348" s="5" t="s">
        <v>227</v>
      </c>
      <c r="D348" s="5" t="s">
        <v>21</v>
      </c>
      <c r="E348" s="5" t="s">
        <v>44</v>
      </c>
      <c r="F348" s="5" t="s">
        <v>68</v>
      </c>
      <c r="G348" s="5" t="s">
        <v>75</v>
      </c>
      <c r="H348" s="9" t="s">
        <v>228</v>
      </c>
      <c r="I348" s="10"/>
      <c r="J348" s="10">
        <v>41788</v>
      </c>
      <c r="K348" s="5" t="s">
        <v>77</v>
      </c>
      <c r="L348" s="5" t="s">
        <v>58</v>
      </c>
      <c r="M348" s="11">
        <v>0.1525</v>
      </c>
      <c r="N348" s="5" t="e">
        <f>IF(AND(M348&gt;#REF!,Cartera!O348="Guaraníes"),"Rendimiento significativo",IF(AND(M348&gt;#REF!,Cartera!O348="Dólares americanos"),"Rendimiento significativo","Rendimiento no significativo"))</f>
        <v>#REF!</v>
      </c>
      <c r="O348" s="5" t="s">
        <v>41</v>
      </c>
      <c r="P348" s="12">
        <v>2851541.0958749996</v>
      </c>
      <c r="Q348" s="12">
        <f>IF(O348="Guaraníes",P348,P348*#REF!)</f>
        <v>2851541.0958749996</v>
      </c>
      <c r="R348" s="12" t="e">
        <f>IF(O348="Guaraníes",P348/#REF!,P348)</f>
        <v>#REF!</v>
      </c>
      <c r="S348" s="5" t="s">
        <v>52</v>
      </c>
      <c r="T348" s="5">
        <v>25</v>
      </c>
      <c r="W348" s="5" t="s">
        <v>196</v>
      </c>
      <c r="X348" s="5">
        <v>0</v>
      </c>
      <c r="Y348" s="5">
        <v>0</v>
      </c>
      <c r="Z348" s="5">
        <v>38020.547944999998</v>
      </c>
      <c r="AA348" s="5">
        <v>75</v>
      </c>
      <c r="AB348" s="5">
        <v>2851541.0958750001</v>
      </c>
      <c r="AC348" s="5" t="str">
        <f t="shared" si="19"/>
        <v>Bonos</v>
      </c>
      <c r="AD348" s="5" t="s">
        <v>43</v>
      </c>
      <c r="AE348" s="5">
        <f t="shared" si="17"/>
        <v>5</v>
      </c>
      <c r="AF348" s="5">
        <f t="shared" si="18"/>
        <v>2014</v>
      </c>
    </row>
    <row r="349" s="5" customFormat="1" ht="13">
      <c r="A349" s="5" t="s">
        <v>44</v>
      </c>
      <c r="B349" s="5" t="s">
        <v>44</v>
      </c>
      <c r="C349" s="5" t="s">
        <v>114</v>
      </c>
      <c r="D349" s="5" t="s">
        <v>21</v>
      </c>
      <c r="E349" s="5" t="s">
        <v>44</v>
      </c>
      <c r="F349" s="5" t="s">
        <v>68</v>
      </c>
      <c r="G349" s="5" t="s">
        <v>75</v>
      </c>
      <c r="H349" s="9" t="s">
        <v>226</v>
      </c>
      <c r="I349" s="10"/>
      <c r="J349" s="10">
        <v>41817</v>
      </c>
      <c r="K349" s="5" t="s">
        <v>77</v>
      </c>
      <c r="L349" s="5" t="s">
        <v>58</v>
      </c>
      <c r="M349" s="11">
        <v>0.14000000000000001</v>
      </c>
      <c r="N349" s="5" t="e">
        <f>IF(AND(M349&gt;#REF!,Cartera!O349="Guaraníes"),"Rendimiento significativo",IF(AND(M349&gt;#REF!,Cartera!O349="Dólares americanos"),"Rendimiento significativo","Rendimiento no significativo"))</f>
        <v>#REF!</v>
      </c>
      <c r="O349" s="5" t="s">
        <v>41</v>
      </c>
      <c r="P349" s="12">
        <v>523561.643835</v>
      </c>
      <c r="Q349" s="12">
        <f>IF(O349="Guaraníes",P349,P349*#REF!)</f>
        <v>523561.643835</v>
      </c>
      <c r="R349" s="12" t="e">
        <f>IF(O349="Guaraníes",P349/#REF!,P349)</f>
        <v>#REF!</v>
      </c>
      <c r="S349" s="5" t="s">
        <v>52</v>
      </c>
      <c r="T349" s="5">
        <v>25</v>
      </c>
      <c r="W349" s="5" t="s">
        <v>65</v>
      </c>
      <c r="X349" s="5">
        <v>0</v>
      </c>
      <c r="Y349" s="5">
        <v>0</v>
      </c>
      <c r="Z349" s="5">
        <v>34904.109589</v>
      </c>
      <c r="AA349" s="5">
        <v>15</v>
      </c>
      <c r="AB349" s="5">
        <v>523561.643835</v>
      </c>
      <c r="AC349" s="5" t="str">
        <f t="shared" si="19"/>
        <v>Bonos</v>
      </c>
      <c r="AD349" s="5" t="s">
        <v>43</v>
      </c>
      <c r="AE349" s="5">
        <f t="shared" si="17"/>
        <v>6</v>
      </c>
      <c r="AF349" s="5">
        <f t="shared" si="18"/>
        <v>2014</v>
      </c>
    </row>
    <row r="350" s="5" customFormat="1" ht="13">
      <c r="A350" s="5" t="s">
        <v>44</v>
      </c>
      <c r="B350" s="5" t="s">
        <v>44</v>
      </c>
      <c r="C350" s="5" t="s">
        <v>227</v>
      </c>
      <c r="D350" s="5" t="s">
        <v>21</v>
      </c>
      <c r="E350" s="5" t="s">
        <v>44</v>
      </c>
      <c r="F350" s="5" t="s">
        <v>68</v>
      </c>
      <c r="G350" s="5" t="s">
        <v>75</v>
      </c>
      <c r="H350" s="9" t="s">
        <v>228</v>
      </c>
      <c r="I350" s="10"/>
      <c r="J350" s="10">
        <v>41879</v>
      </c>
      <c r="K350" s="5" t="s">
        <v>77</v>
      </c>
      <c r="L350" s="5" t="s">
        <v>58</v>
      </c>
      <c r="M350" s="11">
        <v>0.1525</v>
      </c>
      <c r="N350" s="5" t="e">
        <f>IF(AND(M350&gt;#REF!,Cartera!O350="Guaraníes"),"Rendimiento significativo",IF(AND(M350&gt;#REF!,Cartera!O350="Dólares americanos"),"Rendimiento significativo","Rendimiento no significativo"))</f>
        <v>#REF!</v>
      </c>
      <c r="O350" s="5" t="s">
        <v>41</v>
      </c>
      <c r="P350" s="12">
        <v>2851541.0958749996</v>
      </c>
      <c r="Q350" s="12">
        <f>IF(O350="Guaraníes",P350,P350*#REF!)</f>
        <v>2851541.0958749996</v>
      </c>
      <c r="R350" s="12" t="e">
        <f>IF(O350="Guaraníes",P350/#REF!,P350)</f>
        <v>#REF!</v>
      </c>
      <c r="S350" s="5" t="s">
        <v>52</v>
      </c>
      <c r="T350" s="5">
        <v>25</v>
      </c>
      <c r="W350" s="5" t="s">
        <v>196</v>
      </c>
      <c r="X350" s="5">
        <v>0</v>
      </c>
      <c r="Y350" s="5">
        <v>0</v>
      </c>
      <c r="Z350" s="5">
        <v>38020.547944999998</v>
      </c>
      <c r="AA350" s="5">
        <v>75</v>
      </c>
      <c r="AB350" s="5">
        <v>2851541.0958750001</v>
      </c>
      <c r="AC350" s="5" t="str">
        <f t="shared" si="19"/>
        <v>Bonos</v>
      </c>
      <c r="AD350" s="5" t="s">
        <v>43</v>
      </c>
      <c r="AE350" s="5">
        <f t="shared" si="17"/>
        <v>8</v>
      </c>
      <c r="AF350" s="5">
        <f t="shared" si="18"/>
        <v>2014</v>
      </c>
    </row>
    <row r="351" s="5" customFormat="1" ht="13">
      <c r="A351" s="5" t="s">
        <v>44</v>
      </c>
      <c r="B351" s="5" t="s">
        <v>44</v>
      </c>
      <c r="C351" s="5" t="s">
        <v>114</v>
      </c>
      <c r="D351" s="5" t="s">
        <v>21</v>
      </c>
      <c r="E351" s="5" t="s">
        <v>44</v>
      </c>
      <c r="F351" s="5" t="s">
        <v>68</v>
      </c>
      <c r="G351" s="5" t="s">
        <v>75</v>
      </c>
      <c r="H351" s="9" t="s">
        <v>226</v>
      </c>
      <c r="I351" s="10"/>
      <c r="J351" s="10">
        <v>41908</v>
      </c>
      <c r="K351" s="5" t="s">
        <v>77</v>
      </c>
      <c r="L351" s="5" t="s">
        <v>58</v>
      </c>
      <c r="M351" s="11">
        <v>0.14000000000000001</v>
      </c>
      <c r="N351" s="5" t="e">
        <f>IF(AND(M351&gt;#REF!,Cartera!O351="Guaraníes"),"Rendimiento significativo",IF(AND(M351&gt;#REF!,Cartera!O351="Dólares americanos"),"Rendimiento significativo","Rendimiento no significativo"))</f>
        <v>#REF!</v>
      </c>
      <c r="O351" s="5" t="s">
        <v>41</v>
      </c>
      <c r="P351" s="12">
        <v>523561.643835</v>
      </c>
      <c r="Q351" s="12">
        <f>IF(O351="Guaraníes",P351,P351*#REF!)</f>
        <v>523561.643835</v>
      </c>
      <c r="R351" s="12" t="e">
        <f>IF(O351="Guaraníes",P351/#REF!,P351)</f>
        <v>#REF!</v>
      </c>
      <c r="S351" s="5" t="s">
        <v>52</v>
      </c>
      <c r="T351" s="5">
        <v>25</v>
      </c>
      <c r="W351" s="5" t="s">
        <v>65</v>
      </c>
      <c r="X351" s="5">
        <v>0</v>
      </c>
      <c r="Y351" s="5">
        <v>0</v>
      </c>
      <c r="Z351" s="5">
        <v>34904.109589</v>
      </c>
      <c r="AA351" s="5">
        <v>15</v>
      </c>
      <c r="AB351" s="5">
        <v>523561.643835</v>
      </c>
      <c r="AC351" s="5" t="str">
        <f t="shared" si="19"/>
        <v>Bonos</v>
      </c>
      <c r="AD351" s="5" t="s">
        <v>43</v>
      </c>
      <c r="AE351" s="5">
        <f t="shared" ref="AE351:AE414" si="20">IFERROR((MONTH(J351)),0)</f>
        <v>9</v>
      </c>
      <c r="AF351" s="5">
        <f t="shared" ref="AF351:AF414" si="21">IFERROR((YEAR(J351)),0)</f>
        <v>2014</v>
      </c>
    </row>
    <row r="352" s="5" customFormat="1" ht="13">
      <c r="A352" s="5" t="s">
        <v>44</v>
      </c>
      <c r="B352" s="5" t="s">
        <v>44</v>
      </c>
      <c r="C352" s="5" t="s">
        <v>227</v>
      </c>
      <c r="D352" s="5" t="s">
        <v>21</v>
      </c>
      <c r="E352" s="5" t="s">
        <v>44</v>
      </c>
      <c r="F352" s="5" t="s">
        <v>68</v>
      </c>
      <c r="G352" s="5" t="s">
        <v>75</v>
      </c>
      <c r="H352" s="9" t="s">
        <v>228</v>
      </c>
      <c r="I352" s="10"/>
      <c r="J352" s="10">
        <v>41970</v>
      </c>
      <c r="K352" s="5" t="s">
        <v>77</v>
      </c>
      <c r="L352" s="5" t="s">
        <v>58</v>
      </c>
      <c r="M352" s="11">
        <v>0.1525</v>
      </c>
      <c r="N352" s="5" t="e">
        <f>IF(AND(M352&gt;#REF!,Cartera!O352="Guaraníes"),"Rendimiento significativo",IF(AND(M352&gt;#REF!,Cartera!O352="Dólares americanos"),"Rendimiento significativo","Rendimiento no significativo"))</f>
        <v>#REF!</v>
      </c>
      <c r="O352" s="5" t="s">
        <v>41</v>
      </c>
      <c r="P352" s="12">
        <v>2851541.0958749996</v>
      </c>
      <c r="Q352" s="12">
        <f>IF(O352="Guaraníes",P352,P352*#REF!)</f>
        <v>2851541.0958749996</v>
      </c>
      <c r="R352" s="12" t="e">
        <f>IF(O352="Guaraníes",P352/#REF!,P352)</f>
        <v>#REF!</v>
      </c>
      <c r="S352" s="5" t="s">
        <v>52</v>
      </c>
      <c r="T352" s="5">
        <v>25</v>
      </c>
      <c r="W352" s="5" t="s">
        <v>196</v>
      </c>
      <c r="X352" s="5">
        <v>0</v>
      </c>
      <c r="Y352" s="5">
        <v>0</v>
      </c>
      <c r="Z352" s="5">
        <v>38020.547944999998</v>
      </c>
      <c r="AA352" s="5">
        <v>75</v>
      </c>
      <c r="AB352" s="5">
        <v>2851541.0958750001</v>
      </c>
      <c r="AC352" s="5" t="str">
        <f t="shared" si="19"/>
        <v>Bonos</v>
      </c>
      <c r="AD352" s="5" t="s">
        <v>43</v>
      </c>
      <c r="AE352" s="5">
        <f t="shared" si="20"/>
        <v>11</v>
      </c>
      <c r="AF352" s="5">
        <f t="shared" si="21"/>
        <v>2014</v>
      </c>
    </row>
    <row r="353" s="5" customFormat="1" ht="13">
      <c r="A353" s="5" t="s">
        <v>44</v>
      </c>
      <c r="B353" s="5" t="s">
        <v>44</v>
      </c>
      <c r="C353" s="5" t="s">
        <v>114</v>
      </c>
      <c r="D353" s="5" t="s">
        <v>21</v>
      </c>
      <c r="E353" s="5" t="s">
        <v>44</v>
      </c>
      <c r="F353" s="5" t="s">
        <v>68</v>
      </c>
      <c r="G353" s="5" t="s">
        <v>75</v>
      </c>
      <c r="H353" s="9" t="s">
        <v>226</v>
      </c>
      <c r="I353" s="10"/>
      <c r="J353" s="10">
        <v>41999</v>
      </c>
      <c r="K353" s="5" t="s">
        <v>77</v>
      </c>
      <c r="L353" s="5" t="s">
        <v>58</v>
      </c>
      <c r="M353" s="11">
        <v>0.14000000000000001</v>
      </c>
      <c r="N353" s="5" t="e">
        <f>IF(AND(M353&gt;#REF!,Cartera!O353="Guaraníes"),"Rendimiento significativo",IF(AND(M353&gt;#REF!,Cartera!O353="Dólares americanos"),"Rendimiento significativo","Rendimiento no significativo"))</f>
        <v>#REF!</v>
      </c>
      <c r="O353" s="5" t="s">
        <v>41</v>
      </c>
      <c r="P353" s="12">
        <v>523561.643835</v>
      </c>
      <c r="Q353" s="12">
        <f>IF(O353="Guaraníes",P353,P353*#REF!)</f>
        <v>523561.643835</v>
      </c>
      <c r="R353" s="12" t="e">
        <f>IF(O353="Guaraníes",P353/#REF!,P353)</f>
        <v>#REF!</v>
      </c>
      <c r="S353" s="5" t="s">
        <v>52</v>
      </c>
      <c r="T353" s="5">
        <v>25</v>
      </c>
      <c r="W353" s="5" t="s">
        <v>65</v>
      </c>
      <c r="X353" s="5">
        <v>0</v>
      </c>
      <c r="Y353" s="5">
        <v>0</v>
      </c>
      <c r="Z353" s="5">
        <v>34904.109589</v>
      </c>
      <c r="AA353" s="5">
        <v>15</v>
      </c>
      <c r="AB353" s="5">
        <v>523561.643835</v>
      </c>
      <c r="AC353" s="5" t="str">
        <f t="shared" si="19"/>
        <v>Bonos</v>
      </c>
      <c r="AD353" s="5" t="s">
        <v>43</v>
      </c>
      <c r="AE353" s="5">
        <f t="shared" si="20"/>
        <v>12</v>
      </c>
      <c r="AF353" s="5">
        <f t="shared" si="21"/>
        <v>2014</v>
      </c>
    </row>
    <row r="354" s="5" customFormat="1" ht="13">
      <c r="A354" s="5" t="s">
        <v>44</v>
      </c>
      <c r="B354" s="5" t="s">
        <v>44</v>
      </c>
      <c r="C354" s="5" t="s">
        <v>227</v>
      </c>
      <c r="D354" s="5" t="s">
        <v>21</v>
      </c>
      <c r="E354" s="5" t="s">
        <v>44</v>
      </c>
      <c r="F354" s="5" t="s">
        <v>68</v>
      </c>
      <c r="G354" s="5" t="s">
        <v>75</v>
      </c>
      <c r="H354" s="9" t="s">
        <v>228</v>
      </c>
      <c r="I354" s="10"/>
      <c r="J354" s="10">
        <v>42061</v>
      </c>
      <c r="K354" s="5" t="s">
        <v>77</v>
      </c>
      <c r="L354" s="5" t="s">
        <v>58</v>
      </c>
      <c r="M354" s="11">
        <v>0.1525</v>
      </c>
      <c r="N354" s="5" t="e">
        <f>IF(AND(M354&gt;#REF!,Cartera!O354="Guaraníes"),"Rendimiento significativo",IF(AND(M354&gt;#REF!,Cartera!O354="Dólares americanos"),"Rendimiento significativo","Rendimiento no significativo"))</f>
        <v>#REF!</v>
      </c>
      <c r="O354" s="5" t="s">
        <v>41</v>
      </c>
      <c r="P354" s="12">
        <v>2851541.0958749996</v>
      </c>
      <c r="Q354" s="12">
        <f>IF(O354="Guaraníes",P354,P354*#REF!)</f>
        <v>2851541.0958749996</v>
      </c>
      <c r="R354" s="12" t="e">
        <f>IF(O354="Guaraníes",P354/#REF!,P354)</f>
        <v>#REF!</v>
      </c>
      <c r="S354" s="5" t="s">
        <v>52</v>
      </c>
      <c r="T354" s="5">
        <v>25</v>
      </c>
      <c r="W354" s="5" t="s">
        <v>196</v>
      </c>
      <c r="X354" s="5">
        <v>0</v>
      </c>
      <c r="Y354" s="5">
        <v>0</v>
      </c>
      <c r="Z354" s="5">
        <v>38020.547944999998</v>
      </c>
      <c r="AA354" s="5">
        <v>75</v>
      </c>
      <c r="AB354" s="5">
        <v>2851541.0958750001</v>
      </c>
      <c r="AC354" s="5" t="str">
        <f t="shared" si="19"/>
        <v>Bonos</v>
      </c>
      <c r="AD354" s="5" t="s">
        <v>43</v>
      </c>
      <c r="AE354" s="5">
        <f t="shared" si="20"/>
        <v>2</v>
      </c>
      <c r="AF354" s="5">
        <f t="shared" si="21"/>
        <v>2015</v>
      </c>
    </row>
    <row r="355" s="5" customFormat="1" ht="13">
      <c r="A355" s="5" t="s">
        <v>44</v>
      </c>
      <c r="B355" s="5" t="s">
        <v>44</v>
      </c>
      <c r="C355" s="5" t="s">
        <v>99</v>
      </c>
      <c r="D355" s="5" t="s">
        <v>21</v>
      </c>
      <c r="E355" s="5" t="s">
        <v>44</v>
      </c>
      <c r="F355" s="5" t="s">
        <v>100</v>
      </c>
      <c r="G355" s="5" t="s">
        <v>75</v>
      </c>
      <c r="H355" s="9" t="s">
        <v>229</v>
      </c>
      <c r="I355" s="10"/>
      <c r="J355" s="10">
        <v>42086</v>
      </c>
      <c r="K355" s="5" t="s">
        <v>102</v>
      </c>
      <c r="L355" s="5" t="s">
        <v>102</v>
      </c>
      <c r="M355" s="11">
        <v>0.089999999999999997</v>
      </c>
      <c r="N355" s="5" t="e">
        <f>IF(AND(M355&gt;#REF!,Cartera!O355="Guaraníes"),"Rendimiento significativo",IF(AND(M355&gt;#REF!,Cartera!O355="Dólares americanos"),"Rendimiento significativo","Rendimiento no significativo"))</f>
        <v>#REF!</v>
      </c>
      <c r="O355" s="5" t="s">
        <v>41</v>
      </c>
      <c r="P355" s="12">
        <v>6025068.4931099992</v>
      </c>
      <c r="Q355" s="12">
        <f>IF(O355="Guaraníes",P355,P355*#REF!)</f>
        <v>6025068.4931099992</v>
      </c>
      <c r="R355" s="12" t="e">
        <f>IF(O355="Guaraníes",P355/#REF!,P355)</f>
        <v>#REF!</v>
      </c>
      <c r="S355" s="5" t="s">
        <v>52</v>
      </c>
      <c r="T355" s="5">
        <v>25</v>
      </c>
      <c r="W355" s="5" t="s">
        <v>230</v>
      </c>
      <c r="X355" s="5">
        <v>0</v>
      </c>
      <c r="Y355" s="5">
        <v>0</v>
      </c>
      <c r="Z355" s="5">
        <v>44630.136985999998</v>
      </c>
      <c r="AA355" s="5">
        <v>135</v>
      </c>
      <c r="AB355" s="5">
        <v>6025068.4931100002</v>
      </c>
      <c r="AC355" s="5" t="str">
        <f t="shared" si="19"/>
        <v>Bonos</v>
      </c>
      <c r="AD355" s="5" t="s">
        <v>43</v>
      </c>
      <c r="AE355" s="5">
        <f t="shared" si="20"/>
        <v>3</v>
      </c>
      <c r="AF355" s="5">
        <f t="shared" si="21"/>
        <v>2015</v>
      </c>
    </row>
    <row r="356" s="5" customFormat="1" ht="13">
      <c r="A356" s="5" t="s">
        <v>44</v>
      </c>
      <c r="B356" s="5" t="s">
        <v>44</v>
      </c>
      <c r="C356" s="5" t="s">
        <v>114</v>
      </c>
      <c r="D356" s="5" t="s">
        <v>21</v>
      </c>
      <c r="E356" s="5" t="s">
        <v>44</v>
      </c>
      <c r="F356" s="5" t="s">
        <v>68</v>
      </c>
      <c r="G356" s="5" t="s">
        <v>75</v>
      </c>
      <c r="H356" s="9" t="s">
        <v>226</v>
      </c>
      <c r="I356" s="10"/>
      <c r="J356" s="10">
        <v>42090</v>
      </c>
      <c r="K356" s="5" t="s">
        <v>77</v>
      </c>
      <c r="L356" s="5" t="s">
        <v>58</v>
      </c>
      <c r="M356" s="11">
        <v>0.14000000000000001</v>
      </c>
      <c r="N356" s="5" t="e">
        <f>IF(AND(M356&gt;#REF!,Cartera!O356="Guaraníes"),"Rendimiento significativo",IF(AND(M356&gt;#REF!,Cartera!O356="Dólares americanos"),"Rendimiento significativo","Rendimiento no significativo"))</f>
        <v>#REF!</v>
      </c>
      <c r="O356" s="5" t="s">
        <v>41</v>
      </c>
      <c r="P356" s="12">
        <v>523561.643835</v>
      </c>
      <c r="Q356" s="12">
        <f>IF(O356="Guaraníes",P356,P356*#REF!)</f>
        <v>523561.643835</v>
      </c>
      <c r="R356" s="12" t="e">
        <f>IF(O356="Guaraníes",P356/#REF!,P356)</f>
        <v>#REF!</v>
      </c>
      <c r="S356" s="5" t="s">
        <v>52</v>
      </c>
      <c r="T356" s="5">
        <v>25</v>
      </c>
      <c r="W356" s="5" t="s">
        <v>65</v>
      </c>
      <c r="X356" s="5">
        <v>0</v>
      </c>
      <c r="Y356" s="5">
        <v>0</v>
      </c>
      <c r="Z356" s="5">
        <v>34904.109589</v>
      </c>
      <c r="AA356" s="5">
        <v>15</v>
      </c>
      <c r="AB356" s="5">
        <v>523561.643835</v>
      </c>
      <c r="AC356" s="5" t="str">
        <f t="shared" si="19"/>
        <v>Bonos</v>
      </c>
      <c r="AD356" s="5" t="s">
        <v>43</v>
      </c>
      <c r="AE356" s="5">
        <f t="shared" si="20"/>
        <v>3</v>
      </c>
      <c r="AF356" s="5">
        <f t="shared" si="21"/>
        <v>2015</v>
      </c>
    </row>
    <row r="357" s="5" customFormat="1" ht="13">
      <c r="A357" s="5" t="s">
        <v>44</v>
      </c>
      <c r="B357" s="5" t="s">
        <v>44</v>
      </c>
      <c r="C357" s="5" t="s">
        <v>227</v>
      </c>
      <c r="D357" s="5" t="s">
        <v>21</v>
      </c>
      <c r="E357" s="5" t="s">
        <v>44</v>
      </c>
      <c r="F357" s="5" t="s">
        <v>68</v>
      </c>
      <c r="G357" s="5" t="s">
        <v>75</v>
      </c>
      <c r="H357" s="9" t="s">
        <v>228</v>
      </c>
      <c r="I357" s="10"/>
      <c r="J357" s="10">
        <v>42152</v>
      </c>
      <c r="K357" s="5" t="s">
        <v>77</v>
      </c>
      <c r="L357" s="5" t="s">
        <v>58</v>
      </c>
      <c r="M357" s="11">
        <v>0.1525</v>
      </c>
      <c r="N357" s="5" t="e">
        <f>IF(AND(M357&gt;#REF!,Cartera!O357="Guaraníes"),"Rendimiento significativo",IF(AND(M357&gt;#REF!,Cartera!O357="Dólares americanos"),"Rendimiento significativo","Rendimiento no significativo"))</f>
        <v>#REF!</v>
      </c>
      <c r="O357" s="5" t="s">
        <v>41</v>
      </c>
      <c r="P357" s="12">
        <v>2851541.0958749996</v>
      </c>
      <c r="Q357" s="12">
        <f>IF(O357="Guaraníes",P357,P357*#REF!)</f>
        <v>2851541.0958749996</v>
      </c>
      <c r="R357" s="12" t="e">
        <f>IF(O357="Guaraníes",P357/#REF!,P357)</f>
        <v>#REF!</v>
      </c>
      <c r="S357" s="5" t="s">
        <v>52</v>
      </c>
      <c r="T357" s="5">
        <v>25</v>
      </c>
      <c r="W357" s="5" t="s">
        <v>196</v>
      </c>
      <c r="X357" s="5">
        <v>0</v>
      </c>
      <c r="Y357" s="5">
        <v>0</v>
      </c>
      <c r="Z357" s="5">
        <v>38020.547944999998</v>
      </c>
      <c r="AA357" s="5">
        <v>75</v>
      </c>
      <c r="AB357" s="5">
        <v>2851541.0958750001</v>
      </c>
      <c r="AC357" s="5" t="str">
        <f t="shared" si="19"/>
        <v>Bonos</v>
      </c>
      <c r="AD357" s="5" t="s">
        <v>43</v>
      </c>
      <c r="AE357" s="5">
        <f t="shared" si="20"/>
        <v>5</v>
      </c>
      <c r="AF357" s="5">
        <f t="shared" si="21"/>
        <v>2015</v>
      </c>
    </row>
    <row r="358" s="5" customFormat="1" ht="13">
      <c r="A358" s="5" t="s">
        <v>44</v>
      </c>
      <c r="B358" s="5" t="s">
        <v>44</v>
      </c>
      <c r="C358" s="5" t="s">
        <v>74</v>
      </c>
      <c r="D358" s="5" t="s">
        <v>21</v>
      </c>
      <c r="E358" s="5" t="s">
        <v>44</v>
      </c>
      <c r="F358" s="5" t="s">
        <v>68</v>
      </c>
      <c r="G358" s="5" t="s">
        <v>75</v>
      </c>
      <c r="H358" s="9" t="s">
        <v>231</v>
      </c>
      <c r="I358" s="10"/>
      <c r="J358" s="10">
        <v>42157</v>
      </c>
      <c r="K358" s="5" t="s">
        <v>77</v>
      </c>
      <c r="L358" s="5" t="s">
        <v>58</v>
      </c>
      <c r="M358" s="11">
        <v>0.14000000000000001</v>
      </c>
      <c r="N358" s="5" t="e">
        <f>IF(AND(M358&gt;#REF!,Cartera!O358="Guaraníes"),"Rendimiento significativo",IF(AND(M358&gt;#REF!,Cartera!O358="Dólares americanos"),"Rendimiento significativo","Rendimiento no significativo"))</f>
        <v>#REF!</v>
      </c>
      <c r="O358" s="5" t="s">
        <v>41</v>
      </c>
      <c r="P358" s="12">
        <v>5293150.6849499997</v>
      </c>
      <c r="Q358" s="12">
        <f>IF(O358="Guaraníes",P358,P358*#REF!)</f>
        <v>5293150.6849499997</v>
      </c>
      <c r="R358" s="12" t="e">
        <f>IF(O358="Guaraníes",P358/#REF!,P358)</f>
        <v>#REF!</v>
      </c>
      <c r="S358" s="5" t="s">
        <v>52</v>
      </c>
      <c r="T358" s="5">
        <v>25</v>
      </c>
      <c r="W358" s="5" t="s">
        <v>53</v>
      </c>
      <c r="X358" s="5">
        <v>0</v>
      </c>
      <c r="Y358" s="5">
        <v>0</v>
      </c>
      <c r="Z358" s="5">
        <v>35287.671233000001</v>
      </c>
      <c r="AA358" s="5">
        <v>150</v>
      </c>
      <c r="AB358" s="5">
        <v>5293150.6849499997</v>
      </c>
      <c r="AC358" s="5" t="str">
        <f t="shared" si="19"/>
        <v>Bonos</v>
      </c>
      <c r="AD358" s="5" t="s">
        <v>43</v>
      </c>
      <c r="AE358" s="5">
        <f t="shared" si="20"/>
        <v>6</v>
      </c>
      <c r="AF358" s="5">
        <f t="shared" si="21"/>
        <v>2015</v>
      </c>
    </row>
    <row r="359" s="5" customFormat="1" ht="13">
      <c r="A359" s="5" t="s">
        <v>44</v>
      </c>
      <c r="B359" s="5" t="s">
        <v>44</v>
      </c>
      <c r="C359" s="5" t="s">
        <v>114</v>
      </c>
      <c r="D359" s="5" t="s">
        <v>21</v>
      </c>
      <c r="E359" s="5" t="s">
        <v>44</v>
      </c>
      <c r="F359" s="5" t="s">
        <v>68</v>
      </c>
      <c r="G359" s="5" t="s">
        <v>75</v>
      </c>
      <c r="H359" s="9" t="s">
        <v>226</v>
      </c>
      <c r="I359" s="10"/>
      <c r="J359" s="10">
        <v>42181</v>
      </c>
      <c r="K359" s="5" t="s">
        <v>77</v>
      </c>
      <c r="L359" s="5" t="s">
        <v>58</v>
      </c>
      <c r="M359" s="11">
        <v>0.14000000000000001</v>
      </c>
      <c r="N359" s="5" t="e">
        <f>IF(AND(M359&gt;#REF!,Cartera!O359="Guaraníes"),"Rendimiento significativo",IF(AND(M359&gt;#REF!,Cartera!O359="Dólares americanos"),"Rendimiento significativo","Rendimiento no significativo"))</f>
        <v>#REF!</v>
      </c>
      <c r="O359" s="5" t="s">
        <v>41</v>
      </c>
      <c r="P359" s="12">
        <v>523561.643835</v>
      </c>
      <c r="Q359" s="12">
        <f>IF(O359="Guaraníes",P359,P359*#REF!)</f>
        <v>523561.643835</v>
      </c>
      <c r="R359" s="12" t="e">
        <f>IF(O359="Guaraníes",P359/#REF!,P359)</f>
        <v>#REF!</v>
      </c>
      <c r="S359" s="5" t="s">
        <v>52</v>
      </c>
      <c r="T359" s="5">
        <v>25</v>
      </c>
      <c r="W359" s="5" t="s">
        <v>65</v>
      </c>
      <c r="X359" s="5">
        <v>0</v>
      </c>
      <c r="Y359" s="5">
        <v>0</v>
      </c>
      <c r="Z359" s="5">
        <v>34904.109589</v>
      </c>
      <c r="AA359" s="5">
        <v>15</v>
      </c>
      <c r="AB359" s="5">
        <v>523561.643835</v>
      </c>
      <c r="AC359" s="5" t="str">
        <f t="shared" si="19"/>
        <v>Bonos</v>
      </c>
      <c r="AD359" s="5" t="s">
        <v>43</v>
      </c>
      <c r="AE359" s="5">
        <f t="shared" si="20"/>
        <v>6</v>
      </c>
      <c r="AF359" s="5">
        <f t="shared" si="21"/>
        <v>2015</v>
      </c>
    </row>
    <row r="360" s="5" customFormat="1" ht="13">
      <c r="A360" s="5" t="s">
        <v>44</v>
      </c>
      <c r="B360" s="5" t="s">
        <v>44</v>
      </c>
      <c r="C360" s="5" t="s">
        <v>114</v>
      </c>
      <c r="D360" s="5" t="s">
        <v>21</v>
      </c>
      <c r="E360" s="5" t="s">
        <v>44</v>
      </c>
      <c r="F360" s="5" t="s">
        <v>68</v>
      </c>
      <c r="G360" s="5" t="s">
        <v>75</v>
      </c>
      <c r="H360" s="9" t="s">
        <v>115</v>
      </c>
      <c r="I360" s="10"/>
      <c r="J360" s="10">
        <v>42222</v>
      </c>
      <c r="K360" s="5" t="s">
        <v>77</v>
      </c>
      <c r="L360" s="5" t="s">
        <v>50</v>
      </c>
      <c r="M360" s="11">
        <v>0.125</v>
      </c>
      <c r="N360" s="5" t="e">
        <f>IF(AND(M360&gt;#REF!,Cartera!O360="Guaraníes"),"Rendimiento significativo",IF(AND(M360&gt;#REF!,Cartera!O360="Dólares americanos"),"Rendimiento significativo","Rendimiento no significativo"))</f>
        <v>#REF!</v>
      </c>
      <c r="O360" s="5" t="s">
        <v>41</v>
      </c>
      <c r="P360" s="12">
        <v>887671.23288000003</v>
      </c>
      <c r="Q360" s="12">
        <f>IF(O360="Guaraníes",P360,P360*#REF!)</f>
        <v>887671.23288000003</v>
      </c>
      <c r="R360" s="12" t="e">
        <f>IF(O360="Guaraníes",P360/#REF!,P360)</f>
        <v>#REF!</v>
      </c>
      <c r="S360" s="5" t="s">
        <v>52</v>
      </c>
      <c r="T360" s="5">
        <v>25</v>
      </c>
      <c r="W360" s="5" t="s">
        <v>65</v>
      </c>
      <c r="X360" s="5">
        <v>0</v>
      </c>
      <c r="Y360" s="5">
        <v>0</v>
      </c>
      <c r="Z360" s="5">
        <v>29589.041096000001</v>
      </c>
      <c r="AA360" s="5">
        <v>30</v>
      </c>
      <c r="AB360" s="5">
        <v>887671.23288000003</v>
      </c>
      <c r="AC360" s="5" t="str">
        <f t="shared" si="19"/>
        <v>Bonos</v>
      </c>
      <c r="AD360" s="5" t="s">
        <v>43</v>
      </c>
      <c r="AE360" s="5">
        <f t="shared" si="20"/>
        <v>8</v>
      </c>
      <c r="AF360" s="5">
        <f t="shared" si="21"/>
        <v>2015</v>
      </c>
    </row>
    <row r="361" s="5" customFormat="1" ht="13">
      <c r="A361" s="5" t="s">
        <v>44</v>
      </c>
      <c r="B361" s="5" t="s">
        <v>44</v>
      </c>
      <c r="C361" s="5" t="s">
        <v>227</v>
      </c>
      <c r="D361" s="5" t="s">
        <v>21</v>
      </c>
      <c r="E361" s="5" t="s">
        <v>44</v>
      </c>
      <c r="F361" s="5" t="s">
        <v>68</v>
      </c>
      <c r="G361" s="5" t="s">
        <v>75</v>
      </c>
      <c r="H361" s="9" t="s">
        <v>228</v>
      </c>
      <c r="I361" s="10"/>
      <c r="J361" s="10">
        <v>42243</v>
      </c>
      <c r="K361" s="5" t="s">
        <v>77</v>
      </c>
      <c r="L361" s="5" t="s">
        <v>58</v>
      </c>
      <c r="M361" s="11">
        <v>0.1525</v>
      </c>
      <c r="N361" s="5" t="e">
        <f>IF(AND(M361&gt;#REF!,Cartera!O361="Guaraníes"),"Rendimiento significativo",IF(AND(M361&gt;#REF!,Cartera!O361="Dólares americanos"),"Rendimiento significativo","Rendimiento no significativo"))</f>
        <v>#REF!</v>
      </c>
      <c r="O361" s="5" t="s">
        <v>41</v>
      </c>
      <c r="P361" s="12">
        <v>2851541.0958749996</v>
      </c>
      <c r="Q361" s="12">
        <f>IF(O361="Guaraníes",P361,P361*#REF!)</f>
        <v>2851541.0958749996</v>
      </c>
      <c r="R361" s="12" t="e">
        <f>IF(O361="Guaraníes",P361/#REF!,P361)</f>
        <v>#REF!</v>
      </c>
      <c r="S361" s="5" t="s">
        <v>52</v>
      </c>
      <c r="T361" s="5">
        <v>25</v>
      </c>
      <c r="W361" s="5" t="s">
        <v>196</v>
      </c>
      <c r="X361" s="5">
        <v>0</v>
      </c>
      <c r="Y361" s="5">
        <v>0</v>
      </c>
      <c r="Z361" s="5">
        <v>38020.547944999998</v>
      </c>
      <c r="AA361" s="5">
        <v>75</v>
      </c>
      <c r="AB361" s="5">
        <v>2851541.0958750001</v>
      </c>
      <c r="AC361" s="5" t="str">
        <f t="shared" si="19"/>
        <v>Bonos</v>
      </c>
      <c r="AD361" s="5" t="s">
        <v>43</v>
      </c>
      <c r="AE361" s="5">
        <f t="shared" si="20"/>
        <v>8</v>
      </c>
      <c r="AF361" s="5">
        <f t="shared" si="21"/>
        <v>2015</v>
      </c>
    </row>
    <row r="362" s="5" customFormat="1" ht="13">
      <c r="A362" s="5" t="s">
        <v>44</v>
      </c>
      <c r="B362" s="5" t="s">
        <v>44</v>
      </c>
      <c r="C362" s="5" t="s">
        <v>74</v>
      </c>
      <c r="D362" s="5" t="s">
        <v>21</v>
      </c>
      <c r="E362" s="5" t="s">
        <v>44</v>
      </c>
      <c r="F362" s="5" t="s">
        <v>68</v>
      </c>
      <c r="G362" s="5" t="s">
        <v>75</v>
      </c>
      <c r="H362" s="9" t="s">
        <v>231</v>
      </c>
      <c r="I362" s="10"/>
      <c r="J362" s="10">
        <v>42248</v>
      </c>
      <c r="K362" s="5" t="s">
        <v>77</v>
      </c>
      <c r="L362" s="5" t="s">
        <v>58</v>
      </c>
      <c r="M362" s="11">
        <v>0.14000000000000001</v>
      </c>
      <c r="N362" s="5" t="e">
        <f>IF(AND(M362&gt;#REF!,Cartera!O362="Guaraníes"),"Rendimiento significativo",IF(AND(M362&gt;#REF!,Cartera!O362="Dólares americanos"),"Rendimiento significativo","Rendimiento no significativo"))</f>
        <v>#REF!</v>
      </c>
      <c r="O362" s="5" t="s">
        <v>41</v>
      </c>
      <c r="P362" s="12">
        <v>5235616.4383499995</v>
      </c>
      <c r="Q362" s="12">
        <f>IF(O362="Guaraníes",P362,P362*#REF!)</f>
        <v>5235616.4383499995</v>
      </c>
      <c r="R362" s="12" t="e">
        <f>IF(O362="Guaraníes",P362/#REF!,P362)</f>
        <v>#REF!</v>
      </c>
      <c r="S362" s="5" t="s">
        <v>52</v>
      </c>
      <c r="T362" s="5">
        <v>25</v>
      </c>
      <c r="W362" s="5" t="s">
        <v>232</v>
      </c>
      <c r="X362" s="5">
        <v>0</v>
      </c>
      <c r="Y362" s="5">
        <v>0</v>
      </c>
      <c r="Z362" s="5">
        <v>34904.109589</v>
      </c>
      <c r="AA362" s="5">
        <v>150</v>
      </c>
      <c r="AB362" s="5">
        <v>5235616.4383500004</v>
      </c>
      <c r="AC362" s="5" t="str">
        <f t="shared" si="19"/>
        <v>Bonos</v>
      </c>
      <c r="AD362" s="5" t="s">
        <v>43</v>
      </c>
      <c r="AE362" s="5">
        <f t="shared" si="20"/>
        <v>9</v>
      </c>
      <c r="AF362" s="5">
        <f t="shared" si="21"/>
        <v>2015</v>
      </c>
    </row>
    <row r="363" s="5" customFormat="1" ht="13">
      <c r="A363" s="5" t="s">
        <v>44</v>
      </c>
      <c r="B363" s="5" t="s">
        <v>44</v>
      </c>
      <c r="C363" s="5" t="s">
        <v>99</v>
      </c>
      <c r="D363" s="5" t="s">
        <v>21</v>
      </c>
      <c r="E363" s="5" t="s">
        <v>44</v>
      </c>
      <c r="F363" s="5" t="s">
        <v>100</v>
      </c>
      <c r="G363" s="5" t="s">
        <v>75</v>
      </c>
      <c r="H363" s="9" t="s">
        <v>229</v>
      </c>
      <c r="I363" s="10"/>
      <c r="J363" s="10">
        <v>42270</v>
      </c>
      <c r="K363" s="5" t="s">
        <v>102</v>
      </c>
      <c r="L363" s="5" t="s">
        <v>102</v>
      </c>
      <c r="M363" s="11">
        <v>0.089999999999999997</v>
      </c>
      <c r="N363" s="5" t="e">
        <f>IF(AND(M363&gt;#REF!,Cartera!O363="Guaraníes"),"Rendimiento significativo",IF(AND(M363&gt;#REF!,Cartera!O363="Dólares americanos"),"Rendimiento significativo","Rendimiento no significativo"))</f>
        <v>#REF!</v>
      </c>
      <c r="O363" s="5" t="s">
        <v>41</v>
      </c>
      <c r="P363" s="12">
        <v>6124931.5068900008</v>
      </c>
      <c r="Q363" s="12">
        <f>IF(O363="Guaraníes",P363,P363*#REF!)</f>
        <v>6124931.5068900008</v>
      </c>
      <c r="R363" s="12" t="e">
        <f>IF(O363="Guaraníes",P363/#REF!,P363)</f>
        <v>#REF!</v>
      </c>
      <c r="S363" s="5" t="s">
        <v>52</v>
      </c>
      <c r="T363" s="5">
        <v>25</v>
      </c>
      <c r="W363" s="5" t="s">
        <v>233</v>
      </c>
      <c r="X363" s="5">
        <v>0</v>
      </c>
      <c r="Y363" s="5">
        <v>0</v>
      </c>
      <c r="Z363" s="5">
        <v>45369.863014000002</v>
      </c>
      <c r="AA363" s="5">
        <v>135</v>
      </c>
      <c r="AB363" s="5">
        <v>6124931.5068899998</v>
      </c>
      <c r="AC363" s="5" t="str">
        <f t="shared" si="19"/>
        <v>Bonos</v>
      </c>
      <c r="AD363" s="5" t="s">
        <v>43</v>
      </c>
      <c r="AE363" s="5">
        <f t="shared" si="20"/>
        <v>9</v>
      </c>
      <c r="AF363" s="5">
        <f t="shared" si="21"/>
        <v>2015</v>
      </c>
    </row>
    <row r="364" s="5" customFormat="1" ht="13">
      <c r="A364" s="5" t="s">
        <v>44</v>
      </c>
      <c r="B364" s="5" t="s">
        <v>44</v>
      </c>
      <c r="C364" s="5" t="s">
        <v>114</v>
      </c>
      <c r="D364" s="5" t="s">
        <v>21</v>
      </c>
      <c r="E364" s="5" t="s">
        <v>44</v>
      </c>
      <c r="F364" s="5" t="s">
        <v>68</v>
      </c>
      <c r="G364" s="5" t="s">
        <v>75</v>
      </c>
      <c r="H364" s="9" t="s">
        <v>226</v>
      </c>
      <c r="I364" s="10"/>
      <c r="J364" s="10">
        <v>42272</v>
      </c>
      <c r="K364" s="5" t="s">
        <v>77</v>
      </c>
      <c r="L364" s="5" t="s">
        <v>58</v>
      </c>
      <c r="M364" s="11">
        <v>0.14000000000000001</v>
      </c>
      <c r="N364" s="5" t="e">
        <f>IF(AND(M364&gt;#REF!,Cartera!O364="Guaraníes"),"Rendimiento significativo",IF(AND(M364&gt;#REF!,Cartera!O364="Dólares americanos"),"Rendimiento significativo","Rendimiento no significativo"))</f>
        <v>#REF!</v>
      </c>
      <c r="O364" s="5" t="s">
        <v>41</v>
      </c>
      <c r="P364" s="12">
        <v>523561.643835</v>
      </c>
      <c r="Q364" s="12">
        <f>IF(O364="Guaraníes",P364,P364*#REF!)</f>
        <v>523561.643835</v>
      </c>
      <c r="R364" s="12" t="e">
        <f>IF(O364="Guaraníes",P364/#REF!,P364)</f>
        <v>#REF!</v>
      </c>
      <c r="S364" s="5" t="s">
        <v>52</v>
      </c>
      <c r="T364" s="5">
        <v>25</v>
      </c>
      <c r="W364" s="5" t="s">
        <v>65</v>
      </c>
      <c r="X364" s="5">
        <v>0</v>
      </c>
      <c r="Y364" s="5">
        <v>0</v>
      </c>
      <c r="Z364" s="5">
        <v>34904.109589</v>
      </c>
      <c r="AA364" s="5">
        <v>15</v>
      </c>
      <c r="AB364" s="5">
        <v>523561.643835</v>
      </c>
      <c r="AC364" s="5" t="str">
        <f t="shared" si="19"/>
        <v>Bonos</v>
      </c>
      <c r="AD364" s="5" t="s">
        <v>43</v>
      </c>
      <c r="AE364" s="5">
        <f t="shared" si="20"/>
        <v>9</v>
      </c>
      <c r="AF364" s="5">
        <f t="shared" si="21"/>
        <v>2015</v>
      </c>
    </row>
    <row r="365" s="5" customFormat="1" ht="13">
      <c r="A365" s="5" t="s">
        <v>44</v>
      </c>
      <c r="B365" s="5" t="s">
        <v>44</v>
      </c>
      <c r="C365" s="5" t="s">
        <v>114</v>
      </c>
      <c r="D365" s="5" t="s">
        <v>21</v>
      </c>
      <c r="E365" s="5" t="s">
        <v>44</v>
      </c>
      <c r="F365" s="5" t="s">
        <v>68</v>
      </c>
      <c r="G365" s="5" t="s">
        <v>75</v>
      </c>
      <c r="H365" s="9" t="s">
        <v>115</v>
      </c>
      <c r="I365" s="10"/>
      <c r="J365" s="10">
        <v>42313</v>
      </c>
      <c r="K365" s="5" t="s">
        <v>77</v>
      </c>
      <c r="L365" s="5" t="s">
        <v>50</v>
      </c>
      <c r="M365" s="11">
        <v>0.125</v>
      </c>
      <c r="N365" s="5" t="e">
        <f>IF(AND(M365&gt;#REF!,Cartera!O365="Guaraníes"),"Rendimiento significativo",IF(AND(M365&gt;#REF!,Cartera!O365="Dólares americanos"),"Rendimiento significativo","Rendimiento no significativo"))</f>
        <v>#REF!</v>
      </c>
      <c r="O365" s="5" t="s">
        <v>41</v>
      </c>
      <c r="P365" s="12">
        <v>897534.24656999996</v>
      </c>
      <c r="Q365" s="12">
        <f>IF(O365="Guaraníes",P365,P365*#REF!)</f>
        <v>897534.24656999996</v>
      </c>
      <c r="R365" s="12" t="e">
        <f>IF(O365="Guaraníes",P365/#REF!,P365)</f>
        <v>#REF!</v>
      </c>
      <c r="S365" s="5" t="s">
        <v>52</v>
      </c>
      <c r="T365" s="5">
        <v>25</v>
      </c>
      <c r="W365" s="5" t="s">
        <v>65</v>
      </c>
      <c r="X365" s="5">
        <v>0</v>
      </c>
      <c r="Y365" s="5">
        <v>0</v>
      </c>
      <c r="Z365" s="5">
        <v>29917.808218999999</v>
      </c>
      <c r="AA365" s="5">
        <v>30</v>
      </c>
      <c r="AB365" s="5">
        <v>897534.24656999996</v>
      </c>
      <c r="AC365" s="5" t="str">
        <f t="shared" si="19"/>
        <v>Bonos</v>
      </c>
      <c r="AD365" s="5" t="s">
        <v>43</v>
      </c>
      <c r="AE365" s="5">
        <f t="shared" si="20"/>
        <v>11</v>
      </c>
      <c r="AF365" s="5">
        <f t="shared" si="21"/>
        <v>2015</v>
      </c>
    </row>
    <row r="366" s="5" customFormat="1" ht="13">
      <c r="A366" s="5" t="s">
        <v>44</v>
      </c>
      <c r="B366" s="5" t="s">
        <v>44</v>
      </c>
      <c r="C366" s="5" t="s">
        <v>227</v>
      </c>
      <c r="D366" s="5" t="s">
        <v>21</v>
      </c>
      <c r="E366" s="5" t="s">
        <v>44</v>
      </c>
      <c r="F366" s="5" t="s">
        <v>68</v>
      </c>
      <c r="G366" s="5" t="s">
        <v>75</v>
      </c>
      <c r="H366" s="9" t="s">
        <v>228</v>
      </c>
      <c r="I366" s="10"/>
      <c r="J366" s="10">
        <v>42334</v>
      </c>
      <c r="K366" s="5" t="s">
        <v>77</v>
      </c>
      <c r="L366" s="5" t="s">
        <v>58</v>
      </c>
      <c r="M366" s="11">
        <v>0.1525</v>
      </c>
      <c r="N366" s="5" t="e">
        <f>IF(AND(M366&gt;#REF!,Cartera!O366="Guaraníes"),"Rendimiento significativo",IF(AND(M366&gt;#REF!,Cartera!O366="Dólares americanos"),"Rendimiento significativo","Rendimiento no significativo"))</f>
        <v>#REF!</v>
      </c>
      <c r="O366" s="5" t="s">
        <v>41</v>
      </c>
      <c r="P366" s="12">
        <v>2851541.0958749996</v>
      </c>
      <c r="Q366" s="12">
        <f>IF(O366="Guaraníes",P366,P366*#REF!)</f>
        <v>2851541.0958749996</v>
      </c>
      <c r="R366" s="12" t="e">
        <f>IF(O366="Guaraníes",P366/#REF!,P366)</f>
        <v>#REF!</v>
      </c>
      <c r="S366" s="5" t="s">
        <v>52</v>
      </c>
      <c r="T366" s="5">
        <v>25</v>
      </c>
      <c r="W366" s="5" t="s">
        <v>196</v>
      </c>
      <c r="X366" s="5">
        <v>0</v>
      </c>
      <c r="Y366" s="5">
        <v>0</v>
      </c>
      <c r="Z366" s="5">
        <v>38020.547944999998</v>
      </c>
      <c r="AA366" s="5">
        <v>75</v>
      </c>
      <c r="AB366" s="5">
        <v>2851541.0958750001</v>
      </c>
      <c r="AC366" s="5" t="str">
        <f t="shared" si="19"/>
        <v>Bonos</v>
      </c>
      <c r="AD366" s="5" t="s">
        <v>43</v>
      </c>
      <c r="AE366" s="5">
        <f t="shared" si="20"/>
        <v>11</v>
      </c>
      <c r="AF366" s="5">
        <f t="shared" si="21"/>
        <v>2015</v>
      </c>
    </row>
    <row r="367" s="5" customFormat="1" ht="13">
      <c r="A367" s="5" t="s">
        <v>44</v>
      </c>
      <c r="B367" s="5" t="s">
        <v>44</v>
      </c>
      <c r="C367" s="5" t="s">
        <v>74</v>
      </c>
      <c r="D367" s="5" t="s">
        <v>21</v>
      </c>
      <c r="E367" s="5" t="s">
        <v>44</v>
      </c>
      <c r="F367" s="5" t="s">
        <v>68</v>
      </c>
      <c r="G367" s="5" t="s">
        <v>75</v>
      </c>
      <c r="H367" s="9" t="s">
        <v>231</v>
      </c>
      <c r="I367" s="10"/>
      <c r="J367" s="10">
        <v>42339</v>
      </c>
      <c r="K367" s="5" t="s">
        <v>77</v>
      </c>
      <c r="L367" s="5" t="s">
        <v>58</v>
      </c>
      <c r="M367" s="11">
        <v>0.14000000000000001</v>
      </c>
      <c r="N367" s="5" t="e">
        <f>IF(AND(M367&gt;#REF!,Cartera!O367="Guaraníes"),"Rendimiento significativo",IF(AND(M367&gt;#REF!,Cartera!O367="Dólares americanos"),"Rendimiento significativo","Rendimiento no significativo"))</f>
        <v>#REF!</v>
      </c>
      <c r="O367" s="5" t="s">
        <v>41</v>
      </c>
      <c r="P367" s="12">
        <v>5235616.4383499995</v>
      </c>
      <c r="Q367" s="12">
        <f>IF(O367="Guaraníes",P367,P367*#REF!)</f>
        <v>5235616.4383499995</v>
      </c>
      <c r="R367" s="12" t="e">
        <f>IF(O367="Guaraníes",P367/#REF!,P367)</f>
        <v>#REF!</v>
      </c>
      <c r="S367" s="5" t="s">
        <v>52</v>
      </c>
      <c r="T367" s="5">
        <v>25</v>
      </c>
      <c r="W367" s="5" t="s">
        <v>232</v>
      </c>
      <c r="X367" s="5">
        <v>0</v>
      </c>
      <c r="Y367" s="5">
        <v>0</v>
      </c>
      <c r="Z367" s="5">
        <v>34904.109589</v>
      </c>
      <c r="AA367" s="5">
        <v>150</v>
      </c>
      <c r="AB367" s="5">
        <v>5235616.4383500004</v>
      </c>
      <c r="AC367" s="5" t="str">
        <f t="shared" si="19"/>
        <v>Bonos</v>
      </c>
      <c r="AD367" s="5" t="s">
        <v>43</v>
      </c>
      <c r="AE367" s="5">
        <f t="shared" si="20"/>
        <v>12</v>
      </c>
      <c r="AF367" s="5">
        <f t="shared" si="21"/>
        <v>2015</v>
      </c>
    </row>
    <row r="368" s="5" customFormat="1" ht="13">
      <c r="A368" s="5" t="s">
        <v>44</v>
      </c>
      <c r="B368" s="5" t="s">
        <v>44</v>
      </c>
      <c r="C368" s="5" t="s">
        <v>114</v>
      </c>
      <c r="D368" s="5" t="s">
        <v>21</v>
      </c>
      <c r="E368" s="5" t="s">
        <v>44</v>
      </c>
      <c r="F368" s="5" t="s">
        <v>68</v>
      </c>
      <c r="G368" s="5" t="s">
        <v>75</v>
      </c>
      <c r="H368" s="9" t="s">
        <v>226</v>
      </c>
      <c r="I368" s="10"/>
      <c r="J368" s="10">
        <v>42361</v>
      </c>
      <c r="K368" s="5" t="s">
        <v>77</v>
      </c>
      <c r="L368" s="5" t="s">
        <v>58</v>
      </c>
      <c r="M368" s="11">
        <v>0.14000000000000001</v>
      </c>
      <c r="N368" s="5" t="e">
        <f>IF(AND(M368&gt;#REF!,Cartera!O368="Guaraníes"),"Rendimiento significativo",IF(AND(M368&gt;#REF!,Cartera!O368="Dólares americanos"),"Rendimiento significativo","Rendimiento no significativo"))</f>
        <v>#REF!</v>
      </c>
      <c r="O368" s="5" t="s">
        <v>41</v>
      </c>
      <c r="P368" s="12">
        <v>512054.79451499996</v>
      </c>
      <c r="Q368" s="12">
        <f>IF(O368="Guaraníes",P368,P368*#REF!)</f>
        <v>512054.79451499996</v>
      </c>
      <c r="R368" s="12" t="e">
        <f>IF(O368="Guaraníes",P368/#REF!,P368)</f>
        <v>#REF!</v>
      </c>
      <c r="S368" s="5" t="s">
        <v>52</v>
      </c>
      <c r="T368" s="5">
        <v>25</v>
      </c>
      <c r="W368" s="5" t="s">
        <v>65</v>
      </c>
      <c r="X368" s="5">
        <v>0</v>
      </c>
      <c r="Y368" s="5">
        <v>0</v>
      </c>
      <c r="Z368" s="5">
        <v>34136.986300999997</v>
      </c>
      <c r="AA368" s="5">
        <v>15</v>
      </c>
      <c r="AB368" s="5">
        <v>512054.79451500002</v>
      </c>
      <c r="AC368" s="5" t="str">
        <f t="shared" si="19"/>
        <v>Bonos</v>
      </c>
      <c r="AD368" s="5" t="s">
        <v>43</v>
      </c>
      <c r="AE368" s="5">
        <f t="shared" si="20"/>
        <v>12</v>
      </c>
      <c r="AF368" s="5">
        <f t="shared" si="21"/>
        <v>2015</v>
      </c>
    </row>
    <row r="369" s="5" customFormat="1" ht="13">
      <c r="A369" s="5" t="s">
        <v>44</v>
      </c>
      <c r="B369" s="5" t="s">
        <v>44</v>
      </c>
      <c r="C369" s="5" t="s">
        <v>114</v>
      </c>
      <c r="D369" s="5" t="s">
        <v>21</v>
      </c>
      <c r="E369" s="5" t="s">
        <v>44</v>
      </c>
      <c r="F369" s="5" t="s">
        <v>68</v>
      </c>
      <c r="G369" s="5" t="s">
        <v>75</v>
      </c>
      <c r="H369" s="9" t="s">
        <v>234</v>
      </c>
      <c r="I369" s="10"/>
      <c r="J369" s="10">
        <v>42396</v>
      </c>
      <c r="K369" s="5" t="s">
        <v>77</v>
      </c>
      <c r="L369" s="5" t="s">
        <v>50</v>
      </c>
      <c r="M369" s="11">
        <v>0.12</v>
      </c>
      <c r="N369" s="5" t="e">
        <f>IF(AND(M369&gt;#REF!,Cartera!O369="Guaraníes"),"Rendimiento significativo",IF(AND(M369&gt;#REF!,Cartera!O369="Dólares americanos"),"Rendimiento significativo","Rendimiento no significativo"))</f>
        <v>#REF!</v>
      </c>
      <c r="O369" s="5" t="s">
        <v>51</v>
      </c>
      <c r="P369" s="13">
        <v>486.16437000000002</v>
      </c>
      <c r="Q369" s="12" t="e">
        <f>IF(O369="Guaraníes",P369,P369*#REF!)</f>
        <v>#REF!</v>
      </c>
      <c r="R369" s="12">
        <f>IF(O369="Guaraníes",P369/#REF!,P369)</f>
        <v>486.16437000000002</v>
      </c>
      <c r="S369" s="5" t="s">
        <v>52</v>
      </c>
      <c r="T369" s="5">
        <v>25</v>
      </c>
      <c r="W369" s="5" t="s">
        <v>65</v>
      </c>
      <c r="X369" s="5">
        <v>0</v>
      </c>
      <c r="Y369" s="5">
        <v>0</v>
      </c>
      <c r="Z369" s="5">
        <v>16.205479</v>
      </c>
      <c r="AA369" s="5">
        <v>30</v>
      </c>
      <c r="AB369" s="5">
        <v>486.16437000000002</v>
      </c>
      <c r="AC369" s="5" t="str">
        <f t="shared" si="19"/>
        <v>Bonos</v>
      </c>
      <c r="AD369" s="5" t="s">
        <v>43</v>
      </c>
      <c r="AE369" s="5">
        <f t="shared" si="20"/>
        <v>1</v>
      </c>
      <c r="AF369" s="5">
        <f t="shared" si="21"/>
        <v>2016</v>
      </c>
    </row>
    <row r="370" s="5" customFormat="1" ht="13">
      <c r="A370" s="5" t="s">
        <v>44</v>
      </c>
      <c r="B370" s="5" t="s">
        <v>44</v>
      </c>
      <c r="C370" s="5" t="s">
        <v>114</v>
      </c>
      <c r="D370" s="5" t="s">
        <v>21</v>
      </c>
      <c r="E370" s="5" t="s">
        <v>44</v>
      </c>
      <c r="F370" s="5" t="s">
        <v>68</v>
      </c>
      <c r="G370" s="5" t="s">
        <v>75</v>
      </c>
      <c r="H370" s="9" t="s">
        <v>235</v>
      </c>
      <c r="I370" s="10"/>
      <c r="J370" s="10">
        <v>42404</v>
      </c>
      <c r="K370" s="5" t="s">
        <v>77</v>
      </c>
      <c r="L370" s="5" t="s">
        <v>50</v>
      </c>
      <c r="M370" s="11">
        <v>0.14249999999999999</v>
      </c>
      <c r="N370" s="5" t="e">
        <f>IF(AND(M370&gt;#REF!,Cartera!O370="Guaraníes"),"Rendimiento significativo",IF(AND(M370&gt;#REF!,Cartera!O370="Dólares americanos"),"Rendimiento significativo","Rendimiento no significativo"))</f>
        <v>#REF!</v>
      </c>
      <c r="O370" s="5" t="s">
        <v>41</v>
      </c>
      <c r="P370" s="12">
        <v>183869.86301500001</v>
      </c>
      <c r="Q370" s="12">
        <f>IF(O370="Guaraníes",P370,P370*#REF!)</f>
        <v>183869.86301500001</v>
      </c>
      <c r="R370" s="12" t="e">
        <f>IF(O370="Guaraníes",P370/#REF!,P370)</f>
        <v>#REF!</v>
      </c>
      <c r="S370" s="5" t="s">
        <v>52</v>
      </c>
      <c r="T370" s="5">
        <v>25</v>
      </c>
      <c r="W370" s="5" t="s">
        <v>65</v>
      </c>
      <c r="X370" s="5">
        <v>0</v>
      </c>
      <c r="Y370" s="5">
        <v>0</v>
      </c>
      <c r="Z370" s="5">
        <v>36773.972603000002</v>
      </c>
      <c r="AA370" s="5">
        <v>5</v>
      </c>
      <c r="AB370" s="5">
        <v>183869.86301500001</v>
      </c>
      <c r="AC370" s="5" t="str">
        <f t="shared" si="19"/>
        <v>Bonos</v>
      </c>
      <c r="AD370" s="5" t="s">
        <v>43</v>
      </c>
      <c r="AE370" s="5">
        <f t="shared" si="20"/>
        <v>2</v>
      </c>
      <c r="AF370" s="5">
        <f t="shared" si="21"/>
        <v>2016</v>
      </c>
    </row>
    <row r="371" s="5" customFormat="1" ht="13">
      <c r="A371" s="5" t="s">
        <v>44</v>
      </c>
      <c r="B371" s="5" t="s">
        <v>44</v>
      </c>
      <c r="C371" s="5" t="s">
        <v>114</v>
      </c>
      <c r="D371" s="5" t="s">
        <v>21</v>
      </c>
      <c r="E371" s="5" t="s">
        <v>44</v>
      </c>
      <c r="F371" s="5" t="s">
        <v>68</v>
      </c>
      <c r="G371" s="5" t="s">
        <v>75</v>
      </c>
      <c r="H371" s="9" t="s">
        <v>115</v>
      </c>
      <c r="I371" s="10"/>
      <c r="J371" s="10">
        <v>42404</v>
      </c>
      <c r="K371" s="5" t="s">
        <v>77</v>
      </c>
      <c r="L371" s="5" t="s">
        <v>50</v>
      </c>
      <c r="M371" s="11">
        <v>0.125</v>
      </c>
      <c r="N371" s="5" t="e">
        <f>IF(AND(M371&gt;#REF!,Cartera!O371="Guaraníes"),"Rendimiento significativo",IF(AND(M371&gt;#REF!,Cartera!O371="Dólares americanos"),"Rendimiento significativo","Rendimiento no significativo"))</f>
        <v>#REF!</v>
      </c>
      <c r="O371" s="5" t="s">
        <v>41</v>
      </c>
      <c r="P371" s="12">
        <v>897534.24656999996</v>
      </c>
      <c r="Q371" s="12">
        <f>IF(O371="Guaraníes",P371,P371*#REF!)</f>
        <v>897534.24656999996</v>
      </c>
      <c r="R371" s="12" t="e">
        <f>IF(O371="Guaraníes",P371/#REF!,P371)</f>
        <v>#REF!</v>
      </c>
      <c r="S371" s="5" t="s">
        <v>52</v>
      </c>
      <c r="T371" s="5">
        <v>25</v>
      </c>
      <c r="W371" s="5" t="s">
        <v>65</v>
      </c>
      <c r="X371" s="5">
        <v>0</v>
      </c>
      <c r="Y371" s="5">
        <v>0</v>
      </c>
      <c r="Z371" s="5">
        <v>29917.808218999999</v>
      </c>
      <c r="AA371" s="5">
        <v>30</v>
      </c>
      <c r="AB371" s="5">
        <v>897534.24656999996</v>
      </c>
      <c r="AC371" s="5" t="str">
        <f t="shared" si="19"/>
        <v>Bonos</v>
      </c>
      <c r="AD371" s="5" t="s">
        <v>43</v>
      </c>
      <c r="AE371" s="5">
        <f t="shared" si="20"/>
        <v>2</v>
      </c>
      <c r="AF371" s="5">
        <f t="shared" si="21"/>
        <v>2016</v>
      </c>
    </row>
    <row r="372" s="5" customFormat="1" ht="13">
      <c r="A372" s="5" t="s">
        <v>44</v>
      </c>
      <c r="B372" s="5" t="s">
        <v>44</v>
      </c>
      <c r="C372" s="5" t="s">
        <v>227</v>
      </c>
      <c r="D372" s="5" t="s">
        <v>21</v>
      </c>
      <c r="E372" s="5" t="s">
        <v>44</v>
      </c>
      <c r="F372" s="5" t="s">
        <v>68</v>
      </c>
      <c r="G372" s="5" t="s">
        <v>75</v>
      </c>
      <c r="H372" s="9" t="s">
        <v>228</v>
      </c>
      <c r="I372" s="10"/>
      <c r="J372" s="10">
        <v>42425</v>
      </c>
      <c r="K372" s="5" t="s">
        <v>77</v>
      </c>
      <c r="L372" s="5" t="s">
        <v>58</v>
      </c>
      <c r="M372" s="11">
        <v>0.1525</v>
      </c>
      <c r="N372" s="5" t="e">
        <f>IF(AND(M372&gt;#REF!,Cartera!O372="Guaraníes"),"Rendimiento significativo",IF(AND(M372&gt;#REF!,Cartera!O372="Dólares americanos"),"Rendimiento significativo","Rendimiento no significativo"))</f>
        <v>#REF!</v>
      </c>
      <c r="O372" s="5" t="s">
        <v>41</v>
      </c>
      <c r="P372" s="12">
        <v>2851541.0958749996</v>
      </c>
      <c r="Q372" s="12">
        <f>IF(O372="Guaraníes",P372,P372*#REF!)</f>
        <v>2851541.0958749996</v>
      </c>
      <c r="R372" s="12" t="e">
        <f>IF(O372="Guaraníes",P372/#REF!,P372)</f>
        <v>#REF!</v>
      </c>
      <c r="S372" s="5" t="s">
        <v>52</v>
      </c>
      <c r="T372" s="5">
        <v>25</v>
      </c>
      <c r="W372" s="5" t="s">
        <v>196</v>
      </c>
      <c r="X372" s="5">
        <v>0</v>
      </c>
      <c r="Y372" s="5">
        <v>0</v>
      </c>
      <c r="Z372" s="5">
        <v>38020.547944999998</v>
      </c>
      <c r="AA372" s="5">
        <v>75</v>
      </c>
      <c r="AB372" s="5">
        <v>2851541.0958750001</v>
      </c>
      <c r="AC372" s="5" t="str">
        <f t="shared" si="19"/>
        <v>Bonos</v>
      </c>
      <c r="AD372" s="5" t="s">
        <v>43</v>
      </c>
      <c r="AE372" s="5">
        <f t="shared" si="20"/>
        <v>2</v>
      </c>
      <c r="AF372" s="5">
        <f t="shared" si="21"/>
        <v>2016</v>
      </c>
    </row>
    <row r="373" s="5" customFormat="1" ht="13">
      <c r="A373" s="5" t="s">
        <v>44</v>
      </c>
      <c r="B373" s="5" t="s">
        <v>44</v>
      </c>
      <c r="C373" s="5" t="s">
        <v>74</v>
      </c>
      <c r="D373" s="5" t="s">
        <v>21</v>
      </c>
      <c r="E373" s="5" t="s">
        <v>44</v>
      </c>
      <c r="F373" s="5" t="s">
        <v>68</v>
      </c>
      <c r="G373" s="5" t="s">
        <v>75</v>
      </c>
      <c r="H373" s="9" t="s">
        <v>231</v>
      </c>
      <c r="I373" s="10"/>
      <c r="J373" s="10">
        <v>42431</v>
      </c>
      <c r="K373" s="5" t="s">
        <v>77</v>
      </c>
      <c r="L373" s="5" t="s">
        <v>58</v>
      </c>
      <c r="M373" s="11">
        <v>0.14000000000000001</v>
      </c>
      <c r="N373" s="5" t="e">
        <f>IF(AND(M373&gt;#REF!,Cartera!O373="Guaraníes"),"Rendimiento significativo",IF(AND(M373&gt;#REF!,Cartera!O373="Dólares americanos"),"Rendimiento significativo","Rendimiento no significativo"))</f>
        <v>#REF!</v>
      </c>
      <c r="O373" s="5" t="s">
        <v>41</v>
      </c>
      <c r="P373" s="12">
        <v>5293150.6849499997</v>
      </c>
      <c r="Q373" s="12">
        <f>IF(O373="Guaraníes",P373,P373*#REF!)</f>
        <v>5293150.6849499997</v>
      </c>
      <c r="R373" s="12" t="e">
        <f>IF(O373="Guaraníes",P373/#REF!,P373)</f>
        <v>#REF!</v>
      </c>
      <c r="S373" s="5" t="s">
        <v>52</v>
      </c>
      <c r="T373" s="5">
        <v>25</v>
      </c>
      <c r="W373" s="5" t="s">
        <v>232</v>
      </c>
      <c r="X373" s="5">
        <v>0</v>
      </c>
      <c r="Y373" s="5">
        <v>0</v>
      </c>
      <c r="Z373" s="5">
        <v>35287.671233000001</v>
      </c>
      <c r="AA373" s="5">
        <v>150</v>
      </c>
      <c r="AB373" s="5">
        <v>5293150.6849499997</v>
      </c>
      <c r="AC373" s="5" t="str">
        <f t="shared" si="19"/>
        <v>Bonos</v>
      </c>
      <c r="AD373" s="5" t="s">
        <v>43</v>
      </c>
      <c r="AE373" s="5">
        <f t="shared" si="20"/>
        <v>3</v>
      </c>
      <c r="AF373" s="5">
        <f t="shared" si="21"/>
        <v>2016</v>
      </c>
    </row>
    <row r="374" s="5" customFormat="1" ht="13">
      <c r="A374" s="5" t="s">
        <v>44</v>
      </c>
      <c r="B374" s="5" t="s">
        <v>44</v>
      </c>
      <c r="C374" s="5" t="s">
        <v>114</v>
      </c>
      <c r="D374" s="5" t="s">
        <v>21</v>
      </c>
      <c r="E374" s="5" t="s">
        <v>44</v>
      </c>
      <c r="F374" s="5" t="s">
        <v>68</v>
      </c>
      <c r="G374" s="5" t="s">
        <v>75</v>
      </c>
      <c r="H374" s="9" t="s">
        <v>226</v>
      </c>
      <c r="I374" s="10"/>
      <c r="J374" s="10">
        <v>42451</v>
      </c>
      <c r="K374" s="5" t="s">
        <v>77</v>
      </c>
      <c r="L374" s="5" t="s">
        <v>58</v>
      </c>
      <c r="M374" s="11">
        <v>0.14000000000000001</v>
      </c>
      <c r="N374" s="5" t="e">
        <f>IF(AND(M374&gt;#REF!,Cartera!O374="Guaraníes"),"Rendimiento significativo",IF(AND(M374&gt;#REF!,Cartera!O374="Dólares americanos"),"Rendimiento significativo","Rendimiento no significativo"))</f>
        <v>#REF!</v>
      </c>
      <c r="O374" s="5" t="s">
        <v>41</v>
      </c>
      <c r="P374" s="12">
        <v>517808.21917499998</v>
      </c>
      <c r="Q374" s="12">
        <f>IF(O374="Guaraníes",P374,P374*#REF!)</f>
        <v>517808.21917499998</v>
      </c>
      <c r="R374" s="12" t="e">
        <f>IF(O374="Guaraníes",P374/#REF!,P374)</f>
        <v>#REF!</v>
      </c>
      <c r="S374" s="5" t="s">
        <v>52</v>
      </c>
      <c r="T374" s="5">
        <v>25</v>
      </c>
      <c r="W374" s="5" t="s">
        <v>65</v>
      </c>
      <c r="X374" s="5">
        <v>0</v>
      </c>
      <c r="Y374" s="5">
        <v>0</v>
      </c>
      <c r="Z374" s="5">
        <v>34520.547944999998</v>
      </c>
      <c r="AA374" s="5">
        <v>15</v>
      </c>
      <c r="AB374" s="5">
        <v>517808.21917499998</v>
      </c>
      <c r="AC374" s="5" t="str">
        <f t="shared" si="19"/>
        <v>Bonos</v>
      </c>
      <c r="AD374" s="5" t="s">
        <v>43</v>
      </c>
      <c r="AE374" s="5">
        <f t="shared" si="20"/>
        <v>3</v>
      </c>
      <c r="AF374" s="5">
        <f t="shared" si="21"/>
        <v>2016</v>
      </c>
    </row>
    <row r="375" s="5" customFormat="1" ht="13">
      <c r="A375" s="5" t="s">
        <v>44</v>
      </c>
      <c r="B375" s="5" t="s">
        <v>44</v>
      </c>
      <c r="C375" s="5" t="s">
        <v>114</v>
      </c>
      <c r="D375" s="5" t="s">
        <v>21</v>
      </c>
      <c r="E375" s="5" t="s">
        <v>44</v>
      </c>
      <c r="F375" s="5" t="s">
        <v>68</v>
      </c>
      <c r="G375" s="5" t="s">
        <v>75</v>
      </c>
      <c r="H375" s="9" t="s">
        <v>236</v>
      </c>
      <c r="I375" s="10"/>
      <c r="J375" s="10">
        <v>42451</v>
      </c>
      <c r="K375" s="5" t="s">
        <v>77</v>
      </c>
      <c r="L375" s="5" t="s">
        <v>50</v>
      </c>
      <c r="M375" s="11">
        <v>0.14749999999999999</v>
      </c>
      <c r="N375" s="5" t="e">
        <f>IF(AND(M375&gt;#REF!,Cartera!O375="Guaraníes"),"Rendimiento significativo",IF(AND(M375&gt;#REF!,Cartera!O375="Dólares americanos"),"Rendimiento significativo","Rendimiento no significativo"))</f>
        <v>#REF!</v>
      </c>
      <c r="O375" s="5" t="s">
        <v>41</v>
      </c>
      <c r="P375" s="12">
        <v>110958.90411</v>
      </c>
      <c r="Q375" s="12">
        <f>IF(O375="Guaraníes",P375,P375*#REF!)</f>
        <v>110958.90411</v>
      </c>
      <c r="R375" s="12" t="e">
        <f>IF(O375="Guaraníes",P375/#REF!,P375)</f>
        <v>#REF!</v>
      </c>
      <c r="S375" s="5" t="s">
        <v>52</v>
      </c>
      <c r="T375" s="5">
        <v>25</v>
      </c>
      <c r="W375" s="5" t="s">
        <v>65</v>
      </c>
      <c r="X375" s="5">
        <v>0</v>
      </c>
      <c r="Y375" s="5">
        <v>0</v>
      </c>
      <c r="Z375" s="5">
        <v>36986.301370000001</v>
      </c>
      <c r="AA375" s="5">
        <v>3</v>
      </c>
      <c r="AB375" s="5">
        <v>110958.90411</v>
      </c>
      <c r="AC375" s="5" t="str">
        <f t="shared" si="19"/>
        <v>Bonos</v>
      </c>
      <c r="AD375" s="5" t="s">
        <v>43</v>
      </c>
      <c r="AE375" s="5">
        <f t="shared" si="20"/>
        <v>3</v>
      </c>
      <c r="AF375" s="5">
        <f t="shared" si="21"/>
        <v>2016</v>
      </c>
    </row>
    <row r="376" s="5" customFormat="1" ht="13">
      <c r="A376" s="5" t="s">
        <v>44</v>
      </c>
      <c r="B376" s="5" t="s">
        <v>44</v>
      </c>
      <c r="C376" s="5" t="s">
        <v>99</v>
      </c>
      <c r="D376" s="5" t="s">
        <v>21</v>
      </c>
      <c r="E376" s="5" t="s">
        <v>44</v>
      </c>
      <c r="F376" s="5" t="s">
        <v>100</v>
      </c>
      <c r="G376" s="5" t="s">
        <v>75</v>
      </c>
      <c r="H376" s="9" t="s">
        <v>229</v>
      </c>
      <c r="I376" s="10"/>
      <c r="J376" s="10">
        <v>42452</v>
      </c>
      <c r="K376" s="5" t="s">
        <v>102</v>
      </c>
      <c r="L376" s="5" t="s">
        <v>102</v>
      </c>
      <c r="M376" s="11">
        <v>0.089999999999999997</v>
      </c>
      <c r="N376" s="5" t="e">
        <f>IF(AND(M376&gt;#REF!,Cartera!O376="Guaraníes"),"Rendimiento significativo",IF(AND(M376&gt;#REF!,Cartera!O376="Dólares americanos"),"Rendimiento significativo","Rendimiento no significativo"))</f>
        <v>#REF!</v>
      </c>
      <c r="O376" s="5" t="s">
        <v>41</v>
      </c>
      <c r="P376" s="12">
        <v>6058356.164415</v>
      </c>
      <c r="Q376" s="12">
        <f>IF(O376="Guaraníes",P376,P376*#REF!)</f>
        <v>6058356.164415</v>
      </c>
      <c r="R376" s="12" t="e">
        <f>IF(O376="Guaraníes",P376/#REF!,P376)</f>
        <v>#REF!</v>
      </c>
      <c r="S376" s="5" t="s">
        <v>52</v>
      </c>
      <c r="T376" s="5">
        <v>25</v>
      </c>
      <c r="W376" s="5" t="s">
        <v>230</v>
      </c>
      <c r="X376" s="5">
        <v>0</v>
      </c>
      <c r="Y376" s="5">
        <v>0</v>
      </c>
      <c r="Z376" s="5">
        <v>44876.712329000002</v>
      </c>
      <c r="AA376" s="5">
        <v>135</v>
      </c>
      <c r="AB376" s="5">
        <v>6058356.164415</v>
      </c>
      <c r="AC376" s="5" t="str">
        <f t="shared" si="19"/>
        <v>Bonos</v>
      </c>
      <c r="AD376" s="5" t="s">
        <v>43</v>
      </c>
      <c r="AE376" s="5">
        <f t="shared" si="20"/>
        <v>3</v>
      </c>
      <c r="AF376" s="5">
        <f t="shared" si="21"/>
        <v>2016</v>
      </c>
    </row>
    <row r="377" s="5" customFormat="1" ht="13">
      <c r="A377" s="5" t="s">
        <v>44</v>
      </c>
      <c r="B377" s="5" t="s">
        <v>44</v>
      </c>
      <c r="C377" s="5" t="s">
        <v>114</v>
      </c>
      <c r="D377" s="5" t="s">
        <v>21</v>
      </c>
      <c r="E377" s="5" t="s">
        <v>44</v>
      </c>
      <c r="F377" s="5" t="s">
        <v>68</v>
      </c>
      <c r="G377" s="5" t="s">
        <v>75</v>
      </c>
      <c r="H377" s="9" t="s">
        <v>237</v>
      </c>
      <c r="I377" s="10"/>
      <c r="J377" s="10">
        <v>42465</v>
      </c>
      <c r="K377" s="5" t="s">
        <v>77</v>
      </c>
      <c r="L377" s="5" t="s">
        <v>50</v>
      </c>
      <c r="M377" s="11">
        <v>0.13750000000000001</v>
      </c>
      <c r="N377" s="5" t="e">
        <f>IF(AND(M377&gt;#REF!,Cartera!O377="Guaraníes"),"Rendimiento significativo",IF(AND(M377&gt;#REF!,Cartera!O377="Dólares americanos"),"Rendimiento significativo","Rendimiento no significativo"))</f>
        <v>#REF!</v>
      </c>
      <c r="O377" s="5" t="s">
        <v>41</v>
      </c>
      <c r="P377" s="12">
        <v>685616.43836000003</v>
      </c>
      <c r="Q377" s="12">
        <f>IF(O377="Guaraníes",P377,P377*#REF!)</f>
        <v>685616.43836000003</v>
      </c>
      <c r="R377" s="12" t="e">
        <f>IF(O377="Guaraníes",P377/#REF!,P377)</f>
        <v>#REF!</v>
      </c>
      <c r="S377" s="5" t="s">
        <v>52</v>
      </c>
      <c r="T377" s="5">
        <v>25</v>
      </c>
      <c r="W377" s="5" t="s">
        <v>65</v>
      </c>
      <c r="X377" s="5">
        <v>0</v>
      </c>
      <c r="Y377" s="5">
        <v>0</v>
      </c>
      <c r="Z377" s="5">
        <v>34280.821918000001</v>
      </c>
      <c r="AA377" s="5">
        <v>20</v>
      </c>
      <c r="AB377" s="5">
        <v>685616.43836000003</v>
      </c>
      <c r="AC377" s="5" t="str">
        <f t="shared" si="19"/>
        <v>Bonos</v>
      </c>
      <c r="AD377" s="5" t="s">
        <v>43</v>
      </c>
      <c r="AE377" s="5">
        <f t="shared" si="20"/>
        <v>4</v>
      </c>
      <c r="AF377" s="5">
        <f t="shared" si="21"/>
        <v>2016</v>
      </c>
    </row>
    <row r="378" s="5" customFormat="1" ht="13">
      <c r="A378" s="5" t="s">
        <v>44</v>
      </c>
      <c r="B378" s="5" t="s">
        <v>44</v>
      </c>
      <c r="C378" s="5" t="s">
        <v>114</v>
      </c>
      <c r="D378" s="5" t="s">
        <v>21</v>
      </c>
      <c r="E378" s="5" t="s">
        <v>44</v>
      </c>
      <c r="F378" s="5" t="s">
        <v>68</v>
      </c>
      <c r="G378" s="5" t="s">
        <v>75</v>
      </c>
      <c r="H378" s="9" t="s">
        <v>234</v>
      </c>
      <c r="I378" s="10"/>
      <c r="J378" s="10">
        <v>42487</v>
      </c>
      <c r="K378" s="5" t="s">
        <v>77</v>
      </c>
      <c r="L378" s="5" t="s">
        <v>50</v>
      </c>
      <c r="M378" s="11">
        <v>0.12</v>
      </c>
      <c r="N378" s="5" t="e">
        <f>IF(AND(M378&gt;#REF!,Cartera!O378="Guaraníes"),"Rendimiento significativo",IF(AND(M378&gt;#REF!,Cartera!O378="Dólares americanos"),"Rendimiento significativo","Rendimiento no significativo"))</f>
        <v>#REF!</v>
      </c>
      <c r="O378" s="5" t="s">
        <v>51</v>
      </c>
      <c r="P378" s="13">
        <v>486.16437000000002</v>
      </c>
      <c r="Q378" s="12" t="e">
        <f>IF(O378="Guaraníes",P378,P378*#REF!)</f>
        <v>#REF!</v>
      </c>
      <c r="R378" s="12">
        <f>IF(O378="Guaraníes",P378/#REF!,P378)</f>
        <v>486.16437000000002</v>
      </c>
      <c r="S378" s="5" t="s">
        <v>52</v>
      </c>
      <c r="T378" s="5">
        <v>25</v>
      </c>
      <c r="W378" s="5" t="s">
        <v>65</v>
      </c>
      <c r="X378" s="5">
        <v>0</v>
      </c>
      <c r="Y378" s="5">
        <v>0</v>
      </c>
      <c r="Z378" s="5">
        <v>16.205479</v>
      </c>
      <c r="AA378" s="5">
        <v>30</v>
      </c>
      <c r="AB378" s="5">
        <v>486.16437000000002</v>
      </c>
      <c r="AC378" s="5" t="str">
        <f t="shared" si="19"/>
        <v>Bonos</v>
      </c>
      <c r="AD378" s="5" t="s">
        <v>43</v>
      </c>
      <c r="AE378" s="5">
        <f t="shared" si="20"/>
        <v>4</v>
      </c>
      <c r="AF378" s="5">
        <f t="shared" si="21"/>
        <v>2016</v>
      </c>
    </row>
    <row r="379" s="5" customFormat="1" ht="13">
      <c r="A379" s="5" t="s">
        <v>44</v>
      </c>
      <c r="B379" s="5" t="s">
        <v>44</v>
      </c>
      <c r="C379" s="5" t="s">
        <v>114</v>
      </c>
      <c r="D379" s="5" t="s">
        <v>21</v>
      </c>
      <c r="E379" s="5" t="s">
        <v>44</v>
      </c>
      <c r="F379" s="5" t="s">
        <v>68</v>
      </c>
      <c r="G379" s="5" t="s">
        <v>75</v>
      </c>
      <c r="H379" s="9" t="s">
        <v>235</v>
      </c>
      <c r="I379" s="10"/>
      <c r="J379" s="10">
        <v>42495</v>
      </c>
      <c r="K379" s="5" t="s">
        <v>77</v>
      </c>
      <c r="L379" s="5" t="s">
        <v>50</v>
      </c>
      <c r="M379" s="11">
        <v>0.14249999999999999</v>
      </c>
      <c r="N379" s="5" t="e">
        <f>IF(AND(M379&gt;#REF!,Cartera!O379="Guaraníes"),"Rendimiento significativo",IF(AND(M379&gt;#REF!,Cartera!O379="Dólares americanos"),"Rendimiento significativo","Rendimiento no significativo"))</f>
        <v>#REF!</v>
      </c>
      <c r="O379" s="5" t="s">
        <v>41</v>
      </c>
      <c r="P379" s="12">
        <v>183869.86301500001</v>
      </c>
      <c r="Q379" s="12">
        <f>IF(O379="Guaraníes",P379,P379*#REF!)</f>
        <v>183869.86301500001</v>
      </c>
      <c r="R379" s="12" t="e">
        <f>IF(O379="Guaraníes",P379/#REF!,P379)</f>
        <v>#REF!</v>
      </c>
      <c r="S379" s="5" t="s">
        <v>52</v>
      </c>
      <c r="T379" s="5">
        <v>25</v>
      </c>
      <c r="W379" s="5" t="s">
        <v>65</v>
      </c>
      <c r="X379" s="5">
        <v>0</v>
      </c>
      <c r="Y379" s="5">
        <v>0</v>
      </c>
      <c r="Z379" s="5">
        <v>36773.972603000002</v>
      </c>
      <c r="AA379" s="5">
        <v>5</v>
      </c>
      <c r="AB379" s="5">
        <v>183869.86301500001</v>
      </c>
      <c r="AC379" s="5" t="str">
        <f t="shared" si="19"/>
        <v>Bonos</v>
      </c>
      <c r="AD379" s="5" t="s">
        <v>43</v>
      </c>
      <c r="AE379" s="5">
        <f t="shared" si="20"/>
        <v>5</v>
      </c>
      <c r="AF379" s="5">
        <f t="shared" si="21"/>
        <v>2016</v>
      </c>
    </row>
    <row r="380" s="5" customFormat="1" ht="13">
      <c r="A380" s="5" t="s">
        <v>44</v>
      </c>
      <c r="B380" s="5" t="s">
        <v>44</v>
      </c>
      <c r="C380" s="5" t="s">
        <v>114</v>
      </c>
      <c r="D380" s="5" t="s">
        <v>21</v>
      </c>
      <c r="E380" s="5" t="s">
        <v>44</v>
      </c>
      <c r="F380" s="5" t="s">
        <v>68</v>
      </c>
      <c r="G380" s="5" t="s">
        <v>75</v>
      </c>
      <c r="H380" s="9" t="s">
        <v>115</v>
      </c>
      <c r="I380" s="10"/>
      <c r="J380" s="10">
        <v>42495</v>
      </c>
      <c r="K380" s="5" t="s">
        <v>77</v>
      </c>
      <c r="L380" s="5" t="s">
        <v>50</v>
      </c>
      <c r="M380" s="11">
        <v>0.125</v>
      </c>
      <c r="N380" s="5" t="e">
        <f>IF(AND(M380&gt;#REF!,Cartera!O380="Guaraníes"),"Rendimiento significativo",IF(AND(M380&gt;#REF!,Cartera!O380="Dólares americanos"),"Rendimiento significativo","Rendimiento no significativo"))</f>
        <v>#REF!</v>
      </c>
      <c r="O380" s="5" t="s">
        <v>41</v>
      </c>
      <c r="P380" s="12">
        <v>897534.24656999996</v>
      </c>
      <c r="Q380" s="12">
        <f>IF(O380="Guaraníes",P380,P380*#REF!)</f>
        <v>897534.24656999996</v>
      </c>
      <c r="R380" s="12" t="e">
        <f>IF(O380="Guaraníes",P380/#REF!,P380)</f>
        <v>#REF!</v>
      </c>
      <c r="S380" s="5" t="s">
        <v>52</v>
      </c>
      <c r="T380" s="5">
        <v>25</v>
      </c>
      <c r="W380" s="5" t="s">
        <v>65</v>
      </c>
      <c r="X380" s="5">
        <v>0</v>
      </c>
      <c r="Y380" s="5">
        <v>0</v>
      </c>
      <c r="Z380" s="5">
        <v>29917.808218999999</v>
      </c>
      <c r="AA380" s="5">
        <v>30</v>
      </c>
      <c r="AB380" s="5">
        <v>897534.24656999996</v>
      </c>
      <c r="AC380" s="5" t="str">
        <f t="shared" si="19"/>
        <v>Bonos</v>
      </c>
      <c r="AD380" s="5" t="s">
        <v>43</v>
      </c>
      <c r="AE380" s="5">
        <f t="shared" si="20"/>
        <v>5</v>
      </c>
      <c r="AF380" s="5">
        <f t="shared" si="21"/>
        <v>2016</v>
      </c>
    </row>
    <row r="381" s="5" customFormat="1" ht="13">
      <c r="A381" s="5" t="s">
        <v>44</v>
      </c>
      <c r="B381" s="5" t="s">
        <v>44</v>
      </c>
      <c r="C381" s="5" t="s">
        <v>114</v>
      </c>
      <c r="D381" s="5" t="s">
        <v>21</v>
      </c>
      <c r="E381" s="5" t="s">
        <v>44</v>
      </c>
      <c r="F381" s="5" t="s">
        <v>68</v>
      </c>
      <c r="G381" s="5" t="s">
        <v>75</v>
      </c>
      <c r="H381" s="9" t="s">
        <v>170</v>
      </c>
      <c r="I381" s="10"/>
      <c r="J381" s="10">
        <v>42514</v>
      </c>
      <c r="K381" s="5" t="s">
        <v>77</v>
      </c>
      <c r="L381" s="5" t="s">
        <v>50</v>
      </c>
      <c r="M381" s="11">
        <v>0.14000000000000001</v>
      </c>
      <c r="N381" s="5" t="e">
        <f>IF(AND(M381&gt;#REF!,Cartera!O381="Guaraníes"),"Rendimiento significativo",IF(AND(M381&gt;#REF!,Cartera!O381="Dólares americanos"),"Rendimiento significativo","Rendimiento no significativo"))</f>
        <v>#REF!</v>
      </c>
      <c r="O381" s="5" t="s">
        <v>41</v>
      </c>
      <c r="P381" s="12">
        <v>3528767.1233000001</v>
      </c>
      <c r="Q381" s="12">
        <f>IF(O381="Guaraníes",P381,P381*#REF!)</f>
        <v>3528767.1233000001</v>
      </c>
      <c r="R381" s="12" t="e">
        <f>IF(O381="Guaraníes",P381/#REF!,P381)</f>
        <v>#REF!</v>
      </c>
      <c r="S381" s="5" t="s">
        <v>52</v>
      </c>
      <c r="T381" s="5">
        <v>25</v>
      </c>
      <c r="W381" s="5" t="s">
        <v>65</v>
      </c>
      <c r="X381" s="5">
        <v>0</v>
      </c>
      <c r="Y381" s="5">
        <v>0</v>
      </c>
      <c r="Z381" s="5">
        <v>35287.671233000001</v>
      </c>
      <c r="AA381" s="5">
        <v>100</v>
      </c>
      <c r="AB381" s="5">
        <v>3528767.1233000001</v>
      </c>
      <c r="AC381" s="5" t="str">
        <f t="shared" si="19"/>
        <v>Bonos</v>
      </c>
      <c r="AD381" s="5" t="s">
        <v>43</v>
      </c>
      <c r="AE381" s="5">
        <f t="shared" si="20"/>
        <v>5</v>
      </c>
      <c r="AF381" s="5">
        <f t="shared" si="21"/>
        <v>2016</v>
      </c>
    </row>
    <row r="382" s="5" customFormat="1" ht="13">
      <c r="A382" s="5" t="s">
        <v>44</v>
      </c>
      <c r="B382" s="5" t="s">
        <v>44</v>
      </c>
      <c r="C382" s="5" t="s">
        <v>227</v>
      </c>
      <c r="D382" s="5" t="s">
        <v>21</v>
      </c>
      <c r="E382" s="5" t="s">
        <v>44</v>
      </c>
      <c r="F382" s="5" t="s">
        <v>68</v>
      </c>
      <c r="G382" s="5" t="s">
        <v>75</v>
      </c>
      <c r="H382" s="9" t="s">
        <v>228</v>
      </c>
      <c r="I382" s="10"/>
      <c r="J382" s="10">
        <v>42516</v>
      </c>
      <c r="K382" s="5" t="s">
        <v>77</v>
      </c>
      <c r="L382" s="5" t="s">
        <v>58</v>
      </c>
      <c r="M382" s="11">
        <v>0.1525</v>
      </c>
      <c r="N382" s="5" t="e">
        <f>IF(AND(M382&gt;#REF!,Cartera!O382="Guaraníes"),"Rendimiento significativo",IF(AND(M382&gt;#REF!,Cartera!O382="Dólares americanos"),"Rendimiento significativo","Rendimiento no significativo"))</f>
        <v>#REF!</v>
      </c>
      <c r="O382" s="5" t="s">
        <v>41</v>
      </c>
      <c r="P382" s="12">
        <v>2851541.0958749996</v>
      </c>
      <c r="Q382" s="12">
        <f>IF(O382="Guaraníes",P382,P382*#REF!)</f>
        <v>2851541.0958749996</v>
      </c>
      <c r="R382" s="12" t="e">
        <f>IF(O382="Guaraníes",P382/#REF!,P382)</f>
        <v>#REF!</v>
      </c>
      <c r="S382" s="5" t="s">
        <v>52</v>
      </c>
      <c r="T382" s="5">
        <v>25</v>
      </c>
      <c r="W382" s="5" t="s">
        <v>196</v>
      </c>
      <c r="X382" s="5">
        <v>0</v>
      </c>
      <c r="Y382" s="5">
        <v>0</v>
      </c>
      <c r="Z382" s="5">
        <v>38020.547944999998</v>
      </c>
      <c r="AA382" s="5">
        <v>75</v>
      </c>
      <c r="AB382" s="5">
        <v>2851541.0958750001</v>
      </c>
      <c r="AC382" s="5" t="str">
        <f t="shared" si="19"/>
        <v>Bonos</v>
      </c>
      <c r="AD382" s="5" t="s">
        <v>43</v>
      </c>
      <c r="AE382" s="5">
        <f t="shared" si="20"/>
        <v>5</v>
      </c>
      <c r="AF382" s="5">
        <f t="shared" si="21"/>
        <v>2016</v>
      </c>
    </row>
    <row r="383" s="5" customFormat="1" ht="13">
      <c r="A383" s="5" t="s">
        <v>44</v>
      </c>
      <c r="B383" s="5" t="s">
        <v>44</v>
      </c>
      <c r="C383" s="5" t="s">
        <v>74</v>
      </c>
      <c r="D383" s="5" t="s">
        <v>21</v>
      </c>
      <c r="E383" s="5" t="s">
        <v>44</v>
      </c>
      <c r="F383" s="5" t="s">
        <v>68</v>
      </c>
      <c r="G383" s="5" t="s">
        <v>75</v>
      </c>
      <c r="H383" s="9" t="s">
        <v>231</v>
      </c>
      <c r="I383" s="10"/>
      <c r="J383" s="10">
        <v>42521</v>
      </c>
      <c r="K383" s="5" t="s">
        <v>77</v>
      </c>
      <c r="L383" s="5" t="s">
        <v>58</v>
      </c>
      <c r="M383" s="11">
        <v>0.14000000000000001</v>
      </c>
      <c r="N383" s="5" t="e">
        <f>IF(AND(M383&gt;#REF!,Cartera!O383="Guaraníes"),"Rendimiento significativo",IF(AND(M383&gt;#REF!,Cartera!O383="Dólares americanos"),"Rendimiento significativo","Rendimiento no significativo"))</f>
        <v>#REF!</v>
      </c>
      <c r="O383" s="5" t="s">
        <v>41</v>
      </c>
      <c r="P383" s="12">
        <v>5178082.1917499993</v>
      </c>
      <c r="Q383" s="12">
        <f>IF(O383="Guaraníes",P383,P383*#REF!)</f>
        <v>5178082.1917499993</v>
      </c>
      <c r="R383" s="12" t="e">
        <f>IF(O383="Guaraníes",P383/#REF!,P383)</f>
        <v>#REF!</v>
      </c>
      <c r="S383" s="5" t="s">
        <v>52</v>
      </c>
      <c r="T383" s="5">
        <v>25</v>
      </c>
      <c r="W383" s="5" t="s">
        <v>232</v>
      </c>
      <c r="X383" s="5">
        <v>0</v>
      </c>
      <c r="Y383" s="5">
        <v>0</v>
      </c>
      <c r="Z383" s="5">
        <v>34520.547944999998</v>
      </c>
      <c r="AA383" s="5">
        <v>150</v>
      </c>
      <c r="AB383" s="5">
        <v>5178082.1917500002</v>
      </c>
      <c r="AC383" s="5" t="str">
        <f t="shared" si="19"/>
        <v>Bonos</v>
      </c>
      <c r="AD383" s="5" t="s">
        <v>43</v>
      </c>
      <c r="AE383" s="5">
        <f t="shared" si="20"/>
        <v>5</v>
      </c>
      <c r="AF383" s="5">
        <f t="shared" si="21"/>
        <v>2016</v>
      </c>
    </row>
    <row r="384" s="5" customFormat="1" ht="13">
      <c r="A384" s="5" t="s">
        <v>44</v>
      </c>
      <c r="B384" s="5" t="s">
        <v>44</v>
      </c>
      <c r="C384" s="5" t="s">
        <v>114</v>
      </c>
      <c r="D384" s="5" t="s">
        <v>21</v>
      </c>
      <c r="E384" s="5" t="s">
        <v>44</v>
      </c>
      <c r="F384" s="5" t="s">
        <v>68</v>
      </c>
      <c r="G384" s="5" t="s">
        <v>75</v>
      </c>
      <c r="H384" s="9" t="s">
        <v>226</v>
      </c>
      <c r="I384" s="10"/>
      <c r="J384" s="10">
        <v>42544</v>
      </c>
      <c r="K384" s="5" t="s">
        <v>77</v>
      </c>
      <c r="L384" s="5" t="s">
        <v>58</v>
      </c>
      <c r="M384" s="11">
        <v>0.14000000000000001</v>
      </c>
      <c r="N384" s="5" t="e">
        <f>IF(AND(M384&gt;#REF!,Cartera!O384="Guaraníes"),"Rendimiento significativo",IF(AND(M384&gt;#REF!,Cartera!O384="Dólares americanos"),"Rendimiento significativo","Rendimiento no significativo"))</f>
        <v>#REF!</v>
      </c>
      <c r="O384" s="5" t="s">
        <v>41</v>
      </c>
      <c r="P384" s="12">
        <v>535068.49315500003</v>
      </c>
      <c r="Q384" s="12">
        <f>IF(O384="Guaraníes",P384,P384*#REF!)</f>
        <v>535068.49315500003</v>
      </c>
      <c r="R384" s="12" t="e">
        <f>IF(O384="Guaraníes",P384/#REF!,P384)</f>
        <v>#REF!</v>
      </c>
      <c r="S384" s="5" t="s">
        <v>52</v>
      </c>
      <c r="T384" s="5">
        <v>25</v>
      </c>
      <c r="W384" s="5" t="s">
        <v>65</v>
      </c>
      <c r="X384" s="5">
        <v>0</v>
      </c>
      <c r="Y384" s="5">
        <v>0</v>
      </c>
      <c r="Z384" s="5">
        <v>35671.232877000002</v>
      </c>
      <c r="AA384" s="5">
        <v>15</v>
      </c>
      <c r="AB384" s="5">
        <v>535068.49315500003</v>
      </c>
      <c r="AC384" s="5" t="str">
        <f t="shared" ref="AC384:AC447" si="22">IF(ISNUMBER(SEARCH("Acciones",L384)),"Acciones",IF(ISNUMBER(SEARCH("Bono",L384)),"Bonos",IF(ISNUMBER(SEARCH("CDA",L384)),"CDA",IF(ISNUMBER(SEARCH("Fondo",L384)),"Fondo",0))))</f>
        <v>Bonos</v>
      </c>
      <c r="AD384" s="5" t="s">
        <v>43</v>
      </c>
      <c r="AE384" s="5">
        <f t="shared" si="20"/>
        <v>6</v>
      </c>
      <c r="AF384" s="5">
        <f t="shared" si="21"/>
        <v>2016</v>
      </c>
    </row>
    <row r="385" s="5" customFormat="1" ht="13">
      <c r="A385" s="5" t="s">
        <v>44</v>
      </c>
      <c r="B385" s="5" t="s">
        <v>44</v>
      </c>
      <c r="C385" s="5" t="s">
        <v>114</v>
      </c>
      <c r="D385" s="5" t="s">
        <v>21</v>
      </c>
      <c r="E385" s="5" t="s">
        <v>44</v>
      </c>
      <c r="F385" s="5" t="s">
        <v>68</v>
      </c>
      <c r="G385" s="5" t="s">
        <v>75</v>
      </c>
      <c r="H385" s="9" t="s">
        <v>236</v>
      </c>
      <c r="I385" s="10"/>
      <c r="J385" s="10">
        <v>42544</v>
      </c>
      <c r="K385" s="5" t="s">
        <v>77</v>
      </c>
      <c r="L385" s="5" t="s">
        <v>50</v>
      </c>
      <c r="M385" s="11">
        <v>0.14749999999999999</v>
      </c>
      <c r="N385" s="5" t="e">
        <f>IF(AND(M385&gt;#REF!,Cartera!O385="Guaraníes"),"Rendimiento significativo",IF(AND(M385&gt;#REF!,Cartera!O385="Dólares americanos"),"Rendimiento significativo","Rendimiento no significativo"))</f>
        <v>#REF!</v>
      </c>
      <c r="O385" s="5" t="s">
        <v>41</v>
      </c>
      <c r="P385" s="12">
        <v>114657.534246</v>
      </c>
      <c r="Q385" s="12">
        <f>IF(O385="Guaraníes",P385,P385*#REF!)</f>
        <v>114657.534246</v>
      </c>
      <c r="R385" s="12" t="e">
        <f>IF(O385="Guaraníes",P385/#REF!,P385)</f>
        <v>#REF!</v>
      </c>
      <c r="S385" s="5" t="s">
        <v>52</v>
      </c>
      <c r="T385" s="5">
        <v>25</v>
      </c>
      <c r="W385" s="5" t="s">
        <v>65</v>
      </c>
      <c r="X385" s="5">
        <v>0</v>
      </c>
      <c r="Y385" s="5">
        <v>0</v>
      </c>
      <c r="Z385" s="5">
        <v>38219.178081999999</v>
      </c>
      <c r="AA385" s="5">
        <v>3</v>
      </c>
      <c r="AB385" s="5">
        <v>114657.534246</v>
      </c>
      <c r="AC385" s="5" t="str">
        <f t="shared" si="22"/>
        <v>Bonos</v>
      </c>
      <c r="AD385" s="5" t="s">
        <v>43</v>
      </c>
      <c r="AE385" s="5">
        <f t="shared" si="20"/>
        <v>6</v>
      </c>
      <c r="AF385" s="5">
        <f t="shared" si="21"/>
        <v>2016</v>
      </c>
    </row>
    <row r="386" s="5" customFormat="1" ht="13">
      <c r="A386" s="5" t="s">
        <v>44</v>
      </c>
      <c r="B386" s="5" t="s">
        <v>44</v>
      </c>
      <c r="C386" s="5" t="s">
        <v>114</v>
      </c>
      <c r="D386" s="5" t="s">
        <v>21</v>
      </c>
      <c r="E386" s="5" t="s">
        <v>44</v>
      </c>
      <c r="F386" s="5" t="s">
        <v>68</v>
      </c>
      <c r="G386" s="5" t="s">
        <v>75</v>
      </c>
      <c r="H386" s="9" t="s">
        <v>237</v>
      </c>
      <c r="I386" s="10"/>
      <c r="J386" s="10">
        <v>42556</v>
      </c>
      <c r="K386" s="5" t="s">
        <v>77</v>
      </c>
      <c r="L386" s="5" t="s">
        <v>50</v>
      </c>
      <c r="M386" s="11">
        <v>0.13750000000000001</v>
      </c>
      <c r="N386" s="5" t="e">
        <f>IF(AND(M386&gt;#REF!,Cartera!O386="Guaraníes"),"Rendimiento significativo",IF(AND(M386&gt;#REF!,Cartera!O386="Dólares americanos"),"Rendimiento significativo","Rendimiento no significativo"))</f>
        <v>#REF!</v>
      </c>
      <c r="O386" s="5" t="s">
        <v>41</v>
      </c>
      <c r="P386" s="12">
        <v>685616.43836000003</v>
      </c>
      <c r="Q386" s="12">
        <f>IF(O386="Guaraníes",P386,P386*#REF!)</f>
        <v>685616.43836000003</v>
      </c>
      <c r="R386" s="12" t="e">
        <f>IF(O386="Guaraníes",P386/#REF!,P386)</f>
        <v>#REF!</v>
      </c>
      <c r="S386" s="5" t="s">
        <v>52</v>
      </c>
      <c r="T386" s="5">
        <v>25</v>
      </c>
      <c r="W386" s="5" t="s">
        <v>65</v>
      </c>
      <c r="X386" s="5">
        <v>0</v>
      </c>
      <c r="Y386" s="5">
        <v>0</v>
      </c>
      <c r="Z386" s="5">
        <v>34280.821918000001</v>
      </c>
      <c r="AA386" s="5">
        <v>20</v>
      </c>
      <c r="AB386" s="5">
        <v>685616.43836000003</v>
      </c>
      <c r="AC386" s="5" t="str">
        <f t="shared" si="22"/>
        <v>Bonos</v>
      </c>
      <c r="AD386" s="5" t="s">
        <v>43</v>
      </c>
      <c r="AE386" s="5">
        <f t="shared" si="20"/>
        <v>7</v>
      </c>
      <c r="AF386" s="5">
        <f t="shared" si="21"/>
        <v>2016</v>
      </c>
    </row>
    <row r="387" s="5" customFormat="1" ht="13">
      <c r="A387" s="5" t="s">
        <v>44</v>
      </c>
      <c r="B387" s="5" t="s">
        <v>44</v>
      </c>
      <c r="C387" s="5" t="s">
        <v>114</v>
      </c>
      <c r="D387" s="5" t="s">
        <v>21</v>
      </c>
      <c r="E387" s="5" t="s">
        <v>44</v>
      </c>
      <c r="F387" s="5" t="s">
        <v>68</v>
      </c>
      <c r="G387" s="5" t="s">
        <v>75</v>
      </c>
      <c r="H387" s="9" t="s">
        <v>234</v>
      </c>
      <c r="I387" s="10"/>
      <c r="J387" s="10">
        <v>42578</v>
      </c>
      <c r="K387" s="5" t="s">
        <v>77</v>
      </c>
      <c r="L387" s="5" t="s">
        <v>50</v>
      </c>
      <c r="M387" s="11">
        <v>0.12</v>
      </c>
      <c r="N387" s="5" t="e">
        <f>IF(AND(M387&gt;#REF!,Cartera!O387="Guaraníes"),"Rendimiento significativo",IF(AND(M387&gt;#REF!,Cartera!O387="Dólares americanos"),"Rendimiento significativo","Rendimiento no significativo"))</f>
        <v>#REF!</v>
      </c>
      <c r="O387" s="5" t="s">
        <v>51</v>
      </c>
      <c r="P387" s="13">
        <v>486.16437000000002</v>
      </c>
      <c r="Q387" s="12" t="e">
        <f>IF(O387="Guaraníes",P387,P387*#REF!)</f>
        <v>#REF!</v>
      </c>
      <c r="R387" s="12">
        <f>IF(O387="Guaraníes",P387/#REF!,P387)</f>
        <v>486.16437000000002</v>
      </c>
      <c r="S387" s="5" t="s">
        <v>52</v>
      </c>
      <c r="T387" s="5">
        <v>25</v>
      </c>
      <c r="W387" s="5" t="s">
        <v>65</v>
      </c>
      <c r="X387" s="5">
        <v>0</v>
      </c>
      <c r="Y387" s="5">
        <v>0</v>
      </c>
      <c r="Z387" s="5">
        <v>16.205479</v>
      </c>
      <c r="AA387" s="5">
        <v>30</v>
      </c>
      <c r="AB387" s="5">
        <v>486.16437000000002</v>
      </c>
      <c r="AC387" s="5" t="str">
        <f t="shared" si="22"/>
        <v>Bonos</v>
      </c>
      <c r="AD387" s="5" t="s">
        <v>43</v>
      </c>
      <c r="AE387" s="5">
        <f t="shared" si="20"/>
        <v>7</v>
      </c>
      <c r="AF387" s="5">
        <f t="shared" si="21"/>
        <v>2016</v>
      </c>
    </row>
    <row r="388" s="5" customFormat="1" ht="13">
      <c r="A388" s="5" t="s">
        <v>44</v>
      </c>
      <c r="B388" s="5" t="s">
        <v>44</v>
      </c>
      <c r="C388" s="5" t="s">
        <v>99</v>
      </c>
      <c r="D388" s="5" t="s">
        <v>21</v>
      </c>
      <c r="E388" s="5" t="s">
        <v>44</v>
      </c>
      <c r="F388" s="5" t="s">
        <v>100</v>
      </c>
      <c r="G388" s="5" t="s">
        <v>75</v>
      </c>
      <c r="H388" s="9" t="s">
        <v>238</v>
      </c>
      <c r="I388" s="10"/>
      <c r="J388" s="10">
        <v>43498</v>
      </c>
      <c r="K388" s="5" t="s">
        <v>102</v>
      </c>
      <c r="L388" s="5" t="s">
        <v>102</v>
      </c>
      <c r="M388" s="11">
        <v>0.081000000000000003</v>
      </c>
      <c r="N388" s="5" t="e">
        <f>IF(AND(M388&gt;#REF!,Cartera!O388="Guaraníes"),"Rendimiento significativo",IF(AND(M388&gt;#REF!,Cartera!O388="Dólares americanos"),"Rendimiento significativo","Rendimiento no significativo"))</f>
        <v>#REF!</v>
      </c>
      <c r="O388" s="5" t="s">
        <v>41</v>
      </c>
      <c r="P388" s="12">
        <v>4287452.0547599997</v>
      </c>
      <c r="Q388" s="12">
        <f>IF(O388="Guaraníes",P388,P388*#REF!)</f>
        <v>4287452.0547599997</v>
      </c>
      <c r="R388" s="12" t="e">
        <f>IF(O388="Guaraníes",P388/#REF!,P388)</f>
        <v>#REF!</v>
      </c>
      <c r="S388" s="5" t="s">
        <v>52</v>
      </c>
      <c r="T388" s="5">
        <v>25</v>
      </c>
      <c r="W388" s="5" t="s">
        <v>230</v>
      </c>
      <c r="X388" s="5">
        <v>0</v>
      </c>
      <c r="Y388" s="5">
        <v>0</v>
      </c>
      <c r="Z388" s="5">
        <v>40389.041096000001</v>
      </c>
      <c r="AA388" s="5">
        <v>70</v>
      </c>
      <c r="AB388" s="5">
        <v>2827232.8767200001</v>
      </c>
      <c r="AC388" s="5" t="str">
        <f t="shared" si="22"/>
        <v>Bonos</v>
      </c>
      <c r="AD388" s="5" t="s">
        <v>43</v>
      </c>
      <c r="AE388" s="5">
        <f t="shared" si="20"/>
        <v>2</v>
      </c>
      <c r="AF388" s="5">
        <f t="shared" si="21"/>
        <v>2019</v>
      </c>
    </row>
    <row r="389" s="5" customFormat="1" ht="13">
      <c r="A389" s="5" t="s">
        <v>44</v>
      </c>
      <c r="B389" s="5" t="s">
        <v>44</v>
      </c>
      <c r="C389" s="5" t="s">
        <v>114</v>
      </c>
      <c r="D389" s="5" t="s">
        <v>21</v>
      </c>
      <c r="E389" s="5" t="s">
        <v>44</v>
      </c>
      <c r="F389" s="5" t="s">
        <v>68</v>
      </c>
      <c r="G389" s="5" t="s">
        <v>75</v>
      </c>
      <c r="H389" s="9" t="s">
        <v>235</v>
      </c>
      <c r="I389" s="10"/>
      <c r="J389" s="10">
        <v>42586</v>
      </c>
      <c r="K389" s="5" t="s">
        <v>77</v>
      </c>
      <c r="L389" s="5" t="s">
        <v>50</v>
      </c>
      <c r="M389" s="11">
        <v>0.14249999999999999</v>
      </c>
      <c r="N389" s="5" t="e">
        <f>IF(AND(M389&gt;#REF!,Cartera!O389="Guaraníes"),"Rendimiento significativo",IF(AND(M389&gt;#REF!,Cartera!O389="Dólares americanos"),"Rendimiento significativo","Rendimiento no significativo"))</f>
        <v>#REF!</v>
      </c>
      <c r="O389" s="5" t="s">
        <v>41</v>
      </c>
      <c r="P389" s="12">
        <v>183869.86301500001</v>
      </c>
      <c r="Q389" s="12">
        <f>IF(O389="Guaraníes",P389,P389*#REF!)</f>
        <v>183869.86301500001</v>
      </c>
      <c r="R389" s="12" t="e">
        <f>IF(O389="Guaraníes",P389/#REF!,P389)</f>
        <v>#REF!</v>
      </c>
      <c r="S389" s="5" t="s">
        <v>52</v>
      </c>
      <c r="T389" s="5">
        <v>25</v>
      </c>
      <c r="W389" s="5" t="s">
        <v>65</v>
      </c>
      <c r="X389" s="5">
        <v>0</v>
      </c>
      <c r="Y389" s="5">
        <v>0</v>
      </c>
      <c r="Z389" s="5">
        <v>36773.972603000002</v>
      </c>
      <c r="AA389" s="5">
        <v>5</v>
      </c>
      <c r="AB389" s="5">
        <v>183869.86301500001</v>
      </c>
      <c r="AC389" s="5" t="str">
        <f t="shared" si="22"/>
        <v>Bonos</v>
      </c>
      <c r="AD389" s="5" t="s">
        <v>43</v>
      </c>
      <c r="AE389" s="5">
        <f t="shared" si="20"/>
        <v>8</v>
      </c>
      <c r="AF389" s="5">
        <f t="shared" si="21"/>
        <v>2016</v>
      </c>
    </row>
    <row r="390" s="5" customFormat="1" ht="13">
      <c r="A390" s="5" t="s">
        <v>44</v>
      </c>
      <c r="B390" s="5" t="s">
        <v>44</v>
      </c>
      <c r="C390" s="5" t="s">
        <v>114</v>
      </c>
      <c r="D390" s="5" t="s">
        <v>21</v>
      </c>
      <c r="E390" s="5" t="s">
        <v>44</v>
      </c>
      <c r="F390" s="5" t="s">
        <v>68</v>
      </c>
      <c r="G390" s="5" t="s">
        <v>75</v>
      </c>
      <c r="H390" s="9" t="s">
        <v>115</v>
      </c>
      <c r="I390" s="10"/>
      <c r="J390" s="10">
        <v>42586</v>
      </c>
      <c r="K390" s="5" t="s">
        <v>77</v>
      </c>
      <c r="L390" s="5" t="s">
        <v>50</v>
      </c>
      <c r="M390" s="11">
        <v>0.125</v>
      </c>
      <c r="N390" s="5" t="e">
        <f>IF(AND(M390&gt;#REF!,Cartera!O390="Guaraníes"),"Rendimiento significativo",IF(AND(M390&gt;#REF!,Cartera!O390="Dólares americanos"),"Rendimiento significativo","Rendimiento no significativo"))</f>
        <v>#REF!</v>
      </c>
      <c r="O390" s="5" t="s">
        <v>41</v>
      </c>
      <c r="P390" s="12">
        <v>897534.24656999996</v>
      </c>
      <c r="Q390" s="12">
        <f>IF(O390="Guaraníes",P390,P390*#REF!)</f>
        <v>897534.24656999996</v>
      </c>
      <c r="R390" s="12" t="e">
        <f>IF(O390="Guaraníes",P390/#REF!,P390)</f>
        <v>#REF!</v>
      </c>
      <c r="S390" s="5" t="s">
        <v>52</v>
      </c>
      <c r="T390" s="5">
        <v>25</v>
      </c>
      <c r="W390" s="5" t="s">
        <v>65</v>
      </c>
      <c r="X390" s="5">
        <v>0</v>
      </c>
      <c r="Y390" s="5">
        <v>0</v>
      </c>
      <c r="Z390" s="5">
        <v>29917.808218999999</v>
      </c>
      <c r="AA390" s="5">
        <v>30</v>
      </c>
      <c r="AB390" s="5">
        <v>897534.24656999996</v>
      </c>
      <c r="AC390" s="5" t="str">
        <f t="shared" si="22"/>
        <v>Bonos</v>
      </c>
      <c r="AD390" s="5" t="s">
        <v>43</v>
      </c>
      <c r="AE390" s="5">
        <f t="shared" si="20"/>
        <v>8</v>
      </c>
      <c r="AF390" s="5">
        <f t="shared" si="21"/>
        <v>2016</v>
      </c>
    </row>
    <row r="391" s="5" customFormat="1" ht="13">
      <c r="A391" s="5" t="s">
        <v>44</v>
      </c>
      <c r="B391" s="5" t="s">
        <v>44</v>
      </c>
      <c r="C391" s="5" t="s">
        <v>114</v>
      </c>
      <c r="D391" s="5" t="s">
        <v>21</v>
      </c>
      <c r="E391" s="5" t="s">
        <v>44</v>
      </c>
      <c r="F391" s="5" t="s">
        <v>68</v>
      </c>
      <c r="G391" s="5" t="s">
        <v>75</v>
      </c>
      <c r="H391" s="9" t="s">
        <v>170</v>
      </c>
      <c r="I391" s="10"/>
      <c r="J391" s="10">
        <v>42605</v>
      </c>
      <c r="K391" s="5" t="s">
        <v>77</v>
      </c>
      <c r="L391" s="5" t="s">
        <v>50</v>
      </c>
      <c r="M391" s="11">
        <v>0.14000000000000001</v>
      </c>
      <c r="N391" s="5" t="e">
        <f>IF(AND(M391&gt;#REF!,Cartera!O391="Guaraníes"),"Rendimiento significativo",IF(AND(M391&gt;#REF!,Cartera!O391="Dólares americanos"),"Rendimiento significativo","Rendimiento no significativo"))</f>
        <v>#REF!</v>
      </c>
      <c r="O391" s="5" t="s">
        <v>41</v>
      </c>
      <c r="P391" s="12">
        <v>3490410.9589</v>
      </c>
      <c r="Q391" s="12">
        <f>IF(O391="Guaraníes",P391,P391*#REF!)</f>
        <v>3490410.9589</v>
      </c>
      <c r="R391" s="12" t="e">
        <f>IF(O391="Guaraníes",P391/#REF!,P391)</f>
        <v>#REF!</v>
      </c>
      <c r="S391" s="5" t="s">
        <v>52</v>
      </c>
      <c r="T391" s="5">
        <v>25</v>
      </c>
      <c r="W391" s="5" t="s">
        <v>65</v>
      </c>
      <c r="X391" s="5">
        <v>0</v>
      </c>
      <c r="Y391" s="5">
        <v>0</v>
      </c>
      <c r="Z391" s="5">
        <v>34904.109589</v>
      </c>
      <c r="AA391" s="5">
        <v>100</v>
      </c>
      <c r="AB391" s="5">
        <v>3490410.9589</v>
      </c>
      <c r="AC391" s="5" t="str">
        <f t="shared" si="22"/>
        <v>Bonos</v>
      </c>
      <c r="AD391" s="5" t="s">
        <v>43</v>
      </c>
      <c r="AE391" s="5">
        <f t="shared" si="20"/>
        <v>8</v>
      </c>
      <c r="AF391" s="5">
        <f t="shared" si="21"/>
        <v>2016</v>
      </c>
    </row>
    <row r="392" s="5" customFormat="1" ht="13">
      <c r="A392" s="5" t="s">
        <v>44</v>
      </c>
      <c r="B392" s="5" t="s">
        <v>44</v>
      </c>
      <c r="C392" s="5" t="s">
        <v>227</v>
      </c>
      <c r="D392" s="5" t="s">
        <v>21</v>
      </c>
      <c r="E392" s="5" t="s">
        <v>44</v>
      </c>
      <c r="F392" s="5" t="s">
        <v>68</v>
      </c>
      <c r="G392" s="5" t="s">
        <v>75</v>
      </c>
      <c r="H392" s="9" t="s">
        <v>228</v>
      </c>
      <c r="I392" s="10"/>
      <c r="J392" s="10">
        <v>42607</v>
      </c>
      <c r="K392" s="5" t="s">
        <v>77</v>
      </c>
      <c r="L392" s="5" t="s">
        <v>58</v>
      </c>
      <c r="M392" s="11">
        <v>0.1525</v>
      </c>
      <c r="N392" s="5" t="e">
        <f>IF(AND(M392&gt;#REF!,Cartera!O392="Guaraníes"),"Rendimiento significativo",IF(AND(M392&gt;#REF!,Cartera!O392="Dólares americanos"),"Rendimiento significativo","Rendimiento no significativo"))</f>
        <v>#REF!</v>
      </c>
      <c r="O392" s="5" t="s">
        <v>41</v>
      </c>
      <c r="P392" s="12">
        <v>2851541.0958749996</v>
      </c>
      <c r="Q392" s="12">
        <f>IF(O392="Guaraníes",P392,P392*#REF!)</f>
        <v>2851541.0958749996</v>
      </c>
      <c r="R392" s="12" t="e">
        <f>IF(O392="Guaraníes",P392/#REF!,P392)</f>
        <v>#REF!</v>
      </c>
      <c r="S392" s="5" t="s">
        <v>52</v>
      </c>
      <c r="T392" s="5">
        <v>25</v>
      </c>
      <c r="W392" s="5" t="s">
        <v>196</v>
      </c>
      <c r="X392" s="5">
        <v>0</v>
      </c>
      <c r="Y392" s="5">
        <v>0</v>
      </c>
      <c r="Z392" s="5">
        <v>38020.547944999998</v>
      </c>
      <c r="AA392" s="5">
        <v>75</v>
      </c>
      <c r="AB392" s="5">
        <v>2851541.0958750001</v>
      </c>
      <c r="AC392" s="5" t="str">
        <f t="shared" si="22"/>
        <v>Bonos</v>
      </c>
      <c r="AD392" s="5" t="s">
        <v>43</v>
      </c>
      <c r="AE392" s="5">
        <f t="shared" si="20"/>
        <v>8</v>
      </c>
      <c r="AF392" s="5">
        <f t="shared" si="21"/>
        <v>2016</v>
      </c>
    </row>
    <row r="393" s="5" customFormat="1" ht="13">
      <c r="A393" s="5" t="s">
        <v>44</v>
      </c>
      <c r="B393" s="5" t="s">
        <v>44</v>
      </c>
      <c r="C393" s="5" t="s">
        <v>74</v>
      </c>
      <c r="D393" s="5" t="s">
        <v>21</v>
      </c>
      <c r="E393" s="5" t="s">
        <v>44</v>
      </c>
      <c r="F393" s="5" t="s">
        <v>68</v>
      </c>
      <c r="G393" s="5" t="s">
        <v>75</v>
      </c>
      <c r="H393" s="9" t="s">
        <v>231</v>
      </c>
      <c r="I393" s="10"/>
      <c r="J393" s="10">
        <v>42612</v>
      </c>
      <c r="K393" s="5" t="s">
        <v>77</v>
      </c>
      <c r="L393" s="5" t="s">
        <v>58</v>
      </c>
      <c r="M393" s="11">
        <v>0.14000000000000001</v>
      </c>
      <c r="N393" s="5" t="e">
        <f>IF(AND(M393&gt;#REF!,Cartera!O393="Guaraníes"),"Rendimiento significativo",IF(AND(M393&gt;#REF!,Cartera!O393="Dólares americanos"),"Rendimiento significativo","Rendimiento no significativo"))</f>
        <v>#REF!</v>
      </c>
      <c r="O393" s="5" t="s">
        <v>41</v>
      </c>
      <c r="P393" s="12">
        <v>5235616.4383499995</v>
      </c>
      <c r="Q393" s="12">
        <f>IF(O393="Guaraníes",P393,P393*#REF!)</f>
        <v>5235616.4383499995</v>
      </c>
      <c r="R393" s="12" t="e">
        <f>IF(O393="Guaraníes",P393/#REF!,P393)</f>
        <v>#REF!</v>
      </c>
      <c r="S393" s="5" t="s">
        <v>52</v>
      </c>
      <c r="T393" s="5">
        <v>25</v>
      </c>
      <c r="W393" s="5" t="s">
        <v>232</v>
      </c>
      <c r="X393" s="5">
        <v>0</v>
      </c>
      <c r="Y393" s="5">
        <v>0</v>
      </c>
      <c r="Z393" s="5">
        <v>34904.109589</v>
      </c>
      <c r="AA393" s="5">
        <v>150</v>
      </c>
      <c r="AB393" s="5">
        <v>5235616.4383500004</v>
      </c>
      <c r="AC393" s="5" t="str">
        <f t="shared" si="22"/>
        <v>Bonos</v>
      </c>
      <c r="AD393" s="5" t="s">
        <v>43</v>
      </c>
      <c r="AE393" s="5">
        <f t="shared" si="20"/>
        <v>8</v>
      </c>
      <c r="AF393" s="5">
        <f t="shared" si="21"/>
        <v>2016</v>
      </c>
    </row>
    <row r="394" s="5" customFormat="1" ht="13">
      <c r="A394" s="5" t="s">
        <v>44</v>
      </c>
      <c r="B394" s="5" t="s">
        <v>44</v>
      </c>
      <c r="C394" s="5" t="s">
        <v>99</v>
      </c>
      <c r="D394" s="5" t="s">
        <v>21</v>
      </c>
      <c r="E394" s="5" t="s">
        <v>44</v>
      </c>
      <c r="F394" s="5" t="s">
        <v>100</v>
      </c>
      <c r="G394" s="5" t="s">
        <v>75</v>
      </c>
      <c r="H394" s="9" t="s">
        <v>229</v>
      </c>
      <c r="I394" s="10"/>
      <c r="J394" s="10">
        <v>42635</v>
      </c>
      <c r="K394" s="5" t="s">
        <v>102</v>
      </c>
      <c r="L394" s="5" t="s">
        <v>102</v>
      </c>
      <c r="M394" s="11">
        <v>0.089999999999999997</v>
      </c>
      <c r="N394" s="5" t="e">
        <f>IF(AND(M394&gt;#REF!,Cartera!O394="Guaraníes"),"Rendimiento significativo",IF(AND(M394&gt;#REF!,Cartera!O394="Dólares americanos"),"Rendimiento significativo","Rendimiento no significativo"))</f>
        <v>#REF!</v>
      </c>
      <c r="O394" s="5" t="s">
        <v>41</v>
      </c>
      <c r="P394" s="12">
        <v>6091643.835585</v>
      </c>
      <c r="Q394" s="12">
        <f>IF(O394="Guaraníes",P394,P394*#REF!)</f>
        <v>6091643.835585</v>
      </c>
      <c r="R394" s="12" t="e">
        <f>IF(O394="Guaraníes",P394/#REF!,P394)</f>
        <v>#REF!</v>
      </c>
      <c r="S394" s="5" t="s">
        <v>52</v>
      </c>
      <c r="T394" s="5">
        <v>25</v>
      </c>
      <c r="W394" s="5" t="s">
        <v>233</v>
      </c>
      <c r="X394" s="5">
        <v>0</v>
      </c>
      <c r="Y394" s="5">
        <v>0</v>
      </c>
      <c r="Z394" s="5">
        <v>45123.287670999998</v>
      </c>
      <c r="AA394" s="5">
        <v>135</v>
      </c>
      <c r="AB394" s="5">
        <v>6091643.835585</v>
      </c>
      <c r="AC394" s="5" t="str">
        <f t="shared" si="22"/>
        <v>Bonos</v>
      </c>
      <c r="AD394" s="5" t="s">
        <v>43</v>
      </c>
      <c r="AE394" s="5">
        <f t="shared" si="20"/>
        <v>9</v>
      </c>
      <c r="AF394" s="5">
        <f t="shared" si="21"/>
        <v>2016</v>
      </c>
    </row>
    <row r="395" s="5" customFormat="1" ht="13">
      <c r="A395" s="5" t="s">
        <v>44</v>
      </c>
      <c r="B395" s="5" t="s">
        <v>44</v>
      </c>
      <c r="C395" s="5" t="s">
        <v>114</v>
      </c>
      <c r="D395" s="5" t="s">
        <v>21</v>
      </c>
      <c r="E395" s="5" t="s">
        <v>44</v>
      </c>
      <c r="F395" s="5" t="s">
        <v>68</v>
      </c>
      <c r="G395" s="5" t="s">
        <v>75</v>
      </c>
      <c r="H395" s="9" t="s">
        <v>226</v>
      </c>
      <c r="I395" s="10"/>
      <c r="J395" s="10">
        <v>42635</v>
      </c>
      <c r="K395" s="5" t="s">
        <v>77</v>
      </c>
      <c r="L395" s="5" t="s">
        <v>58</v>
      </c>
      <c r="M395" s="11">
        <v>0.14000000000000001</v>
      </c>
      <c r="N395" s="5" t="e">
        <f>IF(AND(M395&gt;#REF!,Cartera!O395="Guaraníes"),"Rendimiento significativo",IF(AND(M395&gt;#REF!,Cartera!O395="Dólares americanos"),"Rendimiento significativo","Rendimiento no significativo"))</f>
        <v>#REF!</v>
      </c>
      <c r="O395" s="5" t="s">
        <v>41</v>
      </c>
      <c r="P395" s="12">
        <v>523561.643835</v>
      </c>
      <c r="Q395" s="12">
        <f>IF(O395="Guaraníes",P395,P395*#REF!)</f>
        <v>523561.643835</v>
      </c>
      <c r="R395" s="12" t="e">
        <f>IF(O395="Guaraníes",P395/#REF!,P395)</f>
        <v>#REF!</v>
      </c>
      <c r="S395" s="5" t="s">
        <v>52</v>
      </c>
      <c r="T395" s="5">
        <v>25</v>
      </c>
      <c r="W395" s="5" t="s">
        <v>65</v>
      </c>
      <c r="X395" s="5">
        <v>0</v>
      </c>
      <c r="Y395" s="5">
        <v>0</v>
      </c>
      <c r="Z395" s="5">
        <v>34904.109589</v>
      </c>
      <c r="AA395" s="5">
        <v>15</v>
      </c>
      <c r="AB395" s="5">
        <v>523561.643835</v>
      </c>
      <c r="AC395" s="5" t="str">
        <f t="shared" si="22"/>
        <v>Bonos</v>
      </c>
      <c r="AD395" s="5" t="s">
        <v>43</v>
      </c>
      <c r="AE395" s="5">
        <f t="shared" si="20"/>
        <v>9</v>
      </c>
      <c r="AF395" s="5">
        <f t="shared" si="21"/>
        <v>2016</v>
      </c>
    </row>
    <row r="396" s="5" customFormat="1" ht="13">
      <c r="A396" s="5" t="s">
        <v>44</v>
      </c>
      <c r="B396" s="5" t="s">
        <v>44</v>
      </c>
      <c r="C396" s="5" t="s">
        <v>114</v>
      </c>
      <c r="D396" s="5" t="s">
        <v>21</v>
      </c>
      <c r="E396" s="5" t="s">
        <v>44</v>
      </c>
      <c r="F396" s="5" t="s">
        <v>68</v>
      </c>
      <c r="G396" s="5" t="s">
        <v>75</v>
      </c>
      <c r="H396" s="9" t="s">
        <v>236</v>
      </c>
      <c r="I396" s="10"/>
      <c r="J396" s="10">
        <v>42635</v>
      </c>
      <c r="K396" s="5" t="s">
        <v>77</v>
      </c>
      <c r="L396" s="5" t="s">
        <v>50</v>
      </c>
      <c r="M396" s="11">
        <v>0.14749999999999999</v>
      </c>
      <c r="N396" s="5" t="e">
        <f>IF(AND(M396&gt;#REF!,Cartera!O396="Guaraníes"),"Rendimiento significativo",IF(AND(M396&gt;#REF!,Cartera!O396="Dólares americanos"),"Rendimiento significativo","Rendimiento no significativo"))</f>
        <v>#REF!</v>
      </c>
      <c r="O396" s="5" t="s">
        <v>41</v>
      </c>
      <c r="P396" s="12">
        <v>112191.780822</v>
      </c>
      <c r="Q396" s="12">
        <f>IF(O396="Guaraníes",P396,P396*#REF!)</f>
        <v>112191.780822</v>
      </c>
      <c r="R396" s="12" t="e">
        <f>IF(O396="Guaraníes",P396/#REF!,P396)</f>
        <v>#REF!</v>
      </c>
      <c r="S396" s="5" t="s">
        <v>52</v>
      </c>
      <c r="T396" s="5">
        <v>25</v>
      </c>
      <c r="W396" s="5" t="s">
        <v>65</v>
      </c>
      <c r="X396" s="5">
        <v>0</v>
      </c>
      <c r="Y396" s="5">
        <v>0</v>
      </c>
      <c r="Z396" s="5">
        <v>37397.260274</v>
      </c>
      <c r="AA396" s="5">
        <v>3</v>
      </c>
      <c r="AB396" s="5">
        <v>112191.780822</v>
      </c>
      <c r="AC396" s="5" t="str">
        <f t="shared" si="22"/>
        <v>Bonos</v>
      </c>
      <c r="AD396" s="5" t="s">
        <v>43</v>
      </c>
      <c r="AE396" s="5">
        <f t="shared" si="20"/>
        <v>9</v>
      </c>
      <c r="AF396" s="5">
        <f t="shared" si="21"/>
        <v>2016</v>
      </c>
    </row>
    <row r="397" s="5" customFormat="1" ht="13">
      <c r="A397" s="5" t="s">
        <v>44</v>
      </c>
      <c r="B397" s="5" t="s">
        <v>44</v>
      </c>
      <c r="C397" s="5" t="s">
        <v>114</v>
      </c>
      <c r="D397" s="5" t="s">
        <v>21</v>
      </c>
      <c r="E397" s="5" t="s">
        <v>44</v>
      </c>
      <c r="F397" s="5" t="s">
        <v>68</v>
      </c>
      <c r="G397" s="5" t="s">
        <v>75</v>
      </c>
      <c r="H397" s="9" t="s">
        <v>237</v>
      </c>
      <c r="I397" s="10"/>
      <c r="J397" s="10">
        <v>42647</v>
      </c>
      <c r="K397" s="5" t="s">
        <v>77</v>
      </c>
      <c r="L397" s="5" t="s">
        <v>50</v>
      </c>
      <c r="M397" s="11">
        <v>0.13750000000000001</v>
      </c>
      <c r="N397" s="5" t="e">
        <f>IF(AND(M397&gt;#REF!,Cartera!O397="Guaraníes"),"Rendimiento significativo",IF(AND(M397&gt;#REF!,Cartera!O397="Dólares americanos"),"Rendimiento significativo","Rendimiento no significativo"))</f>
        <v>#REF!</v>
      </c>
      <c r="O397" s="5" t="s">
        <v>41</v>
      </c>
      <c r="P397" s="12">
        <v>685616.43836000003</v>
      </c>
      <c r="Q397" s="12">
        <f>IF(O397="Guaraníes",P397,P397*#REF!)</f>
        <v>685616.43836000003</v>
      </c>
      <c r="R397" s="12" t="e">
        <f>IF(O397="Guaraníes",P397/#REF!,P397)</f>
        <v>#REF!</v>
      </c>
      <c r="S397" s="5" t="s">
        <v>52</v>
      </c>
      <c r="T397" s="5">
        <v>25</v>
      </c>
      <c r="W397" s="5" t="s">
        <v>65</v>
      </c>
      <c r="X397" s="5">
        <v>0</v>
      </c>
      <c r="Y397" s="5">
        <v>0</v>
      </c>
      <c r="Z397" s="5">
        <v>34280.821918000001</v>
      </c>
      <c r="AA397" s="5">
        <v>20</v>
      </c>
      <c r="AB397" s="5">
        <v>685616.43836000003</v>
      </c>
      <c r="AC397" s="5" t="str">
        <f t="shared" si="22"/>
        <v>Bonos</v>
      </c>
      <c r="AD397" s="5" t="s">
        <v>43</v>
      </c>
      <c r="AE397" s="5">
        <f t="shared" si="20"/>
        <v>10</v>
      </c>
      <c r="AF397" s="5">
        <f t="shared" si="21"/>
        <v>2016</v>
      </c>
    </row>
    <row r="398" s="5" customFormat="1" ht="13">
      <c r="A398" s="5" t="s">
        <v>44</v>
      </c>
      <c r="B398" s="5" t="s">
        <v>44</v>
      </c>
      <c r="C398" s="5" t="s">
        <v>114</v>
      </c>
      <c r="D398" s="5" t="s">
        <v>21</v>
      </c>
      <c r="E398" s="5" t="s">
        <v>44</v>
      </c>
      <c r="F398" s="5" t="s">
        <v>68</v>
      </c>
      <c r="G398" s="5" t="s">
        <v>75</v>
      </c>
      <c r="H398" s="9" t="s">
        <v>234</v>
      </c>
      <c r="I398" s="10"/>
      <c r="J398" s="10">
        <v>42669</v>
      </c>
      <c r="K398" s="5" t="s">
        <v>77</v>
      </c>
      <c r="L398" s="5" t="s">
        <v>50</v>
      </c>
      <c r="M398" s="11">
        <v>0.12</v>
      </c>
      <c r="N398" s="5" t="e">
        <f>IF(AND(M398&gt;#REF!,Cartera!O398="Guaraníes"),"Rendimiento significativo",IF(AND(M398&gt;#REF!,Cartera!O398="Dólares americanos"),"Rendimiento significativo","Rendimiento no significativo"))</f>
        <v>#REF!</v>
      </c>
      <c r="O398" s="5" t="s">
        <v>51</v>
      </c>
      <c r="P398" s="13">
        <v>486.16437000000002</v>
      </c>
      <c r="Q398" s="12" t="e">
        <f>IF(O398="Guaraníes",P398,P398*#REF!)</f>
        <v>#REF!</v>
      </c>
      <c r="R398" s="12">
        <f>IF(O398="Guaraníes",P398/#REF!,P398)</f>
        <v>486.16437000000002</v>
      </c>
      <c r="S398" s="5" t="s">
        <v>52</v>
      </c>
      <c r="T398" s="5">
        <v>25</v>
      </c>
      <c r="W398" s="5" t="s">
        <v>65</v>
      </c>
      <c r="X398" s="5">
        <v>0</v>
      </c>
      <c r="Y398" s="5">
        <v>0</v>
      </c>
      <c r="Z398" s="5">
        <v>16.205479</v>
      </c>
      <c r="AA398" s="5">
        <v>30</v>
      </c>
      <c r="AB398" s="5">
        <v>486.16437000000002</v>
      </c>
      <c r="AC398" s="5" t="str">
        <f t="shared" si="22"/>
        <v>Bonos</v>
      </c>
      <c r="AD398" s="5" t="s">
        <v>43</v>
      </c>
      <c r="AE398" s="5">
        <f t="shared" si="20"/>
        <v>10</v>
      </c>
      <c r="AF398" s="5">
        <f t="shared" si="21"/>
        <v>2016</v>
      </c>
    </row>
    <row r="399" s="5" customFormat="1" ht="13">
      <c r="A399" s="5" t="s">
        <v>44</v>
      </c>
      <c r="B399" s="5" t="s">
        <v>44</v>
      </c>
      <c r="C399" s="5" t="s">
        <v>114</v>
      </c>
      <c r="D399" s="5" t="s">
        <v>21</v>
      </c>
      <c r="E399" s="5" t="s">
        <v>44</v>
      </c>
      <c r="F399" s="5" t="s">
        <v>68</v>
      </c>
      <c r="G399" s="5" t="s">
        <v>75</v>
      </c>
      <c r="H399" s="9" t="s">
        <v>235</v>
      </c>
      <c r="I399" s="10"/>
      <c r="J399" s="10">
        <v>42677</v>
      </c>
      <c r="K399" s="5" t="s">
        <v>77</v>
      </c>
      <c r="L399" s="5" t="s">
        <v>50</v>
      </c>
      <c r="M399" s="11">
        <v>0.14249999999999999</v>
      </c>
      <c r="N399" s="5" t="e">
        <f>IF(AND(M399&gt;#REF!,Cartera!O399="Guaraníes"),"Rendimiento significativo",IF(AND(M399&gt;#REF!,Cartera!O399="Dólares americanos"),"Rendimiento significativo","Rendimiento no significativo"))</f>
        <v>#REF!</v>
      </c>
      <c r="O399" s="5" t="s">
        <v>41</v>
      </c>
      <c r="P399" s="12">
        <v>183869.86301500001</v>
      </c>
      <c r="Q399" s="12">
        <f>IF(O399="Guaraníes",P399,P399*#REF!)</f>
        <v>183869.86301500001</v>
      </c>
      <c r="R399" s="12" t="e">
        <f>IF(O399="Guaraníes",P399/#REF!,P399)</f>
        <v>#REF!</v>
      </c>
      <c r="S399" s="5" t="s">
        <v>52</v>
      </c>
      <c r="T399" s="5">
        <v>25</v>
      </c>
      <c r="W399" s="5" t="s">
        <v>65</v>
      </c>
      <c r="X399" s="5">
        <v>0</v>
      </c>
      <c r="Y399" s="5">
        <v>0</v>
      </c>
      <c r="Z399" s="5">
        <v>36773.972603000002</v>
      </c>
      <c r="AA399" s="5">
        <v>5</v>
      </c>
      <c r="AB399" s="5">
        <v>183869.86301500001</v>
      </c>
      <c r="AC399" s="5" t="str">
        <f t="shared" si="22"/>
        <v>Bonos</v>
      </c>
      <c r="AD399" s="5" t="s">
        <v>43</v>
      </c>
      <c r="AE399" s="5">
        <f t="shared" si="20"/>
        <v>11</v>
      </c>
      <c r="AF399" s="5">
        <f t="shared" si="21"/>
        <v>2016</v>
      </c>
    </row>
    <row r="400" s="5" customFormat="1" ht="13">
      <c r="A400" s="5" t="s">
        <v>44</v>
      </c>
      <c r="B400" s="5" t="s">
        <v>44</v>
      </c>
      <c r="C400" s="5" t="s">
        <v>114</v>
      </c>
      <c r="D400" s="5" t="s">
        <v>21</v>
      </c>
      <c r="E400" s="5" t="s">
        <v>44</v>
      </c>
      <c r="F400" s="5" t="s">
        <v>68</v>
      </c>
      <c r="G400" s="5" t="s">
        <v>75</v>
      </c>
      <c r="H400" s="9" t="s">
        <v>115</v>
      </c>
      <c r="I400" s="10"/>
      <c r="J400" s="10">
        <v>42677</v>
      </c>
      <c r="K400" s="5" t="s">
        <v>77</v>
      </c>
      <c r="L400" s="5" t="s">
        <v>50</v>
      </c>
      <c r="M400" s="11">
        <v>0.125</v>
      </c>
      <c r="N400" s="5" t="e">
        <f>IF(AND(M400&gt;#REF!,Cartera!O400="Guaraníes"),"Rendimiento significativo",IF(AND(M400&gt;#REF!,Cartera!O400="Dólares americanos"),"Rendimiento significativo","Rendimiento no significativo"))</f>
        <v>#REF!</v>
      </c>
      <c r="O400" s="5" t="s">
        <v>41</v>
      </c>
      <c r="P400" s="12">
        <v>897534.24656999996</v>
      </c>
      <c r="Q400" s="12">
        <f>IF(O400="Guaraníes",P400,P400*#REF!)</f>
        <v>897534.24656999996</v>
      </c>
      <c r="R400" s="12" t="e">
        <f>IF(O400="Guaraníes",P400/#REF!,P400)</f>
        <v>#REF!</v>
      </c>
      <c r="S400" s="5" t="s">
        <v>52</v>
      </c>
      <c r="T400" s="5">
        <v>25</v>
      </c>
      <c r="W400" s="5" t="s">
        <v>65</v>
      </c>
      <c r="X400" s="5">
        <v>0</v>
      </c>
      <c r="Y400" s="5">
        <v>0</v>
      </c>
      <c r="Z400" s="5">
        <v>29917.808218999999</v>
      </c>
      <c r="AA400" s="5">
        <v>30</v>
      </c>
      <c r="AB400" s="5">
        <v>897534.24656999996</v>
      </c>
      <c r="AC400" s="5" t="str">
        <f t="shared" si="22"/>
        <v>Bonos</v>
      </c>
      <c r="AD400" s="5" t="s">
        <v>43</v>
      </c>
      <c r="AE400" s="5">
        <f t="shared" si="20"/>
        <v>11</v>
      </c>
      <c r="AF400" s="5">
        <f t="shared" si="21"/>
        <v>2016</v>
      </c>
    </row>
    <row r="401" s="5" customFormat="1" ht="13">
      <c r="A401" s="5" t="s">
        <v>44</v>
      </c>
      <c r="B401" s="5" t="s">
        <v>44</v>
      </c>
      <c r="C401" s="5" t="s">
        <v>114</v>
      </c>
      <c r="D401" s="5" t="s">
        <v>21</v>
      </c>
      <c r="E401" s="5" t="s">
        <v>44</v>
      </c>
      <c r="F401" s="5" t="s">
        <v>68</v>
      </c>
      <c r="G401" s="5" t="s">
        <v>75</v>
      </c>
      <c r="H401" s="9" t="s">
        <v>170</v>
      </c>
      <c r="I401" s="10"/>
      <c r="J401" s="10">
        <v>42696</v>
      </c>
      <c r="K401" s="5" t="s">
        <v>77</v>
      </c>
      <c r="L401" s="5" t="s">
        <v>50</v>
      </c>
      <c r="M401" s="11">
        <v>0.14000000000000001</v>
      </c>
      <c r="N401" s="5" t="e">
        <f>IF(AND(M401&gt;#REF!,Cartera!O401="Guaraníes"),"Rendimiento significativo",IF(AND(M401&gt;#REF!,Cartera!O401="Dólares americanos"),"Rendimiento significativo","Rendimiento no significativo"))</f>
        <v>#REF!</v>
      </c>
      <c r="O401" s="5" t="s">
        <v>41</v>
      </c>
      <c r="P401" s="12">
        <v>3490410.9589</v>
      </c>
      <c r="Q401" s="12">
        <f>IF(O401="Guaraníes",P401,P401*#REF!)</f>
        <v>3490410.9589</v>
      </c>
      <c r="R401" s="12" t="e">
        <f>IF(O401="Guaraníes",P401/#REF!,P401)</f>
        <v>#REF!</v>
      </c>
      <c r="S401" s="5" t="s">
        <v>52</v>
      </c>
      <c r="T401" s="5">
        <v>25</v>
      </c>
      <c r="W401" s="5" t="s">
        <v>65</v>
      </c>
      <c r="X401" s="5">
        <v>0</v>
      </c>
      <c r="Y401" s="5">
        <v>0</v>
      </c>
      <c r="Z401" s="5">
        <v>34904.109589</v>
      </c>
      <c r="AA401" s="5">
        <v>100</v>
      </c>
      <c r="AB401" s="5">
        <v>3490410.9589</v>
      </c>
      <c r="AC401" s="5" t="str">
        <f t="shared" si="22"/>
        <v>Bonos</v>
      </c>
      <c r="AD401" s="5" t="s">
        <v>43</v>
      </c>
      <c r="AE401" s="5">
        <f t="shared" si="20"/>
        <v>11</v>
      </c>
      <c r="AF401" s="5">
        <f t="shared" si="21"/>
        <v>2016</v>
      </c>
    </row>
    <row r="402" s="5" customFormat="1" ht="13">
      <c r="A402" s="5" t="s">
        <v>44</v>
      </c>
      <c r="B402" s="5" t="s">
        <v>44</v>
      </c>
      <c r="C402" s="5" t="s">
        <v>227</v>
      </c>
      <c r="D402" s="5" t="s">
        <v>21</v>
      </c>
      <c r="E402" s="5" t="s">
        <v>44</v>
      </c>
      <c r="F402" s="5" t="s">
        <v>68</v>
      </c>
      <c r="G402" s="5" t="s">
        <v>75</v>
      </c>
      <c r="H402" s="9" t="s">
        <v>228</v>
      </c>
      <c r="I402" s="10"/>
      <c r="J402" s="10">
        <v>42698</v>
      </c>
      <c r="K402" s="5" t="s">
        <v>77</v>
      </c>
      <c r="L402" s="5" t="s">
        <v>58</v>
      </c>
      <c r="M402" s="11">
        <v>0.1525</v>
      </c>
      <c r="N402" s="5" t="e">
        <f>IF(AND(M402&gt;#REF!,Cartera!O402="Guaraníes"),"Rendimiento significativo",IF(AND(M402&gt;#REF!,Cartera!O402="Dólares americanos"),"Rendimiento significativo","Rendimiento no significativo"))</f>
        <v>#REF!</v>
      </c>
      <c r="O402" s="5" t="s">
        <v>41</v>
      </c>
      <c r="P402" s="12">
        <v>2851541.0958749996</v>
      </c>
      <c r="Q402" s="12">
        <f>IF(O402="Guaraníes",P402,P402*#REF!)</f>
        <v>2851541.0958749996</v>
      </c>
      <c r="R402" s="12" t="e">
        <f>IF(O402="Guaraníes",P402/#REF!,P402)</f>
        <v>#REF!</v>
      </c>
      <c r="S402" s="5" t="s">
        <v>52</v>
      </c>
      <c r="T402" s="5">
        <v>25</v>
      </c>
      <c r="W402" s="5" t="s">
        <v>196</v>
      </c>
      <c r="X402" s="5">
        <v>0</v>
      </c>
      <c r="Y402" s="5">
        <v>0</v>
      </c>
      <c r="Z402" s="5">
        <v>38020.547944999998</v>
      </c>
      <c r="AA402" s="5">
        <v>75</v>
      </c>
      <c r="AB402" s="5">
        <v>2851541.0958750001</v>
      </c>
      <c r="AC402" s="5" t="str">
        <f t="shared" si="22"/>
        <v>Bonos</v>
      </c>
      <c r="AD402" s="5" t="s">
        <v>43</v>
      </c>
      <c r="AE402" s="5">
        <f t="shared" si="20"/>
        <v>11</v>
      </c>
      <c r="AF402" s="5">
        <f t="shared" si="21"/>
        <v>2016</v>
      </c>
    </row>
    <row r="403" s="5" customFormat="1" ht="13">
      <c r="A403" s="5" t="s">
        <v>44</v>
      </c>
      <c r="B403" s="5" t="s">
        <v>44</v>
      </c>
      <c r="C403" s="5" t="s">
        <v>74</v>
      </c>
      <c r="D403" s="5" t="s">
        <v>21</v>
      </c>
      <c r="E403" s="5" t="s">
        <v>44</v>
      </c>
      <c r="F403" s="5" t="s">
        <v>68</v>
      </c>
      <c r="G403" s="5" t="s">
        <v>75</v>
      </c>
      <c r="H403" s="9" t="s">
        <v>231</v>
      </c>
      <c r="I403" s="10"/>
      <c r="J403" s="10">
        <v>42703</v>
      </c>
      <c r="K403" s="5" t="s">
        <v>77</v>
      </c>
      <c r="L403" s="5" t="s">
        <v>58</v>
      </c>
      <c r="M403" s="11">
        <v>0.14000000000000001</v>
      </c>
      <c r="N403" s="5" t="e">
        <f>IF(AND(M403&gt;#REF!,Cartera!O403="Guaraníes"),"Rendimiento significativo",IF(AND(M403&gt;#REF!,Cartera!O403="Dólares americanos"),"Rendimiento significativo","Rendimiento no significativo"))</f>
        <v>#REF!</v>
      </c>
      <c r="O403" s="5" t="s">
        <v>41</v>
      </c>
      <c r="P403" s="12">
        <v>5235616.4383499995</v>
      </c>
      <c r="Q403" s="12">
        <f>IF(O403="Guaraníes",P403,P403*#REF!)</f>
        <v>5235616.4383499995</v>
      </c>
      <c r="R403" s="12" t="e">
        <f>IF(O403="Guaraníes",P403/#REF!,P403)</f>
        <v>#REF!</v>
      </c>
      <c r="S403" s="5" t="s">
        <v>52</v>
      </c>
      <c r="T403" s="5">
        <v>25</v>
      </c>
      <c r="W403" s="5" t="s">
        <v>232</v>
      </c>
      <c r="X403" s="5">
        <v>0</v>
      </c>
      <c r="Y403" s="5">
        <v>0</v>
      </c>
      <c r="Z403" s="5">
        <v>34904.109589</v>
      </c>
      <c r="AA403" s="5">
        <v>150</v>
      </c>
      <c r="AB403" s="5">
        <v>5235616.4383500004</v>
      </c>
      <c r="AC403" s="5" t="str">
        <f t="shared" si="22"/>
        <v>Bonos</v>
      </c>
      <c r="AD403" s="5" t="s">
        <v>43</v>
      </c>
      <c r="AE403" s="5">
        <f t="shared" si="20"/>
        <v>11</v>
      </c>
      <c r="AF403" s="5">
        <f t="shared" si="21"/>
        <v>2016</v>
      </c>
    </row>
    <row r="404" s="5" customFormat="1" ht="13">
      <c r="A404" s="5" t="s">
        <v>44</v>
      </c>
      <c r="B404" s="5" t="s">
        <v>44</v>
      </c>
      <c r="C404" s="5" t="s">
        <v>114</v>
      </c>
      <c r="D404" s="5" t="s">
        <v>21</v>
      </c>
      <c r="E404" s="5" t="s">
        <v>44</v>
      </c>
      <c r="F404" s="5" t="s">
        <v>68</v>
      </c>
      <c r="G404" s="5" t="s">
        <v>75</v>
      </c>
      <c r="H404" s="9" t="s">
        <v>226</v>
      </c>
      <c r="I404" s="10"/>
      <c r="J404" s="10">
        <v>42726</v>
      </c>
      <c r="K404" s="5" t="s">
        <v>77</v>
      </c>
      <c r="L404" s="5" t="s">
        <v>58</v>
      </c>
      <c r="M404" s="11">
        <v>0.14000000000000001</v>
      </c>
      <c r="N404" s="5" t="e">
        <f>IF(AND(M404&gt;#REF!,Cartera!O404="Guaraníes"),"Rendimiento significativo",IF(AND(M404&gt;#REF!,Cartera!O404="Dólares americanos"),"Rendimiento significativo","Rendimiento no significativo"))</f>
        <v>#REF!</v>
      </c>
      <c r="O404" s="5" t="s">
        <v>41</v>
      </c>
      <c r="P404" s="12">
        <v>523561.643835</v>
      </c>
      <c r="Q404" s="12">
        <f>IF(O404="Guaraníes",P404,P404*#REF!)</f>
        <v>523561.643835</v>
      </c>
      <c r="R404" s="12" t="e">
        <f>IF(O404="Guaraníes",P404/#REF!,P404)</f>
        <v>#REF!</v>
      </c>
      <c r="S404" s="5" t="s">
        <v>52</v>
      </c>
      <c r="T404" s="5">
        <v>25</v>
      </c>
      <c r="W404" s="5" t="s">
        <v>65</v>
      </c>
      <c r="X404" s="5">
        <v>0</v>
      </c>
      <c r="Y404" s="5">
        <v>0</v>
      </c>
      <c r="Z404" s="5">
        <v>34904.109589</v>
      </c>
      <c r="AA404" s="5">
        <v>15</v>
      </c>
      <c r="AB404" s="5">
        <v>523561.643835</v>
      </c>
      <c r="AC404" s="5" t="str">
        <f t="shared" si="22"/>
        <v>Bonos</v>
      </c>
      <c r="AD404" s="5" t="s">
        <v>43</v>
      </c>
      <c r="AE404" s="5">
        <f t="shared" si="20"/>
        <v>12</v>
      </c>
      <c r="AF404" s="5">
        <f t="shared" si="21"/>
        <v>2016</v>
      </c>
    </row>
    <row r="405" s="5" customFormat="1" ht="13">
      <c r="A405" s="5" t="s">
        <v>44</v>
      </c>
      <c r="B405" s="5" t="s">
        <v>44</v>
      </c>
      <c r="C405" s="5" t="s">
        <v>114</v>
      </c>
      <c r="D405" s="5" t="s">
        <v>21</v>
      </c>
      <c r="E405" s="5" t="s">
        <v>44</v>
      </c>
      <c r="F405" s="5" t="s">
        <v>68</v>
      </c>
      <c r="G405" s="5" t="s">
        <v>75</v>
      </c>
      <c r="H405" s="9" t="s">
        <v>236</v>
      </c>
      <c r="I405" s="10"/>
      <c r="J405" s="10">
        <v>42726</v>
      </c>
      <c r="K405" s="5" t="s">
        <v>77</v>
      </c>
      <c r="L405" s="5" t="s">
        <v>50</v>
      </c>
      <c r="M405" s="11">
        <v>0.14749999999999999</v>
      </c>
      <c r="N405" s="5" t="e">
        <f>IF(AND(M405&gt;#REF!,Cartera!O405="Guaraníes"),"Rendimiento significativo",IF(AND(M405&gt;#REF!,Cartera!O405="Dólares americanos"),"Rendimiento significativo","Rendimiento no significativo"))</f>
        <v>#REF!</v>
      </c>
      <c r="O405" s="5" t="s">
        <v>41</v>
      </c>
      <c r="P405" s="12">
        <v>112191.780822</v>
      </c>
      <c r="Q405" s="12">
        <f>IF(O405="Guaraníes",P405,P405*#REF!)</f>
        <v>112191.780822</v>
      </c>
      <c r="R405" s="12" t="e">
        <f>IF(O405="Guaraníes",P405/#REF!,P405)</f>
        <v>#REF!</v>
      </c>
      <c r="S405" s="5" t="s">
        <v>52</v>
      </c>
      <c r="T405" s="5">
        <v>25</v>
      </c>
      <c r="W405" s="5" t="s">
        <v>65</v>
      </c>
      <c r="X405" s="5">
        <v>0</v>
      </c>
      <c r="Y405" s="5">
        <v>0</v>
      </c>
      <c r="Z405" s="5">
        <v>37397.260274</v>
      </c>
      <c r="AA405" s="5">
        <v>3</v>
      </c>
      <c r="AB405" s="5">
        <v>112191.780822</v>
      </c>
      <c r="AC405" s="5" t="str">
        <f t="shared" si="22"/>
        <v>Bonos</v>
      </c>
      <c r="AD405" s="5" t="s">
        <v>43</v>
      </c>
      <c r="AE405" s="5">
        <f t="shared" si="20"/>
        <v>12</v>
      </c>
      <c r="AF405" s="5">
        <f t="shared" si="21"/>
        <v>2016</v>
      </c>
    </row>
    <row r="406" s="5" customFormat="1" ht="13">
      <c r="A406" s="5" t="s">
        <v>44</v>
      </c>
      <c r="B406" s="5" t="s">
        <v>44</v>
      </c>
      <c r="C406" s="5" t="s">
        <v>114</v>
      </c>
      <c r="D406" s="5" t="s">
        <v>21</v>
      </c>
      <c r="E406" s="5" t="s">
        <v>44</v>
      </c>
      <c r="F406" s="5" t="s">
        <v>68</v>
      </c>
      <c r="G406" s="5" t="s">
        <v>75</v>
      </c>
      <c r="H406" s="9" t="s">
        <v>237</v>
      </c>
      <c r="I406" s="10"/>
      <c r="J406" s="10">
        <v>42738</v>
      </c>
      <c r="K406" s="5" t="s">
        <v>77</v>
      </c>
      <c r="L406" s="5" t="s">
        <v>50</v>
      </c>
      <c r="M406" s="11">
        <v>0.13750000000000001</v>
      </c>
      <c r="N406" s="5" t="e">
        <f>IF(AND(M406&gt;#REF!,Cartera!O406="Guaraníes"),"Rendimiento significativo",IF(AND(M406&gt;#REF!,Cartera!O406="Dólares americanos"),"Rendimiento significativo","Rendimiento no significativo"))</f>
        <v>#REF!</v>
      </c>
      <c r="O406" s="5" t="s">
        <v>41</v>
      </c>
      <c r="P406" s="12">
        <v>685616.43836000003</v>
      </c>
      <c r="Q406" s="12">
        <f>IF(O406="Guaraníes",P406,P406*#REF!)</f>
        <v>685616.43836000003</v>
      </c>
      <c r="R406" s="12" t="e">
        <f>IF(O406="Guaraníes",P406/#REF!,P406)</f>
        <v>#REF!</v>
      </c>
      <c r="S406" s="5" t="s">
        <v>52</v>
      </c>
      <c r="T406" s="5">
        <v>25</v>
      </c>
      <c r="W406" s="5" t="s">
        <v>65</v>
      </c>
      <c r="X406" s="5">
        <v>0</v>
      </c>
      <c r="Y406" s="5">
        <v>0</v>
      </c>
      <c r="Z406" s="5">
        <v>34280.821918000001</v>
      </c>
      <c r="AA406" s="5">
        <v>20</v>
      </c>
      <c r="AB406" s="5">
        <v>685616.43836000003</v>
      </c>
      <c r="AC406" s="5" t="str">
        <f t="shared" si="22"/>
        <v>Bonos</v>
      </c>
      <c r="AD406" s="5" t="s">
        <v>43</v>
      </c>
      <c r="AE406" s="5">
        <f t="shared" si="20"/>
        <v>1</v>
      </c>
      <c r="AF406" s="5">
        <f t="shared" si="21"/>
        <v>2017</v>
      </c>
    </row>
    <row r="407" s="5" customFormat="1" ht="13">
      <c r="A407" s="5" t="s">
        <v>44</v>
      </c>
      <c r="B407" s="5" t="s">
        <v>44</v>
      </c>
      <c r="C407" s="5" t="s">
        <v>114</v>
      </c>
      <c r="D407" s="5" t="s">
        <v>21</v>
      </c>
      <c r="E407" s="5" t="s">
        <v>44</v>
      </c>
      <c r="F407" s="5" t="s">
        <v>68</v>
      </c>
      <c r="G407" s="5" t="s">
        <v>75</v>
      </c>
      <c r="H407" s="9" t="s">
        <v>234</v>
      </c>
      <c r="I407" s="10"/>
      <c r="J407" s="10">
        <v>42760</v>
      </c>
      <c r="K407" s="5" t="s">
        <v>77</v>
      </c>
      <c r="L407" s="5" t="s">
        <v>50</v>
      </c>
      <c r="M407" s="11">
        <v>0.12</v>
      </c>
      <c r="N407" s="5" t="e">
        <f>IF(AND(M407&gt;#REF!,Cartera!O407="Guaraníes"),"Rendimiento significativo",IF(AND(M407&gt;#REF!,Cartera!O407="Dólares americanos"),"Rendimiento significativo","Rendimiento no significativo"))</f>
        <v>#REF!</v>
      </c>
      <c r="O407" s="5" t="s">
        <v>51</v>
      </c>
      <c r="P407" s="13">
        <v>486.16437000000002</v>
      </c>
      <c r="Q407" s="12" t="e">
        <f>IF(O407="Guaraníes",P407,P407*#REF!)</f>
        <v>#REF!</v>
      </c>
      <c r="R407" s="12">
        <f>IF(O407="Guaraníes",P407/#REF!,P407)</f>
        <v>486.16437000000002</v>
      </c>
      <c r="S407" s="5" t="s">
        <v>52</v>
      </c>
      <c r="T407" s="5">
        <v>25</v>
      </c>
      <c r="W407" s="5" t="s">
        <v>65</v>
      </c>
      <c r="X407" s="5">
        <v>0</v>
      </c>
      <c r="Y407" s="5">
        <v>0</v>
      </c>
      <c r="Z407" s="5">
        <v>16.205479</v>
      </c>
      <c r="AA407" s="5">
        <v>30</v>
      </c>
      <c r="AB407" s="5">
        <v>486.16437000000002</v>
      </c>
      <c r="AC407" s="5" t="str">
        <f t="shared" si="22"/>
        <v>Bonos</v>
      </c>
      <c r="AD407" s="5" t="s">
        <v>43</v>
      </c>
      <c r="AE407" s="5">
        <f t="shared" si="20"/>
        <v>1</v>
      </c>
      <c r="AF407" s="5">
        <f t="shared" si="21"/>
        <v>2017</v>
      </c>
    </row>
    <row r="408" s="5" customFormat="1" ht="13">
      <c r="A408" s="5" t="s">
        <v>44</v>
      </c>
      <c r="B408" s="5" t="s">
        <v>44</v>
      </c>
      <c r="C408" s="5" t="s">
        <v>99</v>
      </c>
      <c r="D408" s="5" t="s">
        <v>21</v>
      </c>
      <c r="E408" s="5" t="s">
        <v>44</v>
      </c>
      <c r="F408" s="5" t="s">
        <v>100</v>
      </c>
      <c r="G408" s="5" t="s">
        <v>75</v>
      </c>
      <c r="H408" s="9" t="s">
        <v>238</v>
      </c>
      <c r="I408" s="10"/>
      <c r="J408" s="10">
        <v>43679</v>
      </c>
      <c r="K408" s="5" t="s">
        <v>102</v>
      </c>
      <c r="L408" s="5" t="s">
        <v>102</v>
      </c>
      <c r="M408" s="11">
        <v>0.081000000000000003</v>
      </c>
      <c r="N408" s="5" t="e">
        <f>IF(AND(M408&gt;#REF!,Cartera!O408="Guaraníes"),"Rendimiento significativo",IF(AND(M408&gt;#REF!,Cartera!O408="Dólares americanos"),"Rendimiento significativo","Rendimiento no significativo"))</f>
        <v>#REF!</v>
      </c>
      <c r="O408" s="5" t="s">
        <v>41</v>
      </c>
      <c r="P408" s="12">
        <v>4217547.9452400003</v>
      </c>
      <c r="Q408" s="12">
        <f>IF(O408="Guaraníes",P408,P408*#REF!)</f>
        <v>4217547.9452400003</v>
      </c>
      <c r="R408" s="12" t="e">
        <f>IF(O408="Guaraníes",P408/#REF!,P408)</f>
        <v>#REF!</v>
      </c>
      <c r="S408" s="5" t="s">
        <v>52</v>
      </c>
      <c r="T408" s="5">
        <v>25</v>
      </c>
      <c r="W408" s="5" t="s">
        <v>230</v>
      </c>
      <c r="X408" s="5">
        <v>0</v>
      </c>
      <c r="Y408" s="5">
        <v>0</v>
      </c>
      <c r="Z408" s="5">
        <v>40832.876711999997</v>
      </c>
      <c r="AA408" s="5">
        <v>105</v>
      </c>
      <c r="AB408" s="5">
        <v>4287452.0547599997</v>
      </c>
      <c r="AC408" s="5" t="str">
        <f t="shared" si="22"/>
        <v>Bonos</v>
      </c>
      <c r="AD408" s="5" t="s">
        <v>43</v>
      </c>
      <c r="AE408" s="5">
        <f t="shared" si="20"/>
        <v>8</v>
      </c>
      <c r="AF408" s="5">
        <f t="shared" si="21"/>
        <v>2019</v>
      </c>
    </row>
    <row r="409" s="5" customFormat="1" ht="13">
      <c r="A409" s="5" t="s">
        <v>44</v>
      </c>
      <c r="B409" s="5" t="s">
        <v>44</v>
      </c>
      <c r="C409" s="5" t="s">
        <v>114</v>
      </c>
      <c r="D409" s="5" t="s">
        <v>21</v>
      </c>
      <c r="E409" s="5" t="s">
        <v>44</v>
      </c>
      <c r="F409" s="5" t="s">
        <v>68</v>
      </c>
      <c r="G409" s="5" t="s">
        <v>75</v>
      </c>
      <c r="H409" s="9" t="s">
        <v>235</v>
      </c>
      <c r="I409" s="10"/>
      <c r="J409" s="10">
        <v>42768</v>
      </c>
      <c r="K409" s="5" t="s">
        <v>77</v>
      </c>
      <c r="L409" s="5" t="s">
        <v>50</v>
      </c>
      <c r="M409" s="11">
        <v>0.14249999999999999</v>
      </c>
      <c r="N409" s="5" t="e">
        <f>IF(AND(M409&gt;#REF!,Cartera!O409="Guaraníes"),"Rendimiento significativo",IF(AND(M409&gt;#REF!,Cartera!O409="Dólares americanos"),"Rendimiento significativo","Rendimiento no significativo"))</f>
        <v>#REF!</v>
      </c>
      <c r="O409" s="5" t="s">
        <v>41</v>
      </c>
      <c r="P409" s="12">
        <v>183869.86301500001</v>
      </c>
      <c r="Q409" s="12">
        <f>IF(O409="Guaraníes",P409,P409*#REF!)</f>
        <v>183869.86301500001</v>
      </c>
      <c r="R409" s="12" t="e">
        <f>IF(O409="Guaraníes",P409/#REF!,P409)</f>
        <v>#REF!</v>
      </c>
      <c r="S409" s="5" t="s">
        <v>52</v>
      </c>
      <c r="T409" s="5">
        <v>25</v>
      </c>
      <c r="W409" s="5" t="s">
        <v>65</v>
      </c>
      <c r="X409" s="5">
        <v>0</v>
      </c>
      <c r="Y409" s="5">
        <v>0</v>
      </c>
      <c r="Z409" s="5">
        <v>36773.972603000002</v>
      </c>
      <c r="AA409" s="5">
        <v>5</v>
      </c>
      <c r="AB409" s="5">
        <v>183869.86301500001</v>
      </c>
      <c r="AC409" s="5" t="str">
        <f t="shared" si="22"/>
        <v>Bonos</v>
      </c>
      <c r="AD409" s="5" t="s">
        <v>43</v>
      </c>
      <c r="AE409" s="5">
        <f t="shared" si="20"/>
        <v>2</v>
      </c>
      <c r="AF409" s="5">
        <f t="shared" si="21"/>
        <v>2017</v>
      </c>
    </row>
    <row r="410" s="5" customFormat="1" ht="13">
      <c r="A410" s="5" t="s">
        <v>44</v>
      </c>
      <c r="B410" s="5" t="s">
        <v>44</v>
      </c>
      <c r="C410" s="5" t="s">
        <v>114</v>
      </c>
      <c r="D410" s="5" t="s">
        <v>21</v>
      </c>
      <c r="E410" s="5" t="s">
        <v>44</v>
      </c>
      <c r="F410" s="5" t="s">
        <v>68</v>
      </c>
      <c r="G410" s="5" t="s">
        <v>75</v>
      </c>
      <c r="H410" s="9" t="s">
        <v>115</v>
      </c>
      <c r="I410" s="10"/>
      <c r="J410" s="10">
        <v>42768</v>
      </c>
      <c r="K410" s="5" t="s">
        <v>77</v>
      </c>
      <c r="L410" s="5" t="s">
        <v>50</v>
      </c>
      <c r="M410" s="11">
        <v>0.125</v>
      </c>
      <c r="N410" s="5" t="e">
        <f>IF(AND(M410&gt;#REF!,Cartera!O410="Guaraníes"),"Rendimiento significativo",IF(AND(M410&gt;#REF!,Cartera!O410="Dólares americanos"),"Rendimiento significativo","Rendimiento no significativo"))</f>
        <v>#REF!</v>
      </c>
      <c r="O410" s="5" t="s">
        <v>41</v>
      </c>
      <c r="P410" s="12">
        <v>897534.24656999996</v>
      </c>
      <c r="Q410" s="12">
        <f>IF(O410="Guaraníes",P410,P410*#REF!)</f>
        <v>897534.24656999996</v>
      </c>
      <c r="R410" s="12" t="e">
        <f>IF(O410="Guaraníes",P410/#REF!,P410)</f>
        <v>#REF!</v>
      </c>
      <c r="S410" s="5" t="s">
        <v>52</v>
      </c>
      <c r="T410" s="5">
        <v>25</v>
      </c>
      <c r="W410" s="5" t="s">
        <v>65</v>
      </c>
      <c r="X410" s="5">
        <v>0</v>
      </c>
      <c r="Y410" s="5">
        <v>0</v>
      </c>
      <c r="Z410" s="5">
        <v>29917.808218999999</v>
      </c>
      <c r="AA410" s="5">
        <v>30</v>
      </c>
      <c r="AB410" s="5">
        <v>897534.24656999996</v>
      </c>
      <c r="AC410" s="5" t="str">
        <f t="shared" si="22"/>
        <v>Bonos</v>
      </c>
      <c r="AD410" s="5" t="s">
        <v>43</v>
      </c>
      <c r="AE410" s="5">
        <f t="shared" si="20"/>
        <v>2</v>
      </c>
      <c r="AF410" s="5">
        <f t="shared" si="21"/>
        <v>2017</v>
      </c>
    </row>
    <row r="411" s="5" customFormat="1" ht="13">
      <c r="A411" s="5" t="s">
        <v>44</v>
      </c>
      <c r="B411" s="5" t="s">
        <v>44</v>
      </c>
      <c r="C411" s="5" t="s">
        <v>114</v>
      </c>
      <c r="D411" s="5" t="s">
        <v>21</v>
      </c>
      <c r="E411" s="5" t="s">
        <v>44</v>
      </c>
      <c r="F411" s="5" t="s">
        <v>68</v>
      </c>
      <c r="G411" s="5" t="s">
        <v>75</v>
      </c>
      <c r="H411" s="9" t="s">
        <v>170</v>
      </c>
      <c r="I411" s="10"/>
      <c r="J411" s="10">
        <v>42787</v>
      </c>
      <c r="K411" s="5" t="s">
        <v>77</v>
      </c>
      <c r="L411" s="5" t="s">
        <v>50</v>
      </c>
      <c r="M411" s="11">
        <v>0.14000000000000001</v>
      </c>
      <c r="N411" s="5" t="e">
        <f>IF(AND(M411&gt;#REF!,Cartera!O411="Guaraníes"),"Rendimiento significativo",IF(AND(M411&gt;#REF!,Cartera!O411="Dólares americanos"),"Rendimiento significativo","Rendimiento no significativo"))</f>
        <v>#REF!</v>
      </c>
      <c r="O411" s="5" t="s">
        <v>41</v>
      </c>
      <c r="P411" s="12">
        <v>3490410.9589</v>
      </c>
      <c r="Q411" s="12">
        <f>IF(O411="Guaraníes",P411,P411*#REF!)</f>
        <v>3490410.9589</v>
      </c>
      <c r="R411" s="12" t="e">
        <f>IF(O411="Guaraníes",P411/#REF!,P411)</f>
        <v>#REF!</v>
      </c>
      <c r="S411" s="5" t="s">
        <v>52</v>
      </c>
      <c r="T411" s="5">
        <v>25</v>
      </c>
      <c r="W411" s="5" t="s">
        <v>65</v>
      </c>
      <c r="X411" s="5">
        <v>0</v>
      </c>
      <c r="Y411" s="5">
        <v>0</v>
      </c>
      <c r="Z411" s="5">
        <v>34904.109589</v>
      </c>
      <c r="AA411" s="5">
        <v>100</v>
      </c>
      <c r="AB411" s="5">
        <v>3490410.9589</v>
      </c>
      <c r="AC411" s="5" t="str">
        <f t="shared" si="22"/>
        <v>Bonos</v>
      </c>
      <c r="AD411" s="5" t="s">
        <v>43</v>
      </c>
      <c r="AE411" s="5">
        <f t="shared" si="20"/>
        <v>2</v>
      </c>
      <c r="AF411" s="5">
        <f t="shared" si="21"/>
        <v>2017</v>
      </c>
    </row>
    <row r="412" s="5" customFormat="1" ht="13">
      <c r="A412" s="5" t="s">
        <v>44</v>
      </c>
      <c r="B412" s="5" t="s">
        <v>44</v>
      </c>
      <c r="C412" s="5" t="s">
        <v>227</v>
      </c>
      <c r="D412" s="5" t="s">
        <v>21</v>
      </c>
      <c r="E412" s="5" t="s">
        <v>44</v>
      </c>
      <c r="F412" s="5" t="s">
        <v>68</v>
      </c>
      <c r="G412" s="5" t="s">
        <v>75</v>
      </c>
      <c r="H412" s="9" t="s">
        <v>228</v>
      </c>
      <c r="I412" s="10"/>
      <c r="J412" s="10">
        <v>42789</v>
      </c>
      <c r="K412" s="5" t="s">
        <v>77</v>
      </c>
      <c r="L412" s="5" t="s">
        <v>58</v>
      </c>
      <c r="M412" s="11">
        <v>0.1525</v>
      </c>
      <c r="N412" s="5" t="e">
        <f>IF(AND(M412&gt;#REF!,Cartera!O412="Guaraníes"),"Rendimiento significativo",IF(AND(M412&gt;#REF!,Cartera!O412="Dólares americanos"),"Rendimiento significativo","Rendimiento no significativo"))</f>
        <v>#REF!</v>
      </c>
      <c r="O412" s="5" t="s">
        <v>41</v>
      </c>
      <c r="P412" s="12">
        <v>2851541.0958749996</v>
      </c>
      <c r="Q412" s="12">
        <f>IF(O412="Guaraníes",P412,P412*#REF!)</f>
        <v>2851541.0958749996</v>
      </c>
      <c r="R412" s="12" t="e">
        <f>IF(O412="Guaraníes",P412/#REF!,P412)</f>
        <v>#REF!</v>
      </c>
      <c r="S412" s="5" t="s">
        <v>52</v>
      </c>
      <c r="T412" s="5">
        <v>25</v>
      </c>
      <c r="W412" s="5" t="s">
        <v>196</v>
      </c>
      <c r="X412" s="5">
        <v>0</v>
      </c>
      <c r="Y412" s="5">
        <v>0</v>
      </c>
      <c r="Z412" s="5">
        <v>38020.547944999998</v>
      </c>
      <c r="AA412" s="5">
        <v>75</v>
      </c>
      <c r="AB412" s="5">
        <v>2851541.0958750001</v>
      </c>
      <c r="AC412" s="5" t="str">
        <f t="shared" si="22"/>
        <v>Bonos</v>
      </c>
      <c r="AD412" s="5" t="s">
        <v>43</v>
      </c>
      <c r="AE412" s="5">
        <f t="shared" si="20"/>
        <v>2</v>
      </c>
      <c r="AF412" s="5">
        <f t="shared" si="21"/>
        <v>2017</v>
      </c>
    </row>
    <row r="413" s="5" customFormat="1" ht="13">
      <c r="A413" s="5" t="s">
        <v>44</v>
      </c>
      <c r="B413" s="5" t="s">
        <v>44</v>
      </c>
      <c r="C413" s="5" t="s">
        <v>74</v>
      </c>
      <c r="D413" s="5" t="s">
        <v>21</v>
      </c>
      <c r="E413" s="5" t="s">
        <v>44</v>
      </c>
      <c r="F413" s="5" t="s">
        <v>68</v>
      </c>
      <c r="G413" s="5" t="s">
        <v>75</v>
      </c>
      <c r="H413" s="9" t="s">
        <v>231</v>
      </c>
      <c r="I413" s="10"/>
      <c r="J413" s="10">
        <v>42794</v>
      </c>
      <c r="K413" s="5" t="s">
        <v>77</v>
      </c>
      <c r="L413" s="5" t="s">
        <v>58</v>
      </c>
      <c r="M413" s="11">
        <v>0.14000000000000001</v>
      </c>
      <c r="N413" s="5" t="e">
        <f>IF(AND(M413&gt;#REF!,Cartera!O413="Guaraníes"),"Rendimiento significativo",IF(AND(M413&gt;#REF!,Cartera!O413="Dólares americanos"),"Rendimiento significativo","Rendimiento no significativo"))</f>
        <v>#REF!</v>
      </c>
      <c r="O413" s="5" t="s">
        <v>41</v>
      </c>
      <c r="P413" s="12">
        <v>5235616.4383499995</v>
      </c>
      <c r="Q413" s="12">
        <f>IF(O413="Guaraníes",P413,P413*#REF!)</f>
        <v>5235616.4383499995</v>
      </c>
      <c r="R413" s="12" t="e">
        <f>IF(O413="Guaraníes",P413/#REF!,P413)</f>
        <v>#REF!</v>
      </c>
      <c r="S413" s="5" t="s">
        <v>52</v>
      </c>
      <c r="T413" s="5">
        <v>25</v>
      </c>
      <c r="W413" s="5" t="s">
        <v>232</v>
      </c>
      <c r="X413" s="5">
        <v>0</v>
      </c>
      <c r="Y413" s="5">
        <v>0</v>
      </c>
      <c r="Z413" s="5">
        <v>34904.109589</v>
      </c>
      <c r="AA413" s="5">
        <v>150</v>
      </c>
      <c r="AB413" s="5">
        <v>5235616.4383500004</v>
      </c>
      <c r="AC413" s="5" t="str">
        <f t="shared" si="22"/>
        <v>Bonos</v>
      </c>
      <c r="AD413" s="5" t="s">
        <v>43</v>
      </c>
      <c r="AE413" s="5">
        <f t="shared" si="20"/>
        <v>2</v>
      </c>
      <c r="AF413" s="5">
        <f t="shared" si="21"/>
        <v>2017</v>
      </c>
    </row>
    <row r="414" s="5" customFormat="1" ht="13">
      <c r="A414" s="5" t="s">
        <v>44</v>
      </c>
      <c r="B414" s="5" t="s">
        <v>44</v>
      </c>
      <c r="C414" s="5" t="s">
        <v>99</v>
      </c>
      <c r="D414" s="5" t="s">
        <v>21</v>
      </c>
      <c r="E414" s="5" t="s">
        <v>44</v>
      </c>
      <c r="F414" s="5" t="s">
        <v>100</v>
      </c>
      <c r="G414" s="5" t="s">
        <v>75</v>
      </c>
      <c r="H414" s="9" t="s">
        <v>229</v>
      </c>
      <c r="I414" s="10"/>
      <c r="J414" s="10">
        <v>42816</v>
      </c>
      <c r="K414" s="5" t="s">
        <v>102</v>
      </c>
      <c r="L414" s="5" t="s">
        <v>102</v>
      </c>
      <c r="M414" s="11">
        <v>0.089999999999999997</v>
      </c>
      <c r="N414" s="5" t="e">
        <f>IF(AND(M414&gt;#REF!,Cartera!O414="Guaraníes"),"Rendimiento significativo",IF(AND(M414&gt;#REF!,Cartera!O414="Dólares americanos"),"Rendimiento significativo","Rendimiento no significativo"))</f>
        <v>#REF!</v>
      </c>
      <c r="O414" s="5" t="s">
        <v>41</v>
      </c>
      <c r="P414" s="12">
        <v>6025068.4931099992</v>
      </c>
      <c r="Q414" s="12">
        <f>IF(O414="Guaraníes",P414,P414*#REF!)</f>
        <v>6025068.4931099992</v>
      </c>
      <c r="R414" s="12" t="e">
        <f>IF(O414="Guaraníes",P414/#REF!,P414)</f>
        <v>#REF!</v>
      </c>
      <c r="S414" s="5" t="s">
        <v>52</v>
      </c>
      <c r="T414" s="5">
        <v>25</v>
      </c>
      <c r="W414" s="5" t="s">
        <v>233</v>
      </c>
      <c r="X414" s="5">
        <v>0</v>
      </c>
      <c r="Y414" s="5">
        <v>0</v>
      </c>
      <c r="Z414" s="5">
        <v>44630.136985999998</v>
      </c>
      <c r="AA414" s="5">
        <v>135</v>
      </c>
      <c r="AB414" s="5">
        <v>6025068.4931100002</v>
      </c>
      <c r="AC414" s="5" t="str">
        <f t="shared" si="22"/>
        <v>Bonos</v>
      </c>
      <c r="AD414" s="5" t="s">
        <v>43</v>
      </c>
      <c r="AE414" s="5">
        <f t="shared" si="20"/>
        <v>3</v>
      </c>
      <c r="AF414" s="5">
        <f t="shared" si="21"/>
        <v>2017</v>
      </c>
    </row>
    <row r="415" s="5" customFormat="1" ht="13">
      <c r="A415" s="5" t="s">
        <v>44</v>
      </c>
      <c r="B415" s="5" t="s">
        <v>44</v>
      </c>
      <c r="C415" s="5" t="s">
        <v>114</v>
      </c>
      <c r="D415" s="5" t="s">
        <v>21</v>
      </c>
      <c r="E415" s="5" t="s">
        <v>44</v>
      </c>
      <c r="F415" s="5" t="s">
        <v>68</v>
      </c>
      <c r="G415" s="5" t="s">
        <v>75</v>
      </c>
      <c r="H415" s="9" t="s">
        <v>226</v>
      </c>
      <c r="I415" s="10"/>
      <c r="J415" s="10">
        <v>42817</v>
      </c>
      <c r="K415" s="5" t="s">
        <v>77</v>
      </c>
      <c r="L415" s="5" t="s">
        <v>58</v>
      </c>
      <c r="M415" s="11">
        <v>0.14000000000000001</v>
      </c>
      <c r="N415" s="5" t="e">
        <f>IF(AND(M415&gt;#REF!,Cartera!O415="Guaraníes"),"Rendimiento significativo",IF(AND(M415&gt;#REF!,Cartera!O415="Dólares americanos"),"Rendimiento significativo","Rendimiento no significativo"))</f>
        <v>#REF!</v>
      </c>
      <c r="O415" s="5" t="s">
        <v>41</v>
      </c>
      <c r="P415" s="12">
        <v>523561.643835</v>
      </c>
      <c r="Q415" s="12">
        <f>IF(O415="Guaraníes",P415,P415*#REF!)</f>
        <v>523561.643835</v>
      </c>
      <c r="R415" s="12" t="e">
        <f>IF(O415="Guaraníes",P415/#REF!,P415)</f>
        <v>#REF!</v>
      </c>
      <c r="S415" s="5" t="s">
        <v>52</v>
      </c>
      <c r="T415" s="5">
        <v>25</v>
      </c>
      <c r="W415" s="5" t="s">
        <v>65</v>
      </c>
      <c r="X415" s="5">
        <v>0</v>
      </c>
      <c r="Y415" s="5">
        <v>0</v>
      </c>
      <c r="Z415" s="5">
        <v>34904.109589</v>
      </c>
      <c r="AA415" s="5">
        <v>15</v>
      </c>
      <c r="AB415" s="5">
        <v>523561.643835</v>
      </c>
      <c r="AC415" s="5" t="str">
        <f t="shared" si="22"/>
        <v>Bonos</v>
      </c>
      <c r="AD415" s="5" t="s">
        <v>43</v>
      </c>
      <c r="AE415" s="5">
        <f t="shared" ref="AE415:AE478" si="23">IFERROR((MONTH(J415)),0)</f>
        <v>3</v>
      </c>
      <c r="AF415" s="5">
        <f t="shared" ref="AF415:AF478" si="24">IFERROR((YEAR(J415)),0)</f>
        <v>2017</v>
      </c>
    </row>
    <row r="416" s="5" customFormat="1" ht="13">
      <c r="A416" s="5" t="s">
        <v>44</v>
      </c>
      <c r="B416" s="5" t="s">
        <v>44</v>
      </c>
      <c r="C416" s="5" t="s">
        <v>114</v>
      </c>
      <c r="D416" s="5" t="s">
        <v>21</v>
      </c>
      <c r="E416" s="5" t="s">
        <v>44</v>
      </c>
      <c r="F416" s="5" t="s">
        <v>68</v>
      </c>
      <c r="G416" s="5" t="s">
        <v>75</v>
      </c>
      <c r="H416" s="9" t="s">
        <v>236</v>
      </c>
      <c r="I416" s="10"/>
      <c r="J416" s="10">
        <v>42817</v>
      </c>
      <c r="K416" s="5" t="s">
        <v>77</v>
      </c>
      <c r="L416" s="5" t="s">
        <v>50</v>
      </c>
      <c r="M416" s="11">
        <v>0.14749999999999999</v>
      </c>
      <c r="N416" s="5" t="e">
        <f>IF(AND(M416&gt;#REF!,Cartera!O416="Guaraníes"),"Rendimiento significativo",IF(AND(M416&gt;#REF!,Cartera!O416="Dólares americanos"),"Rendimiento significativo","Rendimiento no significativo"))</f>
        <v>#REF!</v>
      </c>
      <c r="O416" s="5" t="s">
        <v>41</v>
      </c>
      <c r="P416" s="12">
        <v>112191.780822</v>
      </c>
      <c r="Q416" s="12">
        <f>IF(O416="Guaraníes",P416,P416*#REF!)</f>
        <v>112191.780822</v>
      </c>
      <c r="R416" s="12" t="e">
        <f>IF(O416="Guaraníes",P416/#REF!,P416)</f>
        <v>#REF!</v>
      </c>
      <c r="S416" s="5" t="s">
        <v>52</v>
      </c>
      <c r="T416" s="5">
        <v>25</v>
      </c>
      <c r="W416" s="5" t="s">
        <v>65</v>
      </c>
      <c r="X416" s="5">
        <v>0</v>
      </c>
      <c r="Y416" s="5">
        <v>0</v>
      </c>
      <c r="Z416" s="5">
        <v>37397.260274</v>
      </c>
      <c r="AA416" s="5">
        <v>3</v>
      </c>
      <c r="AB416" s="5">
        <v>112191.780822</v>
      </c>
      <c r="AC416" s="5" t="str">
        <f t="shared" si="22"/>
        <v>Bonos</v>
      </c>
      <c r="AD416" s="5" t="s">
        <v>43</v>
      </c>
      <c r="AE416" s="5">
        <f t="shared" si="23"/>
        <v>3</v>
      </c>
      <c r="AF416" s="5">
        <f t="shared" si="24"/>
        <v>2017</v>
      </c>
    </row>
    <row r="417" s="5" customFormat="1" ht="13">
      <c r="A417" s="5" t="s">
        <v>44</v>
      </c>
      <c r="B417" s="5" t="s">
        <v>44</v>
      </c>
      <c r="C417" s="5" t="s">
        <v>114</v>
      </c>
      <c r="D417" s="5" t="s">
        <v>21</v>
      </c>
      <c r="E417" s="5" t="s">
        <v>44</v>
      </c>
      <c r="F417" s="5" t="s">
        <v>68</v>
      </c>
      <c r="G417" s="5" t="s">
        <v>75</v>
      </c>
      <c r="H417" s="9" t="s">
        <v>237</v>
      </c>
      <c r="I417" s="10"/>
      <c r="J417" s="10">
        <v>42829</v>
      </c>
      <c r="K417" s="5" t="s">
        <v>77</v>
      </c>
      <c r="L417" s="5" t="s">
        <v>50</v>
      </c>
      <c r="M417" s="11">
        <v>0.13750000000000001</v>
      </c>
      <c r="N417" s="5" t="e">
        <f>IF(AND(M417&gt;#REF!,Cartera!O417="Guaraníes"),"Rendimiento significativo",IF(AND(M417&gt;#REF!,Cartera!O417="Dólares americanos"),"Rendimiento significativo","Rendimiento no significativo"))</f>
        <v>#REF!</v>
      </c>
      <c r="O417" s="5" t="s">
        <v>41</v>
      </c>
      <c r="P417" s="12">
        <v>685616.43836000003</v>
      </c>
      <c r="Q417" s="12">
        <f>IF(O417="Guaraníes",P417,P417*#REF!)</f>
        <v>685616.43836000003</v>
      </c>
      <c r="R417" s="12" t="e">
        <f>IF(O417="Guaraníes",P417/#REF!,P417)</f>
        <v>#REF!</v>
      </c>
      <c r="S417" s="5" t="s">
        <v>52</v>
      </c>
      <c r="T417" s="5">
        <v>25</v>
      </c>
      <c r="W417" s="5" t="s">
        <v>65</v>
      </c>
      <c r="X417" s="5">
        <v>0</v>
      </c>
      <c r="Y417" s="5">
        <v>0</v>
      </c>
      <c r="Z417" s="5">
        <v>34280.821918000001</v>
      </c>
      <c r="AA417" s="5">
        <v>20</v>
      </c>
      <c r="AB417" s="5">
        <v>685616.43836000003</v>
      </c>
      <c r="AC417" s="5" t="str">
        <f t="shared" si="22"/>
        <v>Bonos</v>
      </c>
      <c r="AD417" s="5" t="s">
        <v>43</v>
      </c>
      <c r="AE417" s="5">
        <f t="shared" si="23"/>
        <v>4</v>
      </c>
      <c r="AF417" s="5">
        <f t="shared" si="24"/>
        <v>2017</v>
      </c>
    </row>
    <row r="418" s="5" customFormat="1" ht="13">
      <c r="A418" s="5" t="s">
        <v>44</v>
      </c>
      <c r="B418" s="5" t="s">
        <v>44</v>
      </c>
      <c r="C418" s="5" t="s">
        <v>114</v>
      </c>
      <c r="D418" s="5" t="s">
        <v>21</v>
      </c>
      <c r="E418" s="5" t="s">
        <v>44</v>
      </c>
      <c r="F418" s="5" t="s">
        <v>68</v>
      </c>
      <c r="G418" s="5" t="s">
        <v>75</v>
      </c>
      <c r="H418" s="9" t="s">
        <v>234</v>
      </c>
      <c r="I418" s="10"/>
      <c r="J418" s="10">
        <v>42851</v>
      </c>
      <c r="K418" s="5" t="s">
        <v>77</v>
      </c>
      <c r="L418" s="5" t="s">
        <v>50</v>
      </c>
      <c r="M418" s="11">
        <v>0.12</v>
      </c>
      <c r="N418" s="5" t="e">
        <f>IF(AND(M418&gt;#REF!,Cartera!O418="Guaraníes"),"Rendimiento significativo",IF(AND(M418&gt;#REF!,Cartera!O418="Dólares americanos"),"Rendimiento significativo","Rendimiento no significativo"))</f>
        <v>#REF!</v>
      </c>
      <c r="O418" s="5" t="s">
        <v>51</v>
      </c>
      <c r="P418" s="13">
        <v>486.16437000000002</v>
      </c>
      <c r="Q418" s="12" t="e">
        <f>IF(O418="Guaraníes",P418,P418*#REF!)</f>
        <v>#REF!</v>
      </c>
      <c r="R418" s="12">
        <f>IF(O418="Guaraníes",P418/#REF!,P418)</f>
        <v>486.16437000000002</v>
      </c>
      <c r="S418" s="5" t="s">
        <v>52</v>
      </c>
      <c r="T418" s="5">
        <v>25</v>
      </c>
      <c r="W418" s="5" t="s">
        <v>65</v>
      </c>
      <c r="X418" s="5">
        <v>0</v>
      </c>
      <c r="Y418" s="5">
        <v>0</v>
      </c>
      <c r="Z418" s="5">
        <v>16.205479</v>
      </c>
      <c r="AA418" s="5">
        <v>30</v>
      </c>
      <c r="AB418" s="5">
        <v>486.16437000000002</v>
      </c>
      <c r="AC418" s="5" t="str">
        <f t="shared" si="22"/>
        <v>Bonos</v>
      </c>
      <c r="AD418" s="5" t="s">
        <v>43</v>
      </c>
      <c r="AE418" s="5">
        <f t="shared" si="23"/>
        <v>4</v>
      </c>
      <c r="AF418" s="5">
        <f t="shared" si="24"/>
        <v>2017</v>
      </c>
    </row>
    <row r="419" s="5" customFormat="1" ht="13">
      <c r="A419" s="5" t="s">
        <v>44</v>
      </c>
      <c r="B419" s="5" t="s">
        <v>44</v>
      </c>
      <c r="C419" s="5" t="s">
        <v>114</v>
      </c>
      <c r="D419" s="5" t="s">
        <v>21</v>
      </c>
      <c r="E419" s="5" t="s">
        <v>44</v>
      </c>
      <c r="F419" s="5" t="s">
        <v>68</v>
      </c>
      <c r="G419" s="5" t="s">
        <v>75</v>
      </c>
      <c r="H419" s="9" t="s">
        <v>235</v>
      </c>
      <c r="I419" s="10"/>
      <c r="J419" s="10">
        <v>42859</v>
      </c>
      <c r="K419" s="5" t="s">
        <v>77</v>
      </c>
      <c r="L419" s="5" t="s">
        <v>50</v>
      </c>
      <c r="M419" s="11">
        <v>0.14249999999999999</v>
      </c>
      <c r="N419" s="5" t="e">
        <f>IF(AND(M419&gt;#REF!,Cartera!O419="Guaraníes"),"Rendimiento significativo",IF(AND(M419&gt;#REF!,Cartera!O419="Dólares americanos"),"Rendimiento significativo","Rendimiento no significativo"))</f>
        <v>#REF!</v>
      </c>
      <c r="O419" s="5" t="s">
        <v>41</v>
      </c>
      <c r="P419" s="12">
        <v>183869.86301500001</v>
      </c>
      <c r="Q419" s="12">
        <f>IF(O419="Guaraníes",P419,P419*#REF!)</f>
        <v>183869.86301500001</v>
      </c>
      <c r="R419" s="12" t="e">
        <f>IF(O419="Guaraníes",P419/#REF!,P419)</f>
        <v>#REF!</v>
      </c>
      <c r="S419" s="5" t="s">
        <v>52</v>
      </c>
      <c r="T419" s="5">
        <v>25</v>
      </c>
      <c r="W419" s="5" t="s">
        <v>65</v>
      </c>
      <c r="X419" s="5">
        <v>0</v>
      </c>
      <c r="Y419" s="5">
        <v>0</v>
      </c>
      <c r="Z419" s="5">
        <v>36773.972603000002</v>
      </c>
      <c r="AA419" s="5">
        <v>5</v>
      </c>
      <c r="AB419" s="5">
        <v>183869.86301500001</v>
      </c>
      <c r="AC419" s="5" t="str">
        <f t="shared" si="22"/>
        <v>Bonos</v>
      </c>
      <c r="AD419" s="5" t="s">
        <v>43</v>
      </c>
      <c r="AE419" s="5">
        <f t="shared" si="23"/>
        <v>5</v>
      </c>
      <c r="AF419" s="5">
        <f t="shared" si="24"/>
        <v>2017</v>
      </c>
    </row>
    <row r="420" s="5" customFormat="1" ht="13">
      <c r="A420" s="5" t="s">
        <v>44</v>
      </c>
      <c r="B420" s="5" t="s">
        <v>44</v>
      </c>
      <c r="C420" s="5" t="s">
        <v>114</v>
      </c>
      <c r="D420" s="5" t="s">
        <v>21</v>
      </c>
      <c r="E420" s="5" t="s">
        <v>44</v>
      </c>
      <c r="F420" s="5" t="s">
        <v>68</v>
      </c>
      <c r="G420" s="5" t="s">
        <v>75</v>
      </c>
      <c r="H420" s="9" t="s">
        <v>115</v>
      </c>
      <c r="I420" s="10"/>
      <c r="J420" s="10">
        <v>42859</v>
      </c>
      <c r="K420" s="5" t="s">
        <v>77</v>
      </c>
      <c r="L420" s="5" t="s">
        <v>50</v>
      </c>
      <c r="M420" s="11">
        <v>0.125</v>
      </c>
      <c r="N420" s="5" t="e">
        <f>IF(AND(M420&gt;#REF!,Cartera!O420="Guaraníes"),"Rendimiento significativo",IF(AND(M420&gt;#REF!,Cartera!O420="Dólares americanos"),"Rendimiento significativo","Rendimiento no significativo"))</f>
        <v>#REF!</v>
      </c>
      <c r="O420" s="5" t="s">
        <v>41</v>
      </c>
      <c r="P420" s="12">
        <v>897534.24656999996</v>
      </c>
      <c r="Q420" s="12">
        <f>IF(O420="Guaraníes",P420,P420*#REF!)</f>
        <v>897534.24656999996</v>
      </c>
      <c r="R420" s="12" t="e">
        <f>IF(O420="Guaraníes",P420/#REF!,P420)</f>
        <v>#REF!</v>
      </c>
      <c r="S420" s="5" t="s">
        <v>52</v>
      </c>
      <c r="T420" s="5">
        <v>25</v>
      </c>
      <c r="W420" s="5" t="s">
        <v>65</v>
      </c>
      <c r="X420" s="5">
        <v>0</v>
      </c>
      <c r="Y420" s="5">
        <v>0</v>
      </c>
      <c r="Z420" s="5">
        <v>29917.808218999999</v>
      </c>
      <c r="AA420" s="5">
        <v>30</v>
      </c>
      <c r="AB420" s="5">
        <v>897534.24656999996</v>
      </c>
      <c r="AC420" s="5" t="str">
        <f t="shared" si="22"/>
        <v>Bonos</v>
      </c>
      <c r="AD420" s="5" t="s">
        <v>43</v>
      </c>
      <c r="AE420" s="5">
        <f t="shared" si="23"/>
        <v>5</v>
      </c>
      <c r="AF420" s="5">
        <f t="shared" si="24"/>
        <v>2017</v>
      </c>
    </row>
    <row r="421" s="5" customFormat="1" ht="13">
      <c r="A421" s="5" t="s">
        <v>44</v>
      </c>
      <c r="B421" s="5" t="s">
        <v>44</v>
      </c>
      <c r="C421" s="5" t="s">
        <v>114</v>
      </c>
      <c r="D421" s="5" t="s">
        <v>21</v>
      </c>
      <c r="E421" s="5" t="s">
        <v>44</v>
      </c>
      <c r="F421" s="5" t="s">
        <v>68</v>
      </c>
      <c r="G421" s="5" t="s">
        <v>75</v>
      </c>
      <c r="H421" s="9" t="s">
        <v>170</v>
      </c>
      <c r="I421" s="10"/>
      <c r="J421" s="10">
        <v>42878</v>
      </c>
      <c r="K421" s="5" t="s">
        <v>77</v>
      </c>
      <c r="L421" s="5" t="s">
        <v>50</v>
      </c>
      <c r="M421" s="11">
        <v>0.14000000000000001</v>
      </c>
      <c r="N421" s="5" t="e">
        <f>IF(AND(M421&gt;#REF!,Cartera!O421="Guaraníes"),"Rendimiento significativo",IF(AND(M421&gt;#REF!,Cartera!O421="Dólares americanos"),"Rendimiento significativo","Rendimiento no significativo"))</f>
        <v>#REF!</v>
      </c>
      <c r="O421" s="5" t="s">
        <v>41</v>
      </c>
      <c r="P421" s="12">
        <v>3490410.9589</v>
      </c>
      <c r="Q421" s="12">
        <f>IF(O421="Guaraníes",P421,P421*#REF!)</f>
        <v>3490410.9589</v>
      </c>
      <c r="R421" s="12" t="e">
        <f>IF(O421="Guaraníes",P421/#REF!,P421)</f>
        <v>#REF!</v>
      </c>
      <c r="S421" s="5" t="s">
        <v>52</v>
      </c>
      <c r="T421" s="5">
        <v>25</v>
      </c>
      <c r="W421" s="5" t="s">
        <v>65</v>
      </c>
      <c r="X421" s="5">
        <v>0</v>
      </c>
      <c r="Y421" s="5">
        <v>0</v>
      </c>
      <c r="Z421" s="5">
        <v>34904.109589</v>
      </c>
      <c r="AA421" s="5">
        <v>100</v>
      </c>
      <c r="AB421" s="5">
        <v>3490410.9589</v>
      </c>
      <c r="AC421" s="5" t="str">
        <f t="shared" si="22"/>
        <v>Bonos</v>
      </c>
      <c r="AD421" s="5" t="s">
        <v>43</v>
      </c>
      <c r="AE421" s="5">
        <f t="shared" si="23"/>
        <v>5</v>
      </c>
      <c r="AF421" s="5">
        <f t="shared" si="24"/>
        <v>2017</v>
      </c>
    </row>
    <row r="422" s="5" customFormat="1" ht="13">
      <c r="A422" s="5" t="s">
        <v>44</v>
      </c>
      <c r="B422" s="5" t="s">
        <v>44</v>
      </c>
      <c r="C422" s="5" t="s">
        <v>227</v>
      </c>
      <c r="D422" s="5" t="s">
        <v>21</v>
      </c>
      <c r="E422" s="5" t="s">
        <v>44</v>
      </c>
      <c r="F422" s="5" t="s">
        <v>68</v>
      </c>
      <c r="G422" s="5" t="s">
        <v>75</v>
      </c>
      <c r="H422" s="9" t="s">
        <v>228</v>
      </c>
      <c r="I422" s="10"/>
      <c r="J422" s="10">
        <v>42880</v>
      </c>
      <c r="K422" s="5" t="s">
        <v>77</v>
      </c>
      <c r="L422" s="5" t="s">
        <v>58</v>
      </c>
      <c r="M422" s="11">
        <v>0.1525</v>
      </c>
      <c r="N422" s="5" t="e">
        <f>IF(AND(M422&gt;#REF!,Cartera!O422="Guaraníes"),"Rendimiento significativo",IF(AND(M422&gt;#REF!,Cartera!O422="Dólares americanos"),"Rendimiento significativo","Rendimiento no significativo"))</f>
        <v>#REF!</v>
      </c>
      <c r="O422" s="5" t="s">
        <v>41</v>
      </c>
      <c r="P422" s="12">
        <v>2851541.0958749996</v>
      </c>
      <c r="Q422" s="12">
        <f>IF(O422="Guaraníes",P422,P422*#REF!)</f>
        <v>2851541.0958749996</v>
      </c>
      <c r="R422" s="12" t="e">
        <f>IF(O422="Guaraníes",P422/#REF!,P422)</f>
        <v>#REF!</v>
      </c>
      <c r="S422" s="5" t="s">
        <v>52</v>
      </c>
      <c r="T422" s="5">
        <v>25</v>
      </c>
      <c r="W422" s="5" t="s">
        <v>196</v>
      </c>
      <c r="X422" s="5">
        <v>0</v>
      </c>
      <c r="Y422" s="5">
        <v>0</v>
      </c>
      <c r="Z422" s="5">
        <v>38020.547944999998</v>
      </c>
      <c r="AA422" s="5">
        <v>75</v>
      </c>
      <c r="AB422" s="5">
        <v>2851541.0958750001</v>
      </c>
      <c r="AC422" s="5" t="str">
        <f t="shared" si="22"/>
        <v>Bonos</v>
      </c>
      <c r="AD422" s="5" t="s">
        <v>43</v>
      </c>
      <c r="AE422" s="5">
        <f t="shared" si="23"/>
        <v>5</v>
      </c>
      <c r="AF422" s="5">
        <f t="shared" si="24"/>
        <v>2017</v>
      </c>
    </row>
    <row r="423" s="5" customFormat="1" ht="13">
      <c r="A423" s="5" t="s">
        <v>44</v>
      </c>
      <c r="B423" s="5" t="s">
        <v>44</v>
      </c>
      <c r="C423" s="5" t="s">
        <v>74</v>
      </c>
      <c r="D423" s="5" t="s">
        <v>21</v>
      </c>
      <c r="E423" s="5" t="s">
        <v>44</v>
      </c>
      <c r="F423" s="5" t="s">
        <v>68</v>
      </c>
      <c r="G423" s="5" t="s">
        <v>75</v>
      </c>
      <c r="H423" s="9" t="s">
        <v>231</v>
      </c>
      <c r="I423" s="10"/>
      <c r="J423" s="10">
        <v>42885</v>
      </c>
      <c r="K423" s="5" t="s">
        <v>77</v>
      </c>
      <c r="L423" s="5" t="s">
        <v>58</v>
      </c>
      <c r="M423" s="11">
        <v>0.14000000000000001</v>
      </c>
      <c r="N423" s="5" t="e">
        <f>IF(AND(M423&gt;#REF!,Cartera!O423="Guaraníes"),"Rendimiento significativo",IF(AND(M423&gt;#REF!,Cartera!O423="Dólares americanos"),"Rendimiento significativo","Rendimiento no significativo"))</f>
        <v>#REF!</v>
      </c>
      <c r="O423" s="5" t="s">
        <v>41</v>
      </c>
      <c r="P423" s="12">
        <v>5235616.4383499995</v>
      </c>
      <c r="Q423" s="12">
        <f>IF(O423="Guaraníes",P423,P423*#REF!)</f>
        <v>5235616.4383499995</v>
      </c>
      <c r="R423" s="12" t="e">
        <f>IF(O423="Guaraníes",P423/#REF!,P423)</f>
        <v>#REF!</v>
      </c>
      <c r="S423" s="5" t="s">
        <v>52</v>
      </c>
      <c r="T423" s="5">
        <v>25</v>
      </c>
      <c r="W423" s="5" t="s">
        <v>232</v>
      </c>
      <c r="X423" s="5">
        <v>0</v>
      </c>
      <c r="Y423" s="5">
        <v>0</v>
      </c>
      <c r="Z423" s="5">
        <v>34904.109589</v>
      </c>
      <c r="AA423" s="5">
        <v>150</v>
      </c>
      <c r="AB423" s="5">
        <v>5235616.4383500004</v>
      </c>
      <c r="AC423" s="5" t="str">
        <f t="shared" si="22"/>
        <v>Bonos</v>
      </c>
      <c r="AD423" s="5" t="s">
        <v>43</v>
      </c>
      <c r="AE423" s="5">
        <f t="shared" si="23"/>
        <v>5</v>
      </c>
      <c r="AF423" s="5">
        <f t="shared" si="24"/>
        <v>2017</v>
      </c>
    </row>
    <row r="424" s="5" customFormat="1" ht="13">
      <c r="A424" s="5" t="s">
        <v>44</v>
      </c>
      <c r="B424" s="5" t="s">
        <v>44</v>
      </c>
      <c r="C424" s="5" t="s">
        <v>114</v>
      </c>
      <c r="D424" s="5" t="s">
        <v>21</v>
      </c>
      <c r="E424" s="5" t="s">
        <v>44</v>
      </c>
      <c r="F424" s="5" t="s">
        <v>68</v>
      </c>
      <c r="G424" s="5" t="s">
        <v>75</v>
      </c>
      <c r="H424" s="9" t="s">
        <v>226</v>
      </c>
      <c r="I424" s="10"/>
      <c r="J424" s="10">
        <v>42908</v>
      </c>
      <c r="K424" s="5" t="s">
        <v>77</v>
      </c>
      <c r="L424" s="5" t="s">
        <v>58</v>
      </c>
      <c r="M424" s="11">
        <v>0.14000000000000001</v>
      </c>
      <c r="N424" s="5" t="e">
        <f>IF(AND(M424&gt;#REF!,Cartera!O424="Guaraníes"),"Rendimiento significativo",IF(AND(M424&gt;#REF!,Cartera!O424="Dólares americanos"),"Rendimiento significativo","Rendimiento no significativo"))</f>
        <v>#REF!</v>
      </c>
      <c r="O424" s="5" t="s">
        <v>41</v>
      </c>
      <c r="P424" s="12">
        <v>523561.643835</v>
      </c>
      <c r="Q424" s="12">
        <f>IF(O424="Guaraníes",P424,P424*#REF!)</f>
        <v>523561.643835</v>
      </c>
      <c r="R424" s="12" t="e">
        <f>IF(O424="Guaraníes",P424/#REF!,P424)</f>
        <v>#REF!</v>
      </c>
      <c r="S424" s="5" t="s">
        <v>52</v>
      </c>
      <c r="T424" s="5">
        <v>25</v>
      </c>
      <c r="W424" s="5" t="s">
        <v>65</v>
      </c>
      <c r="X424" s="5">
        <v>0</v>
      </c>
      <c r="Y424" s="5">
        <v>0</v>
      </c>
      <c r="Z424" s="5">
        <v>34904.109589</v>
      </c>
      <c r="AA424" s="5">
        <v>15</v>
      </c>
      <c r="AB424" s="5">
        <v>523561.643835</v>
      </c>
      <c r="AC424" s="5" t="str">
        <f t="shared" si="22"/>
        <v>Bonos</v>
      </c>
      <c r="AD424" s="5" t="s">
        <v>43</v>
      </c>
      <c r="AE424" s="5">
        <f t="shared" si="23"/>
        <v>6</v>
      </c>
      <c r="AF424" s="5">
        <f t="shared" si="24"/>
        <v>2017</v>
      </c>
    </row>
    <row r="425" s="5" customFormat="1" ht="13">
      <c r="A425" s="5" t="s">
        <v>44</v>
      </c>
      <c r="B425" s="5" t="s">
        <v>44</v>
      </c>
      <c r="C425" s="5" t="s">
        <v>114</v>
      </c>
      <c r="D425" s="5" t="s">
        <v>21</v>
      </c>
      <c r="E425" s="5" t="s">
        <v>44</v>
      </c>
      <c r="F425" s="5" t="s">
        <v>68</v>
      </c>
      <c r="G425" s="5" t="s">
        <v>75</v>
      </c>
      <c r="H425" s="9" t="s">
        <v>236</v>
      </c>
      <c r="I425" s="10"/>
      <c r="J425" s="10">
        <v>42908</v>
      </c>
      <c r="K425" s="5" t="s">
        <v>77</v>
      </c>
      <c r="L425" s="5" t="s">
        <v>50</v>
      </c>
      <c r="M425" s="11">
        <v>0.14749999999999999</v>
      </c>
      <c r="N425" s="5" t="e">
        <f>IF(AND(M425&gt;#REF!,Cartera!O425="Guaraníes"),"Rendimiento significativo",IF(AND(M425&gt;#REF!,Cartera!O425="Dólares americanos"),"Rendimiento significativo","Rendimiento no significativo"))</f>
        <v>#REF!</v>
      </c>
      <c r="O425" s="5" t="s">
        <v>41</v>
      </c>
      <c r="P425" s="12">
        <v>112191.780822</v>
      </c>
      <c r="Q425" s="12">
        <f>IF(O425="Guaraníes",P425,P425*#REF!)</f>
        <v>112191.780822</v>
      </c>
      <c r="R425" s="12" t="e">
        <f>IF(O425="Guaraníes",P425/#REF!,P425)</f>
        <v>#REF!</v>
      </c>
      <c r="S425" s="5" t="s">
        <v>52</v>
      </c>
      <c r="T425" s="5">
        <v>25</v>
      </c>
      <c r="W425" s="5" t="s">
        <v>65</v>
      </c>
      <c r="X425" s="5">
        <v>0</v>
      </c>
      <c r="Y425" s="5">
        <v>0</v>
      </c>
      <c r="Z425" s="5">
        <v>37397.260274</v>
      </c>
      <c r="AA425" s="5">
        <v>3</v>
      </c>
      <c r="AB425" s="5">
        <v>112191.780822</v>
      </c>
      <c r="AC425" s="5" t="str">
        <f t="shared" si="22"/>
        <v>Bonos</v>
      </c>
      <c r="AD425" s="5" t="s">
        <v>43</v>
      </c>
      <c r="AE425" s="5">
        <f t="shared" si="23"/>
        <v>6</v>
      </c>
      <c r="AF425" s="5">
        <f t="shared" si="24"/>
        <v>2017</v>
      </c>
    </row>
    <row r="426" s="5" customFormat="1" ht="13">
      <c r="A426" s="5" t="s">
        <v>44</v>
      </c>
      <c r="B426" s="5" t="s">
        <v>44</v>
      </c>
      <c r="C426" s="5" t="s">
        <v>114</v>
      </c>
      <c r="D426" s="5" t="s">
        <v>21</v>
      </c>
      <c r="E426" s="5" t="s">
        <v>44</v>
      </c>
      <c r="F426" s="5" t="s">
        <v>68</v>
      </c>
      <c r="G426" s="5" t="s">
        <v>75</v>
      </c>
      <c r="H426" s="9" t="s">
        <v>237</v>
      </c>
      <c r="I426" s="10"/>
      <c r="J426" s="10">
        <v>42920</v>
      </c>
      <c r="K426" s="5" t="s">
        <v>77</v>
      </c>
      <c r="L426" s="5" t="s">
        <v>50</v>
      </c>
      <c r="M426" s="11">
        <v>0.13750000000000001</v>
      </c>
      <c r="N426" s="5" t="e">
        <f>IF(AND(M426&gt;#REF!,Cartera!O426="Guaraníes"),"Rendimiento significativo",IF(AND(M426&gt;#REF!,Cartera!O426="Dólares americanos"),"Rendimiento significativo","Rendimiento no significativo"))</f>
        <v>#REF!</v>
      </c>
      <c r="O426" s="5" t="s">
        <v>41</v>
      </c>
      <c r="P426" s="12">
        <v>685616.43836000003</v>
      </c>
      <c r="Q426" s="12">
        <f>IF(O426="Guaraníes",P426,P426*#REF!)</f>
        <v>685616.43836000003</v>
      </c>
      <c r="R426" s="12" t="e">
        <f>IF(O426="Guaraníes",P426/#REF!,P426)</f>
        <v>#REF!</v>
      </c>
      <c r="S426" s="5" t="s">
        <v>52</v>
      </c>
      <c r="T426" s="5">
        <v>25</v>
      </c>
      <c r="W426" s="5" t="s">
        <v>65</v>
      </c>
      <c r="X426" s="5">
        <v>0</v>
      </c>
      <c r="Y426" s="5">
        <v>0</v>
      </c>
      <c r="Z426" s="5">
        <v>34280.821918000001</v>
      </c>
      <c r="AA426" s="5">
        <v>20</v>
      </c>
      <c r="AB426" s="5">
        <v>685616.43836000003</v>
      </c>
      <c r="AC426" s="5" t="str">
        <f t="shared" si="22"/>
        <v>Bonos</v>
      </c>
      <c r="AD426" s="5" t="s">
        <v>43</v>
      </c>
      <c r="AE426" s="5">
        <f t="shared" si="23"/>
        <v>7</v>
      </c>
      <c r="AF426" s="5">
        <f t="shared" si="24"/>
        <v>2017</v>
      </c>
    </row>
    <row r="427" s="5" customFormat="1" ht="13">
      <c r="A427" s="5" t="s">
        <v>44</v>
      </c>
      <c r="B427" s="5" t="s">
        <v>44</v>
      </c>
      <c r="C427" s="5" t="s">
        <v>114</v>
      </c>
      <c r="D427" s="5" t="s">
        <v>21</v>
      </c>
      <c r="E427" s="5" t="s">
        <v>44</v>
      </c>
      <c r="F427" s="5" t="s">
        <v>68</v>
      </c>
      <c r="G427" s="5" t="s">
        <v>75</v>
      </c>
      <c r="H427" s="9" t="s">
        <v>234</v>
      </c>
      <c r="I427" s="10"/>
      <c r="J427" s="10">
        <v>42942</v>
      </c>
      <c r="K427" s="5" t="s">
        <v>77</v>
      </c>
      <c r="L427" s="5" t="s">
        <v>50</v>
      </c>
      <c r="M427" s="11">
        <v>0.12</v>
      </c>
      <c r="N427" s="5" t="e">
        <f>IF(AND(M427&gt;#REF!,Cartera!O427="Guaraníes"),"Rendimiento significativo",IF(AND(M427&gt;#REF!,Cartera!O427="Dólares americanos"),"Rendimiento significativo","Rendimiento no significativo"))</f>
        <v>#REF!</v>
      </c>
      <c r="O427" s="5" t="s">
        <v>51</v>
      </c>
      <c r="P427" s="13">
        <v>486.16437000000002</v>
      </c>
      <c r="Q427" s="12" t="e">
        <f>IF(O427="Guaraníes",P427,P427*#REF!)</f>
        <v>#REF!</v>
      </c>
      <c r="R427" s="12">
        <f>IF(O427="Guaraníes",P427/#REF!,P427)</f>
        <v>486.16437000000002</v>
      </c>
      <c r="S427" s="5" t="s">
        <v>52</v>
      </c>
      <c r="T427" s="5">
        <v>25</v>
      </c>
      <c r="W427" s="5" t="s">
        <v>65</v>
      </c>
      <c r="X427" s="5">
        <v>0</v>
      </c>
      <c r="Y427" s="5">
        <v>0</v>
      </c>
      <c r="Z427" s="5">
        <v>16.205479</v>
      </c>
      <c r="AA427" s="5">
        <v>30</v>
      </c>
      <c r="AB427" s="5">
        <v>486.16437000000002</v>
      </c>
      <c r="AC427" s="5" t="str">
        <f t="shared" si="22"/>
        <v>Bonos</v>
      </c>
      <c r="AD427" s="5" t="s">
        <v>43</v>
      </c>
      <c r="AE427" s="5">
        <f t="shared" si="23"/>
        <v>7</v>
      </c>
      <c r="AF427" s="5">
        <f t="shared" si="24"/>
        <v>2017</v>
      </c>
    </row>
    <row r="428" s="5" customFormat="1" ht="13">
      <c r="A428" s="5" t="s">
        <v>44</v>
      </c>
      <c r="B428" s="5" t="s">
        <v>44</v>
      </c>
      <c r="C428" s="5" t="s">
        <v>99</v>
      </c>
      <c r="D428" s="5" t="s">
        <v>21</v>
      </c>
      <c r="E428" s="5" t="s">
        <v>44</v>
      </c>
      <c r="F428" s="5" t="s">
        <v>100</v>
      </c>
      <c r="G428" s="5" t="s">
        <v>75</v>
      </c>
      <c r="H428" s="9" t="s">
        <v>238</v>
      </c>
      <c r="I428" s="10"/>
      <c r="J428" s="10">
        <v>43863</v>
      </c>
      <c r="K428" s="5" t="s">
        <v>102</v>
      </c>
      <c r="L428" s="5" t="s">
        <v>102</v>
      </c>
      <c r="M428" s="11">
        <v>0.081000000000000003</v>
      </c>
      <c r="N428" s="5" t="e">
        <f>IF(AND(M428&gt;#REF!,Cartera!O428="Guaraníes"),"Rendimiento significativo",IF(AND(M428&gt;#REF!,Cartera!O428="Dólares americanos"),"Rendimiento significativo","Rendimiento no significativo"))</f>
        <v>#REF!</v>
      </c>
      <c r="O428" s="5" t="s">
        <v>41</v>
      </c>
      <c r="P428" s="12">
        <v>4287452.0547599997</v>
      </c>
      <c r="Q428" s="12">
        <f>IF(O428="Guaraníes",P428,P428*#REF!)</f>
        <v>4287452.0547599997</v>
      </c>
      <c r="R428" s="12" t="e">
        <f>IF(O428="Guaraníes",P428/#REF!,P428)</f>
        <v>#REF!</v>
      </c>
      <c r="S428" s="5" t="s">
        <v>52</v>
      </c>
      <c r="T428" s="5">
        <v>25</v>
      </c>
      <c r="W428" s="5" t="s">
        <v>230</v>
      </c>
      <c r="X428" s="5">
        <v>0</v>
      </c>
      <c r="Y428" s="5">
        <v>0</v>
      </c>
      <c r="Z428" s="5">
        <v>40167.123288000003</v>
      </c>
      <c r="AA428" s="5">
        <v>105</v>
      </c>
      <c r="AB428" s="5">
        <v>4217547.9452400003</v>
      </c>
      <c r="AC428" s="5" t="str">
        <f t="shared" si="22"/>
        <v>Bonos</v>
      </c>
      <c r="AD428" s="5" t="s">
        <v>43</v>
      </c>
      <c r="AE428" s="5">
        <f t="shared" si="23"/>
        <v>2</v>
      </c>
      <c r="AF428" s="5">
        <f t="shared" si="24"/>
        <v>2020</v>
      </c>
    </row>
    <row r="429" s="5" customFormat="1" ht="13">
      <c r="A429" s="5" t="s">
        <v>44</v>
      </c>
      <c r="B429" s="5" t="s">
        <v>44</v>
      </c>
      <c r="C429" s="5" t="s">
        <v>114</v>
      </c>
      <c r="D429" s="5" t="s">
        <v>21</v>
      </c>
      <c r="E429" s="5" t="s">
        <v>44</v>
      </c>
      <c r="F429" s="5" t="s">
        <v>68</v>
      </c>
      <c r="G429" s="5" t="s">
        <v>75</v>
      </c>
      <c r="H429" s="9" t="s">
        <v>235</v>
      </c>
      <c r="I429" s="10"/>
      <c r="J429" s="10">
        <v>42950</v>
      </c>
      <c r="K429" s="5" t="s">
        <v>77</v>
      </c>
      <c r="L429" s="5" t="s">
        <v>50</v>
      </c>
      <c r="M429" s="11">
        <v>0.14249999999999999</v>
      </c>
      <c r="N429" s="5" t="e">
        <f>IF(AND(M429&gt;#REF!,Cartera!O429="Guaraníes"),"Rendimiento significativo",IF(AND(M429&gt;#REF!,Cartera!O429="Dólares americanos"),"Rendimiento significativo","Rendimiento no significativo"))</f>
        <v>#REF!</v>
      </c>
      <c r="O429" s="5" t="s">
        <v>41</v>
      </c>
      <c r="P429" s="12">
        <v>183869.86301500001</v>
      </c>
      <c r="Q429" s="12">
        <f>IF(O429="Guaraníes",P429,P429*#REF!)</f>
        <v>183869.86301500001</v>
      </c>
      <c r="R429" s="12" t="e">
        <f>IF(O429="Guaraníes",P429/#REF!,P429)</f>
        <v>#REF!</v>
      </c>
      <c r="S429" s="5" t="s">
        <v>52</v>
      </c>
      <c r="T429" s="5">
        <v>25</v>
      </c>
      <c r="W429" s="5" t="s">
        <v>65</v>
      </c>
      <c r="X429" s="5">
        <v>0</v>
      </c>
      <c r="Y429" s="5">
        <v>0</v>
      </c>
      <c r="Z429" s="5">
        <v>36773.972603000002</v>
      </c>
      <c r="AA429" s="5">
        <v>5</v>
      </c>
      <c r="AB429" s="5">
        <v>183869.86301500001</v>
      </c>
      <c r="AC429" s="5" t="str">
        <f t="shared" si="22"/>
        <v>Bonos</v>
      </c>
      <c r="AD429" s="5" t="s">
        <v>43</v>
      </c>
      <c r="AE429" s="5">
        <f t="shared" si="23"/>
        <v>8</v>
      </c>
      <c r="AF429" s="5">
        <f t="shared" si="24"/>
        <v>2017</v>
      </c>
    </row>
    <row r="430" s="5" customFormat="1" ht="13">
      <c r="A430" s="5" t="s">
        <v>44</v>
      </c>
      <c r="B430" s="5" t="s">
        <v>44</v>
      </c>
      <c r="C430" s="5" t="s">
        <v>114</v>
      </c>
      <c r="D430" s="5" t="s">
        <v>21</v>
      </c>
      <c r="E430" s="5" t="s">
        <v>44</v>
      </c>
      <c r="F430" s="5" t="s">
        <v>68</v>
      </c>
      <c r="G430" s="5" t="s">
        <v>75</v>
      </c>
      <c r="H430" s="9" t="s">
        <v>115</v>
      </c>
      <c r="I430" s="10"/>
      <c r="J430" s="10">
        <v>42950</v>
      </c>
      <c r="K430" s="5" t="s">
        <v>77</v>
      </c>
      <c r="L430" s="5" t="s">
        <v>50</v>
      </c>
      <c r="M430" s="11">
        <v>0.125</v>
      </c>
      <c r="N430" s="5" t="e">
        <f>IF(AND(M430&gt;#REF!,Cartera!O430="Guaraníes"),"Rendimiento significativo",IF(AND(M430&gt;#REF!,Cartera!O430="Dólares americanos"),"Rendimiento significativo","Rendimiento no significativo"))</f>
        <v>#REF!</v>
      </c>
      <c r="O430" s="5" t="s">
        <v>41</v>
      </c>
      <c r="P430" s="12">
        <v>897534.24656999996</v>
      </c>
      <c r="Q430" s="12">
        <f>IF(O430="Guaraníes",P430,P430*#REF!)</f>
        <v>897534.24656999996</v>
      </c>
      <c r="R430" s="12" t="e">
        <f>IF(O430="Guaraníes",P430/#REF!,P430)</f>
        <v>#REF!</v>
      </c>
      <c r="S430" s="5" t="s">
        <v>52</v>
      </c>
      <c r="T430" s="5">
        <v>25</v>
      </c>
      <c r="W430" s="5" t="s">
        <v>65</v>
      </c>
      <c r="X430" s="5">
        <v>0</v>
      </c>
      <c r="Y430" s="5">
        <v>0</v>
      </c>
      <c r="Z430" s="5">
        <v>29917.808218999999</v>
      </c>
      <c r="AA430" s="5">
        <v>30</v>
      </c>
      <c r="AB430" s="5">
        <v>897534.24656999996</v>
      </c>
      <c r="AC430" s="5" t="str">
        <f t="shared" si="22"/>
        <v>Bonos</v>
      </c>
      <c r="AD430" s="5" t="s">
        <v>43</v>
      </c>
      <c r="AE430" s="5">
        <f t="shared" si="23"/>
        <v>8</v>
      </c>
      <c r="AF430" s="5">
        <f t="shared" si="24"/>
        <v>2017</v>
      </c>
    </row>
    <row r="431" s="5" customFormat="1" ht="13">
      <c r="A431" s="5" t="s">
        <v>44</v>
      </c>
      <c r="B431" s="5" t="s">
        <v>44</v>
      </c>
      <c r="C431" s="5" t="s">
        <v>114</v>
      </c>
      <c r="D431" s="5" t="s">
        <v>21</v>
      </c>
      <c r="E431" s="5" t="s">
        <v>44</v>
      </c>
      <c r="F431" s="5" t="s">
        <v>68</v>
      </c>
      <c r="G431" s="5" t="s">
        <v>75</v>
      </c>
      <c r="H431" s="9" t="s">
        <v>170</v>
      </c>
      <c r="I431" s="10"/>
      <c r="J431" s="10">
        <v>42969</v>
      </c>
      <c r="K431" s="5" t="s">
        <v>77</v>
      </c>
      <c r="L431" s="5" t="s">
        <v>50</v>
      </c>
      <c r="M431" s="11">
        <v>0.14000000000000001</v>
      </c>
      <c r="N431" s="5" t="e">
        <f>IF(AND(M431&gt;#REF!,Cartera!O431="Guaraníes"),"Rendimiento significativo",IF(AND(M431&gt;#REF!,Cartera!O431="Dólares americanos"),"Rendimiento significativo","Rendimiento no significativo"))</f>
        <v>#REF!</v>
      </c>
      <c r="O431" s="5" t="s">
        <v>41</v>
      </c>
      <c r="P431" s="12">
        <v>3490410.9589</v>
      </c>
      <c r="Q431" s="12">
        <f>IF(O431="Guaraníes",P431,P431*#REF!)</f>
        <v>3490410.9589</v>
      </c>
      <c r="R431" s="12" t="e">
        <f>IF(O431="Guaraníes",P431/#REF!,P431)</f>
        <v>#REF!</v>
      </c>
      <c r="S431" s="5" t="s">
        <v>52</v>
      </c>
      <c r="T431" s="5">
        <v>25</v>
      </c>
      <c r="W431" s="5" t="s">
        <v>65</v>
      </c>
      <c r="X431" s="5">
        <v>0</v>
      </c>
      <c r="Y431" s="5">
        <v>0</v>
      </c>
      <c r="Z431" s="5">
        <v>34904.109589</v>
      </c>
      <c r="AA431" s="5">
        <v>100</v>
      </c>
      <c r="AB431" s="5">
        <v>3490410.9589</v>
      </c>
      <c r="AC431" s="5" t="str">
        <f t="shared" si="22"/>
        <v>Bonos</v>
      </c>
      <c r="AD431" s="5" t="s">
        <v>43</v>
      </c>
      <c r="AE431" s="5">
        <f t="shared" si="23"/>
        <v>8</v>
      </c>
      <c r="AF431" s="5">
        <f t="shared" si="24"/>
        <v>2017</v>
      </c>
    </row>
    <row r="432" s="5" customFormat="1" ht="13">
      <c r="A432" s="5" t="s">
        <v>44</v>
      </c>
      <c r="B432" s="5" t="s">
        <v>44</v>
      </c>
      <c r="C432" s="5" t="s">
        <v>227</v>
      </c>
      <c r="D432" s="5" t="s">
        <v>21</v>
      </c>
      <c r="E432" s="5" t="s">
        <v>44</v>
      </c>
      <c r="F432" s="5" t="s">
        <v>68</v>
      </c>
      <c r="G432" s="5" t="s">
        <v>75</v>
      </c>
      <c r="H432" s="9" t="s">
        <v>228</v>
      </c>
      <c r="I432" s="10"/>
      <c r="J432" s="10">
        <v>42971</v>
      </c>
      <c r="K432" s="5" t="s">
        <v>77</v>
      </c>
      <c r="L432" s="5" t="s">
        <v>58</v>
      </c>
      <c r="M432" s="11">
        <v>0.1525</v>
      </c>
      <c r="N432" s="5" t="e">
        <f>IF(AND(M432&gt;#REF!,Cartera!O432="Guaraníes"),"Rendimiento significativo",IF(AND(M432&gt;#REF!,Cartera!O432="Dólares americanos"),"Rendimiento significativo","Rendimiento no significativo"))</f>
        <v>#REF!</v>
      </c>
      <c r="O432" s="5" t="s">
        <v>41</v>
      </c>
      <c r="P432" s="12">
        <v>2851541.0958749996</v>
      </c>
      <c r="Q432" s="12">
        <f>IF(O432="Guaraníes",P432,P432*#REF!)</f>
        <v>2851541.0958749996</v>
      </c>
      <c r="R432" s="12" t="e">
        <f>IF(O432="Guaraníes",P432/#REF!,P432)</f>
        <v>#REF!</v>
      </c>
      <c r="S432" s="5" t="s">
        <v>52</v>
      </c>
      <c r="T432" s="5">
        <v>25</v>
      </c>
      <c r="W432" s="5" t="s">
        <v>196</v>
      </c>
      <c r="X432" s="5">
        <v>0</v>
      </c>
      <c r="Y432" s="5">
        <v>0</v>
      </c>
      <c r="Z432" s="5">
        <v>38020.547944999998</v>
      </c>
      <c r="AA432" s="5">
        <v>75</v>
      </c>
      <c r="AB432" s="5">
        <v>2851541.0958750001</v>
      </c>
      <c r="AC432" s="5" t="str">
        <f t="shared" si="22"/>
        <v>Bonos</v>
      </c>
      <c r="AD432" s="5" t="s">
        <v>43</v>
      </c>
      <c r="AE432" s="5">
        <f t="shared" si="23"/>
        <v>8</v>
      </c>
      <c r="AF432" s="5">
        <f t="shared" si="24"/>
        <v>2017</v>
      </c>
    </row>
    <row r="433" s="5" customFormat="1" ht="13">
      <c r="A433" s="5" t="s">
        <v>44</v>
      </c>
      <c r="B433" s="5" t="s">
        <v>44</v>
      </c>
      <c r="C433" s="5" t="s">
        <v>74</v>
      </c>
      <c r="D433" s="5" t="s">
        <v>21</v>
      </c>
      <c r="E433" s="5" t="s">
        <v>44</v>
      </c>
      <c r="F433" s="5" t="s">
        <v>68</v>
      </c>
      <c r="G433" s="5" t="s">
        <v>75</v>
      </c>
      <c r="H433" s="9" t="s">
        <v>231</v>
      </c>
      <c r="I433" s="10"/>
      <c r="J433" s="10">
        <v>42976</v>
      </c>
      <c r="K433" s="5" t="s">
        <v>77</v>
      </c>
      <c r="L433" s="5" t="s">
        <v>58</v>
      </c>
      <c r="M433" s="11">
        <v>0.14000000000000001</v>
      </c>
      <c r="N433" s="5" t="e">
        <f>IF(AND(M433&gt;#REF!,Cartera!O433="Guaraníes"),"Rendimiento significativo",IF(AND(M433&gt;#REF!,Cartera!O433="Dólares americanos"),"Rendimiento significativo","Rendimiento no significativo"))</f>
        <v>#REF!</v>
      </c>
      <c r="O433" s="5" t="s">
        <v>41</v>
      </c>
      <c r="P433" s="12">
        <v>5235616.4383499995</v>
      </c>
      <c r="Q433" s="12">
        <f>IF(O433="Guaraníes",P433,P433*#REF!)</f>
        <v>5235616.4383499995</v>
      </c>
      <c r="R433" s="12" t="e">
        <f>IF(O433="Guaraníes",P433/#REF!,P433)</f>
        <v>#REF!</v>
      </c>
      <c r="S433" s="5" t="s">
        <v>52</v>
      </c>
      <c r="T433" s="5">
        <v>25</v>
      </c>
      <c r="W433" s="5" t="s">
        <v>232</v>
      </c>
      <c r="X433" s="5">
        <v>0</v>
      </c>
      <c r="Y433" s="5">
        <v>0</v>
      </c>
      <c r="Z433" s="5">
        <v>34904.109589</v>
      </c>
      <c r="AA433" s="5">
        <v>150</v>
      </c>
      <c r="AB433" s="5">
        <v>5235616.4383500004</v>
      </c>
      <c r="AC433" s="5" t="str">
        <f t="shared" si="22"/>
        <v>Bonos</v>
      </c>
      <c r="AD433" s="5" t="s">
        <v>43</v>
      </c>
      <c r="AE433" s="5">
        <f t="shared" si="23"/>
        <v>8</v>
      </c>
      <c r="AF433" s="5">
        <f t="shared" si="24"/>
        <v>2017</v>
      </c>
    </row>
    <row r="434" s="5" customFormat="1" ht="13">
      <c r="A434" s="5" t="s">
        <v>44</v>
      </c>
      <c r="B434" s="5" t="s">
        <v>44</v>
      </c>
      <c r="C434" s="5" t="s">
        <v>114</v>
      </c>
      <c r="D434" s="5" t="s">
        <v>21</v>
      </c>
      <c r="E434" s="5" t="s">
        <v>44</v>
      </c>
      <c r="F434" s="5" t="s">
        <v>68</v>
      </c>
      <c r="G434" s="5" t="s">
        <v>75</v>
      </c>
      <c r="H434" s="9" t="s">
        <v>226</v>
      </c>
      <c r="I434" s="10"/>
      <c r="J434" s="10">
        <v>42999</v>
      </c>
      <c r="K434" s="5" t="s">
        <v>77</v>
      </c>
      <c r="L434" s="5" t="s">
        <v>58</v>
      </c>
      <c r="M434" s="11">
        <v>0.14000000000000001</v>
      </c>
      <c r="N434" s="5" t="e">
        <f>IF(AND(M434&gt;#REF!,Cartera!O434="Guaraníes"),"Rendimiento significativo",IF(AND(M434&gt;#REF!,Cartera!O434="Dólares americanos"),"Rendimiento significativo","Rendimiento no significativo"))</f>
        <v>#REF!</v>
      </c>
      <c r="O434" s="5" t="s">
        <v>41</v>
      </c>
      <c r="P434" s="12">
        <v>523561.643835</v>
      </c>
      <c r="Q434" s="12">
        <f>IF(O434="Guaraníes",P434,P434*#REF!)</f>
        <v>523561.643835</v>
      </c>
      <c r="R434" s="12" t="e">
        <f>IF(O434="Guaraníes",P434/#REF!,P434)</f>
        <v>#REF!</v>
      </c>
      <c r="S434" s="5" t="s">
        <v>52</v>
      </c>
      <c r="T434" s="5">
        <v>25</v>
      </c>
      <c r="W434" s="5" t="s">
        <v>65</v>
      </c>
      <c r="X434" s="5">
        <v>0</v>
      </c>
      <c r="Y434" s="5">
        <v>0</v>
      </c>
      <c r="Z434" s="5">
        <v>34904.109589</v>
      </c>
      <c r="AA434" s="5">
        <v>15</v>
      </c>
      <c r="AB434" s="5">
        <v>523561.643835</v>
      </c>
      <c r="AC434" s="5" t="str">
        <f t="shared" si="22"/>
        <v>Bonos</v>
      </c>
      <c r="AD434" s="5" t="s">
        <v>43</v>
      </c>
      <c r="AE434" s="5">
        <f t="shared" si="23"/>
        <v>9</v>
      </c>
      <c r="AF434" s="5">
        <f t="shared" si="24"/>
        <v>2017</v>
      </c>
    </row>
    <row r="435" s="5" customFormat="1" ht="13">
      <c r="A435" s="5" t="s">
        <v>44</v>
      </c>
      <c r="B435" s="5" t="s">
        <v>44</v>
      </c>
      <c r="C435" s="5" t="s">
        <v>114</v>
      </c>
      <c r="D435" s="5" t="s">
        <v>21</v>
      </c>
      <c r="E435" s="5" t="s">
        <v>44</v>
      </c>
      <c r="F435" s="5" t="s">
        <v>68</v>
      </c>
      <c r="G435" s="5" t="s">
        <v>75</v>
      </c>
      <c r="H435" s="9" t="s">
        <v>236</v>
      </c>
      <c r="I435" s="10"/>
      <c r="J435" s="10">
        <v>42999</v>
      </c>
      <c r="K435" s="5" t="s">
        <v>77</v>
      </c>
      <c r="L435" s="5" t="s">
        <v>50</v>
      </c>
      <c r="M435" s="11">
        <v>0.14749999999999999</v>
      </c>
      <c r="N435" s="5" t="e">
        <f>IF(AND(M435&gt;#REF!,Cartera!O435="Guaraníes"),"Rendimiento significativo",IF(AND(M435&gt;#REF!,Cartera!O435="Dólares americanos"),"Rendimiento significativo","Rendimiento no significativo"))</f>
        <v>#REF!</v>
      </c>
      <c r="O435" s="5" t="s">
        <v>41</v>
      </c>
      <c r="P435" s="12">
        <v>112191.780822</v>
      </c>
      <c r="Q435" s="12">
        <f>IF(O435="Guaraníes",P435,P435*#REF!)</f>
        <v>112191.780822</v>
      </c>
      <c r="R435" s="12" t="e">
        <f>IF(O435="Guaraníes",P435/#REF!,P435)</f>
        <v>#REF!</v>
      </c>
      <c r="S435" s="5" t="s">
        <v>52</v>
      </c>
      <c r="T435" s="5">
        <v>25</v>
      </c>
      <c r="W435" s="5" t="s">
        <v>65</v>
      </c>
      <c r="X435" s="5">
        <v>0</v>
      </c>
      <c r="Y435" s="5">
        <v>0</v>
      </c>
      <c r="Z435" s="5">
        <v>37397.260274</v>
      </c>
      <c r="AA435" s="5">
        <v>3</v>
      </c>
      <c r="AB435" s="5">
        <v>112191.780822</v>
      </c>
      <c r="AC435" s="5" t="str">
        <f t="shared" si="22"/>
        <v>Bonos</v>
      </c>
      <c r="AD435" s="5" t="s">
        <v>43</v>
      </c>
      <c r="AE435" s="5">
        <f t="shared" si="23"/>
        <v>9</v>
      </c>
      <c r="AF435" s="5">
        <f t="shared" si="24"/>
        <v>2017</v>
      </c>
    </row>
    <row r="436" s="5" customFormat="1" ht="13">
      <c r="A436" s="5" t="s">
        <v>44</v>
      </c>
      <c r="B436" s="5" t="s">
        <v>44</v>
      </c>
      <c r="C436" s="5" t="s">
        <v>99</v>
      </c>
      <c r="D436" s="5" t="s">
        <v>21</v>
      </c>
      <c r="E436" s="5" t="s">
        <v>44</v>
      </c>
      <c r="F436" s="5" t="s">
        <v>100</v>
      </c>
      <c r="G436" s="5" t="s">
        <v>75</v>
      </c>
      <c r="H436" s="9" t="s">
        <v>229</v>
      </c>
      <c r="I436" s="10"/>
      <c r="J436" s="10">
        <v>43000</v>
      </c>
      <c r="K436" s="5" t="s">
        <v>102</v>
      </c>
      <c r="L436" s="5" t="s">
        <v>102</v>
      </c>
      <c r="M436" s="11">
        <v>0.089999999999999997</v>
      </c>
      <c r="N436" s="5" t="e">
        <f>IF(AND(M436&gt;#REF!,Cartera!O436="Guaraníes"),"Rendimiento significativo",IF(AND(M436&gt;#REF!,Cartera!O436="Dólares americanos"),"Rendimiento significativo","Rendimiento no significativo"))</f>
        <v>#REF!</v>
      </c>
      <c r="O436" s="5" t="s">
        <v>41</v>
      </c>
      <c r="P436" s="12">
        <v>6124931.5068900008</v>
      </c>
      <c r="Q436" s="12">
        <f>IF(O436="Guaraníes",P436,P436*#REF!)</f>
        <v>6124931.5068900008</v>
      </c>
      <c r="R436" s="12" t="e">
        <f>IF(O436="Guaraníes",P436/#REF!,P436)</f>
        <v>#REF!</v>
      </c>
      <c r="S436" s="5" t="s">
        <v>52</v>
      </c>
      <c r="T436" s="5">
        <v>25</v>
      </c>
      <c r="W436" s="5" t="s">
        <v>230</v>
      </c>
      <c r="X436" s="5">
        <v>0</v>
      </c>
      <c r="Y436" s="5">
        <v>0</v>
      </c>
      <c r="Z436" s="5">
        <v>45369.863014000002</v>
      </c>
      <c r="AA436" s="5">
        <v>135</v>
      </c>
      <c r="AB436" s="5">
        <v>6124931.5068899998</v>
      </c>
      <c r="AC436" s="5" t="str">
        <f t="shared" si="22"/>
        <v>Bonos</v>
      </c>
      <c r="AD436" s="5" t="s">
        <v>43</v>
      </c>
      <c r="AE436" s="5">
        <f t="shared" si="23"/>
        <v>9</v>
      </c>
      <c r="AF436" s="5">
        <f t="shared" si="24"/>
        <v>2017</v>
      </c>
    </row>
    <row r="437" s="5" customFormat="1" ht="13">
      <c r="A437" s="5" t="s">
        <v>44</v>
      </c>
      <c r="B437" s="5" t="s">
        <v>44</v>
      </c>
      <c r="C437" s="5" t="s">
        <v>114</v>
      </c>
      <c r="D437" s="5" t="s">
        <v>21</v>
      </c>
      <c r="E437" s="5" t="s">
        <v>44</v>
      </c>
      <c r="F437" s="5" t="s">
        <v>68</v>
      </c>
      <c r="G437" s="5" t="s">
        <v>75</v>
      </c>
      <c r="H437" s="9" t="s">
        <v>237</v>
      </c>
      <c r="I437" s="10"/>
      <c r="J437" s="10">
        <v>43011</v>
      </c>
      <c r="K437" s="5" t="s">
        <v>77</v>
      </c>
      <c r="L437" s="5" t="s">
        <v>50</v>
      </c>
      <c r="M437" s="11">
        <v>0.13750000000000001</v>
      </c>
      <c r="N437" s="5" t="e">
        <f>IF(AND(M437&gt;#REF!,Cartera!O437="Guaraníes"),"Rendimiento significativo",IF(AND(M437&gt;#REF!,Cartera!O437="Dólares americanos"),"Rendimiento significativo","Rendimiento no significativo"))</f>
        <v>#REF!</v>
      </c>
      <c r="O437" s="5" t="s">
        <v>41</v>
      </c>
      <c r="P437" s="12">
        <v>685616.43836000003</v>
      </c>
      <c r="Q437" s="12">
        <f>IF(O437="Guaraníes",P437,P437*#REF!)</f>
        <v>685616.43836000003</v>
      </c>
      <c r="R437" s="12" t="e">
        <f>IF(O437="Guaraníes",P437/#REF!,P437)</f>
        <v>#REF!</v>
      </c>
      <c r="S437" s="5" t="s">
        <v>52</v>
      </c>
      <c r="T437" s="5">
        <v>25</v>
      </c>
      <c r="W437" s="5" t="s">
        <v>65</v>
      </c>
      <c r="X437" s="5">
        <v>0</v>
      </c>
      <c r="Y437" s="5">
        <v>0</v>
      </c>
      <c r="Z437" s="5">
        <v>34280.821918000001</v>
      </c>
      <c r="AA437" s="5">
        <v>20</v>
      </c>
      <c r="AB437" s="5">
        <v>685616.43836000003</v>
      </c>
      <c r="AC437" s="5" t="str">
        <f t="shared" si="22"/>
        <v>Bonos</v>
      </c>
      <c r="AD437" s="5" t="s">
        <v>43</v>
      </c>
      <c r="AE437" s="5">
        <f t="shared" si="23"/>
        <v>10</v>
      </c>
      <c r="AF437" s="5">
        <f t="shared" si="24"/>
        <v>2017</v>
      </c>
    </row>
    <row r="438" s="5" customFormat="1" ht="13">
      <c r="A438" s="5" t="s">
        <v>44</v>
      </c>
      <c r="B438" s="5" t="s">
        <v>44</v>
      </c>
      <c r="C438" s="5" t="s">
        <v>156</v>
      </c>
      <c r="D438" s="5" t="s">
        <v>21</v>
      </c>
      <c r="E438" s="5" t="s">
        <v>44</v>
      </c>
      <c r="F438" s="5" t="s">
        <v>68</v>
      </c>
      <c r="G438" s="5" t="s">
        <v>75</v>
      </c>
      <c r="H438" s="9" t="s">
        <v>157</v>
      </c>
      <c r="I438" s="10"/>
      <c r="J438" s="10">
        <v>43025</v>
      </c>
      <c r="K438" s="5" t="s">
        <v>158</v>
      </c>
      <c r="L438" s="5" t="s">
        <v>58</v>
      </c>
      <c r="M438" s="11">
        <v>0.16</v>
      </c>
      <c r="N438" s="5" t="e">
        <f>IF(AND(M438&gt;#REF!,Cartera!O438="Guaraníes"),"Rendimiento significativo",IF(AND(M438&gt;#REF!,Cartera!O438="Dólares americanos"),"Rendimiento significativo","Rendimiento no significativo"))</f>
        <v>#REF!</v>
      </c>
      <c r="O438" s="5" t="s">
        <v>41</v>
      </c>
      <c r="P438" s="12">
        <v>4188493.15068</v>
      </c>
      <c r="Q438" s="12">
        <f>IF(O438="Guaraníes",P438,P438*#REF!)</f>
        <v>4188493.15068</v>
      </c>
      <c r="R438" s="12" t="e">
        <f>IF(O438="Guaraníes",P438/#REF!,P438)</f>
        <v>#REF!</v>
      </c>
      <c r="S438" s="5" t="s">
        <v>52</v>
      </c>
      <c r="T438" s="5">
        <v>25</v>
      </c>
      <c r="W438" s="5" t="s">
        <v>53</v>
      </c>
      <c r="X438" s="5">
        <v>0</v>
      </c>
      <c r="Y438" s="5">
        <v>0</v>
      </c>
      <c r="Z438" s="5">
        <v>34904.109589</v>
      </c>
      <c r="AA438" s="5">
        <v>120</v>
      </c>
      <c r="AB438" s="5">
        <v>4188493.15068</v>
      </c>
      <c r="AC438" s="5" t="str">
        <f t="shared" si="22"/>
        <v>Bonos</v>
      </c>
      <c r="AD438" s="5" t="s">
        <v>43</v>
      </c>
      <c r="AE438" s="5">
        <f t="shared" si="23"/>
        <v>10</v>
      </c>
      <c r="AF438" s="5">
        <f t="shared" si="24"/>
        <v>2017</v>
      </c>
    </row>
    <row r="439" s="5" customFormat="1" ht="13">
      <c r="A439" s="5" t="s">
        <v>44</v>
      </c>
      <c r="B439" s="5" t="s">
        <v>44</v>
      </c>
      <c r="C439" s="5" t="s">
        <v>114</v>
      </c>
      <c r="D439" s="5" t="s">
        <v>21</v>
      </c>
      <c r="E439" s="5" t="s">
        <v>44</v>
      </c>
      <c r="F439" s="5" t="s">
        <v>68</v>
      </c>
      <c r="G439" s="5" t="s">
        <v>75</v>
      </c>
      <c r="H439" s="9" t="s">
        <v>234</v>
      </c>
      <c r="I439" s="10"/>
      <c r="J439" s="10">
        <v>43033</v>
      </c>
      <c r="K439" s="5" t="s">
        <v>77</v>
      </c>
      <c r="L439" s="5" t="s">
        <v>50</v>
      </c>
      <c r="M439" s="11">
        <v>0.12</v>
      </c>
      <c r="N439" s="5" t="e">
        <f>IF(AND(M439&gt;#REF!,Cartera!O439="Guaraníes"),"Rendimiento significativo",IF(AND(M439&gt;#REF!,Cartera!O439="Dólares americanos"),"Rendimiento significativo","Rendimiento no significativo"))</f>
        <v>#REF!</v>
      </c>
      <c r="O439" s="5" t="s">
        <v>51</v>
      </c>
      <c r="P439" s="13">
        <v>486.16437000000002</v>
      </c>
      <c r="Q439" s="12" t="e">
        <f>IF(O439="Guaraníes",P439,P439*#REF!)</f>
        <v>#REF!</v>
      </c>
      <c r="R439" s="12">
        <f>IF(O439="Guaraníes",P439/#REF!,P439)</f>
        <v>486.16437000000002</v>
      </c>
      <c r="S439" s="5" t="s">
        <v>52</v>
      </c>
      <c r="T439" s="5">
        <v>25</v>
      </c>
      <c r="W439" s="5" t="s">
        <v>65</v>
      </c>
      <c r="X439" s="5">
        <v>0</v>
      </c>
      <c r="Y439" s="5">
        <v>0</v>
      </c>
      <c r="Z439" s="5">
        <v>16.205479</v>
      </c>
      <c r="AA439" s="5">
        <v>30</v>
      </c>
      <c r="AB439" s="5">
        <v>486.16437000000002</v>
      </c>
      <c r="AC439" s="5" t="str">
        <f t="shared" si="22"/>
        <v>Bonos</v>
      </c>
      <c r="AD439" s="5" t="s">
        <v>43</v>
      </c>
      <c r="AE439" s="5">
        <f t="shared" si="23"/>
        <v>10</v>
      </c>
      <c r="AF439" s="5">
        <f t="shared" si="24"/>
        <v>2017</v>
      </c>
    </row>
    <row r="440" s="5" customFormat="1" ht="13">
      <c r="A440" s="5" t="s">
        <v>44</v>
      </c>
      <c r="B440" s="5" t="s">
        <v>44</v>
      </c>
      <c r="C440" s="5" t="s">
        <v>114</v>
      </c>
      <c r="D440" s="5" t="s">
        <v>21</v>
      </c>
      <c r="E440" s="5" t="s">
        <v>44</v>
      </c>
      <c r="F440" s="5" t="s">
        <v>68</v>
      </c>
      <c r="G440" s="5" t="s">
        <v>75</v>
      </c>
      <c r="H440" s="9" t="s">
        <v>235</v>
      </c>
      <c r="I440" s="10"/>
      <c r="J440" s="10">
        <v>43041</v>
      </c>
      <c r="K440" s="5" t="s">
        <v>77</v>
      </c>
      <c r="L440" s="5" t="s">
        <v>50</v>
      </c>
      <c r="M440" s="11">
        <v>0.14249999999999999</v>
      </c>
      <c r="N440" s="5" t="e">
        <f>IF(AND(M440&gt;#REF!,Cartera!O440="Guaraníes"),"Rendimiento significativo",IF(AND(M440&gt;#REF!,Cartera!O440="Dólares americanos"),"Rendimiento significativo","Rendimiento no significativo"))</f>
        <v>#REF!</v>
      </c>
      <c r="O440" s="5" t="s">
        <v>41</v>
      </c>
      <c r="P440" s="12">
        <v>183869.86301500001</v>
      </c>
      <c r="Q440" s="12">
        <f>IF(O440="Guaraníes",P440,P440*#REF!)</f>
        <v>183869.86301500001</v>
      </c>
      <c r="R440" s="12" t="e">
        <f>IF(O440="Guaraníes",P440/#REF!,P440)</f>
        <v>#REF!</v>
      </c>
      <c r="S440" s="5" t="s">
        <v>52</v>
      </c>
      <c r="T440" s="5">
        <v>25</v>
      </c>
      <c r="W440" s="5" t="s">
        <v>65</v>
      </c>
      <c r="X440" s="5">
        <v>0</v>
      </c>
      <c r="Y440" s="5">
        <v>0</v>
      </c>
      <c r="Z440" s="5">
        <v>36773.972603000002</v>
      </c>
      <c r="AA440" s="5">
        <v>5</v>
      </c>
      <c r="AB440" s="5">
        <v>183869.86301500001</v>
      </c>
      <c r="AC440" s="5" t="str">
        <f t="shared" si="22"/>
        <v>Bonos</v>
      </c>
      <c r="AD440" s="5" t="s">
        <v>43</v>
      </c>
      <c r="AE440" s="5">
        <f t="shared" si="23"/>
        <v>11</v>
      </c>
      <c r="AF440" s="5">
        <f t="shared" si="24"/>
        <v>2017</v>
      </c>
    </row>
    <row r="441" s="5" customFormat="1" ht="13">
      <c r="A441" s="5" t="s">
        <v>44</v>
      </c>
      <c r="B441" s="5" t="s">
        <v>44</v>
      </c>
      <c r="C441" s="5" t="s">
        <v>114</v>
      </c>
      <c r="D441" s="5" t="s">
        <v>21</v>
      </c>
      <c r="E441" s="5" t="s">
        <v>44</v>
      </c>
      <c r="F441" s="5" t="s">
        <v>68</v>
      </c>
      <c r="G441" s="5" t="s">
        <v>75</v>
      </c>
      <c r="H441" s="9" t="s">
        <v>115</v>
      </c>
      <c r="I441" s="10"/>
      <c r="J441" s="10">
        <v>43041</v>
      </c>
      <c r="K441" s="5" t="s">
        <v>77</v>
      </c>
      <c r="L441" s="5" t="s">
        <v>50</v>
      </c>
      <c r="M441" s="11">
        <v>0.125</v>
      </c>
      <c r="N441" s="5" t="e">
        <f>IF(AND(M441&gt;#REF!,Cartera!O441="Guaraníes"),"Rendimiento significativo",IF(AND(M441&gt;#REF!,Cartera!O441="Dólares americanos"),"Rendimiento significativo","Rendimiento no significativo"))</f>
        <v>#REF!</v>
      </c>
      <c r="O441" s="5" t="s">
        <v>41</v>
      </c>
      <c r="P441" s="12">
        <v>897534.24656999996</v>
      </c>
      <c r="Q441" s="12">
        <f>IF(O441="Guaraníes",P441,P441*#REF!)</f>
        <v>897534.24656999996</v>
      </c>
      <c r="R441" s="12" t="e">
        <f>IF(O441="Guaraníes",P441/#REF!,P441)</f>
        <v>#REF!</v>
      </c>
      <c r="S441" s="5" t="s">
        <v>52</v>
      </c>
      <c r="T441" s="5">
        <v>25</v>
      </c>
      <c r="W441" s="5" t="s">
        <v>65</v>
      </c>
      <c r="X441" s="5">
        <v>0</v>
      </c>
      <c r="Y441" s="5">
        <v>0</v>
      </c>
      <c r="Z441" s="5">
        <v>29917.808218999999</v>
      </c>
      <c r="AA441" s="5">
        <v>30</v>
      </c>
      <c r="AB441" s="5">
        <v>897534.24656999996</v>
      </c>
      <c r="AC441" s="5" t="str">
        <f t="shared" si="22"/>
        <v>Bonos</v>
      </c>
      <c r="AD441" s="5" t="s">
        <v>43</v>
      </c>
      <c r="AE441" s="5">
        <f t="shared" si="23"/>
        <v>11</v>
      </c>
      <c r="AF441" s="5">
        <f t="shared" si="24"/>
        <v>2017</v>
      </c>
    </row>
    <row r="442" s="5" customFormat="1" ht="13">
      <c r="A442" s="5" t="s">
        <v>44</v>
      </c>
      <c r="B442" s="5" t="s">
        <v>44</v>
      </c>
      <c r="C442" s="5" t="s">
        <v>114</v>
      </c>
      <c r="D442" s="5" t="s">
        <v>21</v>
      </c>
      <c r="E442" s="5" t="s">
        <v>44</v>
      </c>
      <c r="F442" s="5" t="s">
        <v>68</v>
      </c>
      <c r="G442" s="5" t="s">
        <v>75</v>
      </c>
      <c r="H442" s="9" t="s">
        <v>170</v>
      </c>
      <c r="I442" s="10"/>
      <c r="J442" s="10">
        <v>43060</v>
      </c>
      <c r="K442" s="5" t="s">
        <v>77</v>
      </c>
      <c r="L442" s="5" t="s">
        <v>50</v>
      </c>
      <c r="M442" s="11">
        <v>0.14000000000000001</v>
      </c>
      <c r="N442" s="5" t="e">
        <f>IF(AND(M442&gt;#REF!,Cartera!O442="Guaraníes"),"Rendimiento significativo",IF(AND(M442&gt;#REF!,Cartera!O442="Dólares americanos"),"Rendimiento significativo","Rendimiento no significativo"))</f>
        <v>#REF!</v>
      </c>
      <c r="O442" s="5" t="s">
        <v>41</v>
      </c>
      <c r="P442" s="12">
        <v>3490410.9589</v>
      </c>
      <c r="Q442" s="12">
        <f>IF(O442="Guaraníes",P442,P442*#REF!)</f>
        <v>3490410.9589</v>
      </c>
      <c r="R442" s="12" t="e">
        <f>IF(O442="Guaraníes",P442/#REF!,P442)</f>
        <v>#REF!</v>
      </c>
      <c r="S442" s="5" t="s">
        <v>52</v>
      </c>
      <c r="T442" s="5">
        <v>25</v>
      </c>
      <c r="W442" s="5" t="s">
        <v>65</v>
      </c>
      <c r="X442" s="5">
        <v>0</v>
      </c>
      <c r="Y442" s="5">
        <v>0</v>
      </c>
      <c r="Z442" s="5">
        <v>34904.109589</v>
      </c>
      <c r="AA442" s="5">
        <v>100</v>
      </c>
      <c r="AB442" s="5">
        <v>3490410.9589</v>
      </c>
      <c r="AC442" s="5" t="str">
        <f t="shared" si="22"/>
        <v>Bonos</v>
      </c>
      <c r="AD442" s="5" t="s">
        <v>43</v>
      </c>
      <c r="AE442" s="5">
        <f t="shared" si="23"/>
        <v>11</v>
      </c>
      <c r="AF442" s="5">
        <f t="shared" si="24"/>
        <v>2017</v>
      </c>
    </row>
    <row r="443" s="5" customFormat="1" ht="13">
      <c r="A443" s="5" t="s">
        <v>44</v>
      </c>
      <c r="B443" s="5" t="s">
        <v>44</v>
      </c>
      <c r="C443" s="5" t="s">
        <v>227</v>
      </c>
      <c r="D443" s="5" t="s">
        <v>21</v>
      </c>
      <c r="E443" s="5" t="s">
        <v>44</v>
      </c>
      <c r="F443" s="5" t="s">
        <v>68</v>
      </c>
      <c r="G443" s="5" t="s">
        <v>75</v>
      </c>
      <c r="H443" s="9" t="s">
        <v>228</v>
      </c>
      <c r="I443" s="10"/>
      <c r="J443" s="10">
        <v>43062</v>
      </c>
      <c r="K443" s="5" t="s">
        <v>77</v>
      </c>
      <c r="L443" s="5" t="s">
        <v>58</v>
      </c>
      <c r="M443" s="11">
        <v>0.1525</v>
      </c>
      <c r="N443" s="5" t="e">
        <f>IF(AND(M443&gt;#REF!,Cartera!O443="Guaraníes"),"Rendimiento significativo",IF(AND(M443&gt;#REF!,Cartera!O443="Dólares americanos"),"Rendimiento significativo","Rendimiento no significativo"))</f>
        <v>#REF!</v>
      </c>
      <c r="O443" s="5" t="s">
        <v>41</v>
      </c>
      <c r="P443" s="12">
        <v>2851541.0958749996</v>
      </c>
      <c r="Q443" s="12">
        <f>IF(O443="Guaraníes",P443,P443*#REF!)</f>
        <v>2851541.0958749996</v>
      </c>
      <c r="R443" s="12" t="e">
        <f>IF(O443="Guaraníes",P443/#REF!,P443)</f>
        <v>#REF!</v>
      </c>
      <c r="S443" s="5" t="s">
        <v>52</v>
      </c>
      <c r="T443" s="5">
        <v>25</v>
      </c>
      <c r="W443" s="5" t="s">
        <v>196</v>
      </c>
      <c r="X443" s="5">
        <v>0</v>
      </c>
      <c r="Y443" s="5">
        <v>0</v>
      </c>
      <c r="Z443" s="5">
        <v>38020.547944999998</v>
      </c>
      <c r="AA443" s="5">
        <v>75</v>
      </c>
      <c r="AB443" s="5">
        <v>2851541.0958750001</v>
      </c>
      <c r="AC443" s="5" t="str">
        <f t="shared" si="22"/>
        <v>Bonos</v>
      </c>
      <c r="AD443" s="5" t="s">
        <v>43</v>
      </c>
      <c r="AE443" s="5">
        <f t="shared" si="23"/>
        <v>11</v>
      </c>
      <c r="AF443" s="5">
        <f t="shared" si="24"/>
        <v>2017</v>
      </c>
    </row>
    <row r="444" s="5" customFormat="1" ht="13">
      <c r="A444" s="5" t="s">
        <v>44</v>
      </c>
      <c r="B444" s="5" t="s">
        <v>44</v>
      </c>
      <c r="C444" s="5" t="s">
        <v>74</v>
      </c>
      <c r="D444" s="5" t="s">
        <v>21</v>
      </c>
      <c r="E444" s="5" t="s">
        <v>44</v>
      </c>
      <c r="F444" s="5" t="s">
        <v>68</v>
      </c>
      <c r="G444" s="5" t="s">
        <v>75</v>
      </c>
      <c r="H444" s="9" t="s">
        <v>231</v>
      </c>
      <c r="I444" s="10"/>
      <c r="J444" s="10">
        <v>43067</v>
      </c>
      <c r="K444" s="5" t="s">
        <v>77</v>
      </c>
      <c r="L444" s="5" t="s">
        <v>58</v>
      </c>
      <c r="M444" s="11">
        <v>0.14000000000000001</v>
      </c>
      <c r="N444" s="5" t="e">
        <f>IF(AND(M444&gt;#REF!,Cartera!O444="Guaraníes"),"Rendimiento significativo",IF(AND(M444&gt;#REF!,Cartera!O444="Dólares americanos"),"Rendimiento significativo","Rendimiento no significativo"))</f>
        <v>#REF!</v>
      </c>
      <c r="O444" s="5" t="s">
        <v>41</v>
      </c>
      <c r="P444" s="12">
        <v>5235616.4383499995</v>
      </c>
      <c r="Q444" s="12">
        <f>IF(O444="Guaraníes",P444,P444*#REF!)</f>
        <v>5235616.4383499995</v>
      </c>
      <c r="R444" s="12" t="e">
        <f>IF(O444="Guaraníes",P444/#REF!,P444)</f>
        <v>#REF!</v>
      </c>
      <c r="S444" s="5" t="s">
        <v>52</v>
      </c>
      <c r="T444" s="5">
        <v>25</v>
      </c>
      <c r="W444" s="5" t="s">
        <v>232</v>
      </c>
      <c r="X444" s="5">
        <v>0</v>
      </c>
      <c r="Y444" s="5">
        <v>0</v>
      </c>
      <c r="Z444" s="5">
        <v>34904.109589</v>
      </c>
      <c r="AA444" s="5">
        <v>150</v>
      </c>
      <c r="AB444" s="5">
        <v>5235616.4383500004</v>
      </c>
      <c r="AC444" s="5" t="str">
        <f t="shared" si="22"/>
        <v>Bonos</v>
      </c>
      <c r="AD444" s="5" t="s">
        <v>43</v>
      </c>
      <c r="AE444" s="5">
        <f t="shared" si="23"/>
        <v>11</v>
      </c>
      <c r="AF444" s="5">
        <f t="shared" si="24"/>
        <v>2017</v>
      </c>
    </row>
    <row r="445" s="5" customFormat="1" ht="13">
      <c r="A445" s="5" t="s">
        <v>44</v>
      </c>
      <c r="B445" s="5" t="s">
        <v>44</v>
      </c>
      <c r="C445" s="5" t="s">
        <v>114</v>
      </c>
      <c r="D445" s="5" t="s">
        <v>21</v>
      </c>
      <c r="E445" s="5" t="s">
        <v>44</v>
      </c>
      <c r="F445" s="5" t="s">
        <v>68</v>
      </c>
      <c r="G445" s="5" t="s">
        <v>75</v>
      </c>
      <c r="H445" s="9" t="s">
        <v>226</v>
      </c>
      <c r="I445" s="10"/>
      <c r="J445" s="10">
        <v>43090</v>
      </c>
      <c r="K445" s="5" t="s">
        <v>77</v>
      </c>
      <c r="L445" s="5" t="s">
        <v>58</v>
      </c>
      <c r="M445" s="11">
        <v>0.14000000000000001</v>
      </c>
      <c r="N445" s="5" t="e">
        <f>IF(AND(M445&gt;#REF!,Cartera!O445="Guaraníes"),"Rendimiento significativo",IF(AND(M445&gt;#REF!,Cartera!O445="Dólares americanos"),"Rendimiento significativo","Rendimiento no significativo"))</f>
        <v>#REF!</v>
      </c>
      <c r="O445" s="5" t="s">
        <v>41</v>
      </c>
      <c r="P445" s="12">
        <v>523561.643835</v>
      </c>
      <c r="Q445" s="12">
        <f>IF(O445="Guaraníes",P445,P445*#REF!)</f>
        <v>523561.643835</v>
      </c>
      <c r="R445" s="12" t="e">
        <f>IF(O445="Guaraníes",P445/#REF!,P445)</f>
        <v>#REF!</v>
      </c>
      <c r="S445" s="5" t="s">
        <v>52</v>
      </c>
      <c r="T445" s="5">
        <v>25</v>
      </c>
      <c r="W445" s="5" t="s">
        <v>65</v>
      </c>
      <c r="X445" s="5">
        <v>0</v>
      </c>
      <c r="Y445" s="5">
        <v>0</v>
      </c>
      <c r="Z445" s="5">
        <v>34904.109589</v>
      </c>
      <c r="AA445" s="5">
        <v>15</v>
      </c>
      <c r="AB445" s="5">
        <v>523561.643835</v>
      </c>
      <c r="AC445" s="5" t="str">
        <f t="shared" si="22"/>
        <v>Bonos</v>
      </c>
      <c r="AD445" s="5" t="s">
        <v>43</v>
      </c>
      <c r="AE445" s="5">
        <f t="shared" si="23"/>
        <v>12</v>
      </c>
      <c r="AF445" s="5">
        <f t="shared" si="24"/>
        <v>2017</v>
      </c>
    </row>
    <row r="446" s="5" customFormat="1" ht="13">
      <c r="A446" s="5" t="s">
        <v>44</v>
      </c>
      <c r="B446" s="5" t="s">
        <v>44</v>
      </c>
      <c r="C446" s="5" t="s">
        <v>114</v>
      </c>
      <c r="D446" s="5" t="s">
        <v>21</v>
      </c>
      <c r="E446" s="5" t="s">
        <v>44</v>
      </c>
      <c r="F446" s="5" t="s">
        <v>68</v>
      </c>
      <c r="G446" s="5" t="s">
        <v>75</v>
      </c>
      <c r="H446" s="9" t="s">
        <v>236</v>
      </c>
      <c r="I446" s="10"/>
      <c r="J446" s="10">
        <v>43090</v>
      </c>
      <c r="K446" s="5" t="s">
        <v>77</v>
      </c>
      <c r="L446" s="5" t="s">
        <v>50</v>
      </c>
      <c r="M446" s="11">
        <v>0.14749999999999999</v>
      </c>
      <c r="N446" s="5" t="e">
        <f>IF(AND(M446&gt;#REF!,Cartera!O446="Guaraníes"),"Rendimiento significativo",IF(AND(M446&gt;#REF!,Cartera!O446="Dólares americanos"),"Rendimiento significativo","Rendimiento no significativo"))</f>
        <v>#REF!</v>
      </c>
      <c r="O446" s="5" t="s">
        <v>41</v>
      </c>
      <c r="P446" s="12">
        <v>112191.780822</v>
      </c>
      <c r="Q446" s="12">
        <f>IF(O446="Guaraníes",P446,P446*#REF!)</f>
        <v>112191.780822</v>
      </c>
      <c r="R446" s="12" t="e">
        <f>IF(O446="Guaraníes",P446/#REF!,P446)</f>
        <v>#REF!</v>
      </c>
      <c r="S446" s="5" t="s">
        <v>52</v>
      </c>
      <c r="T446" s="5">
        <v>25</v>
      </c>
      <c r="W446" s="5" t="s">
        <v>65</v>
      </c>
      <c r="X446" s="5">
        <v>0</v>
      </c>
      <c r="Y446" s="5">
        <v>0</v>
      </c>
      <c r="Z446" s="5">
        <v>37397.260274</v>
      </c>
      <c r="AA446" s="5">
        <v>3</v>
      </c>
      <c r="AB446" s="5">
        <v>112191.780822</v>
      </c>
      <c r="AC446" s="5" t="str">
        <f t="shared" si="22"/>
        <v>Bonos</v>
      </c>
      <c r="AD446" s="5" t="s">
        <v>43</v>
      </c>
      <c r="AE446" s="5">
        <f t="shared" si="23"/>
        <v>12</v>
      </c>
      <c r="AF446" s="5">
        <f t="shared" si="24"/>
        <v>2017</v>
      </c>
    </row>
    <row r="447" s="5" customFormat="1" ht="13">
      <c r="A447" s="5" t="s">
        <v>44</v>
      </c>
      <c r="B447" s="5" t="s">
        <v>44</v>
      </c>
      <c r="C447" s="5" t="s">
        <v>114</v>
      </c>
      <c r="D447" s="5" t="s">
        <v>21</v>
      </c>
      <c r="E447" s="5" t="s">
        <v>44</v>
      </c>
      <c r="F447" s="5" t="s">
        <v>68</v>
      </c>
      <c r="G447" s="5" t="s">
        <v>75</v>
      </c>
      <c r="H447" s="9" t="s">
        <v>237</v>
      </c>
      <c r="I447" s="10"/>
      <c r="J447" s="10">
        <v>43103</v>
      </c>
      <c r="K447" s="5" t="s">
        <v>77</v>
      </c>
      <c r="L447" s="5" t="s">
        <v>50</v>
      </c>
      <c r="M447" s="11">
        <v>0.13750000000000001</v>
      </c>
      <c r="N447" s="5" t="e">
        <f>IF(AND(M447&gt;#REF!,Cartera!O447="Guaraníes"),"Rendimiento significativo",IF(AND(M447&gt;#REF!,Cartera!O447="Dólares americanos"),"Rendimiento significativo","Rendimiento no significativo"))</f>
        <v>#REF!</v>
      </c>
      <c r="O447" s="5" t="s">
        <v>41</v>
      </c>
      <c r="P447" s="12">
        <v>693150.68494000006</v>
      </c>
      <c r="Q447" s="12">
        <f>IF(O447="Guaraníes",P447,P447*#REF!)</f>
        <v>693150.68494000006</v>
      </c>
      <c r="R447" s="12" t="e">
        <f>IF(O447="Guaraníes",P447/#REF!,P447)</f>
        <v>#REF!</v>
      </c>
      <c r="S447" s="5" t="s">
        <v>52</v>
      </c>
      <c r="T447" s="5">
        <v>25</v>
      </c>
      <c r="W447" s="5" t="s">
        <v>65</v>
      </c>
      <c r="X447" s="5">
        <v>0</v>
      </c>
      <c r="Y447" s="5">
        <v>0</v>
      </c>
      <c r="Z447" s="5">
        <v>34657.534247000003</v>
      </c>
      <c r="AA447" s="5">
        <v>20</v>
      </c>
      <c r="AB447" s="5">
        <v>693150.68493999995</v>
      </c>
      <c r="AC447" s="5" t="str">
        <f t="shared" si="22"/>
        <v>Bonos</v>
      </c>
      <c r="AD447" s="5" t="s">
        <v>43</v>
      </c>
      <c r="AE447" s="5">
        <f t="shared" si="23"/>
        <v>1</v>
      </c>
      <c r="AF447" s="5">
        <f t="shared" si="24"/>
        <v>2018</v>
      </c>
    </row>
    <row r="448" s="5" customFormat="1" ht="13">
      <c r="A448" s="5" t="s">
        <v>44</v>
      </c>
      <c r="B448" s="5" t="s">
        <v>44</v>
      </c>
      <c r="C448" s="5" t="s">
        <v>156</v>
      </c>
      <c r="D448" s="5" t="s">
        <v>21</v>
      </c>
      <c r="E448" s="5" t="s">
        <v>44</v>
      </c>
      <c r="F448" s="5" t="s">
        <v>68</v>
      </c>
      <c r="G448" s="5" t="s">
        <v>75</v>
      </c>
      <c r="H448" s="9" t="s">
        <v>157</v>
      </c>
      <c r="I448" s="10"/>
      <c r="J448" s="10">
        <v>43116</v>
      </c>
      <c r="K448" s="5" t="s">
        <v>158</v>
      </c>
      <c r="L448" s="5" t="s">
        <v>58</v>
      </c>
      <c r="M448" s="11">
        <v>0.16</v>
      </c>
      <c r="N448" s="5" t="e">
        <f>IF(AND(M448&gt;#REF!,Cartera!O448="Guaraníes"),"Rendimiento significativo",IF(AND(M448&gt;#REF!,Cartera!O448="Dólares americanos"),"Rendimiento significativo","Rendimiento no significativo"))</f>
        <v>#REF!</v>
      </c>
      <c r="O448" s="5" t="s">
        <v>41</v>
      </c>
      <c r="P448" s="12">
        <v>4188493.15068</v>
      </c>
      <c r="Q448" s="12">
        <f>IF(O448="Guaraníes",P448,P448*#REF!)</f>
        <v>4188493.15068</v>
      </c>
      <c r="R448" s="12" t="e">
        <f>IF(O448="Guaraníes",P448/#REF!,P448)</f>
        <v>#REF!</v>
      </c>
      <c r="S448" s="5" t="s">
        <v>52</v>
      </c>
      <c r="T448" s="5">
        <v>25</v>
      </c>
      <c r="W448" s="5" t="s">
        <v>53</v>
      </c>
      <c r="X448" s="5">
        <v>0</v>
      </c>
      <c r="Y448" s="5">
        <v>0</v>
      </c>
      <c r="Z448" s="5">
        <v>34904.109589</v>
      </c>
      <c r="AA448" s="5">
        <v>120</v>
      </c>
      <c r="AB448" s="5">
        <v>4188493.15068</v>
      </c>
      <c r="AC448" s="5" t="str">
        <f t="shared" ref="AC448:AC511" si="25">IF(ISNUMBER(SEARCH("Acciones",L448)),"Acciones",IF(ISNUMBER(SEARCH("Bono",L448)),"Bonos",IF(ISNUMBER(SEARCH("CDA",L448)),"CDA",IF(ISNUMBER(SEARCH("Fondo",L448)),"Fondo",0))))</f>
        <v>Bonos</v>
      </c>
      <c r="AD448" s="5" t="s">
        <v>43</v>
      </c>
      <c r="AE448" s="5">
        <f t="shared" si="23"/>
        <v>1</v>
      </c>
      <c r="AF448" s="5">
        <f t="shared" si="24"/>
        <v>2018</v>
      </c>
    </row>
    <row r="449" s="5" customFormat="1" ht="13">
      <c r="A449" s="5" t="s">
        <v>44</v>
      </c>
      <c r="B449" s="5" t="s">
        <v>44</v>
      </c>
      <c r="C449" s="5" t="s">
        <v>239</v>
      </c>
      <c r="D449" s="5" t="s">
        <v>21</v>
      </c>
      <c r="E449" s="5" t="s">
        <v>44</v>
      </c>
      <c r="F449" s="5" t="s">
        <v>68</v>
      </c>
      <c r="G449" s="5" t="s">
        <v>75</v>
      </c>
      <c r="H449" s="9" t="s">
        <v>240</v>
      </c>
      <c r="I449" s="10"/>
      <c r="J449" s="10">
        <v>43123</v>
      </c>
      <c r="K449" s="5" t="s">
        <v>49</v>
      </c>
      <c r="L449" s="5" t="s">
        <v>58</v>
      </c>
      <c r="M449" s="11">
        <v>0.13</v>
      </c>
      <c r="N449" s="5" t="e">
        <f>IF(AND(M449&gt;#REF!,Cartera!O449="Guaraníes"),"Rendimiento significativo",IF(AND(M449&gt;#REF!,Cartera!O449="Dólares americanos"),"Rendimiento significativo","Rendimiento no significativo"))</f>
        <v>#REF!</v>
      </c>
      <c r="O449" s="5" t="s">
        <v>41</v>
      </c>
      <c r="P449" s="12">
        <v>1620547.9452</v>
      </c>
      <c r="Q449" s="12">
        <f>IF(O449="Guaraníes",P449,P449*#REF!)</f>
        <v>1620547.9452</v>
      </c>
      <c r="R449" s="12" t="e">
        <f>IF(O449="Guaraníes",P449/#REF!,P449)</f>
        <v>#REF!</v>
      </c>
      <c r="S449" s="5" t="s">
        <v>52</v>
      </c>
      <c r="T449" s="5">
        <v>25</v>
      </c>
      <c r="W449" s="5" t="s">
        <v>241</v>
      </c>
      <c r="X449" s="5">
        <v>0</v>
      </c>
      <c r="Y449" s="5">
        <v>0</v>
      </c>
      <c r="Z449" s="5">
        <v>32410.958903999999</v>
      </c>
      <c r="AA449" s="5">
        <v>50</v>
      </c>
      <c r="AB449" s="5">
        <v>1620547.9452</v>
      </c>
      <c r="AC449" s="5" t="str">
        <f t="shared" si="25"/>
        <v>Bonos</v>
      </c>
      <c r="AD449" s="5" t="s">
        <v>43</v>
      </c>
      <c r="AE449" s="5">
        <f t="shared" si="23"/>
        <v>1</v>
      </c>
      <c r="AF449" s="5">
        <f t="shared" si="24"/>
        <v>2018</v>
      </c>
    </row>
    <row r="450" s="5" customFormat="1" ht="13">
      <c r="A450" s="5" t="s">
        <v>44</v>
      </c>
      <c r="B450" s="5" t="s">
        <v>44</v>
      </c>
      <c r="C450" s="5" t="s">
        <v>114</v>
      </c>
      <c r="D450" s="5" t="s">
        <v>21</v>
      </c>
      <c r="E450" s="5" t="s">
        <v>44</v>
      </c>
      <c r="F450" s="5" t="s">
        <v>68</v>
      </c>
      <c r="G450" s="5" t="s">
        <v>75</v>
      </c>
      <c r="H450" s="9" t="s">
        <v>234</v>
      </c>
      <c r="I450" s="10"/>
      <c r="J450" s="10">
        <v>43124</v>
      </c>
      <c r="K450" s="5" t="s">
        <v>77</v>
      </c>
      <c r="L450" s="5" t="s">
        <v>50</v>
      </c>
      <c r="M450" s="11">
        <v>0.12</v>
      </c>
      <c r="N450" s="5" t="e">
        <f>IF(AND(M450&gt;#REF!,Cartera!O450="Guaraníes"),"Rendimiento significativo",IF(AND(M450&gt;#REF!,Cartera!O450="Dólares americanos"),"Rendimiento significativo","Rendimiento no significativo"))</f>
        <v>#REF!</v>
      </c>
      <c r="O450" s="5" t="s">
        <v>51</v>
      </c>
      <c r="P450" s="13">
        <v>486.16437000000002</v>
      </c>
      <c r="Q450" s="12" t="e">
        <f>IF(O450="Guaraníes",P450,P450*#REF!)</f>
        <v>#REF!</v>
      </c>
      <c r="R450" s="12">
        <f>IF(O450="Guaraníes",P450/#REF!,P450)</f>
        <v>486.16437000000002</v>
      </c>
      <c r="S450" s="5" t="s">
        <v>52</v>
      </c>
      <c r="T450" s="5">
        <v>25</v>
      </c>
      <c r="W450" s="5" t="s">
        <v>65</v>
      </c>
      <c r="X450" s="5">
        <v>0</v>
      </c>
      <c r="Y450" s="5">
        <v>0</v>
      </c>
      <c r="Z450" s="5">
        <v>16.205479</v>
      </c>
      <c r="AA450" s="5">
        <v>30</v>
      </c>
      <c r="AB450" s="5">
        <v>486.16437000000002</v>
      </c>
      <c r="AC450" s="5" t="str">
        <f t="shared" si="25"/>
        <v>Bonos</v>
      </c>
      <c r="AD450" s="5" t="s">
        <v>43</v>
      </c>
      <c r="AE450" s="5">
        <f t="shared" si="23"/>
        <v>1</v>
      </c>
      <c r="AF450" s="5">
        <f t="shared" si="24"/>
        <v>2018</v>
      </c>
    </row>
    <row r="451" s="5" customFormat="1" ht="13">
      <c r="A451" s="5" t="s">
        <v>44</v>
      </c>
      <c r="B451" s="5" t="s">
        <v>44</v>
      </c>
      <c r="C451" s="5" t="s">
        <v>114</v>
      </c>
      <c r="D451" s="5" t="s">
        <v>21</v>
      </c>
      <c r="E451" s="5" t="s">
        <v>44</v>
      </c>
      <c r="F451" s="5" t="s">
        <v>68</v>
      </c>
      <c r="G451" s="5" t="s">
        <v>75</v>
      </c>
      <c r="H451" s="9" t="s">
        <v>235</v>
      </c>
      <c r="I451" s="10"/>
      <c r="J451" s="10">
        <v>43132</v>
      </c>
      <c r="K451" s="5" t="s">
        <v>77</v>
      </c>
      <c r="L451" s="5" t="s">
        <v>50</v>
      </c>
      <c r="M451" s="11">
        <v>0.14249999999999999</v>
      </c>
      <c r="N451" s="5" t="e">
        <f>IF(AND(M451&gt;#REF!,Cartera!O451="Guaraníes"),"Rendimiento significativo",IF(AND(M451&gt;#REF!,Cartera!O451="Dólares americanos"),"Rendimiento significativo","Rendimiento no significativo"))</f>
        <v>#REF!</v>
      </c>
      <c r="O451" s="5" t="s">
        <v>41</v>
      </c>
      <c r="P451" s="12">
        <v>183869.86301500001</v>
      </c>
      <c r="Q451" s="12">
        <f>IF(O451="Guaraníes",P451,P451*#REF!)</f>
        <v>183869.86301500001</v>
      </c>
      <c r="R451" s="12" t="e">
        <f>IF(O451="Guaraníes",P451/#REF!,P451)</f>
        <v>#REF!</v>
      </c>
      <c r="S451" s="5" t="s">
        <v>52</v>
      </c>
      <c r="T451" s="5">
        <v>25</v>
      </c>
      <c r="W451" s="5" t="s">
        <v>65</v>
      </c>
      <c r="X451" s="5">
        <v>0</v>
      </c>
      <c r="Y451" s="5">
        <v>0</v>
      </c>
      <c r="Z451" s="5">
        <v>36773.972603000002</v>
      </c>
      <c r="AA451" s="5">
        <v>5</v>
      </c>
      <c r="AB451" s="5">
        <v>183869.86301500001</v>
      </c>
      <c r="AC451" s="5" t="str">
        <f t="shared" si="25"/>
        <v>Bonos</v>
      </c>
      <c r="AD451" s="5" t="s">
        <v>43</v>
      </c>
      <c r="AE451" s="5">
        <f t="shared" si="23"/>
        <v>2</v>
      </c>
      <c r="AF451" s="5">
        <f t="shared" si="24"/>
        <v>2018</v>
      </c>
    </row>
    <row r="452" s="5" customFormat="1" ht="13">
      <c r="A452" s="5" t="s">
        <v>44</v>
      </c>
      <c r="B452" s="5" t="s">
        <v>44</v>
      </c>
      <c r="C452" s="5" t="s">
        <v>114</v>
      </c>
      <c r="D452" s="5" t="s">
        <v>21</v>
      </c>
      <c r="E452" s="5" t="s">
        <v>44</v>
      </c>
      <c r="F452" s="5" t="s">
        <v>68</v>
      </c>
      <c r="G452" s="5" t="s">
        <v>75</v>
      </c>
      <c r="H452" s="9" t="s">
        <v>115</v>
      </c>
      <c r="I452" s="10"/>
      <c r="J452" s="10">
        <v>43132</v>
      </c>
      <c r="K452" s="5" t="s">
        <v>77</v>
      </c>
      <c r="L452" s="5" t="s">
        <v>50</v>
      </c>
      <c r="M452" s="11">
        <v>0.125</v>
      </c>
      <c r="N452" s="5" t="e">
        <f>IF(AND(M452&gt;#REF!,Cartera!O452="Guaraníes"),"Rendimiento significativo",IF(AND(M452&gt;#REF!,Cartera!O452="Dólares americanos"),"Rendimiento significativo","Rendimiento no significativo"))</f>
        <v>#REF!</v>
      </c>
      <c r="O452" s="5" t="s">
        <v>41</v>
      </c>
      <c r="P452" s="12">
        <v>897534.24656999996</v>
      </c>
      <c r="Q452" s="12">
        <f>IF(O452="Guaraníes",P452,P452*#REF!)</f>
        <v>897534.24656999996</v>
      </c>
      <c r="R452" s="12" t="e">
        <f>IF(O452="Guaraníes",P452/#REF!,P452)</f>
        <v>#REF!</v>
      </c>
      <c r="S452" s="5" t="s">
        <v>52</v>
      </c>
      <c r="T452" s="5">
        <v>25</v>
      </c>
      <c r="W452" s="5" t="s">
        <v>65</v>
      </c>
      <c r="X452" s="5">
        <v>0</v>
      </c>
      <c r="Y452" s="5">
        <v>0</v>
      </c>
      <c r="Z452" s="5">
        <v>29917.808218999999</v>
      </c>
      <c r="AA452" s="5">
        <v>30</v>
      </c>
      <c r="AB452" s="5">
        <v>897534.24656999996</v>
      </c>
      <c r="AC452" s="5" t="str">
        <f t="shared" si="25"/>
        <v>Bonos</v>
      </c>
      <c r="AD452" s="5" t="s">
        <v>43</v>
      </c>
      <c r="AE452" s="5">
        <f t="shared" si="23"/>
        <v>2</v>
      </c>
      <c r="AF452" s="5">
        <f t="shared" si="24"/>
        <v>2018</v>
      </c>
    </row>
    <row r="453" s="5" customFormat="1" ht="13">
      <c r="A453" s="5" t="s">
        <v>44</v>
      </c>
      <c r="B453" s="5" t="s">
        <v>44</v>
      </c>
      <c r="C453" s="5" t="s">
        <v>99</v>
      </c>
      <c r="D453" s="5" t="s">
        <v>21</v>
      </c>
      <c r="E453" s="5" t="s">
        <v>44</v>
      </c>
      <c r="F453" s="5" t="s">
        <v>100</v>
      </c>
      <c r="G453" s="5" t="s">
        <v>75</v>
      </c>
      <c r="H453" s="9" t="s">
        <v>238</v>
      </c>
      <c r="I453" s="10"/>
      <c r="J453" s="10">
        <v>44045</v>
      </c>
      <c r="K453" s="5" t="s">
        <v>102</v>
      </c>
      <c r="L453" s="5" t="s">
        <v>102</v>
      </c>
      <c r="M453" s="11">
        <v>0.081000000000000003</v>
      </c>
      <c r="N453" s="5" t="e">
        <f>IF(AND(M453&gt;#REF!,Cartera!O453="Guaraníes"),"Rendimiento significativo",IF(AND(M453&gt;#REF!,Cartera!O453="Dólares americanos"),"Rendimiento significativo","Rendimiento no significativo"))</f>
        <v>#REF!</v>
      </c>
      <c r="O453" s="5" t="s">
        <v>41</v>
      </c>
      <c r="P453" s="12">
        <v>4240849.3150800001</v>
      </c>
      <c r="Q453" s="12">
        <f>IF(O453="Guaraníes",P453,P453*#REF!)</f>
        <v>4240849.3150800001</v>
      </c>
      <c r="R453" s="12" t="e">
        <f>IF(O453="Guaraníes",P453/#REF!,P453)</f>
        <v>#REF!</v>
      </c>
      <c r="S453" s="5" t="s">
        <v>52</v>
      </c>
      <c r="T453" s="5">
        <v>25</v>
      </c>
      <c r="W453" s="5" t="s">
        <v>230</v>
      </c>
      <c r="X453" s="5">
        <v>0</v>
      </c>
      <c r="Y453" s="5">
        <v>0</v>
      </c>
      <c r="Z453" s="5">
        <v>40832.876711999997</v>
      </c>
      <c r="AA453" s="5">
        <v>105</v>
      </c>
      <c r="AB453" s="5">
        <v>4287452.0547599997</v>
      </c>
      <c r="AC453" s="5" t="str">
        <f t="shared" si="25"/>
        <v>Bonos</v>
      </c>
      <c r="AD453" s="5" t="s">
        <v>43</v>
      </c>
      <c r="AE453" s="5">
        <f t="shared" si="23"/>
        <v>8</v>
      </c>
      <c r="AF453" s="5">
        <f t="shared" si="24"/>
        <v>2020</v>
      </c>
    </row>
    <row r="454" s="5" customFormat="1" ht="13">
      <c r="A454" s="5" t="s">
        <v>44</v>
      </c>
      <c r="B454" s="5" t="s">
        <v>44</v>
      </c>
      <c r="C454" s="5" t="s">
        <v>242</v>
      </c>
      <c r="D454" s="5" t="s">
        <v>21</v>
      </c>
      <c r="E454" s="5" t="s">
        <v>44</v>
      </c>
      <c r="F454" s="5" t="s">
        <v>68</v>
      </c>
      <c r="G454" s="5" t="s">
        <v>75</v>
      </c>
      <c r="H454" s="9" t="s">
        <v>243</v>
      </c>
      <c r="I454" s="10"/>
      <c r="J454" s="10">
        <v>43150</v>
      </c>
      <c r="K454" s="5" t="s">
        <v>244</v>
      </c>
      <c r="L454" s="5" t="s">
        <v>58</v>
      </c>
      <c r="M454" s="11">
        <v>0.13750000000000001</v>
      </c>
      <c r="N454" s="5" t="e">
        <f>IF(AND(M454&gt;#REF!,Cartera!O454="Guaraníes"),"Rendimiento significativo",IF(AND(M454&gt;#REF!,Cartera!O454="Dólares americanos"),"Rendimiento significativo","Rendimiento no significativo"))</f>
        <v>#REF!</v>
      </c>
      <c r="O454" s="5" t="s">
        <v>41</v>
      </c>
      <c r="P454" s="12">
        <v>1028424.65754</v>
      </c>
      <c r="Q454" s="12">
        <f>IF(O454="Guaraníes",P454,P454*#REF!)</f>
        <v>1028424.65754</v>
      </c>
      <c r="R454" s="12" t="e">
        <f>IF(O454="Guaraníes",P454/#REF!,P454)</f>
        <v>#REF!</v>
      </c>
      <c r="S454" s="5" t="s">
        <v>52</v>
      </c>
      <c r="T454" s="5">
        <v>25</v>
      </c>
      <c r="W454" s="5" t="s">
        <v>241</v>
      </c>
      <c r="X454" s="5">
        <v>0</v>
      </c>
      <c r="Y454" s="5">
        <v>0</v>
      </c>
      <c r="Z454" s="5">
        <v>34280.821918000001</v>
      </c>
      <c r="AA454" s="5">
        <v>30</v>
      </c>
      <c r="AB454" s="5">
        <v>1028424.65754</v>
      </c>
      <c r="AC454" s="5" t="str">
        <f t="shared" si="25"/>
        <v>Bonos</v>
      </c>
      <c r="AD454" s="5" t="s">
        <v>43</v>
      </c>
      <c r="AE454" s="5">
        <f t="shared" si="23"/>
        <v>2</v>
      </c>
      <c r="AF454" s="5">
        <f t="shared" si="24"/>
        <v>2018</v>
      </c>
    </row>
    <row r="455" s="5" customFormat="1" ht="13">
      <c r="A455" s="5" t="s">
        <v>44</v>
      </c>
      <c r="B455" s="5" t="s">
        <v>44</v>
      </c>
      <c r="C455" s="5" t="s">
        <v>114</v>
      </c>
      <c r="D455" s="5" t="s">
        <v>21</v>
      </c>
      <c r="E455" s="5" t="s">
        <v>44</v>
      </c>
      <c r="F455" s="5" t="s">
        <v>68</v>
      </c>
      <c r="G455" s="5" t="s">
        <v>75</v>
      </c>
      <c r="H455" s="9" t="s">
        <v>170</v>
      </c>
      <c r="I455" s="10"/>
      <c r="J455" s="10">
        <v>43151</v>
      </c>
      <c r="K455" s="5" t="s">
        <v>77</v>
      </c>
      <c r="L455" s="5" t="s">
        <v>50</v>
      </c>
      <c r="M455" s="11">
        <v>0.14000000000000001</v>
      </c>
      <c r="N455" s="5" t="e">
        <f>IF(AND(M455&gt;#REF!,Cartera!O455="Guaraníes"),"Rendimiento significativo",IF(AND(M455&gt;#REF!,Cartera!O455="Dólares americanos"),"Rendimiento significativo","Rendimiento no significativo"))</f>
        <v>#REF!</v>
      </c>
      <c r="O455" s="5" t="s">
        <v>41</v>
      </c>
      <c r="P455" s="12">
        <v>3490410.9589</v>
      </c>
      <c r="Q455" s="12">
        <f>IF(O455="Guaraníes",P455,P455*#REF!)</f>
        <v>3490410.9589</v>
      </c>
      <c r="R455" s="12" t="e">
        <f>IF(O455="Guaraníes",P455/#REF!,P455)</f>
        <v>#REF!</v>
      </c>
      <c r="S455" s="5" t="s">
        <v>52</v>
      </c>
      <c r="T455" s="5">
        <v>25</v>
      </c>
      <c r="W455" s="5" t="s">
        <v>65</v>
      </c>
      <c r="X455" s="5">
        <v>0</v>
      </c>
      <c r="Y455" s="5">
        <v>0</v>
      </c>
      <c r="Z455" s="5">
        <v>34904.109589</v>
      </c>
      <c r="AA455" s="5">
        <v>100</v>
      </c>
      <c r="AB455" s="5">
        <v>3490410.9589</v>
      </c>
      <c r="AC455" s="5" t="str">
        <f t="shared" si="25"/>
        <v>Bonos</v>
      </c>
      <c r="AD455" s="5" t="s">
        <v>43</v>
      </c>
      <c r="AE455" s="5">
        <f t="shared" si="23"/>
        <v>2</v>
      </c>
      <c r="AF455" s="5">
        <f t="shared" si="24"/>
        <v>2018</v>
      </c>
    </row>
    <row r="456" s="5" customFormat="1" ht="13">
      <c r="A456" s="5" t="s">
        <v>44</v>
      </c>
      <c r="B456" s="5" t="s">
        <v>44</v>
      </c>
      <c r="C456" s="5" t="s">
        <v>227</v>
      </c>
      <c r="D456" s="5" t="s">
        <v>21</v>
      </c>
      <c r="E456" s="5" t="s">
        <v>44</v>
      </c>
      <c r="F456" s="5" t="s">
        <v>68</v>
      </c>
      <c r="G456" s="5" t="s">
        <v>75</v>
      </c>
      <c r="H456" s="9" t="s">
        <v>228</v>
      </c>
      <c r="I456" s="10"/>
      <c r="J456" s="10">
        <v>43153</v>
      </c>
      <c r="K456" s="5" t="s">
        <v>77</v>
      </c>
      <c r="L456" s="5" t="s">
        <v>58</v>
      </c>
      <c r="M456" s="11">
        <v>0.1525</v>
      </c>
      <c r="N456" s="5" t="e">
        <f>IF(AND(M456&gt;#REF!,Cartera!O456="Guaraníes"),"Rendimiento significativo",IF(AND(M456&gt;#REF!,Cartera!O456="Dólares americanos"),"Rendimiento significativo","Rendimiento no significativo"))</f>
        <v>#REF!</v>
      </c>
      <c r="O456" s="5" t="s">
        <v>41</v>
      </c>
      <c r="P456" s="12">
        <v>2851541.0958749996</v>
      </c>
      <c r="Q456" s="12">
        <f>IF(O456="Guaraníes",P456,P456*#REF!)</f>
        <v>2851541.0958749996</v>
      </c>
      <c r="R456" s="12" t="e">
        <f>IF(O456="Guaraníes",P456/#REF!,P456)</f>
        <v>#REF!</v>
      </c>
      <c r="S456" s="5" t="s">
        <v>52</v>
      </c>
      <c r="T456" s="5">
        <v>25</v>
      </c>
      <c r="W456" s="5" t="s">
        <v>196</v>
      </c>
      <c r="X456" s="5">
        <v>0</v>
      </c>
      <c r="Y456" s="5">
        <v>0</v>
      </c>
      <c r="Z456" s="5">
        <v>38020.547944999998</v>
      </c>
      <c r="AA456" s="5">
        <v>75</v>
      </c>
      <c r="AB456" s="5">
        <v>2851541.0958750001</v>
      </c>
      <c r="AC456" s="5" t="str">
        <f t="shared" si="25"/>
        <v>Bonos</v>
      </c>
      <c r="AD456" s="5" t="s">
        <v>43</v>
      </c>
      <c r="AE456" s="5">
        <f t="shared" si="23"/>
        <v>2</v>
      </c>
      <c r="AF456" s="5">
        <f t="shared" si="24"/>
        <v>2018</v>
      </c>
    </row>
    <row r="457" s="5" customFormat="1" ht="13">
      <c r="A457" s="5" t="s">
        <v>44</v>
      </c>
      <c r="B457" s="5" t="s">
        <v>44</v>
      </c>
      <c r="C457" s="5" t="s">
        <v>74</v>
      </c>
      <c r="D457" s="5" t="s">
        <v>21</v>
      </c>
      <c r="E457" s="5" t="s">
        <v>44</v>
      </c>
      <c r="F457" s="5" t="s">
        <v>68</v>
      </c>
      <c r="G457" s="5" t="s">
        <v>75</v>
      </c>
      <c r="H457" s="9" t="s">
        <v>231</v>
      </c>
      <c r="I457" s="10"/>
      <c r="J457" s="10">
        <v>43158</v>
      </c>
      <c r="K457" s="5" t="s">
        <v>77</v>
      </c>
      <c r="L457" s="5" t="s">
        <v>58</v>
      </c>
      <c r="M457" s="11">
        <v>0.14000000000000001</v>
      </c>
      <c r="N457" s="5" t="e">
        <f>IF(AND(M457&gt;#REF!,Cartera!O457="Guaraníes"),"Rendimiento significativo",IF(AND(M457&gt;#REF!,Cartera!O457="Dólares americanos"),"Rendimiento significativo","Rendimiento no significativo"))</f>
        <v>#REF!</v>
      </c>
      <c r="O457" s="5" t="s">
        <v>41</v>
      </c>
      <c r="P457" s="12">
        <v>5235616.4383499995</v>
      </c>
      <c r="Q457" s="12">
        <f>IF(O457="Guaraníes",P457,P457*#REF!)</f>
        <v>5235616.4383499995</v>
      </c>
      <c r="R457" s="12" t="e">
        <f>IF(O457="Guaraníes",P457/#REF!,P457)</f>
        <v>#REF!</v>
      </c>
      <c r="S457" s="5" t="s">
        <v>52</v>
      </c>
      <c r="T457" s="5">
        <v>25</v>
      </c>
      <c r="W457" s="5" t="s">
        <v>232</v>
      </c>
      <c r="X457" s="5">
        <v>0</v>
      </c>
      <c r="Y457" s="5">
        <v>0</v>
      </c>
      <c r="Z457" s="5">
        <v>34904.109589</v>
      </c>
      <c r="AA457" s="5">
        <v>150</v>
      </c>
      <c r="AB457" s="5">
        <v>5235616.4383500004</v>
      </c>
      <c r="AC457" s="5" t="str">
        <f t="shared" si="25"/>
        <v>Bonos</v>
      </c>
      <c r="AD457" s="5" t="s">
        <v>43</v>
      </c>
      <c r="AE457" s="5">
        <f t="shared" si="23"/>
        <v>2</v>
      </c>
      <c r="AF457" s="5">
        <f t="shared" si="24"/>
        <v>2018</v>
      </c>
    </row>
    <row r="458" s="5" customFormat="1" ht="13">
      <c r="A458" s="5" t="s">
        <v>44</v>
      </c>
      <c r="B458" s="5" t="s">
        <v>44</v>
      </c>
      <c r="C458" s="5" t="s">
        <v>99</v>
      </c>
      <c r="D458" s="5" t="s">
        <v>21</v>
      </c>
      <c r="E458" s="5" t="s">
        <v>44</v>
      </c>
      <c r="F458" s="5" t="s">
        <v>100</v>
      </c>
      <c r="G458" s="5" t="s">
        <v>75</v>
      </c>
      <c r="H458" s="9" t="s">
        <v>229</v>
      </c>
      <c r="I458" s="10"/>
      <c r="J458" s="10">
        <v>43181</v>
      </c>
      <c r="K458" s="5" t="s">
        <v>102</v>
      </c>
      <c r="L458" s="5" t="s">
        <v>102</v>
      </c>
      <c r="M458" s="11">
        <v>0.089999999999999997</v>
      </c>
      <c r="N458" s="5" t="e">
        <f>IF(AND(M458&gt;#REF!,Cartera!O458="Guaraníes"),"Rendimiento significativo",IF(AND(M458&gt;#REF!,Cartera!O458="Dólares americanos"),"Rendimiento significativo","Rendimiento no significativo"))</f>
        <v>#REF!</v>
      </c>
      <c r="O458" s="5" t="s">
        <v>41</v>
      </c>
      <c r="P458" s="12">
        <v>187177344</v>
      </c>
      <c r="Q458" s="12">
        <f>IF(O458="Guaraníes",P458,P458*#REF!)</f>
        <v>187177344</v>
      </c>
      <c r="R458" s="12" t="e">
        <f>IF(O458="Guaraníes",P458/#REF!,P458)</f>
        <v>#REF!</v>
      </c>
      <c r="S458" s="5" t="s">
        <v>52</v>
      </c>
      <c r="T458" s="5">
        <v>25</v>
      </c>
      <c r="W458" s="5" t="s">
        <v>230</v>
      </c>
      <c r="X458" s="5">
        <v>0</v>
      </c>
      <c r="Y458" s="5">
        <v>0</v>
      </c>
      <c r="Z458" s="5">
        <v>44630.136985999998</v>
      </c>
      <c r="AA458" s="5">
        <v>135</v>
      </c>
      <c r="AB458" s="5">
        <v>6025068.4931100002</v>
      </c>
      <c r="AC458" s="5" t="str">
        <f t="shared" si="25"/>
        <v>Bonos</v>
      </c>
      <c r="AD458" s="5" t="s">
        <v>43</v>
      </c>
      <c r="AE458" s="5">
        <f t="shared" si="23"/>
        <v>3</v>
      </c>
      <c r="AF458" s="5">
        <f t="shared" si="24"/>
        <v>2018</v>
      </c>
    </row>
    <row r="459" s="5" customFormat="1" ht="13">
      <c r="A459" s="5" t="s">
        <v>44</v>
      </c>
      <c r="B459" s="5" t="s">
        <v>44</v>
      </c>
      <c r="C459" s="5" t="s">
        <v>114</v>
      </c>
      <c r="D459" s="5" t="s">
        <v>21</v>
      </c>
      <c r="E459" s="5" t="s">
        <v>44</v>
      </c>
      <c r="F459" s="5" t="s">
        <v>68</v>
      </c>
      <c r="G459" s="5" t="s">
        <v>75</v>
      </c>
      <c r="H459" s="9" t="s">
        <v>226</v>
      </c>
      <c r="I459" s="10"/>
      <c r="J459" s="10">
        <v>43181</v>
      </c>
      <c r="K459" s="5" t="s">
        <v>77</v>
      </c>
      <c r="L459" s="5" t="s">
        <v>58</v>
      </c>
      <c r="M459" s="11">
        <v>0.14000000000000001</v>
      </c>
      <c r="N459" s="5" t="e">
        <f>IF(AND(M459&gt;#REF!,Cartera!O459="Guaraníes"),"Rendimiento significativo",IF(AND(M459&gt;#REF!,Cartera!O459="Dólares americanos"),"Rendimiento significativo","Rendimiento no significativo"))</f>
        <v>#REF!</v>
      </c>
      <c r="O459" s="5" t="s">
        <v>41</v>
      </c>
      <c r="P459" s="12">
        <v>523561.643835</v>
      </c>
      <c r="Q459" s="12">
        <f>IF(O459="Guaraníes",P459,P459*#REF!)</f>
        <v>523561.643835</v>
      </c>
      <c r="R459" s="12" t="e">
        <f>IF(O459="Guaraníes",P459/#REF!,P459)</f>
        <v>#REF!</v>
      </c>
      <c r="S459" s="5" t="s">
        <v>52</v>
      </c>
      <c r="T459" s="5">
        <v>25</v>
      </c>
      <c r="W459" s="5" t="s">
        <v>65</v>
      </c>
      <c r="X459" s="5">
        <v>0</v>
      </c>
      <c r="Y459" s="5">
        <v>0</v>
      </c>
      <c r="Z459" s="5">
        <v>34904.109589</v>
      </c>
      <c r="AA459" s="5">
        <v>15</v>
      </c>
      <c r="AB459" s="5">
        <v>523561.643835</v>
      </c>
      <c r="AC459" s="5" t="str">
        <f t="shared" si="25"/>
        <v>Bonos</v>
      </c>
      <c r="AD459" s="5" t="s">
        <v>43</v>
      </c>
      <c r="AE459" s="5">
        <f t="shared" si="23"/>
        <v>3</v>
      </c>
      <c r="AF459" s="5">
        <f t="shared" si="24"/>
        <v>2018</v>
      </c>
    </row>
    <row r="460" s="5" customFormat="1" ht="13">
      <c r="A460" s="5" t="s">
        <v>44</v>
      </c>
      <c r="B460" s="5" t="s">
        <v>44</v>
      </c>
      <c r="C460" s="5" t="s">
        <v>114</v>
      </c>
      <c r="D460" s="5" t="s">
        <v>21</v>
      </c>
      <c r="E460" s="5" t="s">
        <v>44</v>
      </c>
      <c r="F460" s="5" t="s">
        <v>68</v>
      </c>
      <c r="G460" s="5" t="s">
        <v>75</v>
      </c>
      <c r="H460" s="9" t="s">
        <v>236</v>
      </c>
      <c r="I460" s="10"/>
      <c r="J460" s="10">
        <v>43181</v>
      </c>
      <c r="K460" s="5" t="s">
        <v>77</v>
      </c>
      <c r="L460" s="5" t="s">
        <v>50</v>
      </c>
      <c r="M460" s="11">
        <v>0.14749999999999999</v>
      </c>
      <c r="N460" s="5" t="e">
        <f>IF(AND(M460&gt;#REF!,Cartera!O460="Guaraníes"),"Rendimiento significativo",IF(AND(M460&gt;#REF!,Cartera!O460="Dólares americanos"),"Rendimiento significativo","Rendimiento no significativo"))</f>
        <v>#REF!</v>
      </c>
      <c r="O460" s="5" t="s">
        <v>41</v>
      </c>
      <c r="P460" s="12">
        <v>112191.780822</v>
      </c>
      <c r="Q460" s="12">
        <f>IF(O460="Guaraníes",P460,P460*#REF!)</f>
        <v>112191.780822</v>
      </c>
      <c r="R460" s="12" t="e">
        <f>IF(O460="Guaraníes",P460/#REF!,P460)</f>
        <v>#REF!</v>
      </c>
      <c r="S460" s="5" t="s">
        <v>52</v>
      </c>
      <c r="T460" s="5">
        <v>25</v>
      </c>
      <c r="W460" s="5" t="s">
        <v>65</v>
      </c>
      <c r="X460" s="5">
        <v>0</v>
      </c>
      <c r="Y460" s="5">
        <v>0</v>
      </c>
      <c r="Z460" s="5">
        <v>37397.260274</v>
      </c>
      <c r="AA460" s="5">
        <v>3</v>
      </c>
      <c r="AB460" s="5">
        <v>112191.780822</v>
      </c>
      <c r="AC460" s="5" t="str">
        <f t="shared" si="25"/>
        <v>Bonos</v>
      </c>
      <c r="AD460" s="5" t="s">
        <v>43</v>
      </c>
      <c r="AE460" s="5">
        <f t="shared" si="23"/>
        <v>3</v>
      </c>
      <c r="AF460" s="5">
        <f t="shared" si="24"/>
        <v>2018</v>
      </c>
    </row>
    <row r="461" s="5" customFormat="1" ht="13">
      <c r="A461" s="5" t="s">
        <v>44</v>
      </c>
      <c r="B461" s="5" t="s">
        <v>44</v>
      </c>
      <c r="C461" s="5" t="s">
        <v>114</v>
      </c>
      <c r="D461" s="5" t="s">
        <v>21</v>
      </c>
      <c r="E461" s="5" t="s">
        <v>44</v>
      </c>
      <c r="F461" s="5" t="s">
        <v>68</v>
      </c>
      <c r="G461" s="5" t="s">
        <v>75</v>
      </c>
      <c r="H461" s="9" t="s">
        <v>237</v>
      </c>
      <c r="I461" s="10"/>
      <c r="J461" s="10">
        <v>43193</v>
      </c>
      <c r="K461" s="5" t="s">
        <v>77</v>
      </c>
      <c r="L461" s="5" t="s">
        <v>50</v>
      </c>
      <c r="M461" s="11">
        <v>0.13750000000000001</v>
      </c>
      <c r="N461" s="5" t="e">
        <f>IF(AND(M461&gt;#REF!,Cartera!O461="Guaraníes"),"Rendimiento significativo",IF(AND(M461&gt;#REF!,Cartera!O461="Dólares americanos"),"Rendimiento significativo","Rendimiento no significativo"))</f>
        <v>#REF!</v>
      </c>
      <c r="O461" s="5" t="s">
        <v>41</v>
      </c>
      <c r="P461" s="12">
        <v>678082.19177999999</v>
      </c>
      <c r="Q461" s="12">
        <f>IF(O461="Guaraníes",P461,P461*#REF!)</f>
        <v>678082.19177999999</v>
      </c>
      <c r="R461" s="12" t="e">
        <f>IF(O461="Guaraníes",P461/#REF!,P461)</f>
        <v>#REF!</v>
      </c>
      <c r="S461" s="5" t="s">
        <v>52</v>
      </c>
      <c r="T461" s="5">
        <v>25</v>
      </c>
      <c r="W461" s="5" t="s">
        <v>65</v>
      </c>
      <c r="X461" s="5">
        <v>0</v>
      </c>
      <c r="Y461" s="5">
        <v>0</v>
      </c>
      <c r="Z461" s="5">
        <v>33904.109589</v>
      </c>
      <c r="AA461" s="5">
        <v>20</v>
      </c>
      <c r="AB461" s="5">
        <v>678082.19177999999</v>
      </c>
      <c r="AC461" s="5" t="str">
        <f t="shared" si="25"/>
        <v>Bonos</v>
      </c>
      <c r="AD461" s="5" t="s">
        <v>43</v>
      </c>
      <c r="AE461" s="5">
        <f t="shared" si="23"/>
        <v>4</v>
      </c>
      <c r="AF461" s="5">
        <f t="shared" si="24"/>
        <v>2018</v>
      </c>
    </row>
    <row r="462" s="5" customFormat="1" ht="13">
      <c r="A462" s="5" t="s">
        <v>44</v>
      </c>
      <c r="B462" s="5" t="s">
        <v>44</v>
      </c>
      <c r="C462" s="5" t="s">
        <v>156</v>
      </c>
      <c r="D462" s="5" t="s">
        <v>21</v>
      </c>
      <c r="E462" s="5" t="s">
        <v>44</v>
      </c>
      <c r="F462" s="5" t="s">
        <v>68</v>
      </c>
      <c r="G462" s="5" t="s">
        <v>75</v>
      </c>
      <c r="H462" s="9" t="s">
        <v>157</v>
      </c>
      <c r="I462" s="10"/>
      <c r="J462" s="10">
        <v>43207</v>
      </c>
      <c r="K462" s="5" t="s">
        <v>158</v>
      </c>
      <c r="L462" s="5" t="s">
        <v>58</v>
      </c>
      <c r="M462" s="11">
        <v>0.16</v>
      </c>
      <c r="N462" s="5" t="e">
        <f>IF(AND(M462&gt;#REF!,Cartera!O462="Guaraníes"),"Rendimiento significativo",IF(AND(M462&gt;#REF!,Cartera!O462="Dólares americanos"),"Rendimiento significativo","Rendimiento no significativo"))</f>
        <v>#REF!</v>
      </c>
      <c r="O462" s="5" t="s">
        <v>41</v>
      </c>
      <c r="P462" s="12">
        <v>4188493.15068</v>
      </c>
      <c r="Q462" s="12">
        <f>IF(O462="Guaraníes",P462,P462*#REF!)</f>
        <v>4188493.15068</v>
      </c>
      <c r="R462" s="12" t="e">
        <f>IF(O462="Guaraníes",P462/#REF!,P462)</f>
        <v>#REF!</v>
      </c>
      <c r="S462" s="5" t="s">
        <v>52</v>
      </c>
      <c r="T462" s="5">
        <v>25</v>
      </c>
      <c r="W462" s="5" t="s">
        <v>53</v>
      </c>
      <c r="X462" s="5">
        <v>0</v>
      </c>
      <c r="Y462" s="5">
        <v>0</v>
      </c>
      <c r="Z462" s="5">
        <v>34904.109589</v>
      </c>
      <c r="AA462" s="5">
        <v>120</v>
      </c>
      <c r="AB462" s="5">
        <v>4188493.15068</v>
      </c>
      <c r="AC462" s="5" t="str">
        <f t="shared" si="25"/>
        <v>Bonos</v>
      </c>
      <c r="AD462" s="5" t="s">
        <v>43</v>
      </c>
      <c r="AE462" s="5">
        <f t="shared" si="23"/>
        <v>4</v>
      </c>
      <c r="AF462" s="5">
        <f t="shared" si="24"/>
        <v>2018</v>
      </c>
    </row>
    <row r="463" s="5" customFormat="1" ht="13">
      <c r="A463" s="5" t="s">
        <v>44</v>
      </c>
      <c r="B463" s="5" t="s">
        <v>44</v>
      </c>
      <c r="C463" s="5" t="s">
        <v>239</v>
      </c>
      <c r="D463" s="5" t="s">
        <v>21</v>
      </c>
      <c r="E463" s="5" t="s">
        <v>44</v>
      </c>
      <c r="F463" s="5" t="s">
        <v>68</v>
      </c>
      <c r="G463" s="5" t="s">
        <v>75</v>
      </c>
      <c r="H463" s="9" t="s">
        <v>240</v>
      </c>
      <c r="I463" s="10"/>
      <c r="J463" s="10">
        <v>43214</v>
      </c>
      <c r="K463" s="5" t="s">
        <v>49</v>
      </c>
      <c r="L463" s="5" t="s">
        <v>58</v>
      </c>
      <c r="M463" s="11">
        <v>0.13</v>
      </c>
      <c r="N463" s="5" t="e">
        <f>IF(AND(M463&gt;#REF!,Cartera!O463="Guaraníes"),"Rendimiento significativo",IF(AND(M463&gt;#REF!,Cartera!O463="Dólares americanos"),"Rendimiento significativo","Rendimiento no significativo"))</f>
        <v>#REF!</v>
      </c>
      <c r="O463" s="5" t="s">
        <v>41</v>
      </c>
      <c r="P463" s="12">
        <v>1620547.9452</v>
      </c>
      <c r="Q463" s="12">
        <f>IF(O463="Guaraníes",P463,P463*#REF!)</f>
        <v>1620547.9452</v>
      </c>
      <c r="R463" s="12" t="e">
        <f>IF(O463="Guaraníes",P463/#REF!,P463)</f>
        <v>#REF!</v>
      </c>
      <c r="S463" s="5" t="s">
        <v>52</v>
      </c>
      <c r="T463" s="5">
        <v>25</v>
      </c>
      <c r="W463" s="5" t="s">
        <v>245</v>
      </c>
      <c r="X463" s="5">
        <v>0</v>
      </c>
      <c r="Y463" s="5">
        <v>0</v>
      </c>
      <c r="Z463" s="5">
        <v>32410.958903999999</v>
      </c>
      <c r="AA463" s="5">
        <v>50</v>
      </c>
      <c r="AB463" s="5">
        <v>1620547.9452</v>
      </c>
      <c r="AC463" s="5" t="str">
        <f t="shared" si="25"/>
        <v>Bonos</v>
      </c>
      <c r="AD463" s="5" t="s">
        <v>43</v>
      </c>
      <c r="AE463" s="5">
        <f t="shared" si="23"/>
        <v>4</v>
      </c>
      <c r="AF463" s="5">
        <f t="shared" si="24"/>
        <v>2018</v>
      </c>
    </row>
    <row r="464" s="5" customFormat="1" ht="13">
      <c r="A464" s="5" t="s">
        <v>44</v>
      </c>
      <c r="B464" s="5" t="s">
        <v>44</v>
      </c>
      <c r="C464" s="5" t="s">
        <v>114</v>
      </c>
      <c r="D464" s="5" t="s">
        <v>21</v>
      </c>
      <c r="E464" s="5" t="s">
        <v>44</v>
      </c>
      <c r="F464" s="5" t="s">
        <v>68</v>
      </c>
      <c r="G464" s="5" t="s">
        <v>75</v>
      </c>
      <c r="H464" s="9" t="s">
        <v>234</v>
      </c>
      <c r="I464" s="10"/>
      <c r="J464" s="10">
        <v>43215</v>
      </c>
      <c r="K464" s="5" t="s">
        <v>77</v>
      </c>
      <c r="L464" s="5" t="s">
        <v>50</v>
      </c>
      <c r="M464" s="11">
        <v>0.12</v>
      </c>
      <c r="N464" s="5" t="e">
        <f>IF(AND(M464&gt;#REF!,Cartera!O464="Guaraníes"),"Rendimiento significativo",IF(AND(M464&gt;#REF!,Cartera!O464="Dólares americanos"),"Rendimiento significativo","Rendimiento no significativo"))</f>
        <v>#REF!</v>
      </c>
      <c r="O464" s="5" t="s">
        <v>51</v>
      </c>
      <c r="P464" s="13">
        <v>486.16437000000002</v>
      </c>
      <c r="Q464" s="12" t="e">
        <f>IF(O464="Guaraníes",P464,P464*#REF!)</f>
        <v>#REF!</v>
      </c>
      <c r="R464" s="12">
        <f>IF(O464="Guaraníes",P464/#REF!,P464)</f>
        <v>486.16437000000002</v>
      </c>
      <c r="S464" s="5" t="s">
        <v>52</v>
      </c>
      <c r="T464" s="5">
        <v>25</v>
      </c>
      <c r="W464" s="5" t="s">
        <v>65</v>
      </c>
      <c r="X464" s="5">
        <v>0</v>
      </c>
      <c r="Y464" s="5">
        <v>0</v>
      </c>
      <c r="Z464" s="5">
        <v>16.205479</v>
      </c>
      <c r="AA464" s="5">
        <v>30</v>
      </c>
      <c r="AB464" s="5">
        <v>486.16437000000002</v>
      </c>
      <c r="AC464" s="5" t="str">
        <f t="shared" si="25"/>
        <v>Bonos</v>
      </c>
      <c r="AD464" s="5" t="s">
        <v>43</v>
      </c>
      <c r="AE464" s="5">
        <f t="shared" si="23"/>
        <v>4</v>
      </c>
      <c r="AF464" s="5">
        <f t="shared" si="24"/>
        <v>2018</v>
      </c>
    </row>
    <row r="465" s="5" customFormat="1" ht="13">
      <c r="A465" s="5" t="s">
        <v>44</v>
      </c>
      <c r="B465" s="5" t="s">
        <v>44</v>
      </c>
      <c r="C465" s="5" t="s">
        <v>156</v>
      </c>
      <c r="D465" s="5" t="s">
        <v>21</v>
      </c>
      <c r="E465" s="5" t="s">
        <v>44</v>
      </c>
      <c r="F465" s="5" t="s">
        <v>68</v>
      </c>
      <c r="G465" s="5" t="s">
        <v>75</v>
      </c>
      <c r="H465" s="9" t="s">
        <v>246</v>
      </c>
      <c r="I465" s="10"/>
      <c r="J465" s="10">
        <v>43223</v>
      </c>
      <c r="K465" s="5" t="s">
        <v>158</v>
      </c>
      <c r="L465" s="5" t="s">
        <v>58</v>
      </c>
      <c r="M465" s="11">
        <v>0.125</v>
      </c>
      <c r="N465" s="5" t="e">
        <f>IF(AND(M465&gt;#REF!,Cartera!O465="Guaraníes"),"Rendimiento significativo",IF(AND(M465&gt;#REF!,Cartera!O465="Dólares americanos"),"Rendimiento significativo","Rendimiento no significativo"))</f>
        <v>#REF!</v>
      </c>
      <c r="O465" s="5" t="s">
        <v>41</v>
      </c>
      <c r="P465" s="12">
        <v>1479452.0548</v>
      </c>
      <c r="Q465" s="12">
        <f>IF(O465="Guaraníes",P465,P465*#REF!)</f>
        <v>1479452.0548</v>
      </c>
      <c r="R465" s="12" t="e">
        <f>IF(O465="Guaraníes",P465/#REF!,P465)</f>
        <v>#REF!</v>
      </c>
      <c r="S465" s="5" t="s">
        <v>52</v>
      </c>
      <c r="T465" s="5">
        <v>25</v>
      </c>
      <c r="W465" s="5" t="s">
        <v>247</v>
      </c>
      <c r="X465" s="5">
        <v>0</v>
      </c>
      <c r="Y465" s="5">
        <v>0</v>
      </c>
      <c r="Z465" s="5">
        <v>29589.041096000001</v>
      </c>
      <c r="AA465" s="5">
        <v>50</v>
      </c>
      <c r="AB465" s="5">
        <v>1479452.0548</v>
      </c>
      <c r="AC465" s="5" t="str">
        <f t="shared" si="25"/>
        <v>Bonos</v>
      </c>
      <c r="AD465" s="5" t="s">
        <v>43</v>
      </c>
      <c r="AE465" s="5">
        <f t="shared" si="23"/>
        <v>5</v>
      </c>
      <c r="AF465" s="5">
        <f t="shared" si="24"/>
        <v>2018</v>
      </c>
    </row>
    <row r="466" s="5" customFormat="1" ht="13">
      <c r="A466" s="5" t="s">
        <v>44</v>
      </c>
      <c r="B466" s="5" t="s">
        <v>44</v>
      </c>
      <c r="C466" s="5" t="s">
        <v>114</v>
      </c>
      <c r="D466" s="5" t="s">
        <v>21</v>
      </c>
      <c r="E466" s="5" t="s">
        <v>44</v>
      </c>
      <c r="F466" s="5" t="s">
        <v>68</v>
      </c>
      <c r="G466" s="5" t="s">
        <v>75</v>
      </c>
      <c r="H466" s="9" t="s">
        <v>235</v>
      </c>
      <c r="I466" s="10"/>
      <c r="J466" s="10">
        <v>43223</v>
      </c>
      <c r="K466" s="5" t="s">
        <v>77</v>
      </c>
      <c r="L466" s="5" t="s">
        <v>50</v>
      </c>
      <c r="M466" s="11">
        <v>0.14249999999999999</v>
      </c>
      <c r="N466" s="5" t="e">
        <f>IF(AND(M466&gt;#REF!,Cartera!O466="Guaraníes"),"Rendimiento significativo",IF(AND(M466&gt;#REF!,Cartera!O466="Dólares americanos"),"Rendimiento significativo","Rendimiento no significativo"))</f>
        <v>#REF!</v>
      </c>
      <c r="O466" s="5" t="s">
        <v>41</v>
      </c>
      <c r="P466" s="12">
        <v>183869.86301500001</v>
      </c>
      <c r="Q466" s="12">
        <f>IF(O466="Guaraníes",P466,P466*#REF!)</f>
        <v>183869.86301500001</v>
      </c>
      <c r="R466" s="12" t="e">
        <f>IF(O466="Guaraníes",P466/#REF!,P466)</f>
        <v>#REF!</v>
      </c>
      <c r="S466" s="5" t="s">
        <v>52</v>
      </c>
      <c r="T466" s="5">
        <v>25</v>
      </c>
      <c r="W466" s="5" t="s">
        <v>65</v>
      </c>
      <c r="X466" s="5">
        <v>0</v>
      </c>
      <c r="Y466" s="5">
        <v>0</v>
      </c>
      <c r="Z466" s="5">
        <v>36773.972603000002</v>
      </c>
      <c r="AA466" s="5">
        <v>5</v>
      </c>
      <c r="AB466" s="5">
        <v>183869.86301500001</v>
      </c>
      <c r="AC466" s="5" t="str">
        <f t="shared" si="25"/>
        <v>Bonos</v>
      </c>
      <c r="AD466" s="5" t="s">
        <v>43</v>
      </c>
      <c r="AE466" s="5">
        <f t="shared" si="23"/>
        <v>5</v>
      </c>
      <c r="AF466" s="5">
        <f t="shared" si="24"/>
        <v>2018</v>
      </c>
    </row>
    <row r="467" s="5" customFormat="1" ht="13">
      <c r="A467" s="5" t="s">
        <v>44</v>
      </c>
      <c r="B467" s="5" t="s">
        <v>44</v>
      </c>
      <c r="C467" s="5" t="s">
        <v>114</v>
      </c>
      <c r="D467" s="5" t="s">
        <v>21</v>
      </c>
      <c r="E467" s="5" t="s">
        <v>44</v>
      </c>
      <c r="F467" s="5" t="s">
        <v>68</v>
      </c>
      <c r="G467" s="5" t="s">
        <v>75</v>
      </c>
      <c r="H467" s="9" t="s">
        <v>115</v>
      </c>
      <c r="I467" s="10"/>
      <c r="J467" s="10">
        <v>43223</v>
      </c>
      <c r="K467" s="5" t="s">
        <v>77</v>
      </c>
      <c r="L467" s="5" t="s">
        <v>50</v>
      </c>
      <c r="M467" s="11">
        <v>0.125</v>
      </c>
      <c r="N467" s="5" t="e">
        <f>IF(AND(M467&gt;#REF!,Cartera!O467="Guaraníes"),"Rendimiento significativo",IF(AND(M467&gt;#REF!,Cartera!O467="Dólares americanos"),"Rendimiento significativo","Rendimiento no significativo"))</f>
        <v>#REF!</v>
      </c>
      <c r="O467" s="5" t="s">
        <v>41</v>
      </c>
      <c r="P467" s="12">
        <v>897534.24656999996</v>
      </c>
      <c r="Q467" s="12">
        <f>IF(O467="Guaraníes",P467,P467*#REF!)</f>
        <v>897534.24656999996</v>
      </c>
      <c r="R467" s="12" t="e">
        <f>IF(O467="Guaraníes",P467/#REF!,P467)</f>
        <v>#REF!</v>
      </c>
      <c r="S467" s="5" t="s">
        <v>52</v>
      </c>
      <c r="T467" s="5">
        <v>25</v>
      </c>
      <c r="W467" s="5" t="s">
        <v>65</v>
      </c>
      <c r="X467" s="5">
        <v>0</v>
      </c>
      <c r="Y467" s="5">
        <v>0</v>
      </c>
      <c r="Z467" s="5">
        <v>29917.808218999999</v>
      </c>
      <c r="AA467" s="5">
        <v>30</v>
      </c>
      <c r="AB467" s="5">
        <v>897534.24656999996</v>
      </c>
      <c r="AC467" s="5" t="str">
        <f t="shared" si="25"/>
        <v>Bonos</v>
      </c>
      <c r="AD467" s="5" t="s">
        <v>43</v>
      </c>
      <c r="AE467" s="5">
        <f t="shared" si="23"/>
        <v>5</v>
      </c>
      <c r="AF467" s="5">
        <f t="shared" si="24"/>
        <v>2018</v>
      </c>
    </row>
    <row r="468" s="5" customFormat="1" ht="13">
      <c r="A468" s="5" t="s">
        <v>44</v>
      </c>
      <c r="B468" s="5" t="s">
        <v>44</v>
      </c>
      <c r="C468" s="5" t="s">
        <v>99</v>
      </c>
      <c r="D468" s="5" t="s">
        <v>21</v>
      </c>
      <c r="E468" s="5" t="s">
        <v>44</v>
      </c>
      <c r="F468" s="5" t="s">
        <v>100</v>
      </c>
      <c r="G468" s="5" t="s">
        <v>75</v>
      </c>
      <c r="H468" s="9" t="s">
        <v>248</v>
      </c>
      <c r="I468" s="10"/>
      <c r="J468" s="10">
        <v>43229</v>
      </c>
      <c r="K468" s="5" t="s">
        <v>102</v>
      </c>
      <c r="L468" s="5" t="s">
        <v>102</v>
      </c>
      <c r="M468" s="11">
        <v>0.077499999999999999</v>
      </c>
      <c r="N468" s="5" t="e">
        <f>IF(AND(M468&gt;#REF!,Cartera!O468="Guaraníes"),"Rendimiento significativo",IF(AND(M468&gt;#REF!,Cartera!O468="Dólares americanos"),"Rendimiento significativo","Rendimiento no significativo"))</f>
        <v>#REF!</v>
      </c>
      <c r="O468" s="5" t="s">
        <v>41</v>
      </c>
      <c r="P468" s="12">
        <v>1750000</v>
      </c>
      <c r="Q468" s="12">
        <f>IF(O468="Guaraníes",P468,P468*#REF!)</f>
        <v>1750000</v>
      </c>
      <c r="R468" s="12" t="e">
        <f>IF(O468="Guaraníes",P468/#REF!,P468)</f>
        <v>#REF!</v>
      </c>
      <c r="S468" s="5" t="s">
        <v>52</v>
      </c>
      <c r="T468" s="5">
        <v>25</v>
      </c>
      <c r="W468" s="5" t="s">
        <v>249</v>
      </c>
      <c r="X468" s="5">
        <v>0</v>
      </c>
      <c r="Y468" s="5">
        <v>0</v>
      </c>
      <c r="Z468" s="5">
        <v>35000</v>
      </c>
      <c r="AA468" s="5">
        <v>50</v>
      </c>
      <c r="AB468" s="5">
        <v>1750000</v>
      </c>
      <c r="AC468" s="5" t="str">
        <f t="shared" si="25"/>
        <v>Bonos</v>
      </c>
      <c r="AD468" s="5" t="s">
        <v>43</v>
      </c>
      <c r="AE468" s="5">
        <f t="shared" si="23"/>
        <v>5</v>
      </c>
      <c r="AF468" s="5">
        <f t="shared" si="24"/>
        <v>2018</v>
      </c>
    </row>
    <row r="469" s="5" customFormat="1" ht="13">
      <c r="A469" s="5" t="s">
        <v>44</v>
      </c>
      <c r="B469" s="5" t="s">
        <v>44</v>
      </c>
      <c r="C469" s="5" t="s">
        <v>242</v>
      </c>
      <c r="D469" s="5" t="s">
        <v>21</v>
      </c>
      <c r="E469" s="5" t="s">
        <v>44</v>
      </c>
      <c r="F469" s="5" t="s">
        <v>68</v>
      </c>
      <c r="G469" s="5" t="s">
        <v>75</v>
      </c>
      <c r="H469" s="9" t="s">
        <v>243</v>
      </c>
      <c r="I469" s="10"/>
      <c r="J469" s="10">
        <v>43241</v>
      </c>
      <c r="K469" s="5" t="s">
        <v>244</v>
      </c>
      <c r="L469" s="5" t="s">
        <v>58</v>
      </c>
      <c r="M469" s="11">
        <v>0.13750000000000001</v>
      </c>
      <c r="N469" s="5" t="e">
        <f>IF(AND(M469&gt;#REF!,Cartera!O469="Guaraníes"),"Rendimiento significativo",IF(AND(M469&gt;#REF!,Cartera!O469="Dólares americanos"),"Rendimiento significativo","Rendimiento no significativo"))</f>
        <v>#REF!</v>
      </c>
      <c r="O469" s="5" t="s">
        <v>41</v>
      </c>
      <c r="P469" s="12">
        <v>1028424.65754</v>
      </c>
      <c r="Q469" s="12">
        <f>IF(O469="Guaraníes",P469,P469*#REF!)</f>
        <v>1028424.65754</v>
      </c>
      <c r="R469" s="12" t="e">
        <f>IF(O469="Guaraníes",P469/#REF!,P469)</f>
        <v>#REF!</v>
      </c>
      <c r="S469" s="5" t="s">
        <v>52</v>
      </c>
      <c r="T469" s="5">
        <v>25</v>
      </c>
      <c r="W469" s="5" t="s">
        <v>245</v>
      </c>
      <c r="X469" s="5">
        <v>0</v>
      </c>
      <c r="Y469" s="5">
        <v>0</v>
      </c>
      <c r="Z469" s="5">
        <v>34280.821918000001</v>
      </c>
      <c r="AA469" s="5">
        <v>30</v>
      </c>
      <c r="AB469" s="5">
        <v>1028424.65754</v>
      </c>
      <c r="AC469" s="5" t="str">
        <f t="shared" si="25"/>
        <v>Bonos</v>
      </c>
      <c r="AD469" s="5" t="s">
        <v>43</v>
      </c>
      <c r="AE469" s="5">
        <f t="shared" si="23"/>
        <v>5</v>
      </c>
      <c r="AF469" s="5">
        <f t="shared" si="24"/>
        <v>2018</v>
      </c>
    </row>
    <row r="470" s="5" customFormat="1" ht="13">
      <c r="A470" s="5" t="s">
        <v>44</v>
      </c>
      <c r="B470" s="5" t="s">
        <v>44</v>
      </c>
      <c r="C470" s="5" t="s">
        <v>114</v>
      </c>
      <c r="D470" s="5" t="s">
        <v>21</v>
      </c>
      <c r="E470" s="5" t="s">
        <v>44</v>
      </c>
      <c r="F470" s="5" t="s">
        <v>68</v>
      </c>
      <c r="G470" s="5" t="s">
        <v>75</v>
      </c>
      <c r="H470" s="9" t="s">
        <v>170</v>
      </c>
      <c r="I470" s="10"/>
      <c r="J470" s="10">
        <v>43242</v>
      </c>
      <c r="K470" s="5" t="s">
        <v>77</v>
      </c>
      <c r="L470" s="5" t="s">
        <v>50</v>
      </c>
      <c r="M470" s="11">
        <v>0.14000000000000001</v>
      </c>
      <c r="N470" s="5" t="e">
        <f>IF(AND(M470&gt;#REF!,Cartera!O470="Guaraníes"),"Rendimiento significativo",IF(AND(M470&gt;#REF!,Cartera!O470="Dólares americanos"),"Rendimiento significativo","Rendimiento no significativo"))</f>
        <v>#REF!</v>
      </c>
      <c r="O470" s="5" t="s">
        <v>41</v>
      </c>
      <c r="P470" s="12">
        <v>3490410.9589</v>
      </c>
      <c r="Q470" s="12">
        <f>IF(O470="Guaraníes",P470,P470*#REF!)</f>
        <v>3490410.9589</v>
      </c>
      <c r="R470" s="12" t="e">
        <f>IF(O470="Guaraníes",P470/#REF!,P470)</f>
        <v>#REF!</v>
      </c>
      <c r="S470" s="5" t="s">
        <v>52</v>
      </c>
      <c r="T470" s="5">
        <v>25</v>
      </c>
      <c r="W470" s="5" t="s">
        <v>65</v>
      </c>
      <c r="X470" s="5">
        <v>0</v>
      </c>
      <c r="Y470" s="5">
        <v>0</v>
      </c>
      <c r="Z470" s="5">
        <v>34904.109589</v>
      </c>
      <c r="AA470" s="5">
        <v>100</v>
      </c>
      <c r="AB470" s="5">
        <v>3490410.9589</v>
      </c>
      <c r="AC470" s="5" t="str">
        <f t="shared" si="25"/>
        <v>Bonos</v>
      </c>
      <c r="AD470" s="5" t="s">
        <v>43</v>
      </c>
      <c r="AE470" s="5">
        <f t="shared" si="23"/>
        <v>5</v>
      </c>
      <c r="AF470" s="5">
        <f t="shared" si="24"/>
        <v>2018</v>
      </c>
    </row>
    <row r="471" s="5" customFormat="1" ht="13">
      <c r="A471" s="5" t="s">
        <v>44</v>
      </c>
      <c r="B471" s="5" t="s">
        <v>44</v>
      </c>
      <c r="C471" s="5" t="s">
        <v>227</v>
      </c>
      <c r="D471" s="5" t="s">
        <v>21</v>
      </c>
      <c r="E471" s="5" t="s">
        <v>44</v>
      </c>
      <c r="F471" s="5" t="s">
        <v>68</v>
      </c>
      <c r="G471" s="5" t="s">
        <v>75</v>
      </c>
      <c r="H471" s="9" t="s">
        <v>228</v>
      </c>
      <c r="I471" s="10"/>
      <c r="J471" s="10">
        <v>43244</v>
      </c>
      <c r="K471" s="5" t="s">
        <v>77</v>
      </c>
      <c r="L471" s="5" t="s">
        <v>58</v>
      </c>
      <c r="M471" s="11">
        <v>0.1525</v>
      </c>
      <c r="N471" s="5" t="e">
        <f>IF(AND(M471&gt;#REF!,Cartera!O471="Guaraníes"),"Rendimiento significativo",IF(AND(M471&gt;#REF!,Cartera!O471="Dólares americanos"),"Rendimiento significativo","Rendimiento no significativo"))</f>
        <v>#REF!</v>
      </c>
      <c r="O471" s="5" t="s">
        <v>41</v>
      </c>
      <c r="P471" s="12">
        <v>2851541.0958749996</v>
      </c>
      <c r="Q471" s="12">
        <f>IF(O471="Guaraníes",P471,P471*#REF!)</f>
        <v>2851541.0958749996</v>
      </c>
      <c r="R471" s="12" t="e">
        <f>IF(O471="Guaraníes",P471/#REF!,P471)</f>
        <v>#REF!</v>
      </c>
      <c r="S471" s="5" t="s">
        <v>52</v>
      </c>
      <c r="T471" s="5">
        <v>25</v>
      </c>
      <c r="W471" s="5" t="s">
        <v>196</v>
      </c>
      <c r="X471" s="5">
        <v>0</v>
      </c>
      <c r="Y471" s="5">
        <v>0</v>
      </c>
      <c r="Z471" s="5">
        <v>38020.547944999998</v>
      </c>
      <c r="AA471" s="5">
        <v>75</v>
      </c>
      <c r="AB471" s="5">
        <v>2851541.0958750001</v>
      </c>
      <c r="AC471" s="5" t="str">
        <f t="shared" si="25"/>
        <v>Bonos</v>
      </c>
      <c r="AD471" s="5" t="s">
        <v>43</v>
      </c>
      <c r="AE471" s="5">
        <f t="shared" si="23"/>
        <v>5</v>
      </c>
      <c r="AF471" s="5">
        <f t="shared" si="24"/>
        <v>2018</v>
      </c>
    </row>
    <row r="472" s="5" customFormat="1" ht="13">
      <c r="A472" s="5" t="s">
        <v>44</v>
      </c>
      <c r="B472" s="5" t="s">
        <v>44</v>
      </c>
      <c r="C472" s="5" t="s">
        <v>74</v>
      </c>
      <c r="D472" s="5" t="s">
        <v>21</v>
      </c>
      <c r="E472" s="5" t="s">
        <v>44</v>
      </c>
      <c r="F472" s="5" t="s">
        <v>68</v>
      </c>
      <c r="G472" s="5" t="s">
        <v>75</v>
      </c>
      <c r="H472" s="9" t="s">
        <v>231</v>
      </c>
      <c r="I472" s="10"/>
      <c r="J472" s="10">
        <v>43249</v>
      </c>
      <c r="K472" s="5" t="s">
        <v>77</v>
      </c>
      <c r="L472" s="5" t="s">
        <v>58</v>
      </c>
      <c r="M472" s="11">
        <v>0.14000000000000001</v>
      </c>
      <c r="N472" s="5" t="e">
        <f>IF(AND(M472&gt;#REF!,Cartera!O472="Guaraníes"),"Rendimiento significativo",IF(AND(M472&gt;#REF!,Cartera!O472="Dólares americanos"),"Rendimiento significativo","Rendimiento no significativo"))</f>
        <v>#REF!</v>
      </c>
      <c r="O472" s="5" t="s">
        <v>41</v>
      </c>
      <c r="P472" s="12">
        <v>5235616.4383499995</v>
      </c>
      <c r="Q472" s="12">
        <f>IF(O472="Guaraníes",P472,P472*#REF!)</f>
        <v>5235616.4383499995</v>
      </c>
      <c r="R472" s="12" t="e">
        <f>IF(O472="Guaraníes",P472/#REF!,P472)</f>
        <v>#REF!</v>
      </c>
      <c r="S472" s="5" t="s">
        <v>52</v>
      </c>
      <c r="T472" s="5">
        <v>25</v>
      </c>
      <c r="W472" s="5" t="s">
        <v>232</v>
      </c>
      <c r="X472" s="5">
        <v>0</v>
      </c>
      <c r="Y472" s="5">
        <v>0</v>
      </c>
      <c r="Z472" s="5">
        <v>34904.109589</v>
      </c>
      <c r="AA472" s="5">
        <v>150</v>
      </c>
      <c r="AB472" s="5">
        <v>5235616.4383500004</v>
      </c>
      <c r="AC472" s="5" t="str">
        <f t="shared" si="25"/>
        <v>Bonos</v>
      </c>
      <c r="AD472" s="5" t="s">
        <v>43</v>
      </c>
      <c r="AE472" s="5">
        <f t="shared" si="23"/>
        <v>5</v>
      </c>
      <c r="AF472" s="5">
        <f t="shared" si="24"/>
        <v>2018</v>
      </c>
    </row>
    <row r="473" s="5" customFormat="1" ht="13">
      <c r="A473" s="5" t="s">
        <v>44</v>
      </c>
      <c r="B473" s="5" t="s">
        <v>44</v>
      </c>
      <c r="C473" s="5" t="s">
        <v>114</v>
      </c>
      <c r="D473" s="5" t="s">
        <v>21</v>
      </c>
      <c r="E473" s="5" t="s">
        <v>44</v>
      </c>
      <c r="F473" s="5" t="s">
        <v>68</v>
      </c>
      <c r="G473" s="5" t="s">
        <v>75</v>
      </c>
      <c r="H473" s="9" t="s">
        <v>226</v>
      </c>
      <c r="I473" s="10"/>
      <c r="J473" s="10">
        <v>43272</v>
      </c>
      <c r="K473" s="5" t="s">
        <v>77</v>
      </c>
      <c r="L473" s="5" t="s">
        <v>58</v>
      </c>
      <c r="M473" s="11">
        <v>0.14000000000000001</v>
      </c>
      <c r="N473" s="5" t="e">
        <f>IF(AND(M473&gt;#REF!,Cartera!O473="Guaraníes"),"Rendimiento significativo",IF(AND(M473&gt;#REF!,Cartera!O473="Dólares americanos"),"Rendimiento significativo","Rendimiento no significativo"))</f>
        <v>#REF!</v>
      </c>
      <c r="O473" s="5" t="s">
        <v>41</v>
      </c>
      <c r="P473" s="12">
        <v>523561.643835</v>
      </c>
      <c r="Q473" s="12">
        <f>IF(O473="Guaraníes",P473,P473*#REF!)</f>
        <v>523561.643835</v>
      </c>
      <c r="R473" s="12" t="e">
        <f>IF(O473="Guaraníes",P473/#REF!,P473)</f>
        <v>#REF!</v>
      </c>
      <c r="S473" s="5" t="s">
        <v>52</v>
      </c>
      <c r="T473" s="5">
        <v>25</v>
      </c>
      <c r="W473" s="5" t="s">
        <v>65</v>
      </c>
      <c r="X473" s="5">
        <v>0</v>
      </c>
      <c r="Y473" s="5">
        <v>0</v>
      </c>
      <c r="Z473" s="5">
        <v>34904.109589</v>
      </c>
      <c r="AA473" s="5">
        <v>15</v>
      </c>
      <c r="AB473" s="5">
        <v>523561.643835</v>
      </c>
      <c r="AC473" s="5" t="str">
        <f t="shared" si="25"/>
        <v>Bonos</v>
      </c>
      <c r="AD473" s="5" t="s">
        <v>43</v>
      </c>
      <c r="AE473" s="5">
        <f t="shared" si="23"/>
        <v>6</v>
      </c>
      <c r="AF473" s="5">
        <f t="shared" si="24"/>
        <v>2018</v>
      </c>
    </row>
    <row r="474" s="5" customFormat="1" ht="13">
      <c r="A474" s="5" t="s">
        <v>44</v>
      </c>
      <c r="B474" s="5" t="s">
        <v>44</v>
      </c>
      <c r="C474" s="5" t="s">
        <v>114</v>
      </c>
      <c r="D474" s="5" t="s">
        <v>21</v>
      </c>
      <c r="E474" s="5" t="s">
        <v>44</v>
      </c>
      <c r="F474" s="5" t="s">
        <v>68</v>
      </c>
      <c r="G474" s="5" t="s">
        <v>75</v>
      </c>
      <c r="H474" s="9" t="s">
        <v>236</v>
      </c>
      <c r="I474" s="10"/>
      <c r="J474" s="10">
        <v>43272</v>
      </c>
      <c r="K474" s="5" t="s">
        <v>77</v>
      </c>
      <c r="L474" s="5" t="s">
        <v>50</v>
      </c>
      <c r="M474" s="11">
        <v>0.14749999999999999</v>
      </c>
      <c r="N474" s="5" t="e">
        <f>IF(AND(M474&gt;#REF!,Cartera!O474="Guaraníes"),"Rendimiento significativo",IF(AND(M474&gt;#REF!,Cartera!O474="Dólares americanos"),"Rendimiento significativo","Rendimiento no significativo"))</f>
        <v>#REF!</v>
      </c>
      <c r="O474" s="5" t="s">
        <v>41</v>
      </c>
      <c r="P474" s="12">
        <v>112191.780822</v>
      </c>
      <c r="Q474" s="12">
        <f>IF(O474="Guaraníes",P474,P474*#REF!)</f>
        <v>112191.780822</v>
      </c>
      <c r="R474" s="12" t="e">
        <f>IF(O474="Guaraníes",P474/#REF!,P474)</f>
        <v>#REF!</v>
      </c>
      <c r="S474" s="5" t="s">
        <v>52</v>
      </c>
      <c r="T474" s="5">
        <v>25</v>
      </c>
      <c r="W474" s="5" t="s">
        <v>65</v>
      </c>
      <c r="X474" s="5">
        <v>0</v>
      </c>
      <c r="Y474" s="5">
        <v>0</v>
      </c>
      <c r="Z474" s="5">
        <v>37397.260274</v>
      </c>
      <c r="AA474" s="5">
        <v>3</v>
      </c>
      <c r="AB474" s="5">
        <v>112191.780822</v>
      </c>
      <c r="AC474" s="5" t="str">
        <f t="shared" si="25"/>
        <v>Bonos</v>
      </c>
      <c r="AD474" s="5" t="s">
        <v>43</v>
      </c>
      <c r="AE474" s="5">
        <f t="shared" si="23"/>
        <v>6</v>
      </c>
      <c r="AF474" s="5">
        <f t="shared" si="24"/>
        <v>2018</v>
      </c>
    </row>
    <row r="475" s="5" customFormat="1" ht="13">
      <c r="A475" s="5" t="s">
        <v>44</v>
      </c>
      <c r="B475" s="5" t="s">
        <v>44</v>
      </c>
      <c r="C475" s="5" t="s">
        <v>114</v>
      </c>
      <c r="D475" s="5" t="s">
        <v>21</v>
      </c>
      <c r="E475" s="5" t="s">
        <v>44</v>
      </c>
      <c r="F475" s="5" t="s">
        <v>68</v>
      </c>
      <c r="G475" s="5" t="s">
        <v>75</v>
      </c>
      <c r="H475" s="9" t="s">
        <v>237</v>
      </c>
      <c r="I475" s="10"/>
      <c r="J475" s="10">
        <v>43284</v>
      </c>
      <c r="K475" s="5" t="s">
        <v>77</v>
      </c>
      <c r="L475" s="5" t="s">
        <v>50</v>
      </c>
      <c r="M475" s="11">
        <v>0.13750000000000001</v>
      </c>
      <c r="N475" s="5" t="e">
        <f>IF(AND(M475&gt;#REF!,Cartera!O475="Guaraníes"),"Rendimiento significativo",IF(AND(M475&gt;#REF!,Cartera!O475="Dólares americanos"),"Rendimiento significativo","Rendimiento no significativo"))</f>
        <v>#REF!</v>
      </c>
      <c r="O475" s="5" t="s">
        <v>41</v>
      </c>
      <c r="P475" s="12">
        <v>685616.43836000003</v>
      </c>
      <c r="Q475" s="12">
        <f>IF(O475="Guaraníes",P475,P475*#REF!)</f>
        <v>685616.43836000003</v>
      </c>
      <c r="R475" s="12" t="e">
        <f>IF(O475="Guaraníes",P475/#REF!,P475)</f>
        <v>#REF!</v>
      </c>
      <c r="S475" s="5" t="s">
        <v>52</v>
      </c>
      <c r="T475" s="5">
        <v>25</v>
      </c>
      <c r="W475" s="5" t="s">
        <v>65</v>
      </c>
      <c r="X475" s="5">
        <v>0</v>
      </c>
      <c r="Y475" s="5">
        <v>0</v>
      </c>
      <c r="Z475" s="5">
        <v>34280.821918000001</v>
      </c>
      <c r="AA475" s="5">
        <v>20</v>
      </c>
      <c r="AB475" s="5">
        <v>685616.43836000003</v>
      </c>
      <c r="AC475" s="5" t="str">
        <f t="shared" si="25"/>
        <v>Bonos</v>
      </c>
      <c r="AD475" s="5" t="s">
        <v>43</v>
      </c>
      <c r="AE475" s="5">
        <f t="shared" si="23"/>
        <v>7</v>
      </c>
      <c r="AF475" s="5">
        <f t="shared" si="24"/>
        <v>2018</v>
      </c>
    </row>
    <row r="476" s="5" customFormat="1" ht="13">
      <c r="A476" s="5" t="s">
        <v>44</v>
      </c>
      <c r="B476" s="5" t="s">
        <v>44</v>
      </c>
      <c r="C476" s="5" t="s">
        <v>156</v>
      </c>
      <c r="D476" s="5" t="s">
        <v>21</v>
      </c>
      <c r="E476" s="5" t="s">
        <v>44</v>
      </c>
      <c r="F476" s="5" t="s">
        <v>68</v>
      </c>
      <c r="G476" s="5" t="s">
        <v>75</v>
      </c>
      <c r="H476" s="9" t="s">
        <v>157</v>
      </c>
      <c r="I476" s="10"/>
      <c r="J476" s="10">
        <v>43298</v>
      </c>
      <c r="K476" s="5" t="s">
        <v>158</v>
      </c>
      <c r="L476" s="5" t="s">
        <v>58</v>
      </c>
      <c r="M476" s="11">
        <v>0.16</v>
      </c>
      <c r="N476" s="5" t="e">
        <f>IF(AND(M476&gt;#REF!,Cartera!O476="Guaraníes"),"Rendimiento significativo",IF(AND(M476&gt;#REF!,Cartera!O476="Dólares americanos"),"Rendimiento significativo","Rendimiento no significativo"))</f>
        <v>#REF!</v>
      </c>
      <c r="O476" s="5" t="s">
        <v>41</v>
      </c>
      <c r="P476" s="12">
        <v>4188493.15068</v>
      </c>
      <c r="Q476" s="12">
        <f>IF(O476="Guaraníes",P476,P476*#REF!)</f>
        <v>4188493.15068</v>
      </c>
      <c r="R476" s="12" t="e">
        <f>IF(O476="Guaraníes",P476/#REF!,P476)</f>
        <v>#REF!</v>
      </c>
      <c r="S476" s="5" t="s">
        <v>52</v>
      </c>
      <c r="T476" s="5">
        <v>25</v>
      </c>
      <c r="W476" s="5" t="s">
        <v>53</v>
      </c>
      <c r="X476" s="5">
        <v>0</v>
      </c>
      <c r="Y476" s="5">
        <v>0</v>
      </c>
      <c r="Z476" s="5">
        <v>34904.109589</v>
      </c>
      <c r="AA476" s="5">
        <v>120</v>
      </c>
      <c r="AB476" s="5">
        <v>4188493.15068</v>
      </c>
      <c r="AC476" s="5" t="str">
        <f t="shared" si="25"/>
        <v>Bonos</v>
      </c>
      <c r="AD476" s="5" t="s">
        <v>43</v>
      </c>
      <c r="AE476" s="5">
        <f t="shared" si="23"/>
        <v>7</v>
      </c>
      <c r="AF476" s="5">
        <f t="shared" si="24"/>
        <v>2018</v>
      </c>
    </row>
    <row r="477" s="5" customFormat="1" ht="13">
      <c r="A477" s="5" t="s">
        <v>44</v>
      </c>
      <c r="B477" s="5" t="s">
        <v>44</v>
      </c>
      <c r="C477" s="5" t="s">
        <v>239</v>
      </c>
      <c r="D477" s="5" t="s">
        <v>21</v>
      </c>
      <c r="E477" s="5" t="s">
        <v>44</v>
      </c>
      <c r="F477" s="5" t="s">
        <v>68</v>
      </c>
      <c r="G477" s="5" t="s">
        <v>75</v>
      </c>
      <c r="H477" s="9" t="s">
        <v>240</v>
      </c>
      <c r="I477" s="10"/>
      <c r="J477" s="10">
        <v>43305</v>
      </c>
      <c r="K477" s="5" t="s">
        <v>49</v>
      </c>
      <c r="L477" s="5" t="s">
        <v>58</v>
      </c>
      <c r="M477" s="11">
        <v>0.13</v>
      </c>
      <c r="N477" s="5" t="e">
        <f>IF(AND(M477&gt;#REF!,Cartera!O477="Guaraníes"),"Rendimiento significativo",IF(AND(M477&gt;#REF!,Cartera!O477="Dólares americanos"),"Rendimiento significativo","Rendimiento no significativo"))</f>
        <v>#REF!</v>
      </c>
      <c r="O477" s="5" t="s">
        <v>41</v>
      </c>
      <c r="P477" s="12">
        <v>1620547.9452</v>
      </c>
      <c r="Q477" s="12">
        <f>IF(O477="Guaraníes",P477,P477*#REF!)</f>
        <v>1620547.9452</v>
      </c>
      <c r="R477" s="12" t="e">
        <f>IF(O477="Guaraníes",P477/#REF!,P477)</f>
        <v>#REF!</v>
      </c>
      <c r="S477" s="5" t="s">
        <v>52</v>
      </c>
      <c r="T477" s="5">
        <v>25</v>
      </c>
      <c r="W477" s="5" t="s">
        <v>245</v>
      </c>
      <c r="X477" s="5">
        <v>0</v>
      </c>
      <c r="Y477" s="5">
        <v>0</v>
      </c>
      <c r="Z477" s="5">
        <v>32410.958903999999</v>
      </c>
      <c r="AA477" s="5">
        <v>50</v>
      </c>
      <c r="AB477" s="5">
        <v>1620547.9452</v>
      </c>
      <c r="AC477" s="5" t="str">
        <f t="shared" si="25"/>
        <v>Bonos</v>
      </c>
      <c r="AD477" s="5" t="s">
        <v>43</v>
      </c>
      <c r="AE477" s="5">
        <f t="shared" si="23"/>
        <v>7</v>
      </c>
      <c r="AF477" s="5">
        <f t="shared" si="24"/>
        <v>2018</v>
      </c>
    </row>
    <row r="478" s="5" customFormat="1" ht="13">
      <c r="A478" s="5" t="s">
        <v>44</v>
      </c>
      <c r="B478" s="5" t="s">
        <v>44</v>
      </c>
      <c r="C478" s="5" t="s">
        <v>114</v>
      </c>
      <c r="D478" s="5" t="s">
        <v>21</v>
      </c>
      <c r="E478" s="5" t="s">
        <v>44</v>
      </c>
      <c r="F478" s="5" t="s">
        <v>68</v>
      </c>
      <c r="G478" s="5" t="s">
        <v>75</v>
      </c>
      <c r="H478" s="9" t="s">
        <v>234</v>
      </c>
      <c r="I478" s="10"/>
      <c r="J478" s="10">
        <v>43306</v>
      </c>
      <c r="K478" s="5" t="s">
        <v>77</v>
      </c>
      <c r="L478" s="5" t="s">
        <v>50</v>
      </c>
      <c r="M478" s="11">
        <v>0.12</v>
      </c>
      <c r="N478" s="5" t="e">
        <f>IF(AND(M478&gt;#REF!,Cartera!O478="Guaraníes"),"Rendimiento significativo",IF(AND(M478&gt;#REF!,Cartera!O478="Dólares americanos"),"Rendimiento significativo","Rendimiento no significativo"))</f>
        <v>#REF!</v>
      </c>
      <c r="O478" s="5" t="s">
        <v>51</v>
      </c>
      <c r="P478" s="13">
        <v>486.16437000000002</v>
      </c>
      <c r="Q478" s="12" t="e">
        <f>IF(O478="Guaraníes",P478,P478*#REF!)</f>
        <v>#REF!</v>
      </c>
      <c r="R478" s="12">
        <f>IF(O478="Guaraníes",P478/#REF!,P478)</f>
        <v>486.16437000000002</v>
      </c>
      <c r="S478" s="5" t="s">
        <v>52</v>
      </c>
      <c r="T478" s="5">
        <v>25</v>
      </c>
      <c r="W478" s="5" t="s">
        <v>65</v>
      </c>
      <c r="X478" s="5">
        <v>0</v>
      </c>
      <c r="Y478" s="5">
        <v>0</v>
      </c>
      <c r="Z478" s="5">
        <v>16.205479</v>
      </c>
      <c r="AA478" s="5">
        <v>30</v>
      </c>
      <c r="AB478" s="5">
        <v>486.16437000000002</v>
      </c>
      <c r="AC478" s="5" t="str">
        <f t="shared" si="25"/>
        <v>Bonos</v>
      </c>
      <c r="AD478" s="5" t="s">
        <v>43</v>
      </c>
      <c r="AE478" s="5">
        <f t="shared" si="23"/>
        <v>7</v>
      </c>
      <c r="AF478" s="5">
        <f t="shared" si="24"/>
        <v>2018</v>
      </c>
    </row>
    <row r="479" s="5" customFormat="1" ht="13">
      <c r="A479" s="5" t="s">
        <v>44</v>
      </c>
      <c r="B479" s="5" t="s">
        <v>44</v>
      </c>
      <c r="C479" s="5" t="s">
        <v>156</v>
      </c>
      <c r="D479" s="5" t="s">
        <v>21</v>
      </c>
      <c r="E479" s="5" t="s">
        <v>44</v>
      </c>
      <c r="F479" s="5" t="s">
        <v>68</v>
      </c>
      <c r="G479" s="5" t="s">
        <v>75</v>
      </c>
      <c r="H479" s="9" t="s">
        <v>246</v>
      </c>
      <c r="I479" s="10"/>
      <c r="J479" s="10">
        <v>43314</v>
      </c>
      <c r="K479" s="5" t="s">
        <v>158</v>
      </c>
      <c r="L479" s="5" t="s">
        <v>58</v>
      </c>
      <c r="M479" s="11">
        <v>0.125</v>
      </c>
      <c r="N479" s="5" t="e">
        <f>IF(AND(M479&gt;#REF!,Cartera!O479="Guaraníes"),"Rendimiento significativo",IF(AND(M479&gt;#REF!,Cartera!O479="Dólares americanos"),"Rendimiento significativo","Rendimiento no significativo"))</f>
        <v>#REF!</v>
      </c>
      <c r="O479" s="5" t="s">
        <v>41</v>
      </c>
      <c r="P479" s="12">
        <v>1495890.4109499999</v>
      </c>
      <c r="Q479" s="12">
        <f>IF(O479="Guaraníes",P479,P479*#REF!)</f>
        <v>1495890.4109499999</v>
      </c>
      <c r="R479" s="12" t="e">
        <f>IF(O479="Guaraníes",P479/#REF!,P479)</f>
        <v>#REF!</v>
      </c>
      <c r="S479" s="5" t="s">
        <v>52</v>
      </c>
      <c r="T479" s="5">
        <v>25</v>
      </c>
      <c r="W479" s="5" t="s">
        <v>247</v>
      </c>
      <c r="X479" s="5">
        <v>0</v>
      </c>
      <c r="Y479" s="5">
        <v>0</v>
      </c>
      <c r="Z479" s="5">
        <v>29917.808218999999</v>
      </c>
      <c r="AA479" s="5">
        <v>50</v>
      </c>
      <c r="AB479" s="5">
        <v>1495890.4109499999</v>
      </c>
      <c r="AC479" s="5" t="str">
        <f t="shared" si="25"/>
        <v>Bonos</v>
      </c>
      <c r="AD479" s="5" t="s">
        <v>43</v>
      </c>
      <c r="AE479" s="5">
        <f t="shared" ref="AE479:AE542" si="26">IFERROR((MONTH(J479)),0)</f>
        <v>8</v>
      </c>
      <c r="AF479" s="5">
        <f t="shared" ref="AF479:AF542" si="27">IFERROR((YEAR(J479)),0)</f>
        <v>2018</v>
      </c>
    </row>
    <row r="480" s="5" customFormat="1" ht="13">
      <c r="A480" s="5" t="s">
        <v>44</v>
      </c>
      <c r="B480" s="5" t="s">
        <v>44</v>
      </c>
      <c r="C480" s="5" t="s">
        <v>99</v>
      </c>
      <c r="D480" s="5" t="s">
        <v>21</v>
      </c>
      <c r="E480" s="5" t="s">
        <v>44</v>
      </c>
      <c r="F480" s="5" t="s">
        <v>100</v>
      </c>
      <c r="G480" s="5" t="s">
        <v>75</v>
      </c>
      <c r="H480" s="9" t="s">
        <v>238</v>
      </c>
      <c r="I480" s="10"/>
      <c r="J480" s="10">
        <v>44229</v>
      </c>
      <c r="K480" s="5" t="s">
        <v>102</v>
      </c>
      <c r="L480" s="5" t="s">
        <v>102</v>
      </c>
      <c r="M480" s="11">
        <v>0.081000000000000003</v>
      </c>
      <c r="N480" s="5" t="e">
        <f>IF(AND(M480&gt;#REF!,Cartera!O480="Guaraníes"),"Rendimiento significativo",IF(AND(M480&gt;#REF!,Cartera!O480="Dólares americanos"),"Rendimiento significativo","Rendimiento no significativo"))</f>
        <v>#REF!</v>
      </c>
      <c r="O480" s="5" t="s">
        <v>41</v>
      </c>
      <c r="P480" s="12">
        <v>4287452.0547599997</v>
      </c>
      <c r="Q480" s="12">
        <f>IF(O480="Guaraníes",P480,P480*#REF!)</f>
        <v>4287452.0547599997</v>
      </c>
      <c r="R480" s="12" t="e">
        <f>IF(O480="Guaraníes",P480/#REF!,P480)</f>
        <v>#REF!</v>
      </c>
      <c r="S480" s="5" t="s">
        <v>52</v>
      </c>
      <c r="T480" s="5">
        <v>25</v>
      </c>
      <c r="W480" s="5" t="s">
        <v>250</v>
      </c>
      <c r="X480" s="5">
        <v>0</v>
      </c>
      <c r="Y480" s="5">
        <v>0</v>
      </c>
      <c r="Z480" s="5">
        <v>40167.123288000003</v>
      </c>
      <c r="AA480" s="5">
        <v>105</v>
      </c>
      <c r="AB480" s="5">
        <v>4217547.9452400003</v>
      </c>
      <c r="AC480" s="5" t="str">
        <f t="shared" si="25"/>
        <v>Bonos</v>
      </c>
      <c r="AD480" s="5" t="s">
        <v>43</v>
      </c>
      <c r="AE480" s="5">
        <f t="shared" si="26"/>
        <v>2</v>
      </c>
      <c r="AF480" s="5">
        <f t="shared" si="27"/>
        <v>2021</v>
      </c>
    </row>
    <row r="481" s="5" customFormat="1" ht="13">
      <c r="A481" s="5" t="s">
        <v>44</v>
      </c>
      <c r="B481" s="5" t="s">
        <v>44</v>
      </c>
      <c r="C481" s="5" t="s">
        <v>114</v>
      </c>
      <c r="D481" s="5" t="s">
        <v>21</v>
      </c>
      <c r="E481" s="5" t="s">
        <v>44</v>
      </c>
      <c r="F481" s="5" t="s">
        <v>68</v>
      </c>
      <c r="G481" s="5" t="s">
        <v>75</v>
      </c>
      <c r="H481" s="9" t="s">
        <v>235</v>
      </c>
      <c r="I481" s="10"/>
      <c r="J481" s="10">
        <v>43314</v>
      </c>
      <c r="K481" s="5" t="s">
        <v>77</v>
      </c>
      <c r="L481" s="5" t="s">
        <v>50</v>
      </c>
      <c r="M481" s="11">
        <v>0.14249999999999999</v>
      </c>
      <c r="N481" s="5" t="e">
        <f>IF(AND(M481&gt;#REF!,Cartera!O481="Guaraníes"),"Rendimiento significativo",IF(AND(M481&gt;#REF!,Cartera!O481="Dólares americanos"),"Rendimiento significativo","Rendimiento no significativo"))</f>
        <v>#REF!</v>
      </c>
      <c r="O481" s="5" t="s">
        <v>41</v>
      </c>
      <c r="P481" s="12">
        <v>183869.86301500001</v>
      </c>
      <c r="Q481" s="12">
        <f>IF(O481="Guaraníes",P481,P481*#REF!)</f>
        <v>183869.86301500001</v>
      </c>
      <c r="R481" s="12" t="e">
        <f>IF(O481="Guaraníes",P481/#REF!,P481)</f>
        <v>#REF!</v>
      </c>
      <c r="S481" s="5" t="s">
        <v>52</v>
      </c>
      <c r="T481" s="5">
        <v>25</v>
      </c>
      <c r="W481" s="5" t="s">
        <v>65</v>
      </c>
      <c r="X481" s="5">
        <v>0</v>
      </c>
      <c r="Y481" s="5">
        <v>0</v>
      </c>
      <c r="Z481" s="5">
        <v>36773.972603000002</v>
      </c>
      <c r="AA481" s="5">
        <v>5</v>
      </c>
      <c r="AB481" s="5">
        <v>183869.86301500001</v>
      </c>
      <c r="AC481" s="5" t="str">
        <f t="shared" si="25"/>
        <v>Bonos</v>
      </c>
      <c r="AD481" s="5" t="s">
        <v>43</v>
      </c>
      <c r="AE481" s="5">
        <f t="shared" si="26"/>
        <v>8</v>
      </c>
      <c r="AF481" s="5">
        <f t="shared" si="27"/>
        <v>2018</v>
      </c>
    </row>
    <row r="482" s="5" customFormat="1" ht="13">
      <c r="A482" s="5" t="s">
        <v>44</v>
      </c>
      <c r="B482" s="5" t="s">
        <v>44</v>
      </c>
      <c r="C482" s="5" t="s">
        <v>114</v>
      </c>
      <c r="D482" s="5" t="s">
        <v>21</v>
      </c>
      <c r="E482" s="5" t="s">
        <v>44</v>
      </c>
      <c r="F482" s="5" t="s">
        <v>68</v>
      </c>
      <c r="G482" s="5" t="s">
        <v>75</v>
      </c>
      <c r="H482" s="9" t="s">
        <v>115</v>
      </c>
      <c r="I482" s="10"/>
      <c r="J482" s="10">
        <v>43314</v>
      </c>
      <c r="K482" s="5" t="s">
        <v>77</v>
      </c>
      <c r="L482" s="5" t="s">
        <v>50</v>
      </c>
      <c r="M482" s="11">
        <v>0.125</v>
      </c>
      <c r="N482" s="5" t="e">
        <f>IF(AND(M482&gt;#REF!,Cartera!O482="Guaraníes"),"Rendimiento significativo",IF(AND(M482&gt;#REF!,Cartera!O482="Dólares americanos"),"Rendimiento significativo","Rendimiento no significativo"))</f>
        <v>#REF!</v>
      </c>
      <c r="O482" s="5" t="s">
        <v>41</v>
      </c>
      <c r="P482" s="12">
        <v>897534.24656999996</v>
      </c>
      <c r="Q482" s="12">
        <f>IF(O482="Guaraníes",P482,P482*#REF!)</f>
        <v>897534.24656999996</v>
      </c>
      <c r="R482" s="12" t="e">
        <f>IF(O482="Guaraníes",P482/#REF!,P482)</f>
        <v>#REF!</v>
      </c>
      <c r="S482" s="5" t="s">
        <v>52</v>
      </c>
      <c r="T482" s="5">
        <v>25</v>
      </c>
      <c r="W482" s="5" t="s">
        <v>65</v>
      </c>
      <c r="X482" s="5">
        <v>0</v>
      </c>
      <c r="Y482" s="5">
        <v>0</v>
      </c>
      <c r="Z482" s="5">
        <v>29917.808218999999</v>
      </c>
      <c r="AA482" s="5">
        <v>30</v>
      </c>
      <c r="AB482" s="5">
        <v>897534.24656999996</v>
      </c>
      <c r="AC482" s="5" t="str">
        <f t="shared" si="25"/>
        <v>Bonos</v>
      </c>
      <c r="AD482" s="5" t="s">
        <v>43</v>
      </c>
      <c r="AE482" s="5">
        <f t="shared" si="26"/>
        <v>8</v>
      </c>
      <c r="AF482" s="5">
        <f t="shared" si="27"/>
        <v>2018</v>
      </c>
    </row>
    <row r="483" s="5" customFormat="1" ht="13">
      <c r="A483" s="5" t="s">
        <v>44</v>
      </c>
      <c r="B483" s="5" t="s">
        <v>44</v>
      </c>
      <c r="C483" s="5" t="s">
        <v>242</v>
      </c>
      <c r="D483" s="5" t="s">
        <v>21</v>
      </c>
      <c r="E483" s="5" t="s">
        <v>44</v>
      </c>
      <c r="F483" s="5" t="s">
        <v>68</v>
      </c>
      <c r="G483" s="5" t="s">
        <v>75</v>
      </c>
      <c r="H483" s="9" t="s">
        <v>243</v>
      </c>
      <c r="I483" s="10"/>
      <c r="J483" s="10">
        <v>43332</v>
      </c>
      <c r="K483" s="5" t="s">
        <v>244</v>
      </c>
      <c r="L483" s="5" t="s">
        <v>58</v>
      </c>
      <c r="M483" s="11">
        <v>0.13750000000000001</v>
      </c>
      <c r="N483" s="5" t="e">
        <f>IF(AND(M483&gt;#REF!,Cartera!O483="Guaraníes"),"Rendimiento significativo",IF(AND(M483&gt;#REF!,Cartera!O483="Dólares americanos"),"Rendimiento significativo","Rendimiento no significativo"))</f>
        <v>#REF!</v>
      </c>
      <c r="O483" s="5" t="s">
        <v>41</v>
      </c>
      <c r="P483" s="12">
        <v>1028424.65754</v>
      </c>
      <c r="Q483" s="12">
        <f>IF(O483="Guaraníes",P483,P483*#REF!)</f>
        <v>1028424.65754</v>
      </c>
      <c r="R483" s="12" t="e">
        <f>IF(O483="Guaraníes",P483/#REF!,P483)</f>
        <v>#REF!</v>
      </c>
      <c r="S483" s="5" t="s">
        <v>52</v>
      </c>
      <c r="T483" s="5">
        <v>25</v>
      </c>
      <c r="W483" s="5" t="s">
        <v>241</v>
      </c>
      <c r="X483" s="5">
        <v>0</v>
      </c>
      <c r="Y483" s="5">
        <v>0</v>
      </c>
      <c r="Z483" s="5">
        <v>34280.821918000001</v>
      </c>
      <c r="AA483" s="5">
        <v>30</v>
      </c>
      <c r="AB483" s="5">
        <v>1028424.65754</v>
      </c>
      <c r="AC483" s="5" t="str">
        <f t="shared" si="25"/>
        <v>Bonos</v>
      </c>
      <c r="AD483" s="5" t="s">
        <v>43</v>
      </c>
      <c r="AE483" s="5">
        <f t="shared" si="26"/>
        <v>8</v>
      </c>
      <c r="AF483" s="5">
        <f t="shared" si="27"/>
        <v>2018</v>
      </c>
    </row>
    <row r="484" s="5" customFormat="1" ht="13">
      <c r="A484" s="5" t="s">
        <v>44</v>
      </c>
      <c r="B484" s="5" t="s">
        <v>44</v>
      </c>
      <c r="C484" s="5" t="s">
        <v>114</v>
      </c>
      <c r="D484" s="5" t="s">
        <v>21</v>
      </c>
      <c r="E484" s="5" t="s">
        <v>44</v>
      </c>
      <c r="F484" s="5" t="s">
        <v>68</v>
      </c>
      <c r="G484" s="5" t="s">
        <v>75</v>
      </c>
      <c r="H484" s="9" t="s">
        <v>170</v>
      </c>
      <c r="I484" s="10"/>
      <c r="J484" s="10">
        <v>43333</v>
      </c>
      <c r="K484" s="5" t="s">
        <v>77</v>
      </c>
      <c r="L484" s="5" t="s">
        <v>50</v>
      </c>
      <c r="M484" s="11">
        <v>0.14000000000000001</v>
      </c>
      <c r="N484" s="5" t="e">
        <f>IF(AND(M484&gt;#REF!,Cartera!O484="Guaraníes"),"Rendimiento significativo",IF(AND(M484&gt;#REF!,Cartera!O484="Dólares americanos"),"Rendimiento significativo","Rendimiento no significativo"))</f>
        <v>#REF!</v>
      </c>
      <c r="O484" s="5" t="s">
        <v>41</v>
      </c>
      <c r="P484" s="12">
        <v>3490410.9589</v>
      </c>
      <c r="Q484" s="12">
        <f>IF(O484="Guaraníes",P484,P484*#REF!)</f>
        <v>3490410.9589</v>
      </c>
      <c r="R484" s="12" t="e">
        <f>IF(O484="Guaraníes",P484/#REF!,P484)</f>
        <v>#REF!</v>
      </c>
      <c r="S484" s="5" t="s">
        <v>52</v>
      </c>
      <c r="T484" s="5">
        <v>25</v>
      </c>
      <c r="W484" s="5" t="s">
        <v>65</v>
      </c>
      <c r="X484" s="5">
        <v>0</v>
      </c>
      <c r="Y484" s="5">
        <v>0</v>
      </c>
      <c r="Z484" s="5">
        <v>34904.109589</v>
      </c>
      <c r="AA484" s="5">
        <v>100</v>
      </c>
      <c r="AB484" s="5">
        <v>3490410.9589</v>
      </c>
      <c r="AC484" s="5" t="str">
        <f t="shared" si="25"/>
        <v>Bonos</v>
      </c>
      <c r="AD484" s="5" t="s">
        <v>43</v>
      </c>
      <c r="AE484" s="5">
        <f t="shared" si="26"/>
        <v>8</v>
      </c>
      <c r="AF484" s="5">
        <f t="shared" si="27"/>
        <v>2018</v>
      </c>
    </row>
    <row r="485" s="5" customFormat="1" ht="13">
      <c r="A485" s="5" t="s">
        <v>44</v>
      </c>
      <c r="B485" s="5" t="s">
        <v>44</v>
      </c>
      <c r="C485" s="5" t="s">
        <v>227</v>
      </c>
      <c r="D485" s="5" t="s">
        <v>21</v>
      </c>
      <c r="E485" s="5" t="s">
        <v>44</v>
      </c>
      <c r="F485" s="5" t="s">
        <v>68</v>
      </c>
      <c r="G485" s="5" t="s">
        <v>75</v>
      </c>
      <c r="H485" s="9" t="s">
        <v>228</v>
      </c>
      <c r="I485" s="10"/>
      <c r="J485" s="10">
        <v>43335</v>
      </c>
      <c r="K485" s="5" t="s">
        <v>77</v>
      </c>
      <c r="L485" s="5" t="s">
        <v>58</v>
      </c>
      <c r="M485" s="11">
        <v>0.1525</v>
      </c>
      <c r="N485" s="5" t="e">
        <f>IF(AND(M485&gt;#REF!,Cartera!O485="Guaraníes"),"Rendimiento significativo",IF(AND(M485&gt;#REF!,Cartera!O485="Dólares americanos"),"Rendimiento significativo","Rendimiento no significativo"))</f>
        <v>#REF!</v>
      </c>
      <c r="O485" s="5" t="s">
        <v>41</v>
      </c>
      <c r="P485" s="12">
        <v>2851541.0958749996</v>
      </c>
      <c r="Q485" s="12">
        <f>IF(O485="Guaraníes",P485,P485*#REF!)</f>
        <v>2851541.0958749996</v>
      </c>
      <c r="R485" s="12" t="e">
        <f>IF(O485="Guaraníes",P485/#REF!,P485)</f>
        <v>#REF!</v>
      </c>
      <c r="S485" s="5" t="s">
        <v>52</v>
      </c>
      <c r="T485" s="5">
        <v>25</v>
      </c>
      <c r="W485" s="5" t="s">
        <v>196</v>
      </c>
      <c r="X485" s="5">
        <v>0</v>
      </c>
      <c r="Y485" s="5">
        <v>0</v>
      </c>
      <c r="Z485" s="5">
        <v>38020.547944999998</v>
      </c>
      <c r="AA485" s="5">
        <v>75</v>
      </c>
      <c r="AB485" s="5">
        <v>2851541.0958750001</v>
      </c>
      <c r="AC485" s="5" t="str">
        <f t="shared" si="25"/>
        <v>Bonos</v>
      </c>
      <c r="AD485" s="5" t="s">
        <v>43</v>
      </c>
      <c r="AE485" s="5">
        <f t="shared" si="26"/>
        <v>8</v>
      </c>
      <c r="AF485" s="5">
        <f t="shared" si="27"/>
        <v>2018</v>
      </c>
    </row>
    <row r="486" s="5" customFormat="1" ht="13">
      <c r="A486" s="5" t="s">
        <v>44</v>
      </c>
      <c r="B486" s="5" t="s">
        <v>44</v>
      </c>
      <c r="C486" s="5" t="s">
        <v>74</v>
      </c>
      <c r="D486" s="5" t="s">
        <v>21</v>
      </c>
      <c r="E486" s="5" t="s">
        <v>44</v>
      </c>
      <c r="F486" s="5" t="s">
        <v>68</v>
      </c>
      <c r="G486" s="5" t="s">
        <v>75</v>
      </c>
      <c r="H486" s="9" t="s">
        <v>231</v>
      </c>
      <c r="I486" s="10"/>
      <c r="J486" s="10">
        <v>43340</v>
      </c>
      <c r="K486" s="5" t="s">
        <v>77</v>
      </c>
      <c r="L486" s="5" t="s">
        <v>58</v>
      </c>
      <c r="M486" s="11">
        <v>0.14000000000000001</v>
      </c>
      <c r="N486" s="5" t="e">
        <f>IF(AND(M486&gt;#REF!,Cartera!O486="Guaraníes"),"Rendimiento significativo",IF(AND(M486&gt;#REF!,Cartera!O486="Dólares americanos"),"Rendimiento significativo","Rendimiento no significativo"))</f>
        <v>#REF!</v>
      </c>
      <c r="O486" s="5" t="s">
        <v>41</v>
      </c>
      <c r="P486" s="12">
        <v>5235616.4383499995</v>
      </c>
      <c r="Q486" s="12">
        <f>IF(O486="Guaraníes",P486,P486*#REF!)</f>
        <v>5235616.4383499995</v>
      </c>
      <c r="R486" s="12" t="e">
        <f>IF(O486="Guaraníes",P486/#REF!,P486)</f>
        <v>#REF!</v>
      </c>
      <c r="S486" s="5" t="s">
        <v>52</v>
      </c>
      <c r="T486" s="5">
        <v>25</v>
      </c>
      <c r="W486" s="5" t="s">
        <v>232</v>
      </c>
      <c r="X486" s="5">
        <v>0</v>
      </c>
      <c r="Y486" s="5">
        <v>0</v>
      </c>
      <c r="Z486" s="5">
        <v>34904.109589</v>
      </c>
      <c r="AA486" s="5">
        <v>150</v>
      </c>
      <c r="AB486" s="5">
        <v>5235616.4383500004</v>
      </c>
      <c r="AC486" s="5" t="str">
        <f t="shared" si="25"/>
        <v>Bonos</v>
      </c>
      <c r="AD486" s="5" t="s">
        <v>43</v>
      </c>
      <c r="AE486" s="5">
        <f t="shared" si="26"/>
        <v>8</v>
      </c>
      <c r="AF486" s="5">
        <f t="shared" si="27"/>
        <v>2018</v>
      </c>
    </row>
    <row r="487" s="5" customFormat="1" ht="13">
      <c r="A487" s="5" t="s">
        <v>44</v>
      </c>
      <c r="B487" s="5" t="s">
        <v>44</v>
      </c>
      <c r="C487" s="5" t="s">
        <v>114</v>
      </c>
      <c r="D487" s="5" t="s">
        <v>21</v>
      </c>
      <c r="E487" s="5" t="s">
        <v>44</v>
      </c>
      <c r="F487" s="5" t="s">
        <v>68</v>
      </c>
      <c r="G487" s="5" t="s">
        <v>75</v>
      </c>
      <c r="H487" s="9" t="s">
        <v>226</v>
      </c>
      <c r="I487" s="10"/>
      <c r="J487" s="10">
        <v>43363</v>
      </c>
      <c r="K487" s="5" t="s">
        <v>77</v>
      </c>
      <c r="L487" s="5" t="s">
        <v>58</v>
      </c>
      <c r="M487" s="11">
        <v>0.14000000000000001</v>
      </c>
      <c r="N487" s="5" t="e">
        <f>IF(AND(M487&gt;#REF!,Cartera!O487="Guaraníes"),"Rendimiento significativo",IF(AND(M487&gt;#REF!,Cartera!O487="Dólares americanos"),"Rendimiento significativo","Rendimiento no significativo"))</f>
        <v>#REF!</v>
      </c>
      <c r="O487" s="5" t="s">
        <v>41</v>
      </c>
      <c r="P487" s="12">
        <v>523561.643835</v>
      </c>
      <c r="Q487" s="12">
        <f>IF(O487="Guaraníes",P487,P487*#REF!)</f>
        <v>523561.643835</v>
      </c>
      <c r="R487" s="12" t="e">
        <f>IF(O487="Guaraníes",P487/#REF!,P487)</f>
        <v>#REF!</v>
      </c>
      <c r="S487" s="5" t="s">
        <v>52</v>
      </c>
      <c r="T487" s="5">
        <v>25</v>
      </c>
      <c r="W487" s="5" t="s">
        <v>65</v>
      </c>
      <c r="X487" s="5">
        <v>0</v>
      </c>
      <c r="Y487" s="5">
        <v>0</v>
      </c>
      <c r="Z487" s="5">
        <v>34904.109589</v>
      </c>
      <c r="AA487" s="5">
        <v>15</v>
      </c>
      <c r="AB487" s="5">
        <v>523561.643835</v>
      </c>
      <c r="AC487" s="5" t="str">
        <f t="shared" si="25"/>
        <v>Bonos</v>
      </c>
      <c r="AD487" s="5" t="s">
        <v>43</v>
      </c>
      <c r="AE487" s="5">
        <f t="shared" si="26"/>
        <v>9</v>
      </c>
      <c r="AF487" s="5">
        <f t="shared" si="27"/>
        <v>2018</v>
      </c>
    </row>
    <row r="488" s="5" customFormat="1" ht="13">
      <c r="A488" s="5" t="s">
        <v>44</v>
      </c>
      <c r="B488" s="5" t="s">
        <v>44</v>
      </c>
      <c r="C488" s="5" t="s">
        <v>114</v>
      </c>
      <c r="D488" s="5" t="s">
        <v>21</v>
      </c>
      <c r="E488" s="5" t="s">
        <v>44</v>
      </c>
      <c r="F488" s="5" t="s">
        <v>68</v>
      </c>
      <c r="G488" s="5" t="s">
        <v>75</v>
      </c>
      <c r="H488" s="9" t="s">
        <v>236</v>
      </c>
      <c r="I488" s="10"/>
      <c r="J488" s="10">
        <v>43363</v>
      </c>
      <c r="K488" s="5" t="s">
        <v>77</v>
      </c>
      <c r="L488" s="5" t="s">
        <v>50</v>
      </c>
      <c r="M488" s="11">
        <v>0.14749999999999999</v>
      </c>
      <c r="N488" s="5" t="e">
        <f>IF(AND(M488&gt;#REF!,Cartera!O488="Guaraníes"),"Rendimiento significativo",IF(AND(M488&gt;#REF!,Cartera!O488="Dólares americanos"),"Rendimiento significativo","Rendimiento no significativo"))</f>
        <v>#REF!</v>
      </c>
      <c r="O488" s="5" t="s">
        <v>41</v>
      </c>
      <c r="P488" s="12">
        <v>112191.780822</v>
      </c>
      <c r="Q488" s="12">
        <f>IF(O488="Guaraníes",P488,P488*#REF!)</f>
        <v>112191.780822</v>
      </c>
      <c r="R488" s="12" t="e">
        <f>IF(O488="Guaraníes",P488/#REF!,P488)</f>
        <v>#REF!</v>
      </c>
      <c r="S488" s="5" t="s">
        <v>52</v>
      </c>
      <c r="T488" s="5">
        <v>25</v>
      </c>
      <c r="W488" s="5" t="s">
        <v>65</v>
      </c>
      <c r="X488" s="5">
        <v>0</v>
      </c>
      <c r="Y488" s="5">
        <v>0</v>
      </c>
      <c r="Z488" s="5">
        <v>37397.260274</v>
      </c>
      <c r="AA488" s="5">
        <v>3</v>
      </c>
      <c r="AB488" s="5">
        <v>112191.780822</v>
      </c>
      <c r="AC488" s="5" t="str">
        <f t="shared" si="25"/>
        <v>Bonos</v>
      </c>
      <c r="AD488" s="5" t="s">
        <v>43</v>
      </c>
      <c r="AE488" s="5">
        <f t="shared" si="26"/>
        <v>9</v>
      </c>
      <c r="AF488" s="5">
        <f t="shared" si="27"/>
        <v>2018</v>
      </c>
    </row>
    <row r="489" s="5" customFormat="1" ht="13">
      <c r="A489" s="5" t="s">
        <v>44</v>
      </c>
      <c r="B489" s="5" t="s">
        <v>44</v>
      </c>
      <c r="C489" s="5" t="s">
        <v>99</v>
      </c>
      <c r="D489" s="5" t="s">
        <v>21</v>
      </c>
      <c r="E489" s="5" t="s">
        <v>44</v>
      </c>
      <c r="F489" s="5" t="s">
        <v>100</v>
      </c>
      <c r="G489" s="5" t="s">
        <v>75</v>
      </c>
      <c r="H489" s="9" t="s">
        <v>229</v>
      </c>
      <c r="I489" s="10"/>
      <c r="J489" s="10">
        <v>43364</v>
      </c>
      <c r="K489" s="5" t="s">
        <v>102</v>
      </c>
      <c r="L489" s="5" t="s">
        <v>102</v>
      </c>
      <c r="M489" s="11">
        <v>0.089999999999999997</v>
      </c>
      <c r="N489" s="5" t="e">
        <f>IF(AND(M489&gt;#REF!,Cartera!O489="Guaraníes"),"Rendimiento significativo",IF(AND(M489&gt;#REF!,Cartera!O489="Dólares americanos"),"Rendimiento significativo","Rendimiento no significativo"))</f>
        <v>#REF!</v>
      </c>
      <c r="O489" s="5" t="s">
        <v>41</v>
      </c>
      <c r="P489" s="12">
        <v>6091643.835585</v>
      </c>
      <c r="Q489" s="12">
        <f>IF(O489="Guaraníes",P489,P489*#REF!)</f>
        <v>6091643.835585</v>
      </c>
      <c r="R489" s="12" t="e">
        <f>IF(O489="Guaraníes",P489/#REF!,P489)</f>
        <v>#REF!</v>
      </c>
      <c r="S489" s="5" t="s">
        <v>52</v>
      </c>
      <c r="T489" s="5">
        <v>25</v>
      </c>
      <c r="W489" s="5" t="s">
        <v>230</v>
      </c>
      <c r="X489" s="5">
        <v>0</v>
      </c>
      <c r="Y489" s="5">
        <v>0</v>
      </c>
      <c r="Z489" s="5">
        <v>45123.287670999998</v>
      </c>
      <c r="AA489" s="5">
        <v>135</v>
      </c>
      <c r="AB489" s="5">
        <v>6091643.835585</v>
      </c>
      <c r="AC489" s="5" t="str">
        <f t="shared" si="25"/>
        <v>Bonos</v>
      </c>
      <c r="AD489" s="5" t="s">
        <v>43</v>
      </c>
      <c r="AE489" s="5">
        <f t="shared" si="26"/>
        <v>9</v>
      </c>
      <c r="AF489" s="5">
        <f t="shared" si="27"/>
        <v>2018</v>
      </c>
    </row>
    <row r="490" s="5" customFormat="1" ht="13">
      <c r="A490" s="5" t="s">
        <v>44</v>
      </c>
      <c r="B490" s="5" t="s">
        <v>44</v>
      </c>
      <c r="C490" s="5" t="s">
        <v>114</v>
      </c>
      <c r="D490" s="5" t="s">
        <v>21</v>
      </c>
      <c r="E490" s="5" t="s">
        <v>44</v>
      </c>
      <c r="F490" s="5" t="s">
        <v>68</v>
      </c>
      <c r="G490" s="5" t="s">
        <v>75</v>
      </c>
      <c r="H490" s="9" t="s">
        <v>237</v>
      </c>
      <c r="I490" s="10"/>
      <c r="J490" s="10">
        <v>43375</v>
      </c>
      <c r="K490" s="5" t="s">
        <v>77</v>
      </c>
      <c r="L490" s="5" t="s">
        <v>50</v>
      </c>
      <c r="M490" s="11">
        <v>0.13750000000000001</v>
      </c>
      <c r="N490" s="5" t="e">
        <f>IF(AND(M490&gt;#REF!,Cartera!O490="Guaraníes"),"Rendimiento significativo",IF(AND(M490&gt;#REF!,Cartera!O490="Dólares americanos"),"Rendimiento significativo","Rendimiento no significativo"))</f>
        <v>#REF!</v>
      </c>
      <c r="O490" s="5" t="s">
        <v>41</v>
      </c>
      <c r="P490" s="12">
        <v>685616.43836000003</v>
      </c>
      <c r="Q490" s="12">
        <f>IF(O490="Guaraníes",P490,P490*#REF!)</f>
        <v>685616.43836000003</v>
      </c>
      <c r="R490" s="12" t="e">
        <f>IF(O490="Guaraníes",P490/#REF!,P490)</f>
        <v>#REF!</v>
      </c>
      <c r="S490" s="5" t="s">
        <v>52</v>
      </c>
      <c r="T490" s="5">
        <v>25</v>
      </c>
      <c r="W490" s="5" t="s">
        <v>65</v>
      </c>
      <c r="X490" s="5">
        <v>0</v>
      </c>
      <c r="Y490" s="5">
        <v>0</v>
      </c>
      <c r="Z490" s="5">
        <v>34280.821918000001</v>
      </c>
      <c r="AA490" s="5">
        <v>20</v>
      </c>
      <c r="AB490" s="5">
        <v>685616.43836000003</v>
      </c>
      <c r="AC490" s="5" t="str">
        <f t="shared" si="25"/>
        <v>Bonos</v>
      </c>
      <c r="AD490" s="5" t="s">
        <v>43</v>
      </c>
      <c r="AE490" s="5">
        <f t="shared" si="26"/>
        <v>10</v>
      </c>
      <c r="AF490" s="5">
        <f t="shared" si="27"/>
        <v>2018</v>
      </c>
    </row>
    <row r="491" s="5" customFormat="1" ht="13">
      <c r="A491" s="5" t="s">
        <v>44</v>
      </c>
      <c r="B491" s="5" t="s">
        <v>44</v>
      </c>
      <c r="C491" s="5" t="s">
        <v>156</v>
      </c>
      <c r="D491" s="5" t="s">
        <v>21</v>
      </c>
      <c r="E491" s="5" t="s">
        <v>44</v>
      </c>
      <c r="F491" s="5" t="s">
        <v>68</v>
      </c>
      <c r="G491" s="5" t="s">
        <v>75</v>
      </c>
      <c r="H491" s="9" t="s">
        <v>157</v>
      </c>
      <c r="I491" s="10"/>
      <c r="J491" s="10">
        <v>43389</v>
      </c>
      <c r="K491" s="5" t="s">
        <v>158</v>
      </c>
      <c r="L491" s="5" t="s">
        <v>58</v>
      </c>
      <c r="M491" s="11">
        <v>0.16</v>
      </c>
      <c r="N491" s="5" t="e">
        <f>IF(AND(M491&gt;#REF!,Cartera!O491="Guaraníes"),"Rendimiento significativo",IF(AND(M491&gt;#REF!,Cartera!O491="Dólares americanos"),"Rendimiento significativo","Rendimiento no significativo"))</f>
        <v>#REF!</v>
      </c>
      <c r="O491" s="5" t="s">
        <v>41</v>
      </c>
      <c r="P491" s="12">
        <v>4188493.15068</v>
      </c>
      <c r="Q491" s="12">
        <f>IF(O491="Guaraníes",P491,P491*#REF!)</f>
        <v>4188493.15068</v>
      </c>
      <c r="R491" s="12" t="e">
        <f>IF(O491="Guaraníes",P491/#REF!,P491)</f>
        <v>#REF!</v>
      </c>
      <c r="S491" s="5" t="s">
        <v>52</v>
      </c>
      <c r="T491" s="5">
        <v>25</v>
      </c>
      <c r="W491" s="5" t="s">
        <v>53</v>
      </c>
      <c r="X491" s="5">
        <v>0</v>
      </c>
      <c r="Y491" s="5">
        <v>0</v>
      </c>
      <c r="Z491" s="5">
        <v>34904.109589</v>
      </c>
      <c r="AA491" s="5">
        <v>120</v>
      </c>
      <c r="AB491" s="5">
        <v>4188493.15068</v>
      </c>
      <c r="AC491" s="5" t="str">
        <f t="shared" si="25"/>
        <v>Bonos</v>
      </c>
      <c r="AD491" s="5" t="s">
        <v>43</v>
      </c>
      <c r="AE491" s="5">
        <f t="shared" si="26"/>
        <v>10</v>
      </c>
      <c r="AF491" s="5">
        <f t="shared" si="27"/>
        <v>2018</v>
      </c>
    </row>
    <row r="492" s="5" customFormat="1" ht="13">
      <c r="A492" s="5" t="s">
        <v>44</v>
      </c>
      <c r="B492" s="5" t="s">
        <v>44</v>
      </c>
      <c r="C492" s="5" t="s">
        <v>239</v>
      </c>
      <c r="D492" s="5" t="s">
        <v>21</v>
      </c>
      <c r="E492" s="5" t="s">
        <v>44</v>
      </c>
      <c r="F492" s="5" t="s">
        <v>68</v>
      </c>
      <c r="G492" s="5" t="s">
        <v>75</v>
      </c>
      <c r="H492" s="9" t="s">
        <v>240</v>
      </c>
      <c r="I492" s="10"/>
      <c r="J492" s="10">
        <v>43396</v>
      </c>
      <c r="K492" s="5" t="s">
        <v>49</v>
      </c>
      <c r="L492" s="5" t="s">
        <v>58</v>
      </c>
      <c r="M492" s="11">
        <v>0.13</v>
      </c>
      <c r="N492" s="5" t="e">
        <f>IF(AND(M492&gt;#REF!,Cartera!O492="Guaraníes"),"Rendimiento significativo",IF(AND(M492&gt;#REF!,Cartera!O492="Dólares americanos"),"Rendimiento significativo","Rendimiento no significativo"))</f>
        <v>#REF!</v>
      </c>
      <c r="O492" s="5" t="s">
        <v>41</v>
      </c>
      <c r="P492" s="12">
        <v>1620547.9452</v>
      </c>
      <c r="Q492" s="12">
        <f>IF(O492="Guaraníes",P492,P492*#REF!)</f>
        <v>1620547.9452</v>
      </c>
      <c r="R492" s="12" t="e">
        <f>IF(O492="Guaraníes",P492/#REF!,P492)</f>
        <v>#REF!</v>
      </c>
      <c r="S492" s="5" t="s">
        <v>52</v>
      </c>
      <c r="T492" s="5">
        <v>25</v>
      </c>
      <c r="W492" s="5" t="s">
        <v>245</v>
      </c>
      <c r="X492" s="5">
        <v>0</v>
      </c>
      <c r="Y492" s="5">
        <v>0</v>
      </c>
      <c r="Z492" s="5">
        <v>32410.958903999999</v>
      </c>
      <c r="AA492" s="5">
        <v>50</v>
      </c>
      <c r="AB492" s="5">
        <v>1620547.9452</v>
      </c>
      <c r="AC492" s="5" t="str">
        <f t="shared" si="25"/>
        <v>Bonos</v>
      </c>
      <c r="AD492" s="5" t="s">
        <v>43</v>
      </c>
      <c r="AE492" s="5">
        <f t="shared" si="26"/>
        <v>10</v>
      </c>
      <c r="AF492" s="5">
        <f t="shared" si="27"/>
        <v>2018</v>
      </c>
    </row>
    <row r="493" s="5" customFormat="1" ht="13">
      <c r="A493" s="5" t="s">
        <v>44</v>
      </c>
      <c r="B493" s="5" t="s">
        <v>44</v>
      </c>
      <c r="C493" s="5" t="s">
        <v>114</v>
      </c>
      <c r="D493" s="5" t="s">
        <v>21</v>
      </c>
      <c r="E493" s="5" t="s">
        <v>44</v>
      </c>
      <c r="F493" s="5" t="s">
        <v>68</v>
      </c>
      <c r="G493" s="5" t="s">
        <v>75</v>
      </c>
      <c r="H493" s="9" t="s">
        <v>234</v>
      </c>
      <c r="I493" s="10"/>
      <c r="J493" s="10">
        <v>43397</v>
      </c>
      <c r="K493" s="5" t="s">
        <v>77</v>
      </c>
      <c r="L493" s="5" t="s">
        <v>50</v>
      </c>
      <c r="M493" s="11">
        <v>0.12</v>
      </c>
      <c r="N493" s="5" t="e">
        <f>IF(AND(M493&gt;#REF!,Cartera!O493="Guaraníes"),"Rendimiento significativo",IF(AND(M493&gt;#REF!,Cartera!O493="Dólares americanos"),"Rendimiento significativo","Rendimiento no significativo"))</f>
        <v>#REF!</v>
      </c>
      <c r="O493" s="5" t="s">
        <v>51</v>
      </c>
      <c r="P493" s="13">
        <v>486.16437000000002</v>
      </c>
      <c r="Q493" s="12" t="e">
        <f>IF(O493="Guaraníes",P493,P493*#REF!)</f>
        <v>#REF!</v>
      </c>
      <c r="R493" s="12">
        <f>IF(O493="Guaraníes",P493/#REF!,P493)</f>
        <v>486.16437000000002</v>
      </c>
      <c r="S493" s="5" t="s">
        <v>52</v>
      </c>
      <c r="T493" s="5">
        <v>25</v>
      </c>
      <c r="W493" s="5" t="s">
        <v>65</v>
      </c>
      <c r="X493" s="5">
        <v>0</v>
      </c>
      <c r="Y493" s="5">
        <v>0</v>
      </c>
      <c r="Z493" s="5">
        <v>16.205479</v>
      </c>
      <c r="AA493" s="5">
        <v>30</v>
      </c>
      <c r="AB493" s="5">
        <v>486.16437000000002</v>
      </c>
      <c r="AC493" s="5" t="str">
        <f t="shared" si="25"/>
        <v>Bonos</v>
      </c>
      <c r="AD493" s="5" t="s">
        <v>43</v>
      </c>
      <c r="AE493" s="5">
        <f t="shared" si="26"/>
        <v>10</v>
      </c>
      <c r="AF493" s="5">
        <f t="shared" si="27"/>
        <v>2018</v>
      </c>
    </row>
    <row r="494" s="5" customFormat="1" ht="13">
      <c r="A494" s="5" t="s">
        <v>44</v>
      </c>
      <c r="B494" s="5" t="s">
        <v>44</v>
      </c>
      <c r="C494" s="5" t="s">
        <v>156</v>
      </c>
      <c r="D494" s="5" t="s">
        <v>21</v>
      </c>
      <c r="E494" s="5" t="s">
        <v>44</v>
      </c>
      <c r="F494" s="5" t="s">
        <v>68</v>
      </c>
      <c r="G494" s="5" t="s">
        <v>75</v>
      </c>
      <c r="H494" s="9" t="s">
        <v>246</v>
      </c>
      <c r="I494" s="10"/>
      <c r="J494" s="10">
        <v>43405</v>
      </c>
      <c r="K494" s="5" t="s">
        <v>158</v>
      </c>
      <c r="L494" s="5" t="s">
        <v>58</v>
      </c>
      <c r="M494" s="11">
        <v>0.125</v>
      </c>
      <c r="N494" s="5" t="e">
        <f>IF(AND(M494&gt;#REF!,Cartera!O494="Guaraníes"),"Rendimiento significativo",IF(AND(M494&gt;#REF!,Cartera!O494="Dólares americanos"),"Rendimiento significativo","Rendimiento no significativo"))</f>
        <v>#REF!</v>
      </c>
      <c r="O494" s="5" t="s">
        <v>41</v>
      </c>
      <c r="P494" s="12">
        <v>1495890.4109499999</v>
      </c>
      <c r="Q494" s="12">
        <f>IF(O494="Guaraníes",P494,P494*#REF!)</f>
        <v>1495890.4109499999</v>
      </c>
      <c r="R494" s="12" t="e">
        <f>IF(O494="Guaraníes",P494/#REF!,P494)</f>
        <v>#REF!</v>
      </c>
      <c r="S494" s="5" t="s">
        <v>52</v>
      </c>
      <c r="T494" s="5">
        <v>25</v>
      </c>
      <c r="W494" s="5" t="s">
        <v>247</v>
      </c>
      <c r="X494" s="5">
        <v>0</v>
      </c>
      <c r="Y494" s="5">
        <v>0</v>
      </c>
      <c r="Z494" s="5">
        <v>29917.808218999999</v>
      </c>
      <c r="AA494" s="5">
        <v>50</v>
      </c>
      <c r="AB494" s="5">
        <v>1495890.4109499999</v>
      </c>
      <c r="AC494" s="5" t="str">
        <f t="shared" si="25"/>
        <v>Bonos</v>
      </c>
      <c r="AD494" s="5" t="s">
        <v>43</v>
      </c>
      <c r="AE494" s="5">
        <f t="shared" si="26"/>
        <v>11</v>
      </c>
      <c r="AF494" s="5">
        <f t="shared" si="27"/>
        <v>2018</v>
      </c>
    </row>
    <row r="495" s="5" customFormat="1" ht="13">
      <c r="A495" s="5" t="s">
        <v>44</v>
      </c>
      <c r="B495" s="5" t="s">
        <v>44</v>
      </c>
      <c r="C495" s="5" t="s">
        <v>114</v>
      </c>
      <c r="D495" s="5" t="s">
        <v>21</v>
      </c>
      <c r="E495" s="5" t="s">
        <v>44</v>
      </c>
      <c r="F495" s="5" t="s">
        <v>68</v>
      </c>
      <c r="G495" s="5" t="s">
        <v>75</v>
      </c>
      <c r="H495" s="9" t="s">
        <v>235</v>
      </c>
      <c r="I495" s="10"/>
      <c r="J495" s="10">
        <v>43405</v>
      </c>
      <c r="K495" s="5" t="s">
        <v>77</v>
      </c>
      <c r="L495" s="5" t="s">
        <v>50</v>
      </c>
      <c r="M495" s="11">
        <v>0.14249999999999999</v>
      </c>
      <c r="N495" s="5" t="e">
        <f>IF(AND(M495&gt;#REF!,Cartera!O495="Guaraníes"),"Rendimiento significativo",IF(AND(M495&gt;#REF!,Cartera!O495="Dólares americanos"),"Rendimiento significativo","Rendimiento no significativo"))</f>
        <v>#REF!</v>
      </c>
      <c r="O495" s="5" t="s">
        <v>41</v>
      </c>
      <c r="P495" s="12">
        <v>183869.86301500001</v>
      </c>
      <c r="Q495" s="12">
        <f>IF(O495="Guaraníes",P495,P495*#REF!)</f>
        <v>183869.86301500001</v>
      </c>
      <c r="R495" s="12" t="e">
        <f>IF(O495="Guaraníes",P495/#REF!,P495)</f>
        <v>#REF!</v>
      </c>
      <c r="S495" s="5" t="s">
        <v>52</v>
      </c>
      <c r="T495" s="5">
        <v>25</v>
      </c>
      <c r="W495" s="5" t="s">
        <v>65</v>
      </c>
      <c r="X495" s="5">
        <v>0</v>
      </c>
      <c r="Y495" s="5">
        <v>0</v>
      </c>
      <c r="Z495" s="5">
        <v>36773.972603000002</v>
      </c>
      <c r="AA495" s="5">
        <v>5</v>
      </c>
      <c r="AB495" s="5">
        <v>183869.86301500001</v>
      </c>
      <c r="AC495" s="5" t="str">
        <f t="shared" si="25"/>
        <v>Bonos</v>
      </c>
      <c r="AD495" s="5" t="s">
        <v>43</v>
      </c>
      <c r="AE495" s="5">
        <f t="shared" si="26"/>
        <v>11</v>
      </c>
      <c r="AF495" s="5">
        <f t="shared" si="27"/>
        <v>2018</v>
      </c>
    </row>
    <row r="496" s="5" customFormat="1" ht="13">
      <c r="A496" s="5" t="s">
        <v>44</v>
      </c>
      <c r="B496" s="5" t="s">
        <v>44</v>
      </c>
      <c r="C496" s="5" t="s">
        <v>114</v>
      </c>
      <c r="D496" s="5" t="s">
        <v>21</v>
      </c>
      <c r="E496" s="5" t="s">
        <v>44</v>
      </c>
      <c r="F496" s="5" t="s">
        <v>68</v>
      </c>
      <c r="G496" s="5" t="s">
        <v>75</v>
      </c>
      <c r="H496" s="9" t="s">
        <v>115</v>
      </c>
      <c r="I496" s="10"/>
      <c r="J496" s="10">
        <v>43405</v>
      </c>
      <c r="K496" s="5" t="s">
        <v>77</v>
      </c>
      <c r="L496" s="5" t="s">
        <v>50</v>
      </c>
      <c r="M496" s="11">
        <v>0.125</v>
      </c>
      <c r="N496" s="5" t="e">
        <f>IF(AND(M496&gt;#REF!,Cartera!O496="Guaraníes"),"Rendimiento significativo",IF(AND(M496&gt;#REF!,Cartera!O496="Dólares americanos"),"Rendimiento significativo","Rendimiento no significativo"))</f>
        <v>#REF!</v>
      </c>
      <c r="O496" s="5" t="s">
        <v>41</v>
      </c>
      <c r="P496" s="12">
        <v>897534.24656999996</v>
      </c>
      <c r="Q496" s="12">
        <f>IF(O496="Guaraníes",P496,P496*#REF!)</f>
        <v>897534.24656999996</v>
      </c>
      <c r="R496" s="12" t="e">
        <f>IF(O496="Guaraníes",P496/#REF!,P496)</f>
        <v>#REF!</v>
      </c>
      <c r="S496" s="5" t="s">
        <v>52</v>
      </c>
      <c r="T496" s="5">
        <v>25</v>
      </c>
      <c r="W496" s="5" t="s">
        <v>65</v>
      </c>
      <c r="X496" s="5">
        <v>0</v>
      </c>
      <c r="Y496" s="5">
        <v>0</v>
      </c>
      <c r="Z496" s="5">
        <v>29917.808218999999</v>
      </c>
      <c r="AA496" s="5">
        <v>30</v>
      </c>
      <c r="AB496" s="5">
        <v>897534.24656999996</v>
      </c>
      <c r="AC496" s="5" t="str">
        <f t="shared" si="25"/>
        <v>Bonos</v>
      </c>
      <c r="AD496" s="5" t="s">
        <v>43</v>
      </c>
      <c r="AE496" s="5">
        <f t="shared" si="26"/>
        <v>11</v>
      </c>
      <c r="AF496" s="5">
        <f t="shared" si="27"/>
        <v>2018</v>
      </c>
    </row>
    <row r="497" s="5" customFormat="1" ht="13">
      <c r="A497" s="5" t="s">
        <v>44</v>
      </c>
      <c r="B497" s="5" t="s">
        <v>44</v>
      </c>
      <c r="C497" s="5" t="s">
        <v>99</v>
      </c>
      <c r="D497" s="5" t="s">
        <v>21</v>
      </c>
      <c r="E497" s="5" t="s">
        <v>44</v>
      </c>
      <c r="F497" s="5" t="s">
        <v>100</v>
      </c>
      <c r="G497" s="5" t="s">
        <v>75</v>
      </c>
      <c r="H497" s="9" t="s">
        <v>248</v>
      </c>
      <c r="I497" s="10"/>
      <c r="J497" s="10">
        <v>43413</v>
      </c>
      <c r="K497" s="5" t="s">
        <v>102</v>
      </c>
      <c r="L497" s="5" t="s">
        <v>102</v>
      </c>
      <c r="M497" s="11">
        <v>0.077499999999999999</v>
      </c>
      <c r="N497" s="5" t="e">
        <f>IF(AND(M497&gt;#REF!,Cartera!O497="Guaraníes"),"Rendimiento significativo",IF(AND(M497&gt;#REF!,Cartera!O497="Dólares americanos"),"Rendimiento significativo","Rendimiento no significativo"))</f>
        <v>#REF!</v>
      </c>
      <c r="O497" s="5" t="s">
        <v>41</v>
      </c>
      <c r="P497" s="12">
        <v>1750000</v>
      </c>
      <c r="Q497" s="12">
        <f>IF(O497="Guaraníes",P497,P497*#REF!)</f>
        <v>1750000</v>
      </c>
      <c r="R497" s="12" t="e">
        <f>IF(O497="Guaraníes",P497/#REF!,P497)</f>
        <v>#REF!</v>
      </c>
      <c r="S497" s="5" t="s">
        <v>52</v>
      </c>
      <c r="T497" s="5">
        <v>25</v>
      </c>
      <c r="W497" s="5" t="s">
        <v>249</v>
      </c>
      <c r="X497" s="5">
        <v>0</v>
      </c>
      <c r="Y497" s="5">
        <v>0</v>
      </c>
      <c r="Z497" s="5">
        <v>35000</v>
      </c>
      <c r="AA497" s="5">
        <v>50</v>
      </c>
      <c r="AB497" s="5">
        <v>1750000</v>
      </c>
      <c r="AC497" s="5" t="str">
        <f t="shared" si="25"/>
        <v>Bonos</v>
      </c>
      <c r="AD497" s="5" t="s">
        <v>43</v>
      </c>
      <c r="AE497" s="5">
        <f t="shared" si="26"/>
        <v>11</v>
      </c>
      <c r="AF497" s="5">
        <f t="shared" si="27"/>
        <v>2018</v>
      </c>
    </row>
    <row r="498" s="5" customFormat="1" ht="13">
      <c r="A498" s="5" t="s">
        <v>44</v>
      </c>
      <c r="B498" s="5" t="s">
        <v>44</v>
      </c>
      <c r="C498" s="5" t="s">
        <v>242</v>
      </c>
      <c r="D498" s="5" t="s">
        <v>21</v>
      </c>
      <c r="E498" s="5" t="s">
        <v>44</v>
      </c>
      <c r="F498" s="5" t="s">
        <v>68</v>
      </c>
      <c r="G498" s="5" t="s">
        <v>75</v>
      </c>
      <c r="H498" s="9" t="s">
        <v>243</v>
      </c>
      <c r="I498" s="10"/>
      <c r="J498" s="10">
        <v>43423</v>
      </c>
      <c r="K498" s="5" t="s">
        <v>244</v>
      </c>
      <c r="L498" s="5" t="s">
        <v>58</v>
      </c>
      <c r="M498" s="11">
        <v>0.13750000000000001</v>
      </c>
      <c r="N498" s="5" t="e">
        <f>IF(AND(M498&gt;#REF!,Cartera!O498="Guaraníes"),"Rendimiento significativo",IF(AND(M498&gt;#REF!,Cartera!O498="Dólares americanos"),"Rendimiento significativo","Rendimiento no significativo"))</f>
        <v>#REF!</v>
      </c>
      <c r="O498" s="5" t="s">
        <v>41</v>
      </c>
      <c r="P498" s="12">
        <v>1028424.65754</v>
      </c>
      <c r="Q498" s="12">
        <f>IF(O498="Guaraníes",P498,P498*#REF!)</f>
        <v>1028424.65754</v>
      </c>
      <c r="R498" s="12" t="e">
        <f>IF(O498="Guaraníes",P498/#REF!,P498)</f>
        <v>#REF!</v>
      </c>
      <c r="S498" s="5" t="s">
        <v>52</v>
      </c>
      <c r="T498" s="5">
        <v>25</v>
      </c>
      <c r="W498" s="5" t="s">
        <v>245</v>
      </c>
      <c r="X498" s="5">
        <v>0</v>
      </c>
      <c r="Y498" s="5">
        <v>0</v>
      </c>
      <c r="Z498" s="5">
        <v>34280.821918000001</v>
      </c>
      <c r="AA498" s="5">
        <v>30</v>
      </c>
      <c r="AB498" s="5">
        <v>1028424.65754</v>
      </c>
      <c r="AC498" s="5" t="str">
        <f t="shared" si="25"/>
        <v>Bonos</v>
      </c>
      <c r="AD498" s="5" t="s">
        <v>43</v>
      </c>
      <c r="AE498" s="5">
        <f t="shared" si="26"/>
        <v>11</v>
      </c>
      <c r="AF498" s="5">
        <f t="shared" si="27"/>
        <v>2018</v>
      </c>
    </row>
    <row r="499" s="5" customFormat="1" ht="13">
      <c r="A499" s="5" t="s">
        <v>44</v>
      </c>
      <c r="B499" s="5" t="s">
        <v>44</v>
      </c>
      <c r="C499" s="5" t="s">
        <v>114</v>
      </c>
      <c r="D499" s="5" t="s">
        <v>21</v>
      </c>
      <c r="E499" s="5" t="s">
        <v>44</v>
      </c>
      <c r="F499" s="5" t="s">
        <v>68</v>
      </c>
      <c r="G499" s="5" t="s">
        <v>75</v>
      </c>
      <c r="H499" s="9" t="s">
        <v>170</v>
      </c>
      <c r="I499" s="10"/>
      <c r="J499" s="10">
        <v>43424</v>
      </c>
      <c r="K499" s="5" t="s">
        <v>77</v>
      </c>
      <c r="L499" s="5" t="s">
        <v>50</v>
      </c>
      <c r="M499" s="11">
        <v>0.14000000000000001</v>
      </c>
      <c r="N499" s="5" t="e">
        <f>IF(AND(M499&gt;#REF!,Cartera!O499="Guaraníes"),"Rendimiento significativo",IF(AND(M499&gt;#REF!,Cartera!O499="Dólares americanos"),"Rendimiento significativo","Rendimiento no significativo"))</f>
        <v>#REF!</v>
      </c>
      <c r="O499" s="5" t="s">
        <v>41</v>
      </c>
      <c r="P499" s="12">
        <v>3490410.9589</v>
      </c>
      <c r="Q499" s="12">
        <f>IF(O499="Guaraníes",P499,P499*#REF!)</f>
        <v>3490410.9589</v>
      </c>
      <c r="R499" s="12" t="e">
        <f>IF(O499="Guaraníes",P499/#REF!,P499)</f>
        <v>#REF!</v>
      </c>
      <c r="S499" s="5" t="s">
        <v>52</v>
      </c>
      <c r="T499" s="5">
        <v>25</v>
      </c>
      <c r="W499" s="5" t="s">
        <v>65</v>
      </c>
      <c r="X499" s="5">
        <v>0</v>
      </c>
      <c r="Y499" s="5">
        <v>0</v>
      </c>
      <c r="Z499" s="5">
        <v>34904.109589</v>
      </c>
      <c r="AA499" s="5">
        <v>100</v>
      </c>
      <c r="AB499" s="5">
        <v>3490410.9589</v>
      </c>
      <c r="AC499" s="5" t="str">
        <f t="shared" si="25"/>
        <v>Bonos</v>
      </c>
      <c r="AD499" s="5" t="s">
        <v>43</v>
      </c>
      <c r="AE499" s="5">
        <f t="shared" si="26"/>
        <v>11</v>
      </c>
      <c r="AF499" s="5">
        <f t="shared" si="27"/>
        <v>2018</v>
      </c>
    </row>
    <row r="500" s="5" customFormat="1" ht="13">
      <c r="A500" s="5" t="s">
        <v>44</v>
      </c>
      <c r="B500" s="5" t="s">
        <v>44</v>
      </c>
      <c r="C500" s="5" t="s">
        <v>227</v>
      </c>
      <c r="D500" s="5" t="s">
        <v>21</v>
      </c>
      <c r="E500" s="5" t="s">
        <v>44</v>
      </c>
      <c r="F500" s="5" t="s">
        <v>68</v>
      </c>
      <c r="G500" s="5" t="s">
        <v>75</v>
      </c>
      <c r="H500" s="9" t="s">
        <v>228</v>
      </c>
      <c r="I500" s="10"/>
      <c r="J500" s="10">
        <v>43426</v>
      </c>
      <c r="K500" s="5" t="s">
        <v>77</v>
      </c>
      <c r="L500" s="5" t="s">
        <v>58</v>
      </c>
      <c r="M500" s="11">
        <v>0.1525</v>
      </c>
      <c r="N500" s="5" t="e">
        <f>IF(AND(M500&gt;#REF!,Cartera!O500="Guaraníes"),"Rendimiento significativo",IF(AND(M500&gt;#REF!,Cartera!O500="Dólares americanos"),"Rendimiento significativo","Rendimiento no significativo"))</f>
        <v>#REF!</v>
      </c>
      <c r="O500" s="5" t="s">
        <v>41</v>
      </c>
      <c r="P500" s="12">
        <v>2851541.0958749996</v>
      </c>
      <c r="Q500" s="12">
        <f>IF(O500="Guaraníes",P500,P500*#REF!)</f>
        <v>2851541.0958749996</v>
      </c>
      <c r="R500" s="12" t="e">
        <f>IF(O500="Guaraníes",P500/#REF!,P500)</f>
        <v>#REF!</v>
      </c>
      <c r="S500" s="5" t="s">
        <v>52</v>
      </c>
      <c r="T500" s="5">
        <v>25</v>
      </c>
      <c r="W500" s="5" t="s">
        <v>196</v>
      </c>
      <c r="X500" s="5">
        <v>0</v>
      </c>
      <c r="Y500" s="5">
        <v>0</v>
      </c>
      <c r="Z500" s="5">
        <v>38020.547944999998</v>
      </c>
      <c r="AA500" s="5">
        <v>75</v>
      </c>
      <c r="AB500" s="5">
        <v>2851541.0958750001</v>
      </c>
      <c r="AC500" s="5" t="str">
        <f t="shared" si="25"/>
        <v>Bonos</v>
      </c>
      <c r="AD500" s="5" t="s">
        <v>43</v>
      </c>
      <c r="AE500" s="5">
        <f t="shared" si="26"/>
        <v>11</v>
      </c>
      <c r="AF500" s="5">
        <f t="shared" si="27"/>
        <v>2018</v>
      </c>
    </row>
    <row r="501" s="5" customFormat="1" ht="13">
      <c r="A501" s="5" t="s">
        <v>44</v>
      </c>
      <c r="B501" s="5" t="s">
        <v>44</v>
      </c>
      <c r="C501" s="5" t="s">
        <v>74</v>
      </c>
      <c r="D501" s="5" t="s">
        <v>21</v>
      </c>
      <c r="E501" s="5" t="s">
        <v>44</v>
      </c>
      <c r="F501" s="5" t="s">
        <v>68</v>
      </c>
      <c r="G501" s="5" t="s">
        <v>75</v>
      </c>
      <c r="H501" s="9" t="s">
        <v>231</v>
      </c>
      <c r="I501" s="10"/>
      <c r="J501" s="10">
        <v>43431</v>
      </c>
      <c r="K501" s="5" t="s">
        <v>77</v>
      </c>
      <c r="L501" s="5" t="s">
        <v>58</v>
      </c>
      <c r="M501" s="11">
        <v>0.14000000000000001</v>
      </c>
      <c r="N501" s="5" t="e">
        <f>IF(AND(M501&gt;#REF!,Cartera!O501="Guaraníes"),"Rendimiento significativo",IF(AND(M501&gt;#REF!,Cartera!O501="Dólares americanos"),"Rendimiento significativo","Rendimiento no significativo"))</f>
        <v>#REF!</v>
      </c>
      <c r="O501" s="5" t="s">
        <v>41</v>
      </c>
      <c r="P501" s="12">
        <v>5235616.4383499995</v>
      </c>
      <c r="Q501" s="12">
        <f>IF(O501="Guaraníes",P501,P501*#REF!)</f>
        <v>5235616.4383499995</v>
      </c>
      <c r="R501" s="12" t="e">
        <f>IF(O501="Guaraníes",P501/#REF!,P501)</f>
        <v>#REF!</v>
      </c>
      <c r="S501" s="5" t="s">
        <v>52</v>
      </c>
      <c r="T501" s="5">
        <v>25</v>
      </c>
      <c r="W501" s="5" t="s">
        <v>232</v>
      </c>
      <c r="X501" s="5">
        <v>0</v>
      </c>
      <c r="Y501" s="5">
        <v>0</v>
      </c>
      <c r="Z501" s="5">
        <v>34904.109589</v>
      </c>
      <c r="AA501" s="5">
        <v>150</v>
      </c>
      <c r="AB501" s="5">
        <v>5235616.4383500004</v>
      </c>
      <c r="AC501" s="5" t="str">
        <f t="shared" si="25"/>
        <v>Bonos</v>
      </c>
      <c r="AD501" s="5" t="s">
        <v>43</v>
      </c>
      <c r="AE501" s="5">
        <f t="shared" si="26"/>
        <v>11</v>
      </c>
      <c r="AF501" s="5">
        <f t="shared" si="27"/>
        <v>2018</v>
      </c>
    </row>
    <row r="502" s="5" customFormat="1" ht="13">
      <c r="A502" s="5" t="s">
        <v>44</v>
      </c>
      <c r="B502" s="5" t="s">
        <v>44</v>
      </c>
      <c r="C502" s="5" t="s">
        <v>114</v>
      </c>
      <c r="D502" s="5" t="s">
        <v>21</v>
      </c>
      <c r="E502" s="5" t="s">
        <v>44</v>
      </c>
      <c r="F502" s="5" t="s">
        <v>68</v>
      </c>
      <c r="G502" s="5" t="s">
        <v>75</v>
      </c>
      <c r="H502" s="9" t="s">
        <v>226</v>
      </c>
      <c r="I502" s="10"/>
      <c r="J502" s="10">
        <v>43454</v>
      </c>
      <c r="K502" s="5" t="s">
        <v>77</v>
      </c>
      <c r="L502" s="5" t="s">
        <v>58</v>
      </c>
      <c r="M502" s="11">
        <v>0.14000000000000001</v>
      </c>
      <c r="N502" s="5" t="e">
        <f>IF(AND(M502&gt;#REF!,Cartera!O502="Guaraníes"),"Rendimiento significativo",IF(AND(M502&gt;#REF!,Cartera!O502="Dólares americanos"),"Rendimiento significativo","Rendimiento no significativo"))</f>
        <v>#REF!</v>
      </c>
      <c r="O502" s="5" t="s">
        <v>41</v>
      </c>
      <c r="P502" s="12">
        <v>523561.643835</v>
      </c>
      <c r="Q502" s="12">
        <f>IF(O502="Guaraníes",P502,P502*#REF!)</f>
        <v>523561.643835</v>
      </c>
      <c r="R502" s="12" t="e">
        <f>IF(O502="Guaraníes",P502/#REF!,P502)</f>
        <v>#REF!</v>
      </c>
      <c r="S502" s="5" t="s">
        <v>52</v>
      </c>
      <c r="T502" s="5">
        <v>25</v>
      </c>
      <c r="W502" s="5" t="s">
        <v>65</v>
      </c>
      <c r="X502" s="5">
        <v>0</v>
      </c>
      <c r="Y502" s="5">
        <v>0</v>
      </c>
      <c r="Z502" s="5">
        <v>34904.109589</v>
      </c>
      <c r="AA502" s="5">
        <v>15</v>
      </c>
      <c r="AB502" s="5">
        <v>523561.643835</v>
      </c>
      <c r="AC502" s="5" t="str">
        <f t="shared" si="25"/>
        <v>Bonos</v>
      </c>
      <c r="AD502" s="5" t="s">
        <v>43</v>
      </c>
      <c r="AE502" s="5">
        <f t="shared" si="26"/>
        <v>12</v>
      </c>
      <c r="AF502" s="5">
        <f t="shared" si="27"/>
        <v>2018</v>
      </c>
    </row>
    <row r="503" s="5" customFormat="1" ht="13">
      <c r="A503" s="5" t="s">
        <v>44</v>
      </c>
      <c r="B503" s="5" t="s">
        <v>44</v>
      </c>
      <c r="C503" s="5" t="s">
        <v>114</v>
      </c>
      <c r="D503" s="5" t="s">
        <v>21</v>
      </c>
      <c r="E503" s="5" t="s">
        <v>44</v>
      </c>
      <c r="F503" s="5" t="s">
        <v>68</v>
      </c>
      <c r="G503" s="5" t="s">
        <v>75</v>
      </c>
      <c r="H503" s="9" t="s">
        <v>236</v>
      </c>
      <c r="I503" s="10"/>
      <c r="J503" s="10">
        <v>43454</v>
      </c>
      <c r="K503" s="5" t="s">
        <v>77</v>
      </c>
      <c r="L503" s="5" t="s">
        <v>50</v>
      </c>
      <c r="M503" s="11">
        <v>0.14749999999999999</v>
      </c>
      <c r="N503" s="5" t="e">
        <f>IF(AND(M503&gt;#REF!,Cartera!O503="Guaraníes"),"Rendimiento significativo",IF(AND(M503&gt;#REF!,Cartera!O503="Dólares americanos"),"Rendimiento significativo","Rendimiento no significativo"))</f>
        <v>#REF!</v>
      </c>
      <c r="O503" s="5" t="s">
        <v>41</v>
      </c>
      <c r="P503" s="12">
        <v>112191.780822</v>
      </c>
      <c r="Q503" s="12">
        <f>IF(O503="Guaraníes",P503,P503*#REF!)</f>
        <v>112191.780822</v>
      </c>
      <c r="R503" s="12" t="e">
        <f>IF(O503="Guaraníes",P503/#REF!,P503)</f>
        <v>#REF!</v>
      </c>
      <c r="S503" s="5" t="s">
        <v>52</v>
      </c>
      <c r="T503" s="5">
        <v>25</v>
      </c>
      <c r="W503" s="5" t="s">
        <v>65</v>
      </c>
      <c r="X503" s="5">
        <v>0</v>
      </c>
      <c r="Y503" s="5">
        <v>0</v>
      </c>
      <c r="Z503" s="5">
        <v>37397.260274</v>
      </c>
      <c r="AA503" s="5">
        <v>3</v>
      </c>
      <c r="AB503" s="5">
        <v>112191.780822</v>
      </c>
      <c r="AC503" s="5" t="str">
        <f t="shared" si="25"/>
        <v>Bonos</v>
      </c>
      <c r="AD503" s="5" t="s">
        <v>43</v>
      </c>
      <c r="AE503" s="5">
        <f t="shared" si="26"/>
        <v>12</v>
      </c>
      <c r="AF503" s="5">
        <f t="shared" si="27"/>
        <v>2018</v>
      </c>
    </row>
    <row r="504" s="5" customFormat="1" ht="13">
      <c r="A504" s="5" t="s">
        <v>44</v>
      </c>
      <c r="B504" s="5" t="s">
        <v>44</v>
      </c>
      <c r="C504" s="5" t="s">
        <v>114</v>
      </c>
      <c r="D504" s="5" t="s">
        <v>21</v>
      </c>
      <c r="E504" s="5" t="s">
        <v>44</v>
      </c>
      <c r="F504" s="5" t="s">
        <v>68</v>
      </c>
      <c r="G504" s="5" t="s">
        <v>75</v>
      </c>
      <c r="H504" s="9" t="s">
        <v>237</v>
      </c>
      <c r="I504" s="10"/>
      <c r="J504" s="10">
        <v>43468</v>
      </c>
      <c r="K504" s="5" t="s">
        <v>77</v>
      </c>
      <c r="L504" s="5" t="s">
        <v>50</v>
      </c>
      <c r="M504" s="11">
        <v>0.13750000000000001</v>
      </c>
      <c r="N504" s="5" t="e">
        <f>IF(AND(M504&gt;#REF!,Cartera!O504="Guaraníes"),"Rendimiento significativo",IF(AND(M504&gt;#REF!,Cartera!O504="Dólares americanos"),"Rendimiento significativo","Rendimiento no significativo"))</f>
        <v>#REF!</v>
      </c>
      <c r="O504" s="5" t="s">
        <v>41</v>
      </c>
      <c r="P504" s="12">
        <v>700684.93149999995</v>
      </c>
      <c r="Q504" s="12">
        <f>IF(O504="Guaraníes",P504,P504*#REF!)</f>
        <v>700684.93149999995</v>
      </c>
      <c r="R504" s="12" t="e">
        <f>IF(O504="Guaraníes",P504/#REF!,P504)</f>
        <v>#REF!</v>
      </c>
      <c r="S504" s="5" t="s">
        <v>52</v>
      </c>
      <c r="T504" s="5">
        <v>25</v>
      </c>
      <c r="W504" s="5" t="s">
        <v>65</v>
      </c>
      <c r="X504" s="5">
        <v>0</v>
      </c>
      <c r="Y504" s="5">
        <v>0</v>
      </c>
      <c r="Z504" s="5">
        <v>35034.246574999997</v>
      </c>
      <c r="AA504" s="5">
        <v>20</v>
      </c>
      <c r="AB504" s="5">
        <v>700684.93149999995</v>
      </c>
      <c r="AC504" s="5" t="str">
        <f t="shared" si="25"/>
        <v>Bonos</v>
      </c>
      <c r="AD504" s="5" t="s">
        <v>43</v>
      </c>
      <c r="AE504" s="5">
        <f t="shared" si="26"/>
        <v>1</v>
      </c>
      <c r="AF504" s="5">
        <f t="shared" si="27"/>
        <v>2019</v>
      </c>
    </row>
    <row r="505" s="5" customFormat="1" ht="13">
      <c r="A505" s="5" t="s">
        <v>44</v>
      </c>
      <c r="B505" s="5" t="s">
        <v>44</v>
      </c>
      <c r="C505" s="5" t="s">
        <v>156</v>
      </c>
      <c r="D505" s="5" t="s">
        <v>21</v>
      </c>
      <c r="E505" s="5" t="s">
        <v>44</v>
      </c>
      <c r="F505" s="5" t="s">
        <v>68</v>
      </c>
      <c r="G505" s="5" t="s">
        <v>75</v>
      </c>
      <c r="H505" s="9" t="s">
        <v>157</v>
      </c>
      <c r="I505" s="10"/>
      <c r="J505" s="10">
        <v>43480</v>
      </c>
      <c r="K505" s="5" t="s">
        <v>158</v>
      </c>
      <c r="L505" s="5" t="s">
        <v>58</v>
      </c>
      <c r="M505" s="11">
        <v>0.16</v>
      </c>
      <c r="N505" s="5" t="e">
        <f>IF(AND(M505&gt;#REF!,Cartera!O505="Guaraníes"),"Rendimiento significativo",IF(AND(M505&gt;#REF!,Cartera!O505="Dólares americanos"),"Rendimiento significativo","Rendimiento no significativo"))</f>
        <v>#REF!</v>
      </c>
      <c r="O505" s="5" t="s">
        <v>41</v>
      </c>
      <c r="P505" s="12">
        <v>4188493.15068</v>
      </c>
      <c r="Q505" s="12">
        <f>IF(O505="Guaraníes",P505,P505*#REF!)</f>
        <v>4188493.15068</v>
      </c>
      <c r="R505" s="12" t="e">
        <f>IF(O505="Guaraníes",P505/#REF!,P505)</f>
        <v>#REF!</v>
      </c>
      <c r="S505" s="5" t="s">
        <v>52</v>
      </c>
      <c r="T505" s="5">
        <v>25</v>
      </c>
      <c r="W505" s="5" t="s">
        <v>53</v>
      </c>
      <c r="X505" s="5">
        <v>0</v>
      </c>
      <c r="Y505" s="5">
        <v>0</v>
      </c>
      <c r="Z505" s="5">
        <v>34904.109589</v>
      </c>
      <c r="AA505" s="5">
        <v>120</v>
      </c>
      <c r="AB505" s="5">
        <v>4188493.15068</v>
      </c>
      <c r="AC505" s="5" t="str">
        <f t="shared" si="25"/>
        <v>Bonos</v>
      </c>
      <c r="AD505" s="5" t="s">
        <v>43</v>
      </c>
      <c r="AE505" s="5">
        <f t="shared" si="26"/>
        <v>1</v>
      </c>
      <c r="AF505" s="5">
        <f t="shared" si="27"/>
        <v>2019</v>
      </c>
    </row>
    <row r="506" s="5" customFormat="1" ht="13">
      <c r="A506" s="5" t="s">
        <v>44</v>
      </c>
      <c r="B506" s="5" t="s">
        <v>44</v>
      </c>
      <c r="C506" s="5" t="s">
        <v>239</v>
      </c>
      <c r="D506" s="5" t="s">
        <v>21</v>
      </c>
      <c r="E506" s="5" t="s">
        <v>44</v>
      </c>
      <c r="F506" s="5" t="s">
        <v>68</v>
      </c>
      <c r="G506" s="5" t="s">
        <v>75</v>
      </c>
      <c r="H506" s="9" t="s">
        <v>240</v>
      </c>
      <c r="I506" s="10"/>
      <c r="J506" s="10">
        <v>43487</v>
      </c>
      <c r="K506" s="5" t="s">
        <v>49</v>
      </c>
      <c r="L506" s="5" t="s">
        <v>58</v>
      </c>
      <c r="M506" s="11">
        <v>0.13</v>
      </c>
      <c r="N506" s="5" t="e">
        <f>IF(AND(M506&gt;#REF!,Cartera!O506="Guaraníes"),"Rendimiento significativo",IF(AND(M506&gt;#REF!,Cartera!O506="Dólares americanos"),"Rendimiento significativo","Rendimiento no significativo"))</f>
        <v>#REF!</v>
      </c>
      <c r="O506" s="5" t="s">
        <v>41</v>
      </c>
      <c r="P506" s="12">
        <v>1620547.9452</v>
      </c>
      <c r="Q506" s="12">
        <f>IF(O506="Guaraníes",P506,P506*#REF!)</f>
        <v>1620547.9452</v>
      </c>
      <c r="R506" s="12" t="e">
        <f>IF(O506="Guaraníes",P506/#REF!,P506)</f>
        <v>#REF!</v>
      </c>
      <c r="S506" s="5" t="s">
        <v>52</v>
      </c>
      <c r="T506" s="5">
        <v>25</v>
      </c>
      <c r="W506" s="5" t="s">
        <v>245</v>
      </c>
      <c r="X506" s="5">
        <v>0</v>
      </c>
      <c r="Y506" s="5">
        <v>0</v>
      </c>
      <c r="Z506" s="5">
        <v>32410.958903999999</v>
      </c>
      <c r="AA506" s="5">
        <v>50</v>
      </c>
      <c r="AB506" s="5">
        <v>1620547.9452</v>
      </c>
      <c r="AC506" s="5" t="str">
        <f t="shared" si="25"/>
        <v>Bonos</v>
      </c>
      <c r="AD506" s="5" t="s">
        <v>43</v>
      </c>
      <c r="AE506" s="5">
        <f t="shared" si="26"/>
        <v>1</v>
      </c>
      <c r="AF506" s="5">
        <f t="shared" si="27"/>
        <v>2019</v>
      </c>
    </row>
    <row r="507" s="5" customFormat="1" ht="13">
      <c r="A507" s="5" t="s">
        <v>44</v>
      </c>
      <c r="B507" s="5" t="s">
        <v>44</v>
      </c>
      <c r="C507" s="5" t="s">
        <v>114</v>
      </c>
      <c r="D507" s="5" t="s">
        <v>21</v>
      </c>
      <c r="E507" s="5" t="s">
        <v>44</v>
      </c>
      <c r="F507" s="5" t="s">
        <v>68</v>
      </c>
      <c r="G507" s="5" t="s">
        <v>75</v>
      </c>
      <c r="H507" s="9" t="s">
        <v>234</v>
      </c>
      <c r="I507" s="10"/>
      <c r="J507" s="10">
        <v>43488</v>
      </c>
      <c r="K507" s="5" t="s">
        <v>77</v>
      </c>
      <c r="L507" s="5" t="s">
        <v>50</v>
      </c>
      <c r="M507" s="11">
        <v>0.12</v>
      </c>
      <c r="N507" s="5" t="e">
        <f>IF(AND(M507&gt;#REF!,Cartera!O507="Guaraníes"),"Rendimiento significativo",IF(AND(M507&gt;#REF!,Cartera!O507="Dólares americanos"),"Rendimiento significativo","Rendimiento no significativo"))</f>
        <v>#REF!</v>
      </c>
      <c r="O507" s="5" t="s">
        <v>51</v>
      </c>
      <c r="P507" s="13">
        <v>486.16437000000002</v>
      </c>
      <c r="Q507" s="12" t="e">
        <f>IF(O507="Guaraníes",P507,P507*#REF!)</f>
        <v>#REF!</v>
      </c>
      <c r="R507" s="12">
        <f>IF(O507="Guaraníes",P507/#REF!,P507)</f>
        <v>486.16437000000002</v>
      </c>
      <c r="S507" s="5" t="s">
        <v>52</v>
      </c>
      <c r="T507" s="5">
        <v>25</v>
      </c>
      <c r="W507" s="5" t="s">
        <v>65</v>
      </c>
      <c r="X507" s="5">
        <v>0</v>
      </c>
      <c r="Y507" s="5">
        <v>0</v>
      </c>
      <c r="Z507" s="5">
        <v>16.205479</v>
      </c>
      <c r="AA507" s="5">
        <v>30</v>
      </c>
      <c r="AB507" s="5">
        <v>486.16437000000002</v>
      </c>
      <c r="AC507" s="5" t="str">
        <f t="shared" si="25"/>
        <v>Bonos</v>
      </c>
      <c r="AD507" s="5" t="s">
        <v>43</v>
      </c>
      <c r="AE507" s="5">
        <f t="shared" si="26"/>
        <v>1</v>
      </c>
      <c r="AF507" s="5">
        <f t="shared" si="27"/>
        <v>2019</v>
      </c>
    </row>
    <row r="508" s="5" customFormat="1" ht="13">
      <c r="A508" s="5" t="s">
        <v>44</v>
      </c>
      <c r="B508" s="5" t="s">
        <v>44</v>
      </c>
      <c r="C508" s="5" t="s">
        <v>114</v>
      </c>
      <c r="D508" s="5" t="s">
        <v>21</v>
      </c>
      <c r="E508" s="5" t="s">
        <v>44</v>
      </c>
      <c r="F508" s="5" t="s">
        <v>68</v>
      </c>
      <c r="G508" s="5" t="s">
        <v>75</v>
      </c>
      <c r="H508" s="9" t="s">
        <v>115</v>
      </c>
      <c r="I508" s="10"/>
      <c r="J508" s="10">
        <v>43494</v>
      </c>
      <c r="K508" s="5" t="s">
        <v>77</v>
      </c>
      <c r="L508" s="5" t="s">
        <v>50</v>
      </c>
      <c r="M508" s="11">
        <v>0.125</v>
      </c>
      <c r="N508" s="5" t="e">
        <f>IF(AND(M508&gt;#REF!,Cartera!O508="Guaraníes"),"Rendimiento significativo",IF(AND(M508&gt;#REF!,Cartera!O508="Dólares americanos"),"Rendimiento significativo","Rendimiento no significativo"))</f>
        <v>#REF!</v>
      </c>
      <c r="O508" s="5" t="s">
        <v>41</v>
      </c>
      <c r="P508" s="12">
        <v>877808.21918999997</v>
      </c>
      <c r="Q508" s="12">
        <f>IF(O508="Guaraníes",P508,P508*#REF!)</f>
        <v>877808.21918999997</v>
      </c>
      <c r="R508" s="12" t="e">
        <f>IF(O508="Guaraníes",P508/#REF!,P508)</f>
        <v>#REF!</v>
      </c>
      <c r="S508" s="5" t="s">
        <v>52</v>
      </c>
      <c r="T508" s="5">
        <v>25</v>
      </c>
      <c r="W508" s="5" t="s">
        <v>65</v>
      </c>
      <c r="X508" s="5">
        <v>0</v>
      </c>
      <c r="Y508" s="5">
        <v>0</v>
      </c>
      <c r="Z508" s="5">
        <v>29260.273972999999</v>
      </c>
      <c r="AA508" s="5">
        <v>30</v>
      </c>
      <c r="AB508" s="5">
        <v>877808.21918999997</v>
      </c>
      <c r="AC508" s="5" t="str">
        <f t="shared" si="25"/>
        <v>Bonos</v>
      </c>
      <c r="AD508" s="5" t="s">
        <v>43</v>
      </c>
      <c r="AE508" s="5">
        <f t="shared" si="26"/>
        <v>1</v>
      </c>
      <c r="AF508" s="5">
        <f t="shared" si="27"/>
        <v>2019</v>
      </c>
    </row>
    <row r="509" s="5" customFormat="1" ht="13">
      <c r="A509" s="5" t="s">
        <v>44</v>
      </c>
      <c r="B509" s="5" t="s">
        <v>44</v>
      </c>
      <c r="C509" s="5" t="s">
        <v>156</v>
      </c>
      <c r="D509" s="5" t="s">
        <v>21</v>
      </c>
      <c r="E509" s="5" t="s">
        <v>44</v>
      </c>
      <c r="F509" s="5" t="s">
        <v>68</v>
      </c>
      <c r="G509" s="5" t="s">
        <v>75</v>
      </c>
      <c r="H509" s="9" t="s">
        <v>246</v>
      </c>
      <c r="I509" s="10"/>
      <c r="J509" s="10">
        <v>43496</v>
      </c>
      <c r="K509" s="5" t="s">
        <v>158</v>
      </c>
      <c r="L509" s="5" t="s">
        <v>58</v>
      </c>
      <c r="M509" s="11">
        <v>0.125</v>
      </c>
      <c r="N509" s="5" t="e">
        <f>IF(AND(M509&gt;#REF!,Cartera!O509="Guaraníes"),"Rendimiento significativo",IF(AND(M509&gt;#REF!,Cartera!O509="Dólares americanos"),"Rendimiento significativo","Rendimiento no significativo"))</f>
        <v>#REF!</v>
      </c>
      <c r="O509" s="5" t="s">
        <v>41</v>
      </c>
      <c r="P509" s="12">
        <v>1495890.4109499999</v>
      </c>
      <c r="Q509" s="12">
        <f>IF(O509="Guaraníes",P509,P509*#REF!)</f>
        <v>1495890.4109499999</v>
      </c>
      <c r="R509" s="12" t="e">
        <f>IF(O509="Guaraníes",P509/#REF!,P509)</f>
        <v>#REF!</v>
      </c>
      <c r="S509" s="5" t="s">
        <v>52</v>
      </c>
      <c r="T509" s="5">
        <v>25</v>
      </c>
      <c r="W509" s="5" t="s">
        <v>247</v>
      </c>
      <c r="X509" s="5">
        <v>0</v>
      </c>
      <c r="Y509" s="5">
        <v>0</v>
      </c>
      <c r="Z509" s="5">
        <v>29917.808218999999</v>
      </c>
      <c r="AA509" s="5">
        <v>50</v>
      </c>
      <c r="AB509" s="5">
        <v>1495890.4109499999</v>
      </c>
      <c r="AC509" s="5" t="str">
        <f t="shared" si="25"/>
        <v>Bonos</v>
      </c>
      <c r="AD509" s="5" t="s">
        <v>43</v>
      </c>
      <c r="AE509" s="5">
        <f t="shared" si="26"/>
        <v>1</v>
      </c>
      <c r="AF509" s="5">
        <f t="shared" si="27"/>
        <v>2019</v>
      </c>
    </row>
    <row r="510" s="5" customFormat="1" ht="13">
      <c r="A510" s="5" t="s">
        <v>44</v>
      </c>
      <c r="B510" s="5" t="s">
        <v>44</v>
      </c>
      <c r="C510" s="5" t="s">
        <v>114</v>
      </c>
      <c r="D510" s="5" t="s">
        <v>21</v>
      </c>
      <c r="E510" s="5" t="s">
        <v>44</v>
      </c>
      <c r="F510" s="5" t="s">
        <v>68</v>
      </c>
      <c r="G510" s="5" t="s">
        <v>75</v>
      </c>
      <c r="H510" s="9" t="s">
        <v>235</v>
      </c>
      <c r="I510" s="10"/>
      <c r="J510" s="10">
        <v>43496</v>
      </c>
      <c r="K510" s="5" t="s">
        <v>77</v>
      </c>
      <c r="L510" s="5" t="s">
        <v>50</v>
      </c>
      <c r="M510" s="11">
        <v>0.14249999999999999</v>
      </c>
      <c r="N510" s="5" t="e">
        <f>IF(AND(M510&gt;#REF!,Cartera!O510="Guaraníes"),"Rendimiento significativo",IF(AND(M510&gt;#REF!,Cartera!O510="Dólares americanos"),"Rendimiento significativo","Rendimiento no significativo"))</f>
        <v>#REF!</v>
      </c>
      <c r="O510" s="5" t="s">
        <v>41</v>
      </c>
      <c r="P510" s="12">
        <v>183869.86301500001</v>
      </c>
      <c r="Q510" s="12">
        <f>IF(O510="Guaraníes",P510,P510*#REF!)</f>
        <v>183869.86301500001</v>
      </c>
      <c r="R510" s="12" t="e">
        <f>IF(O510="Guaraníes",P510/#REF!,P510)</f>
        <v>#REF!</v>
      </c>
      <c r="S510" s="5" t="s">
        <v>52</v>
      </c>
      <c r="T510" s="5">
        <v>25</v>
      </c>
      <c r="W510" s="5" t="s">
        <v>65</v>
      </c>
      <c r="X510" s="5">
        <v>0</v>
      </c>
      <c r="Y510" s="5">
        <v>0</v>
      </c>
      <c r="Z510" s="5">
        <v>36773.972603000002</v>
      </c>
      <c r="AA510" s="5">
        <v>5</v>
      </c>
      <c r="AB510" s="5">
        <v>183869.86301500001</v>
      </c>
      <c r="AC510" s="5" t="str">
        <f t="shared" si="25"/>
        <v>Bonos</v>
      </c>
      <c r="AD510" s="5" t="s">
        <v>43</v>
      </c>
      <c r="AE510" s="5">
        <f t="shared" si="26"/>
        <v>1</v>
      </c>
      <c r="AF510" s="5">
        <f t="shared" si="27"/>
        <v>2019</v>
      </c>
    </row>
    <row r="511" s="5" customFormat="1" ht="13">
      <c r="A511" s="5" t="s">
        <v>44</v>
      </c>
      <c r="B511" s="5" t="s">
        <v>44</v>
      </c>
      <c r="C511" s="5" t="s">
        <v>99</v>
      </c>
      <c r="D511" s="5" t="s">
        <v>21</v>
      </c>
      <c r="E511" s="5" t="s">
        <v>44</v>
      </c>
      <c r="F511" s="5" t="s">
        <v>100</v>
      </c>
      <c r="G511" s="5" t="s">
        <v>75</v>
      </c>
      <c r="H511" s="9" t="s">
        <v>238</v>
      </c>
      <c r="I511" s="10"/>
      <c r="J511" s="10">
        <v>44410</v>
      </c>
      <c r="K511" s="5" t="s">
        <v>102</v>
      </c>
      <c r="L511" s="5" t="s">
        <v>102</v>
      </c>
      <c r="M511" s="11">
        <v>0.081000000000000003</v>
      </c>
      <c r="N511" s="5" t="e">
        <f>IF(AND(M511&gt;#REF!,Cartera!O511="Guaraníes"),"Rendimiento significativo",IF(AND(M511&gt;#REF!,Cartera!O511="Dólares americanos"),"Rendimiento significativo","Rendimiento no significativo"))</f>
        <v>#REF!</v>
      </c>
      <c r="O511" s="5" t="s">
        <v>41</v>
      </c>
      <c r="P511" s="12">
        <v>4217547.9452400003</v>
      </c>
      <c r="Q511" s="12">
        <f>IF(O511="Guaraníes",P511,P511*#REF!)</f>
        <v>4217547.9452400003</v>
      </c>
      <c r="R511" s="12" t="e">
        <f>IF(O511="Guaraníes",P511/#REF!,P511)</f>
        <v>#REF!</v>
      </c>
      <c r="S511" s="5" t="s">
        <v>52</v>
      </c>
      <c r="T511" s="5">
        <v>25</v>
      </c>
      <c r="W511" s="5" t="s">
        <v>230</v>
      </c>
      <c r="X511" s="5">
        <v>0</v>
      </c>
      <c r="Y511" s="5">
        <v>0</v>
      </c>
      <c r="Z511" s="5">
        <v>40832.876711999997</v>
      </c>
      <c r="AA511" s="5">
        <v>105</v>
      </c>
      <c r="AB511" s="5">
        <v>4287452.0547599997</v>
      </c>
      <c r="AC511" s="5" t="str">
        <f t="shared" si="25"/>
        <v>Bonos</v>
      </c>
      <c r="AD511" s="5" t="s">
        <v>43</v>
      </c>
      <c r="AE511" s="5">
        <f t="shared" si="26"/>
        <v>8</v>
      </c>
      <c r="AF511" s="5">
        <f t="shared" si="27"/>
        <v>2021</v>
      </c>
    </row>
    <row r="512" s="5" customFormat="1" ht="13">
      <c r="A512" s="5" t="s">
        <v>44</v>
      </c>
      <c r="B512" s="5" t="s">
        <v>44</v>
      </c>
      <c r="C512" s="5" t="s">
        <v>242</v>
      </c>
      <c r="D512" s="5" t="s">
        <v>21</v>
      </c>
      <c r="E512" s="5" t="s">
        <v>44</v>
      </c>
      <c r="F512" s="5" t="s">
        <v>68</v>
      </c>
      <c r="G512" s="5" t="s">
        <v>75</v>
      </c>
      <c r="H512" s="9" t="s">
        <v>243</v>
      </c>
      <c r="I512" s="10"/>
      <c r="J512" s="10">
        <v>43514</v>
      </c>
      <c r="K512" s="5" t="s">
        <v>244</v>
      </c>
      <c r="L512" s="5" t="s">
        <v>58</v>
      </c>
      <c r="M512" s="11">
        <v>0.13750000000000001</v>
      </c>
      <c r="N512" s="5" t="e">
        <f>IF(AND(M512&gt;#REF!,Cartera!O512="Guaraníes"),"Rendimiento significativo",IF(AND(M512&gt;#REF!,Cartera!O512="Dólares americanos"),"Rendimiento significativo","Rendimiento no significativo"))</f>
        <v>#REF!</v>
      </c>
      <c r="O512" s="5" t="s">
        <v>41</v>
      </c>
      <c r="P512" s="12">
        <v>1028424.65754</v>
      </c>
      <c r="Q512" s="12">
        <f>IF(O512="Guaraníes",P512,P512*#REF!)</f>
        <v>1028424.65754</v>
      </c>
      <c r="R512" s="12" t="e">
        <f>IF(O512="Guaraníes",P512/#REF!,P512)</f>
        <v>#REF!</v>
      </c>
      <c r="S512" s="5" t="s">
        <v>52</v>
      </c>
      <c r="T512" s="5">
        <v>25</v>
      </c>
      <c r="W512" s="5" t="s">
        <v>245</v>
      </c>
      <c r="X512" s="5">
        <v>0</v>
      </c>
      <c r="Y512" s="5">
        <v>0</v>
      </c>
      <c r="Z512" s="5">
        <v>34280.821918000001</v>
      </c>
      <c r="AA512" s="5">
        <v>30</v>
      </c>
      <c r="AB512" s="5">
        <v>1028424.65754</v>
      </c>
      <c r="AC512" s="5" t="str">
        <f t="shared" ref="AC512:AC575" si="28">IF(ISNUMBER(SEARCH("Acciones",L512)),"Acciones",IF(ISNUMBER(SEARCH("Bono",L512)),"Bonos",IF(ISNUMBER(SEARCH("CDA",L512)),"CDA",IF(ISNUMBER(SEARCH("Fondo",L512)),"Fondo",0))))</f>
        <v>Bonos</v>
      </c>
      <c r="AD512" s="5" t="s">
        <v>43</v>
      </c>
      <c r="AE512" s="5">
        <f t="shared" si="26"/>
        <v>2</v>
      </c>
      <c r="AF512" s="5">
        <f t="shared" si="27"/>
        <v>2019</v>
      </c>
    </row>
    <row r="513" s="5" customFormat="1" ht="13">
      <c r="A513" s="5" t="s">
        <v>44</v>
      </c>
      <c r="B513" s="5" t="s">
        <v>44</v>
      </c>
      <c r="C513" s="5" t="s">
        <v>114</v>
      </c>
      <c r="D513" s="5" t="s">
        <v>21</v>
      </c>
      <c r="E513" s="5" t="s">
        <v>44</v>
      </c>
      <c r="F513" s="5" t="s">
        <v>68</v>
      </c>
      <c r="G513" s="5" t="s">
        <v>75</v>
      </c>
      <c r="H513" s="9" t="s">
        <v>170</v>
      </c>
      <c r="I513" s="10"/>
      <c r="J513" s="10">
        <v>43515</v>
      </c>
      <c r="K513" s="5" t="s">
        <v>77</v>
      </c>
      <c r="L513" s="5" t="s">
        <v>50</v>
      </c>
      <c r="M513" s="11">
        <v>0.14000000000000001</v>
      </c>
      <c r="N513" s="5" t="e">
        <f>IF(AND(M513&gt;#REF!,Cartera!O513="Guaraníes"),"Rendimiento significativo",IF(AND(M513&gt;#REF!,Cartera!O513="Dólares americanos"),"Rendimiento significativo","Rendimiento no significativo"))</f>
        <v>#REF!</v>
      </c>
      <c r="O513" s="5" t="s">
        <v>41</v>
      </c>
      <c r="P513" s="12">
        <v>3490410.9589</v>
      </c>
      <c r="Q513" s="12">
        <f>IF(O513="Guaraníes",P513,P513*#REF!)</f>
        <v>3490410.9589</v>
      </c>
      <c r="R513" s="12" t="e">
        <f>IF(O513="Guaraníes",P513/#REF!,P513)</f>
        <v>#REF!</v>
      </c>
      <c r="S513" s="5" t="s">
        <v>52</v>
      </c>
      <c r="T513" s="5">
        <v>25</v>
      </c>
      <c r="W513" s="5" t="s">
        <v>65</v>
      </c>
      <c r="X513" s="5">
        <v>0</v>
      </c>
      <c r="Y513" s="5">
        <v>0</v>
      </c>
      <c r="Z513" s="5">
        <v>34904.109589</v>
      </c>
      <c r="AA513" s="5">
        <v>100</v>
      </c>
      <c r="AB513" s="5">
        <v>3490410.9589</v>
      </c>
      <c r="AC513" s="5" t="str">
        <f t="shared" si="28"/>
        <v>Bonos</v>
      </c>
      <c r="AD513" s="5" t="s">
        <v>43</v>
      </c>
      <c r="AE513" s="5">
        <f t="shared" si="26"/>
        <v>2</v>
      </c>
      <c r="AF513" s="5">
        <f t="shared" si="27"/>
        <v>2019</v>
      </c>
    </row>
    <row r="514" s="5" customFormat="1" ht="13">
      <c r="A514" s="5" t="s">
        <v>44</v>
      </c>
      <c r="B514" s="5" t="s">
        <v>44</v>
      </c>
      <c r="C514" s="5" t="s">
        <v>227</v>
      </c>
      <c r="D514" s="5" t="s">
        <v>21</v>
      </c>
      <c r="E514" s="5" t="s">
        <v>44</v>
      </c>
      <c r="F514" s="5" t="s">
        <v>68</v>
      </c>
      <c r="G514" s="5" t="s">
        <v>75</v>
      </c>
      <c r="H514" s="9" t="s">
        <v>228</v>
      </c>
      <c r="I514" s="10"/>
      <c r="J514" s="10">
        <v>43517</v>
      </c>
      <c r="K514" s="5" t="s">
        <v>77</v>
      </c>
      <c r="L514" s="5" t="s">
        <v>58</v>
      </c>
      <c r="M514" s="11">
        <v>0.1525</v>
      </c>
      <c r="N514" s="5" t="e">
        <f>IF(AND(M514&gt;#REF!,Cartera!O514="Guaraníes"),"Rendimiento significativo",IF(AND(M514&gt;#REF!,Cartera!O514="Dólares americanos"),"Rendimiento significativo","Rendimiento no significativo"))</f>
        <v>#REF!</v>
      </c>
      <c r="O514" s="5" t="s">
        <v>41</v>
      </c>
      <c r="P514" s="12">
        <v>2851541.0958749996</v>
      </c>
      <c r="Q514" s="12">
        <f>IF(O514="Guaraníes",P514,P514*#REF!)</f>
        <v>2851541.0958749996</v>
      </c>
      <c r="R514" s="12" t="e">
        <f>IF(O514="Guaraníes",P514/#REF!,P514)</f>
        <v>#REF!</v>
      </c>
      <c r="S514" s="5" t="s">
        <v>52</v>
      </c>
      <c r="T514" s="5">
        <v>25</v>
      </c>
      <c r="W514" s="5" t="s">
        <v>196</v>
      </c>
      <c r="X514" s="5">
        <v>0</v>
      </c>
      <c r="Y514" s="5">
        <v>0</v>
      </c>
      <c r="Z514" s="5">
        <v>38020.547944999998</v>
      </c>
      <c r="AA514" s="5">
        <v>75</v>
      </c>
      <c r="AB514" s="5">
        <v>2851541.0958750001</v>
      </c>
      <c r="AC514" s="5" t="str">
        <f t="shared" si="28"/>
        <v>Bonos</v>
      </c>
      <c r="AD514" s="5" t="s">
        <v>43</v>
      </c>
      <c r="AE514" s="5">
        <f t="shared" si="26"/>
        <v>2</v>
      </c>
      <c r="AF514" s="5">
        <f t="shared" si="27"/>
        <v>2019</v>
      </c>
    </row>
    <row r="515" s="5" customFormat="1" ht="13">
      <c r="A515" s="5" t="s">
        <v>44</v>
      </c>
      <c r="B515" s="5" t="s">
        <v>44</v>
      </c>
      <c r="C515" s="5" t="s">
        <v>74</v>
      </c>
      <c r="D515" s="5" t="s">
        <v>21</v>
      </c>
      <c r="E515" s="5" t="s">
        <v>44</v>
      </c>
      <c r="F515" s="5" t="s">
        <v>68</v>
      </c>
      <c r="G515" s="5" t="s">
        <v>75</v>
      </c>
      <c r="H515" s="9" t="s">
        <v>231</v>
      </c>
      <c r="I515" s="10"/>
      <c r="J515" s="10">
        <v>43522</v>
      </c>
      <c r="K515" s="5" t="s">
        <v>77</v>
      </c>
      <c r="L515" s="5" t="s">
        <v>58</v>
      </c>
      <c r="M515" s="11">
        <v>0.14000000000000001</v>
      </c>
      <c r="N515" s="5" t="e">
        <f>IF(AND(M515&gt;#REF!,Cartera!O515="Guaraníes"),"Rendimiento significativo",IF(AND(M515&gt;#REF!,Cartera!O515="Dólares americanos"),"Rendimiento significativo","Rendimiento no significativo"))</f>
        <v>#REF!</v>
      </c>
      <c r="O515" s="5" t="s">
        <v>41</v>
      </c>
      <c r="P515" s="12">
        <v>5235616.4383499995</v>
      </c>
      <c r="Q515" s="12">
        <f>IF(O515="Guaraníes",P515,P515*#REF!)</f>
        <v>5235616.4383499995</v>
      </c>
      <c r="R515" s="12" t="e">
        <f>IF(O515="Guaraníes",P515/#REF!,P515)</f>
        <v>#REF!</v>
      </c>
      <c r="S515" s="5" t="s">
        <v>52</v>
      </c>
      <c r="T515" s="5">
        <v>25</v>
      </c>
      <c r="W515" s="5" t="s">
        <v>232</v>
      </c>
      <c r="X515" s="5">
        <v>0</v>
      </c>
      <c r="Y515" s="5">
        <v>0</v>
      </c>
      <c r="Z515" s="5">
        <v>34904.109589</v>
      </c>
      <c r="AA515" s="5">
        <v>150</v>
      </c>
      <c r="AB515" s="5">
        <v>5235616.4383500004</v>
      </c>
      <c r="AC515" s="5" t="str">
        <f t="shared" si="28"/>
        <v>Bonos</v>
      </c>
      <c r="AD515" s="5" t="s">
        <v>43</v>
      </c>
      <c r="AE515" s="5">
        <f t="shared" si="26"/>
        <v>2</v>
      </c>
      <c r="AF515" s="5">
        <f t="shared" si="27"/>
        <v>2019</v>
      </c>
    </row>
    <row r="516" s="5" customFormat="1" ht="13">
      <c r="A516" s="5" t="s">
        <v>44</v>
      </c>
      <c r="B516" s="5" t="s">
        <v>44</v>
      </c>
      <c r="C516" s="5" t="s">
        <v>114</v>
      </c>
      <c r="D516" s="5" t="s">
        <v>21</v>
      </c>
      <c r="E516" s="5" t="s">
        <v>44</v>
      </c>
      <c r="F516" s="5" t="s">
        <v>68</v>
      </c>
      <c r="G516" s="5" t="s">
        <v>75</v>
      </c>
      <c r="H516" s="9" t="s">
        <v>226</v>
      </c>
      <c r="I516" s="10"/>
      <c r="J516" s="10">
        <v>43545</v>
      </c>
      <c r="K516" s="5" t="s">
        <v>77</v>
      </c>
      <c r="L516" s="5" t="s">
        <v>58</v>
      </c>
      <c r="M516" s="11">
        <v>0.14000000000000001</v>
      </c>
      <c r="N516" s="5" t="e">
        <f>IF(AND(M516&gt;#REF!,Cartera!O516="Guaraníes"),"Rendimiento significativo",IF(AND(M516&gt;#REF!,Cartera!O516="Dólares americanos"),"Rendimiento significativo","Rendimiento no significativo"))</f>
        <v>#REF!</v>
      </c>
      <c r="O516" s="5" t="s">
        <v>41</v>
      </c>
      <c r="P516" s="12">
        <v>523561.643835</v>
      </c>
      <c r="Q516" s="12">
        <f>IF(O516="Guaraníes",P516,P516*#REF!)</f>
        <v>523561.643835</v>
      </c>
      <c r="R516" s="12" t="e">
        <f>IF(O516="Guaraníes",P516/#REF!,P516)</f>
        <v>#REF!</v>
      </c>
      <c r="S516" s="5" t="s">
        <v>52</v>
      </c>
      <c r="T516" s="5">
        <v>25</v>
      </c>
      <c r="W516" s="5" t="s">
        <v>65</v>
      </c>
      <c r="X516" s="5">
        <v>0</v>
      </c>
      <c r="Y516" s="5">
        <v>0</v>
      </c>
      <c r="Z516" s="5">
        <v>34904.109589</v>
      </c>
      <c r="AA516" s="5">
        <v>15</v>
      </c>
      <c r="AB516" s="5">
        <v>523561.643835</v>
      </c>
      <c r="AC516" s="5" t="str">
        <f t="shared" si="28"/>
        <v>Bonos</v>
      </c>
      <c r="AD516" s="5" t="s">
        <v>43</v>
      </c>
      <c r="AE516" s="5">
        <f t="shared" si="26"/>
        <v>3</v>
      </c>
      <c r="AF516" s="5">
        <f t="shared" si="27"/>
        <v>2019</v>
      </c>
    </row>
    <row r="517" s="5" customFormat="1" ht="13">
      <c r="A517" s="5" t="s">
        <v>44</v>
      </c>
      <c r="B517" s="5" t="s">
        <v>44</v>
      </c>
      <c r="C517" s="5" t="s">
        <v>114</v>
      </c>
      <c r="D517" s="5" t="s">
        <v>21</v>
      </c>
      <c r="E517" s="5" t="s">
        <v>44</v>
      </c>
      <c r="F517" s="5" t="s">
        <v>68</v>
      </c>
      <c r="G517" s="5" t="s">
        <v>75</v>
      </c>
      <c r="H517" s="9" t="s">
        <v>236</v>
      </c>
      <c r="I517" s="10"/>
      <c r="J517" s="10">
        <v>43545</v>
      </c>
      <c r="K517" s="5" t="s">
        <v>77</v>
      </c>
      <c r="L517" s="5" t="s">
        <v>50</v>
      </c>
      <c r="M517" s="11">
        <v>0.14749999999999999</v>
      </c>
      <c r="N517" s="5" t="e">
        <f>IF(AND(M517&gt;#REF!,Cartera!O517="Guaraníes"),"Rendimiento significativo",IF(AND(M517&gt;#REF!,Cartera!O517="Dólares americanos"),"Rendimiento significativo","Rendimiento no significativo"))</f>
        <v>#REF!</v>
      </c>
      <c r="O517" s="5" t="s">
        <v>41</v>
      </c>
      <c r="P517" s="12">
        <v>112191.780822</v>
      </c>
      <c r="Q517" s="12">
        <f>IF(O517="Guaraníes",P517,P517*#REF!)</f>
        <v>112191.780822</v>
      </c>
      <c r="R517" s="12" t="e">
        <f>IF(O517="Guaraníes",P517/#REF!,P517)</f>
        <v>#REF!</v>
      </c>
      <c r="S517" s="5" t="s">
        <v>52</v>
      </c>
      <c r="T517" s="5">
        <v>25</v>
      </c>
      <c r="W517" s="5" t="s">
        <v>65</v>
      </c>
      <c r="X517" s="5">
        <v>0</v>
      </c>
      <c r="Y517" s="5">
        <v>0</v>
      </c>
      <c r="Z517" s="5">
        <v>37397.260274</v>
      </c>
      <c r="AA517" s="5">
        <v>3</v>
      </c>
      <c r="AB517" s="5">
        <v>112191.780822</v>
      </c>
      <c r="AC517" s="5" t="str">
        <f t="shared" si="28"/>
        <v>Bonos</v>
      </c>
      <c r="AD517" s="5" t="s">
        <v>43</v>
      </c>
      <c r="AE517" s="5">
        <f t="shared" si="26"/>
        <v>3</v>
      </c>
      <c r="AF517" s="5">
        <f t="shared" si="27"/>
        <v>2019</v>
      </c>
    </row>
    <row r="518" s="5" customFormat="1" ht="13">
      <c r="A518" s="5" t="s">
        <v>44</v>
      </c>
      <c r="B518" s="5" t="s">
        <v>44</v>
      </c>
      <c r="C518" s="5" t="s">
        <v>99</v>
      </c>
      <c r="D518" s="5" t="s">
        <v>21</v>
      </c>
      <c r="E518" s="5" t="s">
        <v>44</v>
      </c>
      <c r="F518" s="5" t="s">
        <v>100</v>
      </c>
      <c r="G518" s="5" t="s">
        <v>75</v>
      </c>
      <c r="H518" s="9" t="s">
        <v>229</v>
      </c>
      <c r="I518" s="10"/>
      <c r="J518" s="10">
        <v>43549</v>
      </c>
      <c r="K518" s="5" t="s">
        <v>102</v>
      </c>
      <c r="L518" s="5" t="s">
        <v>102</v>
      </c>
      <c r="M518" s="11">
        <v>0.089999999999999997</v>
      </c>
      <c r="N518" s="5" t="e">
        <f>IF(AND(M518&gt;#REF!,Cartera!O518="Guaraníes"),"Rendimiento significativo",IF(AND(M518&gt;#REF!,Cartera!O518="Dólares americanos"),"Rendimiento significativo","Rendimiento no significativo"))</f>
        <v>#REF!</v>
      </c>
      <c r="O518" s="5" t="s">
        <v>41</v>
      </c>
      <c r="P518" s="12">
        <v>6158219.1780599998</v>
      </c>
      <c r="Q518" s="12">
        <f>IF(O518="Guaraníes",P518,P518*#REF!)</f>
        <v>6158219.1780599998</v>
      </c>
      <c r="R518" s="12" t="e">
        <f>IF(O518="Guaraníes",P518/#REF!,P518)</f>
        <v>#REF!</v>
      </c>
      <c r="S518" s="5" t="s">
        <v>52</v>
      </c>
      <c r="T518" s="5">
        <v>25</v>
      </c>
      <c r="W518" s="5" t="s">
        <v>230</v>
      </c>
      <c r="X518" s="5">
        <v>0</v>
      </c>
      <c r="Y518" s="5">
        <v>0</v>
      </c>
      <c r="Z518" s="5">
        <v>45616.438355999999</v>
      </c>
      <c r="AA518" s="5">
        <v>135</v>
      </c>
      <c r="AB518" s="5">
        <v>6158219.1780599998</v>
      </c>
      <c r="AC518" s="5" t="str">
        <f t="shared" si="28"/>
        <v>Bonos</v>
      </c>
      <c r="AD518" s="5" t="s">
        <v>43</v>
      </c>
      <c r="AE518" s="5">
        <f t="shared" si="26"/>
        <v>3</v>
      </c>
      <c r="AF518" s="5">
        <f t="shared" si="27"/>
        <v>2019</v>
      </c>
    </row>
    <row r="519" s="5" customFormat="1" ht="13">
      <c r="A519" s="5" t="s">
        <v>44</v>
      </c>
      <c r="B519" s="5" t="s">
        <v>44</v>
      </c>
      <c r="C519" s="5" t="s">
        <v>114</v>
      </c>
      <c r="D519" s="5" t="s">
        <v>21</v>
      </c>
      <c r="E519" s="5" t="s">
        <v>44</v>
      </c>
      <c r="F519" s="5" t="s">
        <v>68</v>
      </c>
      <c r="G519" s="5" t="s">
        <v>75</v>
      </c>
      <c r="H519" s="9" t="s">
        <v>237</v>
      </c>
      <c r="I519" s="10"/>
      <c r="J519" s="10">
        <v>43557</v>
      </c>
      <c r="K519" s="5" t="s">
        <v>77</v>
      </c>
      <c r="L519" s="5" t="s">
        <v>50</v>
      </c>
      <c r="M519" s="11">
        <v>0.13750000000000001</v>
      </c>
      <c r="N519" s="5" t="e">
        <f>IF(AND(M519&gt;#REF!,Cartera!O519="Guaraníes"),"Rendimiento significativo",IF(AND(M519&gt;#REF!,Cartera!O519="Dólares americanos"),"Rendimiento significativo","Rendimiento no significativo"))</f>
        <v>#REF!</v>
      </c>
      <c r="O519" s="5" t="s">
        <v>41</v>
      </c>
      <c r="P519" s="12">
        <v>670547.94519999996</v>
      </c>
      <c r="Q519" s="12">
        <f>IF(O519="Guaraníes",P519,P519*#REF!)</f>
        <v>670547.94519999996</v>
      </c>
      <c r="R519" s="12" t="e">
        <f>IF(O519="Guaraníes",P519/#REF!,P519)</f>
        <v>#REF!</v>
      </c>
      <c r="S519" s="5" t="s">
        <v>52</v>
      </c>
      <c r="T519" s="5">
        <v>25</v>
      </c>
      <c r="W519" s="5" t="s">
        <v>65</v>
      </c>
      <c r="X519" s="5">
        <v>0</v>
      </c>
      <c r="Y519" s="5">
        <v>0</v>
      </c>
      <c r="Z519" s="5">
        <v>33527.397259999998</v>
      </c>
      <c r="AA519" s="5">
        <v>20</v>
      </c>
      <c r="AB519" s="5">
        <v>670547.94519999996</v>
      </c>
      <c r="AC519" s="5" t="str">
        <f t="shared" si="28"/>
        <v>Bonos</v>
      </c>
      <c r="AD519" s="5" t="s">
        <v>43</v>
      </c>
      <c r="AE519" s="5">
        <f t="shared" si="26"/>
        <v>4</v>
      </c>
      <c r="AF519" s="5">
        <f t="shared" si="27"/>
        <v>2019</v>
      </c>
    </row>
    <row r="520" s="5" customFormat="1" ht="13">
      <c r="A520" s="5" t="s">
        <v>44</v>
      </c>
      <c r="B520" s="5" t="s">
        <v>44</v>
      </c>
      <c r="C520" s="5" t="s">
        <v>183</v>
      </c>
      <c r="D520" s="5" t="s">
        <v>21</v>
      </c>
      <c r="E520" s="5" t="s">
        <v>44</v>
      </c>
      <c r="F520" s="5" t="s">
        <v>184</v>
      </c>
      <c r="G520" s="5" t="s">
        <v>75</v>
      </c>
      <c r="H520" s="9" t="s">
        <v>251</v>
      </c>
      <c r="I520" s="10"/>
      <c r="J520" s="10">
        <v>43566</v>
      </c>
      <c r="K520" s="5" t="s">
        <v>124</v>
      </c>
      <c r="L520" s="5" t="s">
        <v>106</v>
      </c>
      <c r="M520" s="11">
        <v>0.069199999999999998</v>
      </c>
      <c r="N520" s="5" t="e">
        <f>IF(AND(M520&gt;#REF!,Cartera!O520="Guaraníes"),"Rendimiento significativo",IF(AND(M520&gt;#REF!,Cartera!O520="Dólares americanos"),"Rendimiento significativo","Rendimiento no significativo"))</f>
        <v>#REF!</v>
      </c>
      <c r="O520" s="5" t="s">
        <v>41</v>
      </c>
      <c r="P520" s="12">
        <v>5422602.7397999996</v>
      </c>
      <c r="Q520" s="12">
        <f>IF(O520="Guaraníes",P520,P520*#REF!)</f>
        <v>5422602.7397999996</v>
      </c>
      <c r="R520" s="12" t="e">
        <f>IF(O520="Guaraníes",P520/#REF!,P520)</f>
        <v>#REF!</v>
      </c>
      <c r="S520" s="5" t="s">
        <v>52</v>
      </c>
      <c r="T520" s="5">
        <v>25</v>
      </c>
      <c r="W520" s="5" t="s">
        <v>252</v>
      </c>
      <c r="X520" s="5">
        <v>0</v>
      </c>
      <c r="Y520" s="5">
        <v>0</v>
      </c>
      <c r="Z520" s="5">
        <v>36150.684931999996</v>
      </c>
      <c r="AA520" s="5">
        <v>150</v>
      </c>
      <c r="AB520" s="5">
        <v>5422602.7397999996</v>
      </c>
      <c r="AC520" s="5" t="str">
        <f t="shared" si="28"/>
        <v>Bonos</v>
      </c>
      <c r="AD520" s="5" t="s">
        <v>43</v>
      </c>
      <c r="AE520" s="5">
        <f t="shared" si="26"/>
        <v>4</v>
      </c>
      <c r="AF520" s="5">
        <f t="shared" si="27"/>
        <v>2019</v>
      </c>
    </row>
    <row r="521" s="5" customFormat="1" ht="13">
      <c r="A521" s="5" t="s">
        <v>44</v>
      </c>
      <c r="B521" s="5" t="s">
        <v>44</v>
      </c>
      <c r="C521" s="5" t="s">
        <v>156</v>
      </c>
      <c r="D521" s="5" t="s">
        <v>21</v>
      </c>
      <c r="E521" s="5" t="s">
        <v>44</v>
      </c>
      <c r="F521" s="5" t="s">
        <v>68</v>
      </c>
      <c r="G521" s="5" t="s">
        <v>75</v>
      </c>
      <c r="H521" s="9" t="s">
        <v>157</v>
      </c>
      <c r="I521" s="10"/>
      <c r="J521" s="10">
        <v>43571</v>
      </c>
      <c r="K521" s="5" t="s">
        <v>158</v>
      </c>
      <c r="L521" s="5" t="s">
        <v>58</v>
      </c>
      <c r="M521" s="11">
        <v>0.16</v>
      </c>
      <c r="N521" s="5" t="e">
        <f>IF(AND(M521&gt;#REF!,Cartera!O521="Guaraníes"),"Rendimiento significativo",IF(AND(M521&gt;#REF!,Cartera!O521="Dólares americanos"),"Rendimiento significativo","Rendimiento no significativo"))</f>
        <v>#REF!</v>
      </c>
      <c r="O521" s="5" t="s">
        <v>41</v>
      </c>
      <c r="P521" s="12">
        <v>4188493.15068</v>
      </c>
      <c r="Q521" s="12">
        <f>IF(O521="Guaraníes",P521,P521*#REF!)</f>
        <v>4188493.15068</v>
      </c>
      <c r="R521" s="12" t="e">
        <f>IF(O521="Guaraníes",P521/#REF!,P521)</f>
        <v>#REF!</v>
      </c>
      <c r="S521" s="5" t="s">
        <v>52</v>
      </c>
      <c r="T521" s="5">
        <v>25</v>
      </c>
      <c r="W521" s="5" t="s">
        <v>232</v>
      </c>
      <c r="X521" s="5">
        <v>0</v>
      </c>
      <c r="Y521" s="5">
        <v>0</v>
      </c>
      <c r="Z521" s="5">
        <v>34904.109589</v>
      </c>
      <c r="AA521" s="5">
        <v>120</v>
      </c>
      <c r="AB521" s="5">
        <v>4188493.15068</v>
      </c>
      <c r="AC521" s="5" t="str">
        <f t="shared" si="28"/>
        <v>Bonos</v>
      </c>
      <c r="AD521" s="5" t="s">
        <v>43</v>
      </c>
      <c r="AE521" s="5">
        <f t="shared" si="26"/>
        <v>4</v>
      </c>
      <c r="AF521" s="5">
        <f t="shared" si="27"/>
        <v>2019</v>
      </c>
    </row>
    <row r="522" s="5" customFormat="1" ht="13">
      <c r="A522" s="5" t="s">
        <v>44</v>
      </c>
      <c r="B522" s="5" t="s">
        <v>44</v>
      </c>
      <c r="C522" s="5" t="s">
        <v>239</v>
      </c>
      <c r="D522" s="5" t="s">
        <v>21</v>
      </c>
      <c r="E522" s="5" t="s">
        <v>44</v>
      </c>
      <c r="F522" s="5" t="s">
        <v>68</v>
      </c>
      <c r="G522" s="5" t="s">
        <v>75</v>
      </c>
      <c r="H522" s="9" t="s">
        <v>240</v>
      </c>
      <c r="I522" s="10"/>
      <c r="J522" s="10">
        <v>43578</v>
      </c>
      <c r="K522" s="5" t="s">
        <v>49</v>
      </c>
      <c r="L522" s="5" t="s">
        <v>58</v>
      </c>
      <c r="M522" s="11">
        <v>0.13</v>
      </c>
      <c r="N522" s="5" t="e">
        <f>IF(AND(M522&gt;#REF!,Cartera!O522="Guaraníes"),"Rendimiento significativo",IF(AND(M522&gt;#REF!,Cartera!O522="Dólares americanos"),"Rendimiento significativo","Rendimiento no significativo"))</f>
        <v>#REF!</v>
      </c>
      <c r="O522" s="5" t="s">
        <v>41</v>
      </c>
      <c r="P522" s="12">
        <v>1620547.9452</v>
      </c>
      <c r="Q522" s="12">
        <f>IF(O522="Guaraníes",P522,P522*#REF!)</f>
        <v>1620547.9452</v>
      </c>
      <c r="R522" s="12" t="e">
        <f>IF(O522="Guaraníes",P522/#REF!,P522)</f>
        <v>#REF!</v>
      </c>
      <c r="S522" s="5" t="s">
        <v>52</v>
      </c>
      <c r="T522" s="5">
        <v>25</v>
      </c>
      <c r="W522" s="5" t="s">
        <v>253</v>
      </c>
      <c r="X522" s="5">
        <v>0</v>
      </c>
      <c r="Y522" s="5">
        <v>0</v>
      </c>
      <c r="Z522" s="5">
        <v>32410.958903999999</v>
      </c>
      <c r="AA522" s="5">
        <v>50</v>
      </c>
      <c r="AB522" s="5">
        <v>1620547.9452</v>
      </c>
      <c r="AC522" s="5" t="str">
        <f t="shared" si="28"/>
        <v>Bonos</v>
      </c>
      <c r="AD522" s="5" t="s">
        <v>43</v>
      </c>
      <c r="AE522" s="5">
        <f t="shared" si="26"/>
        <v>4</v>
      </c>
      <c r="AF522" s="5">
        <f t="shared" si="27"/>
        <v>2019</v>
      </c>
    </row>
    <row r="523" s="5" customFormat="1" ht="13">
      <c r="A523" s="5" t="s">
        <v>44</v>
      </c>
      <c r="B523" s="5" t="s">
        <v>44</v>
      </c>
      <c r="C523" s="5" t="s">
        <v>99</v>
      </c>
      <c r="D523" s="5" t="s">
        <v>21</v>
      </c>
      <c r="E523" s="5" t="s">
        <v>44</v>
      </c>
      <c r="F523" s="5" t="s">
        <v>100</v>
      </c>
      <c r="G523" s="5" t="s">
        <v>75</v>
      </c>
      <c r="H523" s="9" t="s">
        <v>217</v>
      </c>
      <c r="I523" s="10"/>
      <c r="J523" s="10">
        <v>43579</v>
      </c>
      <c r="K523" s="5" t="s">
        <v>102</v>
      </c>
      <c r="L523" s="5" t="s">
        <v>102</v>
      </c>
      <c r="M523" s="11">
        <v>0.080000000000000002</v>
      </c>
      <c r="N523" s="5" t="e">
        <f>IF(AND(M523&gt;#REF!,Cartera!O523="Guaraníes"),"Rendimiento significativo",IF(AND(M523&gt;#REF!,Cartera!O523="Dólares americanos"),"Rendimiento significativo","Rendimiento no significativo"))</f>
        <v>#REF!</v>
      </c>
      <c r="O523" s="5" t="s">
        <v>41</v>
      </c>
      <c r="P523" s="12">
        <v>1975000</v>
      </c>
      <c r="Q523" s="12">
        <f>IF(O523="Guaraníes",P523,P523*#REF!)</f>
        <v>1975000</v>
      </c>
      <c r="R523" s="12" t="e">
        <f>IF(O523="Guaraníes",P523/#REF!,P523)</f>
        <v>#REF!</v>
      </c>
      <c r="S523" s="5" t="s">
        <v>52</v>
      </c>
      <c r="T523" s="5">
        <v>25</v>
      </c>
      <c r="W523" s="5" t="s">
        <v>218</v>
      </c>
      <c r="X523" s="5">
        <v>0</v>
      </c>
      <c r="Y523" s="5">
        <v>0</v>
      </c>
      <c r="Z523" s="5">
        <v>39500</v>
      </c>
      <c r="AA523" s="5">
        <v>50</v>
      </c>
      <c r="AB523" s="5">
        <v>1975000</v>
      </c>
      <c r="AC523" s="5" t="str">
        <f t="shared" si="28"/>
        <v>Bonos</v>
      </c>
      <c r="AD523" s="5" t="s">
        <v>43</v>
      </c>
      <c r="AE523" s="5">
        <f t="shared" si="26"/>
        <v>4</v>
      </c>
      <c r="AF523" s="5">
        <f t="shared" si="27"/>
        <v>2019</v>
      </c>
    </row>
    <row r="524" s="5" customFormat="1" ht="13">
      <c r="A524" s="5" t="s">
        <v>44</v>
      </c>
      <c r="B524" s="5" t="s">
        <v>44</v>
      </c>
      <c r="C524" s="5" t="s">
        <v>114</v>
      </c>
      <c r="D524" s="5" t="s">
        <v>21</v>
      </c>
      <c r="E524" s="5" t="s">
        <v>44</v>
      </c>
      <c r="F524" s="5" t="s">
        <v>68</v>
      </c>
      <c r="G524" s="5" t="s">
        <v>75</v>
      </c>
      <c r="H524" s="9" t="s">
        <v>234</v>
      </c>
      <c r="I524" s="10"/>
      <c r="J524" s="10">
        <v>43579</v>
      </c>
      <c r="K524" s="5" t="s">
        <v>77</v>
      </c>
      <c r="L524" s="5" t="s">
        <v>50</v>
      </c>
      <c r="M524" s="11">
        <v>0.12</v>
      </c>
      <c r="N524" s="5" t="e">
        <f>IF(AND(M524&gt;#REF!,Cartera!O524="Guaraníes"),"Rendimiento significativo",IF(AND(M524&gt;#REF!,Cartera!O524="Dólares americanos"),"Rendimiento significativo","Rendimiento no significativo"))</f>
        <v>#REF!</v>
      </c>
      <c r="O524" s="5" t="s">
        <v>51</v>
      </c>
      <c r="P524" s="13">
        <v>486.16437000000002</v>
      </c>
      <c r="Q524" s="12" t="e">
        <f>IF(O524="Guaraníes",P524,P524*#REF!)</f>
        <v>#REF!</v>
      </c>
      <c r="R524" s="12">
        <f>IF(O524="Guaraníes",P524/#REF!,P524)</f>
        <v>486.16437000000002</v>
      </c>
      <c r="S524" s="5" t="s">
        <v>52</v>
      </c>
      <c r="T524" s="5">
        <v>25</v>
      </c>
      <c r="W524" s="5" t="s">
        <v>65</v>
      </c>
      <c r="X524" s="5">
        <v>0</v>
      </c>
      <c r="Y524" s="5">
        <v>0</v>
      </c>
      <c r="Z524" s="5">
        <v>16.205479</v>
      </c>
      <c r="AA524" s="5">
        <v>30</v>
      </c>
      <c r="AB524" s="5">
        <v>486.16437000000002</v>
      </c>
      <c r="AC524" s="5" t="str">
        <f t="shared" si="28"/>
        <v>Bonos</v>
      </c>
      <c r="AD524" s="5" t="s">
        <v>43</v>
      </c>
      <c r="AE524" s="5">
        <f t="shared" si="26"/>
        <v>4</v>
      </c>
      <c r="AF524" s="5">
        <f t="shared" si="27"/>
        <v>2019</v>
      </c>
    </row>
    <row r="525" s="5" customFormat="1" ht="13">
      <c r="A525" s="5" t="s">
        <v>44</v>
      </c>
      <c r="B525" s="5" t="s">
        <v>44</v>
      </c>
      <c r="C525" s="5" t="s">
        <v>156</v>
      </c>
      <c r="D525" s="5" t="s">
        <v>21</v>
      </c>
      <c r="E525" s="5" t="s">
        <v>44</v>
      </c>
      <c r="F525" s="5" t="s">
        <v>68</v>
      </c>
      <c r="G525" s="5" t="s">
        <v>75</v>
      </c>
      <c r="H525" s="9" t="s">
        <v>246</v>
      </c>
      <c r="I525" s="10"/>
      <c r="J525" s="10">
        <v>43587</v>
      </c>
      <c r="K525" s="5" t="s">
        <v>158</v>
      </c>
      <c r="L525" s="5" t="s">
        <v>58</v>
      </c>
      <c r="M525" s="11">
        <v>0.125</v>
      </c>
      <c r="N525" s="5" t="e">
        <f>IF(AND(M525&gt;#REF!,Cartera!O525="Guaraníes"),"Rendimiento significativo",IF(AND(M525&gt;#REF!,Cartera!O525="Dólares americanos"),"Rendimiento significativo","Rendimiento no significativo"))</f>
        <v>#REF!</v>
      </c>
      <c r="O525" s="5" t="s">
        <v>41</v>
      </c>
      <c r="P525" s="12">
        <v>1495890.4109499999</v>
      </c>
      <c r="Q525" s="12">
        <f>IF(O525="Guaraníes",P525,P525*#REF!)</f>
        <v>1495890.4109499999</v>
      </c>
      <c r="R525" s="12" t="e">
        <f>IF(O525="Guaraníes",P525/#REF!,P525)</f>
        <v>#REF!</v>
      </c>
      <c r="S525" s="5" t="s">
        <v>52</v>
      </c>
      <c r="T525" s="5">
        <v>25</v>
      </c>
      <c r="W525" s="5" t="s">
        <v>247</v>
      </c>
      <c r="X525" s="5">
        <v>0</v>
      </c>
      <c r="Y525" s="5">
        <v>0</v>
      </c>
      <c r="Z525" s="5">
        <v>29917.808218999999</v>
      </c>
      <c r="AA525" s="5">
        <v>50</v>
      </c>
      <c r="AB525" s="5">
        <v>1495890.4109499999</v>
      </c>
      <c r="AC525" s="5" t="str">
        <f t="shared" si="28"/>
        <v>Bonos</v>
      </c>
      <c r="AD525" s="5" t="s">
        <v>43</v>
      </c>
      <c r="AE525" s="5">
        <f t="shared" si="26"/>
        <v>5</v>
      </c>
      <c r="AF525" s="5">
        <f t="shared" si="27"/>
        <v>2019</v>
      </c>
    </row>
    <row r="526" s="5" customFormat="1" ht="13">
      <c r="A526" s="5" t="s">
        <v>44</v>
      </c>
      <c r="B526" s="5" t="s">
        <v>44</v>
      </c>
      <c r="C526" s="5" t="s">
        <v>114</v>
      </c>
      <c r="D526" s="5" t="s">
        <v>21</v>
      </c>
      <c r="E526" s="5" t="s">
        <v>44</v>
      </c>
      <c r="F526" s="5" t="s">
        <v>68</v>
      </c>
      <c r="G526" s="5" t="s">
        <v>75</v>
      </c>
      <c r="H526" s="9" t="s">
        <v>235</v>
      </c>
      <c r="I526" s="10"/>
      <c r="J526" s="10">
        <v>43587</v>
      </c>
      <c r="K526" s="5" t="s">
        <v>77</v>
      </c>
      <c r="L526" s="5" t="s">
        <v>50</v>
      </c>
      <c r="M526" s="11">
        <v>0.14249999999999999</v>
      </c>
      <c r="N526" s="5" t="e">
        <f>IF(AND(M526&gt;#REF!,Cartera!O526="Guaraníes"),"Rendimiento significativo",IF(AND(M526&gt;#REF!,Cartera!O526="Dólares americanos"),"Rendimiento significativo","Rendimiento no significativo"))</f>
        <v>#REF!</v>
      </c>
      <c r="O526" s="5" t="s">
        <v>41</v>
      </c>
      <c r="P526" s="12">
        <v>183869.86301500001</v>
      </c>
      <c r="Q526" s="12">
        <f>IF(O526="Guaraníes",P526,P526*#REF!)</f>
        <v>183869.86301500001</v>
      </c>
      <c r="R526" s="12" t="e">
        <f>IF(O526="Guaraníes",P526/#REF!,P526)</f>
        <v>#REF!</v>
      </c>
      <c r="S526" s="5" t="s">
        <v>52</v>
      </c>
      <c r="T526" s="5">
        <v>25</v>
      </c>
      <c r="W526" s="5" t="s">
        <v>65</v>
      </c>
      <c r="X526" s="5">
        <v>0</v>
      </c>
      <c r="Y526" s="5">
        <v>0</v>
      </c>
      <c r="Z526" s="5">
        <v>36773.972603000002</v>
      </c>
      <c r="AA526" s="5">
        <v>5</v>
      </c>
      <c r="AB526" s="5">
        <v>183869.86301500001</v>
      </c>
      <c r="AC526" s="5" t="str">
        <f t="shared" si="28"/>
        <v>Bonos</v>
      </c>
      <c r="AD526" s="5" t="s">
        <v>43</v>
      </c>
      <c r="AE526" s="5">
        <f t="shared" si="26"/>
        <v>5</v>
      </c>
      <c r="AF526" s="5">
        <f t="shared" si="27"/>
        <v>2019</v>
      </c>
    </row>
    <row r="527" s="5" customFormat="1" ht="13">
      <c r="A527" s="5" t="s">
        <v>44</v>
      </c>
      <c r="B527" s="5" t="s">
        <v>44</v>
      </c>
      <c r="C527" s="5" t="s">
        <v>114</v>
      </c>
      <c r="D527" s="5" t="s">
        <v>21</v>
      </c>
      <c r="E527" s="5" t="s">
        <v>44</v>
      </c>
      <c r="F527" s="5" t="s">
        <v>68</v>
      </c>
      <c r="G527" s="5" t="s">
        <v>75</v>
      </c>
      <c r="H527" s="9" t="s">
        <v>115</v>
      </c>
      <c r="I527" s="10"/>
      <c r="J527" s="10">
        <v>43587</v>
      </c>
      <c r="K527" s="5" t="s">
        <v>77</v>
      </c>
      <c r="L527" s="5" t="s">
        <v>50</v>
      </c>
      <c r="M527" s="11">
        <v>0.125</v>
      </c>
      <c r="N527" s="5" t="e">
        <f>IF(AND(M527&gt;#REF!,Cartera!O527="Guaraníes"),"Rendimiento significativo",IF(AND(M527&gt;#REF!,Cartera!O527="Dólares americanos"),"Rendimiento significativo","Rendimiento no significativo"))</f>
        <v>#REF!</v>
      </c>
      <c r="O527" s="5" t="s">
        <v>41</v>
      </c>
      <c r="P527" s="12">
        <v>917260.27397999994</v>
      </c>
      <c r="Q527" s="12">
        <f>IF(O527="Guaraníes",P527,P527*#REF!)</f>
        <v>917260.27397999994</v>
      </c>
      <c r="R527" s="12" t="e">
        <f>IF(O527="Guaraníes",P527/#REF!,P527)</f>
        <v>#REF!</v>
      </c>
      <c r="S527" s="5" t="s">
        <v>52</v>
      </c>
      <c r="T527" s="5">
        <v>25</v>
      </c>
      <c r="W527" s="5" t="s">
        <v>65</v>
      </c>
      <c r="X527" s="5">
        <v>0</v>
      </c>
      <c r="Y527" s="5">
        <v>0</v>
      </c>
      <c r="Z527" s="5">
        <v>30575.342465999998</v>
      </c>
      <c r="AA527" s="5">
        <v>30</v>
      </c>
      <c r="AB527" s="5">
        <v>917260.27398000006</v>
      </c>
      <c r="AC527" s="5" t="str">
        <f t="shared" si="28"/>
        <v>Bonos</v>
      </c>
      <c r="AD527" s="5" t="s">
        <v>43</v>
      </c>
      <c r="AE527" s="5">
        <f t="shared" si="26"/>
        <v>5</v>
      </c>
      <c r="AF527" s="5">
        <f t="shared" si="27"/>
        <v>2019</v>
      </c>
    </row>
    <row r="528" s="5" customFormat="1" ht="13">
      <c r="A528" s="5" t="s">
        <v>44</v>
      </c>
      <c r="B528" s="5" t="s">
        <v>44</v>
      </c>
      <c r="C528" s="5" t="s">
        <v>99</v>
      </c>
      <c r="D528" s="5" t="s">
        <v>21</v>
      </c>
      <c r="E528" s="5" t="s">
        <v>44</v>
      </c>
      <c r="F528" s="5" t="s">
        <v>100</v>
      </c>
      <c r="G528" s="5" t="s">
        <v>75</v>
      </c>
      <c r="H528" s="9" t="s">
        <v>248</v>
      </c>
      <c r="I528" s="10"/>
      <c r="J528" s="10">
        <v>43594</v>
      </c>
      <c r="K528" s="5" t="s">
        <v>102</v>
      </c>
      <c r="L528" s="5" t="s">
        <v>102</v>
      </c>
      <c r="M528" s="11">
        <v>0.077499999999999999</v>
      </c>
      <c r="N528" s="5" t="e">
        <f>IF(AND(M528&gt;#REF!,Cartera!O528="Guaraníes"),"Rendimiento significativo",IF(AND(M528&gt;#REF!,Cartera!O528="Dólares americanos"),"Rendimiento significativo","Rendimiento no significativo"))</f>
        <v>#REF!</v>
      </c>
      <c r="O528" s="5" t="s">
        <v>41</v>
      </c>
      <c r="P528" s="12">
        <v>1750000</v>
      </c>
      <c r="Q528" s="12">
        <f>IF(O528="Guaraníes",P528,P528*#REF!)</f>
        <v>1750000</v>
      </c>
      <c r="R528" s="12" t="e">
        <f>IF(O528="Guaraníes",P528/#REF!,P528)</f>
        <v>#REF!</v>
      </c>
      <c r="S528" s="5" t="s">
        <v>52</v>
      </c>
      <c r="T528" s="5">
        <v>25</v>
      </c>
      <c r="W528" s="5" t="s">
        <v>249</v>
      </c>
      <c r="X528" s="5">
        <v>0</v>
      </c>
      <c r="Y528" s="5">
        <v>0</v>
      </c>
      <c r="Z528" s="5">
        <v>35000</v>
      </c>
      <c r="AA528" s="5">
        <v>50</v>
      </c>
      <c r="AB528" s="5">
        <v>1750000</v>
      </c>
      <c r="AC528" s="5" t="str">
        <f t="shared" si="28"/>
        <v>Bonos</v>
      </c>
      <c r="AD528" s="5" t="s">
        <v>43</v>
      </c>
      <c r="AE528" s="5">
        <f t="shared" si="26"/>
        <v>5</v>
      </c>
      <c r="AF528" s="5">
        <f t="shared" si="27"/>
        <v>2019</v>
      </c>
    </row>
    <row r="529" s="5" customFormat="1" ht="13">
      <c r="A529" s="5" t="s">
        <v>44</v>
      </c>
      <c r="B529" s="5" t="s">
        <v>44</v>
      </c>
      <c r="C529" s="5" t="s">
        <v>33</v>
      </c>
      <c r="D529" s="5" t="s">
        <v>21</v>
      </c>
      <c r="E529" s="5" t="s">
        <v>44</v>
      </c>
      <c r="F529" s="5" t="s">
        <v>35</v>
      </c>
      <c r="G529" s="5" t="s">
        <v>75</v>
      </c>
      <c r="H529" s="9" t="s">
        <v>168</v>
      </c>
      <c r="I529" s="10"/>
      <c r="J529" s="10">
        <v>43599</v>
      </c>
      <c r="K529" s="5" t="s">
        <v>39</v>
      </c>
      <c r="L529" s="5" t="s">
        <v>50</v>
      </c>
      <c r="M529" s="11">
        <v>0.070000000000000007</v>
      </c>
      <c r="N529" s="5" t="e">
        <f>IF(AND(M529&gt;#REF!,Cartera!O529="Guaraníes"),"Rendimiento significativo",IF(AND(M529&gt;#REF!,Cartera!O529="Dólares americanos"),"Rendimiento significativo","Rendimiento no significativo"))</f>
        <v>#REF!</v>
      </c>
      <c r="O529" s="5" t="s">
        <v>51</v>
      </c>
      <c r="P529" s="13">
        <v>1221.6438500000002</v>
      </c>
      <c r="Q529" s="12" t="e">
        <f>IF(O529="Guaraníes",P529,P529*#REF!)</f>
        <v>#REF!</v>
      </c>
      <c r="R529" s="12">
        <f>IF(O529="Guaraníes",P529/#REF!,P529)</f>
        <v>1221.6438500000002</v>
      </c>
      <c r="S529" s="5" t="s">
        <v>52</v>
      </c>
      <c r="T529" s="5">
        <v>25</v>
      </c>
      <c r="W529" s="5" t="s">
        <v>65</v>
      </c>
      <c r="X529" s="5">
        <v>0</v>
      </c>
      <c r="Y529" s="5">
        <v>0</v>
      </c>
      <c r="Z529" s="5">
        <v>17.452055000000001</v>
      </c>
      <c r="AA529" s="5">
        <v>70</v>
      </c>
      <c r="AB529" s="5">
        <v>1221.6438499999999</v>
      </c>
      <c r="AC529" s="5" t="str">
        <f t="shared" si="28"/>
        <v>Bonos</v>
      </c>
      <c r="AD529" s="5" t="s">
        <v>43</v>
      </c>
      <c r="AE529" s="5">
        <f t="shared" si="26"/>
        <v>5</v>
      </c>
      <c r="AF529" s="5">
        <f t="shared" si="27"/>
        <v>2019</v>
      </c>
    </row>
    <row r="530" s="5" customFormat="1" ht="13">
      <c r="A530" s="5" t="s">
        <v>44</v>
      </c>
      <c r="B530" s="5" t="s">
        <v>44</v>
      </c>
      <c r="C530" s="5" t="s">
        <v>242</v>
      </c>
      <c r="D530" s="5" t="s">
        <v>21</v>
      </c>
      <c r="E530" s="5" t="s">
        <v>44</v>
      </c>
      <c r="F530" s="5" t="s">
        <v>68</v>
      </c>
      <c r="G530" s="5" t="s">
        <v>75</v>
      </c>
      <c r="H530" s="9" t="s">
        <v>243</v>
      </c>
      <c r="I530" s="10"/>
      <c r="J530" s="10">
        <v>43605</v>
      </c>
      <c r="K530" s="5" t="s">
        <v>244</v>
      </c>
      <c r="L530" s="5" t="s">
        <v>58</v>
      </c>
      <c r="M530" s="11">
        <v>0.13750000000000001</v>
      </c>
      <c r="N530" s="5" t="e">
        <f>IF(AND(M530&gt;#REF!,Cartera!O530="Guaraníes"),"Rendimiento significativo",IF(AND(M530&gt;#REF!,Cartera!O530="Dólares americanos"),"Rendimiento significativo","Rendimiento no significativo"))</f>
        <v>#REF!</v>
      </c>
      <c r="O530" s="5" t="s">
        <v>41</v>
      </c>
      <c r="P530" s="12">
        <v>1028424.65754</v>
      </c>
      <c r="Q530" s="12">
        <f>IF(O530="Guaraníes",P530,P530*#REF!)</f>
        <v>1028424.65754</v>
      </c>
      <c r="R530" s="12" t="e">
        <f>IF(O530="Guaraníes",P530/#REF!,P530)</f>
        <v>#REF!</v>
      </c>
      <c r="S530" s="5" t="s">
        <v>52</v>
      </c>
      <c r="T530" s="5">
        <v>25</v>
      </c>
      <c r="W530" s="5" t="s">
        <v>241</v>
      </c>
      <c r="X530" s="5">
        <v>0</v>
      </c>
      <c r="Y530" s="5">
        <v>0</v>
      </c>
      <c r="Z530" s="5">
        <v>34280.821918000001</v>
      </c>
      <c r="AA530" s="5">
        <v>30</v>
      </c>
      <c r="AB530" s="5">
        <v>1028424.65754</v>
      </c>
      <c r="AC530" s="5" t="str">
        <f t="shared" si="28"/>
        <v>Bonos</v>
      </c>
      <c r="AD530" s="5" t="s">
        <v>43</v>
      </c>
      <c r="AE530" s="5">
        <f t="shared" si="26"/>
        <v>5</v>
      </c>
      <c r="AF530" s="5">
        <f t="shared" si="27"/>
        <v>2019</v>
      </c>
    </row>
    <row r="531" s="5" customFormat="1" ht="13">
      <c r="A531" s="5" t="s">
        <v>44</v>
      </c>
      <c r="B531" s="5" t="s">
        <v>44</v>
      </c>
      <c r="C531" s="5" t="s">
        <v>114</v>
      </c>
      <c r="D531" s="5" t="s">
        <v>21</v>
      </c>
      <c r="E531" s="5" t="s">
        <v>44</v>
      </c>
      <c r="F531" s="5" t="s">
        <v>68</v>
      </c>
      <c r="G531" s="5" t="s">
        <v>75</v>
      </c>
      <c r="H531" s="9" t="s">
        <v>170</v>
      </c>
      <c r="I531" s="10"/>
      <c r="J531" s="10">
        <v>43606</v>
      </c>
      <c r="K531" s="5" t="s">
        <v>77</v>
      </c>
      <c r="L531" s="5" t="s">
        <v>50</v>
      </c>
      <c r="M531" s="11">
        <v>0.14000000000000001</v>
      </c>
      <c r="N531" s="5" t="e">
        <f>IF(AND(M531&gt;#REF!,Cartera!O531="Guaraníes"),"Rendimiento significativo",IF(AND(M531&gt;#REF!,Cartera!O531="Dólares americanos"),"Rendimiento significativo","Rendimiento no significativo"))</f>
        <v>#REF!</v>
      </c>
      <c r="O531" s="5" t="s">
        <v>41</v>
      </c>
      <c r="P531" s="12">
        <v>3490410.9589</v>
      </c>
      <c r="Q531" s="12">
        <f>IF(O531="Guaraníes",P531,P531*#REF!)</f>
        <v>3490410.9589</v>
      </c>
      <c r="R531" s="12" t="e">
        <f>IF(O531="Guaraníes",P531/#REF!,P531)</f>
        <v>#REF!</v>
      </c>
      <c r="S531" s="5" t="s">
        <v>52</v>
      </c>
      <c r="T531" s="5">
        <v>25</v>
      </c>
      <c r="W531" s="5" t="s">
        <v>65</v>
      </c>
      <c r="X531" s="5">
        <v>0</v>
      </c>
      <c r="Y531" s="5">
        <v>0</v>
      </c>
      <c r="Z531" s="5">
        <v>34904.109589</v>
      </c>
      <c r="AA531" s="5">
        <v>100</v>
      </c>
      <c r="AB531" s="5">
        <v>3490410.9589</v>
      </c>
      <c r="AC531" s="5" t="str">
        <f t="shared" si="28"/>
        <v>Bonos</v>
      </c>
      <c r="AD531" s="5" t="s">
        <v>43</v>
      </c>
      <c r="AE531" s="5">
        <f t="shared" si="26"/>
        <v>5</v>
      </c>
      <c r="AF531" s="5">
        <f t="shared" si="27"/>
        <v>2019</v>
      </c>
    </row>
    <row r="532" s="5" customFormat="1" ht="13">
      <c r="A532" s="5" t="s">
        <v>44</v>
      </c>
      <c r="B532" s="5" t="s">
        <v>44</v>
      </c>
      <c r="C532" s="5" t="s">
        <v>227</v>
      </c>
      <c r="D532" s="5" t="s">
        <v>21</v>
      </c>
      <c r="E532" s="5" t="s">
        <v>44</v>
      </c>
      <c r="F532" s="5" t="s">
        <v>68</v>
      </c>
      <c r="G532" s="5" t="s">
        <v>75</v>
      </c>
      <c r="H532" s="9" t="s">
        <v>228</v>
      </c>
      <c r="I532" s="10"/>
      <c r="J532" s="10">
        <v>43608</v>
      </c>
      <c r="K532" s="5" t="s">
        <v>77</v>
      </c>
      <c r="L532" s="5" t="s">
        <v>58</v>
      </c>
      <c r="M532" s="11">
        <v>0.1525</v>
      </c>
      <c r="N532" s="5" t="e">
        <f>IF(AND(M532&gt;#REF!,Cartera!O532="Guaraníes"),"Rendimiento significativo",IF(AND(M532&gt;#REF!,Cartera!O532="Dólares americanos"),"Rendimiento significativo","Rendimiento no significativo"))</f>
        <v>#REF!</v>
      </c>
      <c r="O532" s="5" t="s">
        <v>41</v>
      </c>
      <c r="P532" s="12">
        <v>2851541.0958749996</v>
      </c>
      <c r="Q532" s="12">
        <f>IF(O532="Guaraníes",P532,P532*#REF!)</f>
        <v>2851541.0958749996</v>
      </c>
      <c r="R532" s="12" t="e">
        <f>IF(O532="Guaraníes",P532/#REF!,P532)</f>
        <v>#REF!</v>
      </c>
      <c r="S532" s="5" t="s">
        <v>52</v>
      </c>
      <c r="T532" s="5">
        <v>25</v>
      </c>
      <c r="W532" s="5" t="s">
        <v>196</v>
      </c>
      <c r="X532" s="5">
        <v>0</v>
      </c>
      <c r="Y532" s="5">
        <v>0</v>
      </c>
      <c r="Z532" s="5">
        <v>38020.547944999998</v>
      </c>
      <c r="AA532" s="5">
        <v>75</v>
      </c>
      <c r="AB532" s="5">
        <v>2851541.0958750001</v>
      </c>
      <c r="AC532" s="5" t="str">
        <f t="shared" si="28"/>
        <v>Bonos</v>
      </c>
      <c r="AD532" s="5" t="s">
        <v>43</v>
      </c>
      <c r="AE532" s="5">
        <f t="shared" si="26"/>
        <v>5</v>
      </c>
      <c r="AF532" s="5">
        <f t="shared" si="27"/>
        <v>2019</v>
      </c>
    </row>
    <row r="533" s="5" customFormat="1" ht="13">
      <c r="A533" s="5" t="s">
        <v>44</v>
      </c>
      <c r="B533" s="5" t="s">
        <v>44</v>
      </c>
      <c r="C533" s="5" t="s">
        <v>74</v>
      </c>
      <c r="D533" s="5" t="s">
        <v>21</v>
      </c>
      <c r="E533" s="5" t="s">
        <v>44</v>
      </c>
      <c r="F533" s="5" t="s">
        <v>68</v>
      </c>
      <c r="G533" s="5" t="s">
        <v>75</v>
      </c>
      <c r="H533" s="9" t="s">
        <v>231</v>
      </c>
      <c r="I533" s="10"/>
      <c r="J533" s="10">
        <v>43613</v>
      </c>
      <c r="K533" s="5" t="s">
        <v>77</v>
      </c>
      <c r="L533" s="5" t="s">
        <v>58</v>
      </c>
      <c r="M533" s="11">
        <v>0.14000000000000001</v>
      </c>
      <c r="N533" s="5" t="e">
        <f>IF(AND(M533&gt;#REF!,Cartera!O533="Guaraníes"),"Rendimiento significativo",IF(AND(M533&gt;#REF!,Cartera!O533="Dólares americanos"),"Rendimiento significativo","Rendimiento no significativo"))</f>
        <v>#REF!</v>
      </c>
      <c r="O533" s="5" t="s">
        <v>41</v>
      </c>
      <c r="P533" s="12">
        <v>5235616.4383499995</v>
      </c>
      <c r="Q533" s="12">
        <f>IF(O533="Guaraníes",P533,P533*#REF!)</f>
        <v>5235616.4383499995</v>
      </c>
      <c r="R533" s="12" t="e">
        <f>IF(O533="Guaraníes",P533/#REF!,P533)</f>
        <v>#REF!</v>
      </c>
      <c r="S533" s="5" t="s">
        <v>52</v>
      </c>
      <c r="T533" s="5">
        <v>25</v>
      </c>
      <c r="W533" s="5" t="s">
        <v>232</v>
      </c>
      <c r="X533" s="5">
        <v>0</v>
      </c>
      <c r="Y533" s="5">
        <v>0</v>
      </c>
      <c r="Z533" s="5">
        <v>34904.109589</v>
      </c>
      <c r="AA533" s="5">
        <v>150</v>
      </c>
      <c r="AB533" s="5">
        <v>5235616.4383500004</v>
      </c>
      <c r="AC533" s="5" t="str">
        <f t="shared" si="28"/>
        <v>Bonos</v>
      </c>
      <c r="AD533" s="5" t="s">
        <v>43</v>
      </c>
      <c r="AE533" s="5">
        <f t="shared" si="26"/>
        <v>5</v>
      </c>
      <c r="AF533" s="5">
        <f t="shared" si="27"/>
        <v>2019</v>
      </c>
    </row>
    <row r="534" s="5" customFormat="1" ht="13">
      <c r="A534" s="5" t="s">
        <v>44</v>
      </c>
      <c r="B534" s="5" t="s">
        <v>44</v>
      </c>
      <c r="C534" s="5" t="s">
        <v>254</v>
      </c>
      <c r="D534" s="5" t="s">
        <v>21</v>
      </c>
      <c r="E534" s="5" t="s">
        <v>44</v>
      </c>
      <c r="F534" s="5" t="s">
        <v>68</v>
      </c>
      <c r="G534" s="5" t="s">
        <v>75</v>
      </c>
      <c r="H534" s="9" t="s">
        <v>255</v>
      </c>
      <c r="I534" s="10"/>
      <c r="J534" s="10">
        <v>43629</v>
      </c>
      <c r="K534" s="5" t="s">
        <v>256</v>
      </c>
      <c r="L534" s="5" t="s">
        <v>58</v>
      </c>
      <c r="M534" s="11">
        <v>0.057500000000000002</v>
      </c>
      <c r="N534" s="5" t="e">
        <f>IF(AND(M534&gt;#REF!,Cartera!O534="Guaraníes"),"Rendimiento significativo",IF(AND(M534&gt;#REF!,Cartera!O534="Dólares americanos"),"Rendimiento significativo","Rendimiento no significativo"))</f>
        <v>#REF!</v>
      </c>
      <c r="O534" s="5" t="s">
        <v>51</v>
      </c>
      <c r="P534" s="13">
        <v>860.13698999999997</v>
      </c>
      <c r="Q534" s="12" t="e">
        <f>IF(O534="Guaraníes",P534,P534*#REF!)</f>
        <v>#REF!</v>
      </c>
      <c r="R534" s="12">
        <f>IF(O534="Guaraníes",P534/#REF!,P534)</f>
        <v>860.13698999999997</v>
      </c>
      <c r="S534" s="5" t="s">
        <v>52</v>
      </c>
      <c r="T534" s="5">
        <v>25</v>
      </c>
      <c r="W534" s="5" t="s">
        <v>249</v>
      </c>
      <c r="X534" s="5">
        <v>0</v>
      </c>
      <c r="Y534" s="5">
        <v>0</v>
      </c>
      <c r="Z534" s="5">
        <v>28.671233000000001</v>
      </c>
      <c r="AA534" s="5">
        <v>30</v>
      </c>
      <c r="AB534" s="5">
        <v>860.13698999999997</v>
      </c>
      <c r="AC534" s="5" t="str">
        <f t="shared" si="28"/>
        <v>Bonos</v>
      </c>
      <c r="AD534" s="5" t="s">
        <v>43</v>
      </c>
      <c r="AE534" s="5">
        <f t="shared" si="26"/>
        <v>6</v>
      </c>
      <c r="AF534" s="5">
        <f t="shared" si="27"/>
        <v>2019</v>
      </c>
    </row>
    <row r="535" s="5" customFormat="1" ht="13">
      <c r="A535" s="5" t="s">
        <v>44</v>
      </c>
      <c r="B535" s="5" t="s">
        <v>44</v>
      </c>
      <c r="C535" s="5" t="s">
        <v>114</v>
      </c>
      <c r="D535" s="5" t="s">
        <v>21</v>
      </c>
      <c r="E535" s="5" t="s">
        <v>44</v>
      </c>
      <c r="F535" s="5" t="s">
        <v>68</v>
      </c>
      <c r="G535" s="5" t="s">
        <v>75</v>
      </c>
      <c r="H535" s="9" t="s">
        <v>226</v>
      </c>
      <c r="I535" s="10"/>
      <c r="J535" s="10">
        <v>43636</v>
      </c>
      <c r="K535" s="5" t="s">
        <v>77</v>
      </c>
      <c r="L535" s="5" t="s">
        <v>58</v>
      </c>
      <c r="M535" s="11">
        <v>0.14000000000000001</v>
      </c>
      <c r="N535" s="5" t="e">
        <f>IF(AND(M535&gt;#REF!,Cartera!O535="Guaraníes"),"Rendimiento significativo",IF(AND(M535&gt;#REF!,Cartera!O535="Dólares americanos"),"Rendimiento significativo","Rendimiento no significativo"))</f>
        <v>#REF!</v>
      </c>
      <c r="O535" s="5" t="s">
        <v>41</v>
      </c>
      <c r="P535" s="12">
        <v>523561.643835</v>
      </c>
      <c r="Q535" s="12">
        <f>IF(O535="Guaraníes",P535,P535*#REF!)</f>
        <v>523561.643835</v>
      </c>
      <c r="R535" s="12" t="e">
        <f>IF(O535="Guaraníes",P535/#REF!,P535)</f>
        <v>#REF!</v>
      </c>
      <c r="S535" s="5" t="s">
        <v>52</v>
      </c>
      <c r="T535" s="5">
        <v>25</v>
      </c>
      <c r="W535" s="5" t="s">
        <v>65</v>
      </c>
      <c r="X535" s="5">
        <v>0</v>
      </c>
      <c r="Y535" s="5">
        <v>0</v>
      </c>
      <c r="Z535" s="5">
        <v>34904.109589</v>
      </c>
      <c r="AA535" s="5">
        <v>15</v>
      </c>
      <c r="AB535" s="5">
        <v>523561.643835</v>
      </c>
      <c r="AC535" s="5" t="str">
        <f t="shared" si="28"/>
        <v>Bonos</v>
      </c>
      <c r="AD535" s="5" t="s">
        <v>43</v>
      </c>
      <c r="AE535" s="5">
        <f t="shared" si="26"/>
        <v>6</v>
      </c>
      <c r="AF535" s="5">
        <f t="shared" si="27"/>
        <v>2019</v>
      </c>
    </row>
    <row r="536" s="5" customFormat="1" ht="13">
      <c r="A536" s="5" t="s">
        <v>44</v>
      </c>
      <c r="B536" s="5" t="s">
        <v>44</v>
      </c>
      <c r="C536" s="5" t="s">
        <v>114</v>
      </c>
      <c r="D536" s="5" t="s">
        <v>21</v>
      </c>
      <c r="E536" s="5" t="s">
        <v>44</v>
      </c>
      <c r="F536" s="5" t="s">
        <v>68</v>
      </c>
      <c r="G536" s="5" t="s">
        <v>75</v>
      </c>
      <c r="H536" s="9" t="s">
        <v>236</v>
      </c>
      <c r="I536" s="10"/>
      <c r="J536" s="10">
        <v>43636</v>
      </c>
      <c r="K536" s="5" t="s">
        <v>77</v>
      </c>
      <c r="L536" s="5" t="s">
        <v>50</v>
      </c>
      <c r="M536" s="11">
        <v>0.14749999999999999</v>
      </c>
      <c r="N536" s="5" t="e">
        <f>IF(AND(M536&gt;#REF!,Cartera!O536="Guaraníes"),"Rendimiento significativo",IF(AND(M536&gt;#REF!,Cartera!O536="Dólares americanos"),"Rendimiento significativo","Rendimiento no significativo"))</f>
        <v>#REF!</v>
      </c>
      <c r="O536" s="5" t="s">
        <v>41</v>
      </c>
      <c r="P536" s="12">
        <v>112191.780822</v>
      </c>
      <c r="Q536" s="12">
        <f>IF(O536="Guaraníes",P536,P536*#REF!)</f>
        <v>112191.780822</v>
      </c>
      <c r="R536" s="12" t="e">
        <f>IF(O536="Guaraníes",P536/#REF!,P536)</f>
        <v>#REF!</v>
      </c>
      <c r="S536" s="5" t="s">
        <v>52</v>
      </c>
      <c r="T536" s="5">
        <v>25</v>
      </c>
      <c r="W536" s="5" t="s">
        <v>65</v>
      </c>
      <c r="X536" s="5">
        <v>0</v>
      </c>
      <c r="Y536" s="5">
        <v>0</v>
      </c>
      <c r="Z536" s="5">
        <v>37397.260274</v>
      </c>
      <c r="AA536" s="5">
        <v>3</v>
      </c>
      <c r="AB536" s="5">
        <v>112191.780822</v>
      </c>
      <c r="AC536" s="5" t="str">
        <f t="shared" si="28"/>
        <v>Bonos</v>
      </c>
      <c r="AD536" s="5" t="s">
        <v>43</v>
      </c>
      <c r="AE536" s="5">
        <f t="shared" si="26"/>
        <v>6</v>
      </c>
      <c r="AF536" s="5">
        <f t="shared" si="27"/>
        <v>2019</v>
      </c>
    </row>
    <row r="537" s="5" customFormat="1" ht="13">
      <c r="A537" s="5" t="s">
        <v>44</v>
      </c>
      <c r="B537" s="5" t="s">
        <v>44</v>
      </c>
      <c r="C537" s="5" t="s">
        <v>114</v>
      </c>
      <c r="D537" s="5" t="s">
        <v>21</v>
      </c>
      <c r="E537" s="5" t="s">
        <v>44</v>
      </c>
      <c r="F537" s="5" t="s">
        <v>68</v>
      </c>
      <c r="G537" s="5" t="s">
        <v>75</v>
      </c>
      <c r="H537" s="9" t="s">
        <v>237</v>
      </c>
      <c r="I537" s="10"/>
      <c r="J537" s="10">
        <v>43648</v>
      </c>
      <c r="K537" s="5" t="s">
        <v>77</v>
      </c>
      <c r="L537" s="5" t="s">
        <v>50</v>
      </c>
      <c r="M537" s="11">
        <v>0.13750000000000001</v>
      </c>
      <c r="N537" s="5" t="e">
        <f>IF(AND(M537&gt;#REF!,Cartera!O537="Guaraníes"),"Rendimiento significativo",IF(AND(M537&gt;#REF!,Cartera!O537="Dólares americanos"),"Rendimiento significativo","Rendimiento no significativo"))</f>
        <v>#REF!</v>
      </c>
      <c r="O537" s="5" t="s">
        <v>41</v>
      </c>
      <c r="P537" s="12">
        <v>685616.43836000003</v>
      </c>
      <c r="Q537" s="12">
        <f>IF(O537="Guaraníes",P537,P537*#REF!)</f>
        <v>685616.43836000003</v>
      </c>
      <c r="R537" s="12" t="e">
        <f>IF(O537="Guaraníes",P537/#REF!,P537)</f>
        <v>#REF!</v>
      </c>
      <c r="S537" s="5" t="s">
        <v>52</v>
      </c>
      <c r="T537" s="5">
        <v>25</v>
      </c>
      <c r="W537" s="5" t="s">
        <v>65</v>
      </c>
      <c r="X537" s="5">
        <v>0</v>
      </c>
      <c r="Y537" s="5">
        <v>0</v>
      </c>
      <c r="Z537" s="5">
        <v>34280.821918000001</v>
      </c>
      <c r="AA537" s="5">
        <v>20</v>
      </c>
      <c r="AB537" s="5">
        <v>685616.43836000003</v>
      </c>
      <c r="AC537" s="5" t="str">
        <f t="shared" si="28"/>
        <v>Bonos</v>
      </c>
      <c r="AD537" s="5" t="s">
        <v>43</v>
      </c>
      <c r="AE537" s="5">
        <f t="shared" si="26"/>
        <v>7</v>
      </c>
      <c r="AF537" s="5">
        <f t="shared" si="27"/>
        <v>2019</v>
      </c>
    </row>
    <row r="538" s="5" customFormat="1" ht="13">
      <c r="A538" s="5" t="s">
        <v>44</v>
      </c>
      <c r="B538" s="5" t="s">
        <v>44</v>
      </c>
      <c r="C538" s="5" t="s">
        <v>33</v>
      </c>
      <c r="D538" s="5" t="s">
        <v>21</v>
      </c>
      <c r="E538" s="5" t="s">
        <v>44</v>
      </c>
      <c r="F538" s="5" t="s">
        <v>35</v>
      </c>
      <c r="G538" s="5" t="s">
        <v>75</v>
      </c>
      <c r="H538" s="9" t="s">
        <v>257</v>
      </c>
      <c r="I538" s="10"/>
      <c r="J538" s="10">
        <v>43650</v>
      </c>
      <c r="K538" s="5" t="s">
        <v>39</v>
      </c>
      <c r="L538" s="5" t="s">
        <v>106</v>
      </c>
      <c r="M538" s="11">
        <v>0.0625</v>
      </c>
      <c r="N538" s="5" t="e">
        <f>IF(AND(M538&gt;#REF!,Cartera!O538="Guaraníes"),"Rendimiento significativo",IF(AND(M538&gt;#REF!,Cartera!O538="Dólares americanos"),"Rendimiento significativo","Rendimiento no significativo"))</f>
        <v>#REF!</v>
      </c>
      <c r="O538" s="5" t="s">
        <v>51</v>
      </c>
      <c r="P538" s="13">
        <v>623.28767999999991</v>
      </c>
      <c r="Q538" s="12" t="e">
        <f>IF(O538="Guaraníes",P538,P538*#REF!)</f>
        <v>#REF!</v>
      </c>
      <c r="R538" s="12">
        <f>IF(O538="Guaraníes",P538/#REF!,P538)</f>
        <v>623.28767999999991</v>
      </c>
      <c r="S538" s="5" t="s">
        <v>52</v>
      </c>
      <c r="T538" s="5">
        <v>25</v>
      </c>
      <c r="W538" s="5" t="s">
        <v>218</v>
      </c>
      <c r="X538" s="5">
        <v>0</v>
      </c>
      <c r="Y538" s="5">
        <v>0</v>
      </c>
      <c r="Z538" s="5">
        <v>15.582191999999999</v>
      </c>
      <c r="AA538" s="5">
        <v>40</v>
      </c>
      <c r="AB538" s="5">
        <v>623.28768000000002</v>
      </c>
      <c r="AC538" s="5" t="str">
        <f t="shared" si="28"/>
        <v>Bonos</v>
      </c>
      <c r="AD538" s="5" t="s">
        <v>43</v>
      </c>
      <c r="AE538" s="5">
        <f t="shared" si="26"/>
        <v>7</v>
      </c>
      <c r="AF538" s="5">
        <f t="shared" si="27"/>
        <v>2019</v>
      </c>
    </row>
    <row r="539" s="5" customFormat="1" ht="13">
      <c r="A539" s="5" t="s">
        <v>44</v>
      </c>
      <c r="B539" s="5" t="s">
        <v>44</v>
      </c>
      <c r="C539" s="5" t="s">
        <v>156</v>
      </c>
      <c r="D539" s="5" t="s">
        <v>21</v>
      </c>
      <c r="E539" s="5" t="s">
        <v>44</v>
      </c>
      <c r="F539" s="5" t="s">
        <v>68</v>
      </c>
      <c r="G539" s="5" t="s">
        <v>75</v>
      </c>
      <c r="H539" s="9" t="s">
        <v>157</v>
      </c>
      <c r="I539" s="10"/>
      <c r="J539" s="10">
        <v>43662</v>
      </c>
      <c r="K539" s="5" t="s">
        <v>158</v>
      </c>
      <c r="L539" s="5" t="s">
        <v>58</v>
      </c>
      <c r="M539" s="11">
        <v>0.16</v>
      </c>
      <c r="N539" s="5" t="e">
        <f>IF(AND(M539&gt;#REF!,Cartera!O539="Guaraníes"),"Rendimiento significativo",IF(AND(M539&gt;#REF!,Cartera!O539="Dólares americanos"),"Rendimiento significativo","Rendimiento no significativo"))</f>
        <v>#REF!</v>
      </c>
      <c r="O539" s="5" t="s">
        <v>41</v>
      </c>
      <c r="P539" s="12">
        <v>4188493.15068</v>
      </c>
      <c r="Q539" s="12">
        <f>IF(O539="Guaraníes",P539,P539*#REF!)</f>
        <v>4188493.15068</v>
      </c>
      <c r="R539" s="12" t="e">
        <f>IF(O539="Guaraníes",P539/#REF!,P539)</f>
        <v>#REF!</v>
      </c>
      <c r="S539" s="5" t="s">
        <v>52</v>
      </c>
      <c r="T539" s="5">
        <v>25</v>
      </c>
      <c r="W539" s="5" t="s">
        <v>232</v>
      </c>
      <c r="X539" s="5">
        <v>0</v>
      </c>
      <c r="Y539" s="5">
        <v>0</v>
      </c>
      <c r="Z539" s="5">
        <v>34904.109589</v>
      </c>
      <c r="AA539" s="5">
        <v>120</v>
      </c>
      <c r="AB539" s="5">
        <v>4188493.15068</v>
      </c>
      <c r="AC539" s="5" t="str">
        <f t="shared" si="28"/>
        <v>Bonos</v>
      </c>
      <c r="AD539" s="5" t="s">
        <v>43</v>
      </c>
      <c r="AE539" s="5">
        <f t="shared" si="26"/>
        <v>7</v>
      </c>
      <c r="AF539" s="5">
        <f t="shared" si="27"/>
        <v>2019</v>
      </c>
    </row>
    <row r="540" s="5" customFormat="1" ht="13">
      <c r="A540" s="5" t="s">
        <v>44</v>
      </c>
      <c r="B540" s="5" t="s">
        <v>44</v>
      </c>
      <c r="C540" s="5" t="s">
        <v>239</v>
      </c>
      <c r="D540" s="5" t="s">
        <v>21</v>
      </c>
      <c r="E540" s="5" t="s">
        <v>44</v>
      </c>
      <c r="F540" s="5" t="s">
        <v>68</v>
      </c>
      <c r="G540" s="5" t="s">
        <v>75</v>
      </c>
      <c r="H540" s="9" t="s">
        <v>240</v>
      </c>
      <c r="I540" s="10"/>
      <c r="J540" s="10">
        <v>43669</v>
      </c>
      <c r="K540" s="5" t="s">
        <v>49</v>
      </c>
      <c r="L540" s="5" t="s">
        <v>58</v>
      </c>
      <c r="M540" s="11">
        <v>0.13</v>
      </c>
      <c r="N540" s="5" t="e">
        <f>IF(AND(M540&gt;#REF!,Cartera!O540="Guaraníes"),"Rendimiento significativo",IF(AND(M540&gt;#REF!,Cartera!O540="Dólares americanos"),"Rendimiento significativo","Rendimiento no significativo"))</f>
        <v>#REF!</v>
      </c>
      <c r="O540" s="5" t="s">
        <v>41</v>
      </c>
      <c r="P540" s="12">
        <v>1620547.9452</v>
      </c>
      <c r="Q540" s="12">
        <f>IF(O540="Guaraníes",P540,P540*#REF!)</f>
        <v>1620547.9452</v>
      </c>
      <c r="R540" s="12" t="e">
        <f>IF(O540="Guaraníes",P540/#REF!,P540)</f>
        <v>#REF!</v>
      </c>
      <c r="S540" s="5" t="s">
        <v>52</v>
      </c>
      <c r="T540" s="5">
        <v>25</v>
      </c>
      <c r="W540" s="5" t="s">
        <v>253</v>
      </c>
      <c r="X540" s="5">
        <v>0</v>
      </c>
      <c r="Y540" s="5">
        <v>0</v>
      </c>
      <c r="Z540" s="5">
        <v>32410.958903999999</v>
      </c>
      <c r="AA540" s="5">
        <v>50</v>
      </c>
      <c r="AB540" s="5">
        <v>1620547.9452</v>
      </c>
      <c r="AC540" s="5" t="str">
        <f t="shared" si="28"/>
        <v>Bonos</v>
      </c>
      <c r="AD540" s="5" t="s">
        <v>43</v>
      </c>
      <c r="AE540" s="5">
        <f t="shared" si="26"/>
        <v>7</v>
      </c>
      <c r="AF540" s="5">
        <f t="shared" si="27"/>
        <v>2019</v>
      </c>
    </row>
    <row r="541" s="5" customFormat="1" ht="13">
      <c r="A541" s="5" t="s">
        <v>44</v>
      </c>
      <c r="B541" s="5" t="s">
        <v>44</v>
      </c>
      <c r="C541" s="5" t="s">
        <v>114</v>
      </c>
      <c r="D541" s="5" t="s">
        <v>21</v>
      </c>
      <c r="E541" s="5" t="s">
        <v>44</v>
      </c>
      <c r="F541" s="5" t="s">
        <v>68</v>
      </c>
      <c r="G541" s="5" t="s">
        <v>75</v>
      </c>
      <c r="H541" s="9" t="s">
        <v>234</v>
      </c>
      <c r="I541" s="10"/>
      <c r="J541" s="10">
        <v>43670</v>
      </c>
      <c r="K541" s="5" t="s">
        <v>77</v>
      </c>
      <c r="L541" s="5" t="s">
        <v>50</v>
      </c>
      <c r="M541" s="11">
        <v>0.12</v>
      </c>
      <c r="N541" s="5" t="e">
        <f>IF(AND(M541&gt;#REF!,Cartera!O541="Guaraníes"),"Rendimiento significativo",IF(AND(M541&gt;#REF!,Cartera!O541="Dólares americanos"),"Rendimiento significativo","Rendimiento no significativo"))</f>
        <v>#REF!</v>
      </c>
      <c r="O541" s="5" t="s">
        <v>51</v>
      </c>
      <c r="P541" s="13">
        <v>486.16437000000002</v>
      </c>
      <c r="Q541" s="12" t="e">
        <f>IF(O541="Guaraníes",P541,P541*#REF!)</f>
        <v>#REF!</v>
      </c>
      <c r="R541" s="12">
        <f>IF(O541="Guaraníes",P541/#REF!,P541)</f>
        <v>486.16437000000002</v>
      </c>
      <c r="S541" s="5" t="s">
        <v>52</v>
      </c>
      <c r="T541" s="5">
        <v>25</v>
      </c>
      <c r="W541" s="5" t="s">
        <v>65</v>
      </c>
      <c r="X541" s="5">
        <v>0</v>
      </c>
      <c r="Y541" s="5">
        <v>0</v>
      </c>
      <c r="Z541" s="5">
        <v>16.205479</v>
      </c>
      <c r="AA541" s="5">
        <v>30</v>
      </c>
      <c r="AB541" s="5">
        <v>486.16437000000002</v>
      </c>
      <c r="AC541" s="5" t="str">
        <f t="shared" si="28"/>
        <v>Bonos</v>
      </c>
      <c r="AD541" s="5" t="s">
        <v>43</v>
      </c>
      <c r="AE541" s="5">
        <f t="shared" si="26"/>
        <v>7</v>
      </c>
      <c r="AF541" s="5">
        <f t="shared" si="27"/>
        <v>2019</v>
      </c>
    </row>
    <row r="542" s="5" customFormat="1" ht="13">
      <c r="A542" s="5" t="s">
        <v>44</v>
      </c>
      <c r="B542" s="5" t="s">
        <v>44</v>
      </c>
      <c r="C542" s="5" t="s">
        <v>156</v>
      </c>
      <c r="D542" s="5" t="s">
        <v>21</v>
      </c>
      <c r="E542" s="5" t="s">
        <v>44</v>
      </c>
      <c r="F542" s="5" t="s">
        <v>68</v>
      </c>
      <c r="G542" s="5" t="s">
        <v>75</v>
      </c>
      <c r="H542" s="9" t="s">
        <v>246</v>
      </c>
      <c r="I542" s="10"/>
      <c r="J542" s="10">
        <v>43678</v>
      </c>
      <c r="K542" s="5" t="s">
        <v>158</v>
      </c>
      <c r="L542" s="5" t="s">
        <v>58</v>
      </c>
      <c r="M542" s="11">
        <v>0.125</v>
      </c>
      <c r="N542" s="5" t="e">
        <f>IF(AND(M542&gt;#REF!,Cartera!O542="Guaraníes"),"Rendimiento significativo",IF(AND(M542&gt;#REF!,Cartera!O542="Dólares americanos"),"Rendimiento significativo","Rendimiento no significativo"))</f>
        <v>#REF!</v>
      </c>
      <c r="O542" s="5" t="s">
        <v>41</v>
      </c>
      <c r="P542" s="12">
        <v>1495890.4109499999</v>
      </c>
      <c r="Q542" s="12">
        <f>IF(O542="Guaraníes",P542,P542*#REF!)</f>
        <v>1495890.4109499999</v>
      </c>
      <c r="R542" s="12" t="e">
        <f>IF(O542="Guaraníes",P542/#REF!,P542)</f>
        <v>#REF!</v>
      </c>
      <c r="S542" s="5" t="s">
        <v>52</v>
      </c>
      <c r="T542" s="5">
        <v>25</v>
      </c>
      <c r="W542" s="5" t="s">
        <v>247</v>
      </c>
      <c r="X542" s="5">
        <v>0</v>
      </c>
      <c r="Y542" s="5">
        <v>0</v>
      </c>
      <c r="Z542" s="5">
        <v>29917.808218999999</v>
      </c>
      <c r="AA542" s="5">
        <v>50</v>
      </c>
      <c r="AB542" s="5">
        <v>1495890.4109499999</v>
      </c>
      <c r="AC542" s="5" t="str">
        <f t="shared" si="28"/>
        <v>Bonos</v>
      </c>
      <c r="AD542" s="5" t="s">
        <v>43</v>
      </c>
      <c r="AE542" s="5">
        <f t="shared" si="26"/>
        <v>8</v>
      </c>
      <c r="AF542" s="5">
        <f t="shared" si="27"/>
        <v>2019</v>
      </c>
    </row>
    <row r="543" s="5" customFormat="1" ht="13">
      <c r="A543" s="5" t="s">
        <v>44</v>
      </c>
      <c r="B543" s="5" t="s">
        <v>44</v>
      </c>
      <c r="C543" s="5" t="s">
        <v>114</v>
      </c>
      <c r="D543" s="5" t="s">
        <v>21</v>
      </c>
      <c r="E543" s="5" t="s">
        <v>44</v>
      </c>
      <c r="F543" s="5" t="s">
        <v>68</v>
      </c>
      <c r="G543" s="5" t="s">
        <v>75</v>
      </c>
      <c r="H543" s="9" t="s">
        <v>235</v>
      </c>
      <c r="I543" s="10"/>
      <c r="J543" s="10">
        <v>43678</v>
      </c>
      <c r="K543" s="5" t="s">
        <v>77</v>
      </c>
      <c r="L543" s="5" t="s">
        <v>50</v>
      </c>
      <c r="M543" s="11">
        <v>0.14249999999999999</v>
      </c>
      <c r="N543" s="5" t="e">
        <f>IF(AND(M543&gt;#REF!,Cartera!O543="Guaraníes"),"Rendimiento significativo",IF(AND(M543&gt;#REF!,Cartera!O543="Dólares americanos"),"Rendimiento significativo","Rendimiento no significativo"))</f>
        <v>#REF!</v>
      </c>
      <c r="O543" s="5" t="s">
        <v>41</v>
      </c>
      <c r="P543" s="12">
        <v>183869.86301500001</v>
      </c>
      <c r="Q543" s="12">
        <f>IF(O543="Guaraníes",P543,P543*#REF!)</f>
        <v>183869.86301500001</v>
      </c>
      <c r="R543" s="12" t="e">
        <f>IF(O543="Guaraníes",P543/#REF!,P543)</f>
        <v>#REF!</v>
      </c>
      <c r="S543" s="5" t="s">
        <v>52</v>
      </c>
      <c r="T543" s="5">
        <v>25</v>
      </c>
      <c r="W543" s="5" t="s">
        <v>65</v>
      </c>
      <c r="X543" s="5">
        <v>0</v>
      </c>
      <c r="Y543" s="5">
        <v>0</v>
      </c>
      <c r="Z543" s="5">
        <v>36773.972603000002</v>
      </c>
      <c r="AA543" s="5">
        <v>5</v>
      </c>
      <c r="AB543" s="5">
        <v>183869.86301500001</v>
      </c>
      <c r="AC543" s="5" t="str">
        <f t="shared" si="28"/>
        <v>Bonos</v>
      </c>
      <c r="AD543" s="5" t="s">
        <v>43</v>
      </c>
      <c r="AE543" s="5">
        <f t="shared" ref="AE543:AE606" si="29">IFERROR((MONTH(J543)),0)</f>
        <v>8</v>
      </c>
      <c r="AF543" s="5">
        <f t="shared" ref="AF543:AF606" si="30">IFERROR((YEAR(J543)),0)</f>
        <v>2019</v>
      </c>
    </row>
    <row r="544" s="5" customFormat="1" ht="13">
      <c r="A544" s="5" t="s">
        <v>44</v>
      </c>
      <c r="B544" s="5" t="s">
        <v>44</v>
      </c>
      <c r="C544" s="5" t="s">
        <v>114</v>
      </c>
      <c r="D544" s="5" t="s">
        <v>21</v>
      </c>
      <c r="E544" s="5" t="s">
        <v>44</v>
      </c>
      <c r="F544" s="5" t="s">
        <v>68</v>
      </c>
      <c r="G544" s="5" t="s">
        <v>75</v>
      </c>
      <c r="H544" s="9" t="s">
        <v>115</v>
      </c>
      <c r="I544" s="10"/>
      <c r="J544" s="10">
        <v>43678</v>
      </c>
      <c r="K544" s="5" t="s">
        <v>77</v>
      </c>
      <c r="L544" s="5" t="s">
        <v>50</v>
      </c>
      <c r="M544" s="11">
        <v>0.125</v>
      </c>
      <c r="N544" s="5" t="e">
        <f>IF(AND(M544&gt;#REF!,Cartera!O544="Guaraníes"),"Rendimiento significativo",IF(AND(M544&gt;#REF!,Cartera!O544="Dólares americanos"),"Rendimiento significativo","Rendimiento no significativo"))</f>
        <v>#REF!</v>
      </c>
      <c r="O544" s="5" t="s">
        <v>41</v>
      </c>
      <c r="P544" s="12">
        <v>897534.24656999996</v>
      </c>
      <c r="Q544" s="12">
        <f>IF(O544="Guaraníes",P544,P544*#REF!)</f>
        <v>897534.24656999996</v>
      </c>
      <c r="R544" s="12" t="e">
        <f>IF(O544="Guaraníes",P544/#REF!,P544)</f>
        <v>#REF!</v>
      </c>
      <c r="S544" s="5" t="s">
        <v>52</v>
      </c>
      <c r="T544" s="5">
        <v>25</v>
      </c>
      <c r="W544" s="5" t="s">
        <v>65</v>
      </c>
      <c r="X544" s="5">
        <v>0</v>
      </c>
      <c r="Y544" s="5">
        <v>0</v>
      </c>
      <c r="Z544" s="5">
        <v>29917.808218999999</v>
      </c>
      <c r="AA544" s="5">
        <v>30</v>
      </c>
      <c r="AB544" s="5">
        <v>897534.24656999996</v>
      </c>
      <c r="AC544" s="5" t="str">
        <f t="shared" si="28"/>
        <v>Bonos</v>
      </c>
      <c r="AD544" s="5" t="s">
        <v>43</v>
      </c>
      <c r="AE544" s="5">
        <f t="shared" si="29"/>
        <v>8</v>
      </c>
      <c r="AF544" s="5">
        <f t="shared" si="30"/>
        <v>2019</v>
      </c>
    </row>
    <row r="545" s="5" customFormat="1" ht="13">
      <c r="A545" s="5" t="s">
        <v>44</v>
      </c>
      <c r="B545" s="5" t="s">
        <v>44</v>
      </c>
      <c r="C545" s="5" t="s">
        <v>99</v>
      </c>
      <c r="D545" s="5" t="s">
        <v>21</v>
      </c>
      <c r="E545" s="5" t="s">
        <v>44</v>
      </c>
      <c r="F545" s="5" t="s">
        <v>100</v>
      </c>
      <c r="G545" s="5" t="s">
        <v>75</v>
      </c>
      <c r="H545" s="9" t="s">
        <v>238</v>
      </c>
      <c r="I545" s="10"/>
      <c r="J545" s="10">
        <v>44594</v>
      </c>
      <c r="K545" s="5" t="s">
        <v>102</v>
      </c>
      <c r="L545" s="5" t="s">
        <v>102</v>
      </c>
      <c r="M545" s="11">
        <v>0.081000000000000003</v>
      </c>
      <c r="N545" s="5" t="e">
        <f>IF(AND(M545&gt;#REF!,Cartera!O545="Guaraníes"),"Rendimiento significativo",IF(AND(M545&gt;#REF!,Cartera!O545="Dólares americanos"),"Rendimiento significativo","Rendimiento no significativo"))</f>
        <v>#REF!</v>
      </c>
      <c r="O545" s="5" t="s">
        <v>41</v>
      </c>
      <c r="P545" s="12">
        <v>4287452.0547599997</v>
      </c>
      <c r="Q545" s="12">
        <f>IF(O545="Guaraníes",P545,P545*#REF!)</f>
        <v>4287452.0547599997</v>
      </c>
      <c r="R545" s="12" t="e">
        <f>IF(O545="Guaraníes",P545/#REF!,P545)</f>
        <v>#REF!</v>
      </c>
      <c r="S545" s="5" t="s">
        <v>52</v>
      </c>
      <c r="T545" s="5">
        <v>25</v>
      </c>
      <c r="W545" s="5" t="s">
        <v>230</v>
      </c>
      <c r="X545" s="5">
        <v>0</v>
      </c>
      <c r="Y545" s="5">
        <v>0</v>
      </c>
      <c r="Z545" s="5">
        <v>40167.123288000003</v>
      </c>
      <c r="AA545" s="5">
        <v>105</v>
      </c>
      <c r="AB545" s="5">
        <v>4217547.9452400003</v>
      </c>
      <c r="AC545" s="5" t="str">
        <f t="shared" si="28"/>
        <v>Bonos</v>
      </c>
      <c r="AD545" s="5" t="s">
        <v>43</v>
      </c>
      <c r="AE545" s="5">
        <f t="shared" si="29"/>
        <v>2</v>
      </c>
      <c r="AF545" s="5">
        <f t="shared" si="30"/>
        <v>2022</v>
      </c>
    </row>
    <row r="546" s="5" customFormat="1" ht="13">
      <c r="A546" s="5" t="s">
        <v>44</v>
      </c>
      <c r="B546" s="5" t="s">
        <v>44</v>
      </c>
      <c r="C546" s="5" t="s">
        <v>33</v>
      </c>
      <c r="D546" s="5" t="s">
        <v>21</v>
      </c>
      <c r="E546" s="5" t="s">
        <v>44</v>
      </c>
      <c r="F546" s="5" t="s">
        <v>35</v>
      </c>
      <c r="G546" s="5" t="s">
        <v>75</v>
      </c>
      <c r="H546" s="9" t="s">
        <v>168</v>
      </c>
      <c r="I546" s="10"/>
      <c r="J546" s="10">
        <v>43690</v>
      </c>
      <c r="K546" s="5" t="s">
        <v>39</v>
      </c>
      <c r="L546" s="5" t="s">
        <v>50</v>
      </c>
      <c r="M546" s="11">
        <v>0.070000000000000007</v>
      </c>
      <c r="N546" s="5" t="e">
        <f>IF(AND(M546&gt;#REF!,Cartera!O546="Guaraníes"),"Rendimiento significativo",IF(AND(M546&gt;#REF!,Cartera!O546="Dólares americanos"),"Rendimiento significativo","Rendimiento no significativo"))</f>
        <v>#REF!</v>
      </c>
      <c r="O546" s="5" t="s">
        <v>51</v>
      </c>
      <c r="P546" s="13">
        <v>1221.6438500000002</v>
      </c>
      <c r="Q546" s="12" t="e">
        <f>IF(O546="Guaraníes",P546,P546*#REF!)</f>
        <v>#REF!</v>
      </c>
      <c r="R546" s="12">
        <f>IF(O546="Guaraníes",P546/#REF!,P546)</f>
        <v>1221.6438500000002</v>
      </c>
      <c r="S546" s="5" t="s">
        <v>52</v>
      </c>
      <c r="T546" s="5">
        <v>25</v>
      </c>
      <c r="W546" s="5" t="s">
        <v>65</v>
      </c>
      <c r="X546" s="5">
        <v>0</v>
      </c>
      <c r="Y546" s="5">
        <v>0</v>
      </c>
      <c r="Z546" s="5">
        <v>17.452055000000001</v>
      </c>
      <c r="AA546" s="5">
        <v>70</v>
      </c>
      <c r="AB546" s="5">
        <v>1221.6438499999999</v>
      </c>
      <c r="AC546" s="5" t="str">
        <f t="shared" si="28"/>
        <v>Bonos</v>
      </c>
      <c r="AD546" s="5" t="s">
        <v>43</v>
      </c>
      <c r="AE546" s="5">
        <f t="shared" si="29"/>
        <v>8</v>
      </c>
      <c r="AF546" s="5">
        <f t="shared" si="30"/>
        <v>2019</v>
      </c>
    </row>
    <row r="547" s="5" customFormat="1" ht="13">
      <c r="A547" s="5" t="s">
        <v>44</v>
      </c>
      <c r="B547" s="5" t="s">
        <v>44</v>
      </c>
      <c r="C547" s="5" t="s">
        <v>242</v>
      </c>
      <c r="D547" s="5" t="s">
        <v>21</v>
      </c>
      <c r="E547" s="5" t="s">
        <v>44</v>
      </c>
      <c r="F547" s="5" t="s">
        <v>68</v>
      </c>
      <c r="G547" s="5" t="s">
        <v>75</v>
      </c>
      <c r="H547" s="9" t="s">
        <v>243</v>
      </c>
      <c r="I547" s="10"/>
      <c r="J547" s="10">
        <v>43696</v>
      </c>
      <c r="K547" s="5" t="s">
        <v>244</v>
      </c>
      <c r="L547" s="5" t="s">
        <v>58</v>
      </c>
      <c r="M547" s="11">
        <v>0.13750000000000001</v>
      </c>
      <c r="N547" s="5" t="e">
        <f>IF(AND(M547&gt;#REF!,Cartera!O547="Guaraníes"),"Rendimiento significativo",IF(AND(M547&gt;#REF!,Cartera!O547="Dólares americanos"),"Rendimiento significativo","Rendimiento no significativo"))</f>
        <v>#REF!</v>
      </c>
      <c r="O547" s="5" t="s">
        <v>41</v>
      </c>
      <c r="P547" s="12">
        <v>1028424.65754</v>
      </c>
      <c r="Q547" s="12">
        <f>IF(O547="Guaraníes",P547,P547*#REF!)</f>
        <v>1028424.65754</v>
      </c>
      <c r="R547" s="12" t="e">
        <f>IF(O547="Guaraníes",P547/#REF!,P547)</f>
        <v>#REF!</v>
      </c>
      <c r="S547" s="5" t="s">
        <v>52</v>
      </c>
      <c r="T547" s="5">
        <v>25</v>
      </c>
      <c r="W547" s="5" t="s">
        <v>241</v>
      </c>
      <c r="X547" s="5">
        <v>0</v>
      </c>
      <c r="Y547" s="5">
        <v>0</v>
      </c>
      <c r="Z547" s="5">
        <v>34280.821918000001</v>
      </c>
      <c r="AA547" s="5">
        <v>30</v>
      </c>
      <c r="AB547" s="5">
        <v>1028424.65754</v>
      </c>
      <c r="AC547" s="5" t="str">
        <f t="shared" si="28"/>
        <v>Bonos</v>
      </c>
      <c r="AD547" s="5" t="s">
        <v>43</v>
      </c>
      <c r="AE547" s="5">
        <f t="shared" si="29"/>
        <v>8</v>
      </c>
      <c r="AF547" s="5">
        <f t="shared" si="30"/>
        <v>2019</v>
      </c>
    </row>
    <row r="548" s="5" customFormat="1" ht="13">
      <c r="A548" s="5" t="s">
        <v>44</v>
      </c>
      <c r="B548" s="5" t="s">
        <v>44</v>
      </c>
      <c r="C548" s="5" t="s">
        <v>114</v>
      </c>
      <c r="D548" s="5" t="s">
        <v>21</v>
      </c>
      <c r="E548" s="5" t="s">
        <v>44</v>
      </c>
      <c r="F548" s="5" t="s">
        <v>68</v>
      </c>
      <c r="G548" s="5" t="s">
        <v>75</v>
      </c>
      <c r="H548" s="9" t="s">
        <v>170</v>
      </c>
      <c r="I548" s="10"/>
      <c r="J548" s="10">
        <v>43697</v>
      </c>
      <c r="K548" s="5" t="s">
        <v>77</v>
      </c>
      <c r="L548" s="5" t="s">
        <v>50</v>
      </c>
      <c r="M548" s="11">
        <v>0.14000000000000001</v>
      </c>
      <c r="N548" s="5" t="e">
        <f>IF(AND(M548&gt;#REF!,Cartera!O548="Guaraníes"),"Rendimiento significativo",IF(AND(M548&gt;#REF!,Cartera!O548="Dólares americanos"),"Rendimiento significativo","Rendimiento no significativo"))</f>
        <v>#REF!</v>
      </c>
      <c r="O548" s="5" t="s">
        <v>41</v>
      </c>
      <c r="P548" s="12">
        <v>3490410.9589</v>
      </c>
      <c r="Q548" s="12">
        <f>IF(O548="Guaraníes",P548,P548*#REF!)</f>
        <v>3490410.9589</v>
      </c>
      <c r="R548" s="12" t="e">
        <f>IF(O548="Guaraníes",P548/#REF!,P548)</f>
        <v>#REF!</v>
      </c>
      <c r="S548" s="5" t="s">
        <v>52</v>
      </c>
      <c r="T548" s="5">
        <v>25</v>
      </c>
      <c r="W548" s="5" t="s">
        <v>65</v>
      </c>
      <c r="X548" s="5">
        <v>0</v>
      </c>
      <c r="Y548" s="5">
        <v>0</v>
      </c>
      <c r="Z548" s="5">
        <v>34904.109589</v>
      </c>
      <c r="AA548" s="5">
        <v>100</v>
      </c>
      <c r="AB548" s="5">
        <v>3490410.9589</v>
      </c>
      <c r="AC548" s="5" t="str">
        <f t="shared" si="28"/>
        <v>Bonos</v>
      </c>
      <c r="AD548" s="5" t="s">
        <v>43</v>
      </c>
      <c r="AE548" s="5">
        <f t="shared" si="29"/>
        <v>8</v>
      </c>
      <c r="AF548" s="5">
        <f t="shared" si="30"/>
        <v>2019</v>
      </c>
    </row>
    <row r="549" s="5" customFormat="1" ht="13">
      <c r="A549" s="5" t="s">
        <v>44</v>
      </c>
      <c r="B549" s="5" t="s">
        <v>44</v>
      </c>
      <c r="C549" s="5" t="s">
        <v>227</v>
      </c>
      <c r="D549" s="5" t="s">
        <v>21</v>
      </c>
      <c r="E549" s="5" t="s">
        <v>44</v>
      </c>
      <c r="F549" s="5" t="s">
        <v>68</v>
      </c>
      <c r="G549" s="5" t="s">
        <v>75</v>
      </c>
      <c r="H549" s="9" t="s">
        <v>228</v>
      </c>
      <c r="I549" s="10"/>
      <c r="J549" s="10">
        <v>43699</v>
      </c>
      <c r="K549" s="5" t="s">
        <v>77</v>
      </c>
      <c r="L549" s="5" t="s">
        <v>58</v>
      </c>
      <c r="M549" s="11">
        <v>0.1525</v>
      </c>
      <c r="N549" s="5" t="e">
        <f>IF(AND(M549&gt;#REF!,Cartera!O549="Guaraníes"),"Rendimiento significativo",IF(AND(M549&gt;#REF!,Cartera!O549="Dólares americanos"),"Rendimiento significativo","Rendimiento no significativo"))</f>
        <v>#REF!</v>
      </c>
      <c r="O549" s="5" t="s">
        <v>41</v>
      </c>
      <c r="P549" s="12">
        <v>2851541.0958749996</v>
      </c>
      <c r="Q549" s="12">
        <f>IF(O549="Guaraníes",P549,P549*#REF!)</f>
        <v>2851541.0958749996</v>
      </c>
      <c r="R549" s="12" t="e">
        <f>IF(O549="Guaraníes",P549/#REF!,P549)</f>
        <v>#REF!</v>
      </c>
      <c r="S549" s="5" t="s">
        <v>52</v>
      </c>
      <c r="T549" s="5">
        <v>25</v>
      </c>
      <c r="W549" s="5" t="s">
        <v>196</v>
      </c>
      <c r="X549" s="5">
        <v>0</v>
      </c>
      <c r="Y549" s="5">
        <v>0</v>
      </c>
      <c r="Z549" s="5">
        <v>38020.547944999998</v>
      </c>
      <c r="AA549" s="5">
        <v>75</v>
      </c>
      <c r="AB549" s="5">
        <v>2851541.0958750001</v>
      </c>
      <c r="AC549" s="5" t="str">
        <f t="shared" si="28"/>
        <v>Bonos</v>
      </c>
      <c r="AD549" s="5" t="s">
        <v>43</v>
      </c>
      <c r="AE549" s="5">
        <f t="shared" si="29"/>
        <v>8</v>
      </c>
      <c r="AF549" s="5">
        <f t="shared" si="30"/>
        <v>2019</v>
      </c>
    </row>
    <row r="550" s="5" customFormat="1" ht="13">
      <c r="A550" s="5" t="s">
        <v>44</v>
      </c>
      <c r="B550" s="5" t="s">
        <v>44</v>
      </c>
      <c r="C550" s="5" t="s">
        <v>74</v>
      </c>
      <c r="D550" s="5" t="s">
        <v>21</v>
      </c>
      <c r="E550" s="5" t="s">
        <v>44</v>
      </c>
      <c r="F550" s="5" t="s">
        <v>68</v>
      </c>
      <c r="G550" s="5" t="s">
        <v>75</v>
      </c>
      <c r="H550" s="9" t="s">
        <v>231</v>
      </c>
      <c r="I550" s="10"/>
      <c r="J550" s="10">
        <v>43704</v>
      </c>
      <c r="K550" s="5" t="s">
        <v>77</v>
      </c>
      <c r="L550" s="5" t="s">
        <v>58</v>
      </c>
      <c r="M550" s="11">
        <v>0.14000000000000001</v>
      </c>
      <c r="N550" s="5" t="e">
        <f>IF(AND(M550&gt;#REF!,Cartera!O550="Guaraníes"),"Rendimiento significativo",IF(AND(M550&gt;#REF!,Cartera!O550="Dólares americanos"),"Rendimiento significativo","Rendimiento no significativo"))</f>
        <v>#REF!</v>
      </c>
      <c r="O550" s="5" t="s">
        <v>41</v>
      </c>
      <c r="P550" s="12">
        <v>5235616.4383499995</v>
      </c>
      <c r="Q550" s="12">
        <f>IF(O550="Guaraníes",P550,P550*#REF!)</f>
        <v>5235616.4383499995</v>
      </c>
      <c r="R550" s="12" t="e">
        <f>IF(O550="Guaraníes",P550/#REF!,P550)</f>
        <v>#REF!</v>
      </c>
      <c r="S550" s="5" t="s">
        <v>52</v>
      </c>
      <c r="T550" s="5">
        <v>25</v>
      </c>
      <c r="W550" s="5" t="s">
        <v>232</v>
      </c>
      <c r="X550" s="5">
        <v>0</v>
      </c>
      <c r="Y550" s="5">
        <v>0</v>
      </c>
      <c r="Z550" s="5">
        <v>34904.109589</v>
      </c>
      <c r="AA550" s="5">
        <v>150</v>
      </c>
      <c r="AB550" s="5">
        <v>5235616.4383500004</v>
      </c>
      <c r="AC550" s="5" t="str">
        <f t="shared" si="28"/>
        <v>Bonos</v>
      </c>
      <c r="AD550" s="5" t="s">
        <v>43</v>
      </c>
      <c r="AE550" s="5">
        <f t="shared" si="29"/>
        <v>8</v>
      </c>
      <c r="AF550" s="5">
        <f t="shared" si="30"/>
        <v>2019</v>
      </c>
    </row>
    <row r="551" s="5" customFormat="1" ht="13">
      <c r="A551" s="5" t="s">
        <v>44</v>
      </c>
      <c r="B551" s="5" t="s">
        <v>44</v>
      </c>
      <c r="C551" s="5" t="s">
        <v>114</v>
      </c>
      <c r="D551" s="5" t="s">
        <v>21</v>
      </c>
      <c r="E551" s="5" t="s">
        <v>44</v>
      </c>
      <c r="F551" s="5" t="s">
        <v>68</v>
      </c>
      <c r="G551" s="5" t="s">
        <v>75</v>
      </c>
      <c r="H551" s="9" t="s">
        <v>226</v>
      </c>
      <c r="I551" s="10"/>
      <c r="J551" s="10">
        <v>43727</v>
      </c>
      <c r="K551" s="5" t="s">
        <v>77</v>
      </c>
      <c r="L551" s="5" t="s">
        <v>58</v>
      </c>
      <c r="M551" s="11">
        <v>0.14000000000000001</v>
      </c>
      <c r="N551" s="5" t="e">
        <f>IF(AND(M551&gt;#REF!,Cartera!O551="Guaraníes"),"Rendimiento significativo",IF(AND(M551&gt;#REF!,Cartera!O551="Dólares americanos"),"Rendimiento significativo","Rendimiento no significativo"))</f>
        <v>#REF!</v>
      </c>
      <c r="O551" s="5" t="s">
        <v>41</v>
      </c>
      <c r="P551" s="12">
        <v>523561.643835</v>
      </c>
      <c r="Q551" s="12">
        <f>IF(O551="Guaraníes",P551,P551*#REF!)</f>
        <v>523561.643835</v>
      </c>
      <c r="R551" s="12" t="e">
        <f>IF(O551="Guaraníes",P551/#REF!,P551)</f>
        <v>#REF!</v>
      </c>
      <c r="S551" s="5" t="s">
        <v>52</v>
      </c>
      <c r="T551" s="5">
        <v>25</v>
      </c>
      <c r="W551" s="5" t="s">
        <v>65</v>
      </c>
      <c r="X551" s="5">
        <v>0</v>
      </c>
      <c r="Y551" s="5">
        <v>0</v>
      </c>
      <c r="Z551" s="5">
        <v>34904.109589</v>
      </c>
      <c r="AA551" s="5">
        <v>15</v>
      </c>
      <c r="AB551" s="5">
        <v>523561.643835</v>
      </c>
      <c r="AC551" s="5" t="str">
        <f t="shared" si="28"/>
        <v>Bonos</v>
      </c>
      <c r="AD551" s="5" t="s">
        <v>43</v>
      </c>
      <c r="AE551" s="5">
        <f t="shared" si="29"/>
        <v>9</v>
      </c>
      <c r="AF551" s="5">
        <f t="shared" si="30"/>
        <v>2019</v>
      </c>
    </row>
    <row r="552" s="5" customFormat="1" ht="13">
      <c r="A552" s="5" t="s">
        <v>44</v>
      </c>
      <c r="B552" s="5" t="s">
        <v>44</v>
      </c>
      <c r="C552" s="5" t="s">
        <v>114</v>
      </c>
      <c r="D552" s="5" t="s">
        <v>21</v>
      </c>
      <c r="E552" s="5" t="s">
        <v>44</v>
      </c>
      <c r="F552" s="5" t="s">
        <v>68</v>
      </c>
      <c r="G552" s="5" t="s">
        <v>75</v>
      </c>
      <c r="H552" s="9" t="s">
        <v>236</v>
      </c>
      <c r="I552" s="10"/>
      <c r="J552" s="10">
        <v>43727</v>
      </c>
      <c r="K552" s="5" t="s">
        <v>77</v>
      </c>
      <c r="L552" s="5" t="s">
        <v>50</v>
      </c>
      <c r="M552" s="11">
        <v>0.14749999999999999</v>
      </c>
      <c r="N552" s="5" t="e">
        <f>IF(AND(M552&gt;#REF!,Cartera!O552="Guaraníes"),"Rendimiento significativo",IF(AND(M552&gt;#REF!,Cartera!O552="Dólares americanos"),"Rendimiento significativo","Rendimiento no significativo"))</f>
        <v>#REF!</v>
      </c>
      <c r="O552" s="5" t="s">
        <v>41</v>
      </c>
      <c r="P552" s="12">
        <v>112191.780822</v>
      </c>
      <c r="Q552" s="12">
        <f>IF(O552="Guaraníes",P552,P552*#REF!)</f>
        <v>112191.780822</v>
      </c>
      <c r="R552" s="12" t="e">
        <f>IF(O552="Guaraníes",P552/#REF!,P552)</f>
        <v>#REF!</v>
      </c>
      <c r="S552" s="5" t="s">
        <v>52</v>
      </c>
      <c r="T552" s="5">
        <v>25</v>
      </c>
      <c r="W552" s="5" t="s">
        <v>65</v>
      </c>
      <c r="X552" s="5">
        <v>0</v>
      </c>
      <c r="Y552" s="5">
        <v>0</v>
      </c>
      <c r="Z552" s="5">
        <v>37397.260274</v>
      </c>
      <c r="AA552" s="5">
        <v>3</v>
      </c>
      <c r="AB552" s="5">
        <v>112191.780822</v>
      </c>
      <c r="AC552" s="5" t="str">
        <f t="shared" si="28"/>
        <v>Bonos</v>
      </c>
      <c r="AD552" s="5" t="s">
        <v>43</v>
      </c>
      <c r="AE552" s="5">
        <f t="shared" si="29"/>
        <v>9</v>
      </c>
      <c r="AF552" s="5">
        <f t="shared" si="30"/>
        <v>2019</v>
      </c>
    </row>
    <row r="553" s="5" customFormat="1" ht="13">
      <c r="A553" s="5" t="s">
        <v>44</v>
      </c>
      <c r="B553" s="5" t="s">
        <v>44</v>
      </c>
      <c r="C553" s="5" t="s">
        <v>99</v>
      </c>
      <c r="D553" s="5" t="s">
        <v>21</v>
      </c>
      <c r="E553" s="5" t="s">
        <v>44</v>
      </c>
      <c r="F553" s="5" t="s">
        <v>100</v>
      </c>
      <c r="G553" s="5" t="s">
        <v>75</v>
      </c>
      <c r="H553" s="9" t="s">
        <v>229</v>
      </c>
      <c r="I553" s="10"/>
      <c r="J553" s="10">
        <v>43731</v>
      </c>
      <c r="K553" s="5" t="s">
        <v>102</v>
      </c>
      <c r="L553" s="5" t="s">
        <v>102</v>
      </c>
      <c r="M553" s="11">
        <v>0.089999999999999997</v>
      </c>
      <c r="N553" s="5" t="e">
        <f>IF(AND(M553&gt;#REF!,Cartera!O553="Guaraníes"),"Rendimiento significativo",IF(AND(M553&gt;#REF!,Cartera!O553="Dólares americanos"),"Rendimiento significativo","Rendimiento no significativo"))</f>
        <v>#REF!</v>
      </c>
      <c r="O553" s="5" t="s">
        <v>41</v>
      </c>
      <c r="P553" s="12">
        <v>6058356.164415</v>
      </c>
      <c r="Q553" s="12">
        <f>IF(O553="Guaraníes",P553,P553*#REF!)</f>
        <v>6058356.164415</v>
      </c>
      <c r="R553" s="12" t="e">
        <f>IF(O553="Guaraníes",P553/#REF!,P553)</f>
        <v>#REF!</v>
      </c>
      <c r="S553" s="5" t="s">
        <v>52</v>
      </c>
      <c r="T553" s="5">
        <v>25</v>
      </c>
      <c r="W553" s="5" t="s">
        <v>230</v>
      </c>
      <c r="X553" s="5">
        <v>0</v>
      </c>
      <c r="Y553" s="5">
        <v>0</v>
      </c>
      <c r="Z553" s="5">
        <v>44876.712329000002</v>
      </c>
      <c r="AA553" s="5">
        <v>135</v>
      </c>
      <c r="AB553" s="5">
        <v>6058356.164415</v>
      </c>
      <c r="AC553" s="5" t="str">
        <f t="shared" si="28"/>
        <v>Bonos</v>
      </c>
      <c r="AD553" s="5" t="s">
        <v>43</v>
      </c>
      <c r="AE553" s="5">
        <f t="shared" si="29"/>
        <v>9</v>
      </c>
      <c r="AF553" s="5">
        <f t="shared" si="30"/>
        <v>2019</v>
      </c>
    </row>
    <row r="554" s="5" customFormat="1" ht="13">
      <c r="A554" s="5" t="s">
        <v>44</v>
      </c>
      <c r="B554" s="5" t="s">
        <v>44</v>
      </c>
      <c r="C554" s="5" t="s">
        <v>114</v>
      </c>
      <c r="D554" s="5" t="s">
        <v>21</v>
      </c>
      <c r="E554" s="5" t="s">
        <v>44</v>
      </c>
      <c r="F554" s="5" t="s">
        <v>68</v>
      </c>
      <c r="G554" s="5" t="s">
        <v>75</v>
      </c>
      <c r="H554" s="9" t="s">
        <v>237</v>
      </c>
      <c r="I554" s="10"/>
      <c r="J554" s="10">
        <v>43739</v>
      </c>
      <c r="K554" s="5" t="s">
        <v>77</v>
      </c>
      <c r="L554" s="5" t="s">
        <v>50</v>
      </c>
      <c r="M554" s="11">
        <v>0.13750000000000001</v>
      </c>
      <c r="N554" s="5" t="e">
        <f>IF(AND(M554&gt;#REF!,Cartera!O554="Guaraníes"),"Rendimiento significativo",IF(AND(M554&gt;#REF!,Cartera!O554="Dólares americanos"),"Rendimiento significativo","Rendimiento no significativo"))</f>
        <v>#REF!</v>
      </c>
      <c r="O554" s="5" t="s">
        <v>41</v>
      </c>
      <c r="P554" s="12">
        <v>685616.43836000003</v>
      </c>
      <c r="Q554" s="12">
        <f>IF(O554="Guaraníes",P554,P554*#REF!)</f>
        <v>685616.43836000003</v>
      </c>
      <c r="R554" s="12" t="e">
        <f>IF(O554="Guaraníes",P554/#REF!,P554)</f>
        <v>#REF!</v>
      </c>
      <c r="S554" s="5" t="s">
        <v>52</v>
      </c>
      <c r="T554" s="5">
        <v>25</v>
      </c>
      <c r="W554" s="5" t="s">
        <v>65</v>
      </c>
      <c r="X554" s="5">
        <v>0</v>
      </c>
      <c r="Y554" s="5">
        <v>0</v>
      </c>
      <c r="Z554" s="5">
        <v>34280.821918000001</v>
      </c>
      <c r="AA554" s="5">
        <v>20</v>
      </c>
      <c r="AB554" s="5">
        <v>685616.43836000003</v>
      </c>
      <c r="AC554" s="5" t="str">
        <f t="shared" si="28"/>
        <v>Bonos</v>
      </c>
      <c r="AD554" s="5" t="s">
        <v>43</v>
      </c>
      <c r="AE554" s="5">
        <f t="shared" si="29"/>
        <v>10</v>
      </c>
      <c r="AF554" s="5">
        <f t="shared" si="30"/>
        <v>2019</v>
      </c>
    </row>
    <row r="555" s="5" customFormat="1" ht="13">
      <c r="A555" s="5" t="s">
        <v>44</v>
      </c>
      <c r="B555" s="5" t="s">
        <v>44</v>
      </c>
      <c r="C555" s="5" t="s">
        <v>33</v>
      </c>
      <c r="D555" s="5" t="s">
        <v>21</v>
      </c>
      <c r="E555" s="5" t="s">
        <v>44</v>
      </c>
      <c r="F555" s="5" t="s">
        <v>35</v>
      </c>
      <c r="G555" s="5" t="s">
        <v>75</v>
      </c>
      <c r="H555" s="9" t="s">
        <v>257</v>
      </c>
      <c r="I555" s="10"/>
      <c r="J555" s="10">
        <v>43741</v>
      </c>
      <c r="K555" s="5" t="s">
        <v>39</v>
      </c>
      <c r="L555" s="5" t="s">
        <v>106</v>
      </c>
      <c r="M555" s="11">
        <v>0.0625</v>
      </c>
      <c r="N555" s="5" t="e">
        <f>IF(AND(M555&gt;#REF!,Cartera!O555="Guaraníes"),"Rendimiento significativo",IF(AND(M555&gt;#REF!,Cartera!O555="Dólares americanos"),"Rendimiento significativo","Rendimiento no significativo"))</f>
        <v>#REF!</v>
      </c>
      <c r="O555" s="5" t="s">
        <v>51</v>
      </c>
      <c r="P555" s="13">
        <v>623.28767999999991</v>
      </c>
      <c r="Q555" s="12" t="e">
        <f>IF(O555="Guaraníes",P555,P555*#REF!)</f>
        <v>#REF!</v>
      </c>
      <c r="R555" s="12">
        <f>IF(O555="Guaraníes",P555/#REF!,P555)</f>
        <v>623.28767999999991</v>
      </c>
      <c r="S555" s="5" t="s">
        <v>52</v>
      </c>
      <c r="T555" s="5">
        <v>25</v>
      </c>
      <c r="W555" s="5" t="s">
        <v>218</v>
      </c>
      <c r="X555" s="5">
        <v>0</v>
      </c>
      <c r="Y555" s="5">
        <v>0</v>
      </c>
      <c r="Z555" s="5">
        <v>15.582191999999999</v>
      </c>
      <c r="AA555" s="5">
        <v>40</v>
      </c>
      <c r="AB555" s="5">
        <v>623.28768000000002</v>
      </c>
      <c r="AC555" s="5" t="str">
        <f t="shared" si="28"/>
        <v>Bonos</v>
      </c>
      <c r="AD555" s="5" t="s">
        <v>43</v>
      </c>
      <c r="AE555" s="5">
        <f t="shared" si="29"/>
        <v>10</v>
      </c>
      <c r="AF555" s="5">
        <f t="shared" si="30"/>
        <v>2019</v>
      </c>
    </row>
    <row r="556" s="5" customFormat="1" ht="13">
      <c r="A556" s="5" t="s">
        <v>44</v>
      </c>
      <c r="B556" s="5" t="s">
        <v>44</v>
      </c>
      <c r="C556" s="5" t="s">
        <v>183</v>
      </c>
      <c r="D556" s="5" t="s">
        <v>21</v>
      </c>
      <c r="E556" s="5" t="s">
        <v>44</v>
      </c>
      <c r="F556" s="5" t="s">
        <v>184</v>
      </c>
      <c r="G556" s="5" t="s">
        <v>75</v>
      </c>
      <c r="H556" s="9" t="s">
        <v>251</v>
      </c>
      <c r="I556" s="10"/>
      <c r="J556" s="10">
        <v>43749</v>
      </c>
      <c r="K556" s="5" t="s">
        <v>124</v>
      </c>
      <c r="L556" s="5" t="s">
        <v>106</v>
      </c>
      <c r="M556" s="11">
        <v>0.069199999999999998</v>
      </c>
      <c r="N556" s="5" t="e">
        <f>IF(AND(M556&gt;#REF!,Cartera!O556="Guaraníes"),"Rendimiento significativo",IF(AND(M556&gt;#REF!,Cartera!O556="Dólares americanos"),"Rendimiento significativo","Rendimiento no significativo"))</f>
        <v>#REF!</v>
      </c>
      <c r="O556" s="5" t="s">
        <v>41</v>
      </c>
      <c r="P556" s="12">
        <v>5452397.2602000004</v>
      </c>
      <c r="Q556" s="12">
        <f>IF(O556="Guaraníes",P556,P556*#REF!)</f>
        <v>5452397.2602000004</v>
      </c>
      <c r="R556" s="12" t="e">
        <f>IF(O556="Guaraníes",P556/#REF!,P556)</f>
        <v>#REF!</v>
      </c>
      <c r="S556" s="5" t="s">
        <v>52</v>
      </c>
      <c r="T556" s="5">
        <v>25</v>
      </c>
      <c r="W556" s="5" t="s">
        <v>258</v>
      </c>
      <c r="X556" s="5">
        <v>0</v>
      </c>
      <c r="Y556" s="5">
        <v>0</v>
      </c>
      <c r="Z556" s="5">
        <v>36349.315068000004</v>
      </c>
      <c r="AA556" s="5">
        <v>150</v>
      </c>
      <c r="AB556" s="5">
        <v>5452397.2602000004</v>
      </c>
      <c r="AC556" s="5" t="str">
        <f t="shared" si="28"/>
        <v>Bonos</v>
      </c>
      <c r="AD556" s="5" t="s">
        <v>43</v>
      </c>
      <c r="AE556" s="5">
        <f t="shared" si="29"/>
        <v>10</v>
      </c>
      <c r="AF556" s="5">
        <f t="shared" si="30"/>
        <v>2019</v>
      </c>
    </row>
    <row r="557" s="5" customFormat="1" ht="13">
      <c r="A557" s="5" t="s">
        <v>44</v>
      </c>
      <c r="B557" s="5" t="s">
        <v>44</v>
      </c>
      <c r="C557" s="5" t="s">
        <v>156</v>
      </c>
      <c r="D557" s="5" t="s">
        <v>21</v>
      </c>
      <c r="E557" s="5" t="s">
        <v>44</v>
      </c>
      <c r="F557" s="5" t="s">
        <v>68</v>
      </c>
      <c r="G557" s="5" t="s">
        <v>75</v>
      </c>
      <c r="H557" s="9" t="s">
        <v>157</v>
      </c>
      <c r="I557" s="10"/>
      <c r="J557" s="10">
        <v>43753</v>
      </c>
      <c r="K557" s="5" t="s">
        <v>158</v>
      </c>
      <c r="L557" s="5" t="s">
        <v>58</v>
      </c>
      <c r="M557" s="11">
        <v>0.16</v>
      </c>
      <c r="N557" s="5" t="e">
        <f>IF(AND(M557&gt;#REF!,Cartera!O557="Guaraníes"),"Rendimiento significativo",IF(AND(M557&gt;#REF!,Cartera!O557="Dólares americanos"),"Rendimiento significativo","Rendimiento no significativo"))</f>
        <v>#REF!</v>
      </c>
      <c r="O557" s="5" t="s">
        <v>41</v>
      </c>
      <c r="P557" s="12">
        <v>4188493.15068</v>
      </c>
      <c r="Q557" s="12">
        <f>IF(O557="Guaraníes",P557,P557*#REF!)</f>
        <v>4188493.15068</v>
      </c>
      <c r="R557" s="12" t="e">
        <f>IF(O557="Guaraníes",P557/#REF!,P557)</f>
        <v>#REF!</v>
      </c>
      <c r="S557" s="5" t="s">
        <v>52</v>
      </c>
      <c r="T557" s="5">
        <v>25</v>
      </c>
      <c r="W557" s="5" t="s">
        <v>259</v>
      </c>
      <c r="X557" s="5">
        <v>0</v>
      </c>
      <c r="Y557" s="5">
        <v>0</v>
      </c>
      <c r="Z557" s="5">
        <v>34904.109589</v>
      </c>
      <c r="AA557" s="5">
        <v>120</v>
      </c>
      <c r="AB557" s="5">
        <v>4188493.15068</v>
      </c>
      <c r="AC557" s="5" t="str">
        <f t="shared" si="28"/>
        <v>Bonos</v>
      </c>
      <c r="AD557" s="5" t="s">
        <v>43</v>
      </c>
      <c r="AE557" s="5">
        <f t="shared" si="29"/>
        <v>10</v>
      </c>
      <c r="AF557" s="5">
        <f t="shared" si="30"/>
        <v>2019</v>
      </c>
    </row>
    <row r="558" s="5" customFormat="1" ht="13">
      <c r="A558" s="5" t="s">
        <v>44</v>
      </c>
      <c r="B558" s="5" t="s">
        <v>44</v>
      </c>
      <c r="C558" s="5" t="s">
        <v>239</v>
      </c>
      <c r="D558" s="5" t="s">
        <v>21</v>
      </c>
      <c r="E558" s="5" t="s">
        <v>44</v>
      </c>
      <c r="F558" s="5" t="s">
        <v>68</v>
      </c>
      <c r="G558" s="5" t="s">
        <v>75</v>
      </c>
      <c r="H558" s="9" t="s">
        <v>240</v>
      </c>
      <c r="I558" s="10"/>
      <c r="J558" s="10">
        <v>43760</v>
      </c>
      <c r="K558" s="5" t="s">
        <v>49</v>
      </c>
      <c r="L558" s="5" t="s">
        <v>58</v>
      </c>
      <c r="M558" s="11">
        <v>0.13</v>
      </c>
      <c r="N558" s="5" t="e">
        <f>IF(AND(M558&gt;#REF!,Cartera!O558="Guaraníes"),"Rendimiento significativo",IF(AND(M558&gt;#REF!,Cartera!O558="Dólares americanos"),"Rendimiento significativo","Rendimiento no significativo"))</f>
        <v>#REF!</v>
      </c>
      <c r="O558" s="5" t="s">
        <v>41</v>
      </c>
      <c r="P558" s="12">
        <v>1620547.9452</v>
      </c>
      <c r="Q558" s="12">
        <f>IF(O558="Guaraníes",P558,P558*#REF!)</f>
        <v>1620547.9452</v>
      </c>
      <c r="R558" s="12" t="e">
        <f>IF(O558="Guaraníes",P558/#REF!,P558)</f>
        <v>#REF!</v>
      </c>
      <c r="S558" s="5" t="s">
        <v>52</v>
      </c>
      <c r="T558" s="5">
        <v>25</v>
      </c>
      <c r="W558" s="5" t="s">
        <v>260</v>
      </c>
      <c r="X558" s="5">
        <v>0</v>
      </c>
      <c r="Y558" s="5">
        <v>0</v>
      </c>
      <c r="Z558" s="5">
        <v>32410.958903999999</v>
      </c>
      <c r="AA558" s="5">
        <v>50</v>
      </c>
      <c r="AB558" s="5">
        <v>1620547.9452</v>
      </c>
      <c r="AC558" s="5" t="str">
        <f t="shared" si="28"/>
        <v>Bonos</v>
      </c>
      <c r="AD558" s="5" t="s">
        <v>43</v>
      </c>
      <c r="AE558" s="5">
        <f t="shared" si="29"/>
        <v>10</v>
      </c>
      <c r="AF558" s="5">
        <f t="shared" si="30"/>
        <v>2019</v>
      </c>
    </row>
    <row r="559" s="5" customFormat="1" ht="13">
      <c r="A559" s="5" t="s">
        <v>44</v>
      </c>
      <c r="B559" s="5" t="s">
        <v>44</v>
      </c>
      <c r="C559" s="5" t="s">
        <v>114</v>
      </c>
      <c r="D559" s="5" t="s">
        <v>21</v>
      </c>
      <c r="E559" s="5" t="s">
        <v>44</v>
      </c>
      <c r="F559" s="5" t="s">
        <v>68</v>
      </c>
      <c r="G559" s="5" t="s">
        <v>75</v>
      </c>
      <c r="H559" s="9" t="s">
        <v>234</v>
      </c>
      <c r="I559" s="10"/>
      <c r="J559" s="10">
        <v>43761</v>
      </c>
      <c r="K559" s="5" t="s">
        <v>77</v>
      </c>
      <c r="L559" s="5" t="s">
        <v>50</v>
      </c>
      <c r="M559" s="11">
        <v>0.12</v>
      </c>
      <c r="N559" s="5" t="e">
        <f>IF(AND(M559&gt;#REF!,Cartera!O559="Guaraníes"),"Rendimiento significativo",IF(AND(M559&gt;#REF!,Cartera!O559="Dólares americanos"),"Rendimiento significativo","Rendimiento no significativo"))</f>
        <v>#REF!</v>
      </c>
      <c r="O559" s="5" t="s">
        <v>51</v>
      </c>
      <c r="P559" s="13">
        <v>486.16437000000002</v>
      </c>
      <c r="Q559" s="12" t="e">
        <f>IF(O559="Guaraníes",P559,P559*#REF!)</f>
        <v>#REF!</v>
      </c>
      <c r="R559" s="12">
        <f>IF(O559="Guaraníes",P559/#REF!,P559)</f>
        <v>486.16437000000002</v>
      </c>
      <c r="S559" s="5" t="s">
        <v>52</v>
      </c>
      <c r="T559" s="5">
        <v>25</v>
      </c>
      <c r="W559" s="5" t="s">
        <v>65</v>
      </c>
      <c r="X559" s="5">
        <v>0</v>
      </c>
      <c r="Y559" s="5">
        <v>0</v>
      </c>
      <c r="Z559" s="5">
        <v>16.205479</v>
      </c>
      <c r="AA559" s="5">
        <v>30</v>
      </c>
      <c r="AB559" s="5">
        <v>486.16437000000002</v>
      </c>
      <c r="AC559" s="5" t="str">
        <f t="shared" si="28"/>
        <v>Bonos</v>
      </c>
      <c r="AD559" s="5" t="s">
        <v>43</v>
      </c>
      <c r="AE559" s="5">
        <f t="shared" si="29"/>
        <v>10</v>
      </c>
      <c r="AF559" s="5">
        <f t="shared" si="30"/>
        <v>2019</v>
      </c>
    </row>
    <row r="560" s="5" customFormat="1" ht="13">
      <c r="A560" s="5" t="s">
        <v>44</v>
      </c>
      <c r="B560" s="5" t="s">
        <v>44</v>
      </c>
      <c r="C560" s="5" t="s">
        <v>99</v>
      </c>
      <c r="D560" s="5" t="s">
        <v>21</v>
      </c>
      <c r="E560" s="5" t="s">
        <v>44</v>
      </c>
      <c r="F560" s="5" t="s">
        <v>100</v>
      </c>
      <c r="G560" s="5" t="s">
        <v>75</v>
      </c>
      <c r="H560" s="9" t="s">
        <v>217</v>
      </c>
      <c r="I560" s="10"/>
      <c r="J560" s="10">
        <v>43762</v>
      </c>
      <c r="K560" s="5" t="s">
        <v>102</v>
      </c>
      <c r="L560" s="5" t="s">
        <v>102</v>
      </c>
      <c r="M560" s="11">
        <v>0.080000000000000002</v>
      </c>
      <c r="N560" s="5" t="e">
        <f>IF(AND(M560&gt;#REF!,Cartera!O560="Guaraníes"),"Rendimiento significativo",IF(AND(M560&gt;#REF!,Cartera!O560="Dólares americanos"),"Rendimiento significativo","Rendimiento no significativo"))</f>
        <v>#REF!</v>
      </c>
      <c r="O560" s="5" t="s">
        <v>41</v>
      </c>
      <c r="P560" s="12">
        <v>5767000</v>
      </c>
      <c r="Q560" s="12">
        <f>IF(O560="Guaraníes",P560,P560*#REF!)</f>
        <v>5767000</v>
      </c>
      <c r="R560" s="12" t="e">
        <f>IF(O560="Guaraníes",P560/#REF!,P560)</f>
        <v>#REF!</v>
      </c>
      <c r="S560" s="5" t="s">
        <v>52</v>
      </c>
      <c r="T560" s="5">
        <v>25</v>
      </c>
      <c r="W560" s="5" t="s">
        <v>218</v>
      </c>
      <c r="X560" s="5">
        <v>0</v>
      </c>
      <c r="Y560" s="5">
        <v>0</v>
      </c>
      <c r="Z560" s="5">
        <v>39500</v>
      </c>
      <c r="AA560" s="5">
        <v>146</v>
      </c>
      <c r="AB560" s="5">
        <v>5767000</v>
      </c>
      <c r="AC560" s="5" t="str">
        <f t="shared" si="28"/>
        <v>Bonos</v>
      </c>
      <c r="AD560" s="5" t="s">
        <v>43</v>
      </c>
      <c r="AE560" s="5">
        <f t="shared" si="29"/>
        <v>10</v>
      </c>
      <c r="AF560" s="5">
        <f t="shared" si="30"/>
        <v>2019</v>
      </c>
    </row>
    <row r="561" s="5" customFormat="1" ht="13">
      <c r="A561" s="5" t="s">
        <v>44</v>
      </c>
      <c r="B561" s="5" t="s">
        <v>44</v>
      </c>
      <c r="C561" s="5" t="s">
        <v>156</v>
      </c>
      <c r="D561" s="5" t="s">
        <v>21</v>
      </c>
      <c r="E561" s="5" t="s">
        <v>44</v>
      </c>
      <c r="F561" s="5" t="s">
        <v>68</v>
      </c>
      <c r="G561" s="5" t="s">
        <v>75</v>
      </c>
      <c r="H561" s="9" t="s">
        <v>246</v>
      </c>
      <c r="I561" s="10"/>
      <c r="J561" s="10">
        <v>43769</v>
      </c>
      <c r="K561" s="5" t="s">
        <v>158</v>
      </c>
      <c r="L561" s="5" t="s">
        <v>58</v>
      </c>
      <c r="M561" s="11">
        <v>0.125</v>
      </c>
      <c r="N561" s="5" t="e">
        <f>IF(AND(M561&gt;#REF!,Cartera!O561="Guaraníes"),"Rendimiento significativo",IF(AND(M561&gt;#REF!,Cartera!O561="Dólares americanos"),"Rendimiento significativo","Rendimiento no significativo"))</f>
        <v>#REF!</v>
      </c>
      <c r="O561" s="5" t="s">
        <v>41</v>
      </c>
      <c r="P561" s="12">
        <v>1495890.4109499999</v>
      </c>
      <c r="Q561" s="12">
        <f>IF(O561="Guaraníes",P561,P561*#REF!)</f>
        <v>1495890.4109499999</v>
      </c>
      <c r="R561" s="12" t="e">
        <f>IF(O561="Guaraníes",P561/#REF!,P561)</f>
        <v>#REF!</v>
      </c>
      <c r="S561" s="5" t="s">
        <v>52</v>
      </c>
      <c r="T561" s="5">
        <v>25</v>
      </c>
      <c r="W561" s="5" t="s">
        <v>261</v>
      </c>
      <c r="X561" s="5">
        <v>0</v>
      </c>
      <c r="Y561" s="5">
        <v>0</v>
      </c>
      <c r="Z561" s="5">
        <v>29917.808218999999</v>
      </c>
      <c r="AA561" s="5">
        <v>50</v>
      </c>
      <c r="AB561" s="5">
        <v>1495890.4109499999</v>
      </c>
      <c r="AC561" s="5" t="str">
        <f t="shared" si="28"/>
        <v>Bonos</v>
      </c>
      <c r="AD561" s="5" t="s">
        <v>43</v>
      </c>
      <c r="AE561" s="5">
        <f t="shared" si="29"/>
        <v>10</v>
      </c>
      <c r="AF561" s="5">
        <f t="shared" si="30"/>
        <v>2019</v>
      </c>
    </row>
    <row r="562" s="5" customFormat="1" ht="13">
      <c r="A562" s="5" t="s">
        <v>44</v>
      </c>
      <c r="B562" s="5" t="s">
        <v>44</v>
      </c>
      <c r="C562" s="5" t="s">
        <v>114</v>
      </c>
      <c r="D562" s="5" t="s">
        <v>21</v>
      </c>
      <c r="E562" s="5" t="s">
        <v>44</v>
      </c>
      <c r="F562" s="5" t="s">
        <v>68</v>
      </c>
      <c r="G562" s="5" t="s">
        <v>75</v>
      </c>
      <c r="H562" s="9" t="s">
        <v>235</v>
      </c>
      <c r="I562" s="10"/>
      <c r="J562" s="10">
        <v>43769</v>
      </c>
      <c r="K562" s="5" t="s">
        <v>77</v>
      </c>
      <c r="L562" s="5" t="s">
        <v>50</v>
      </c>
      <c r="M562" s="11">
        <v>0.14249999999999999</v>
      </c>
      <c r="N562" s="5" t="e">
        <f>IF(AND(M562&gt;#REF!,Cartera!O562="Guaraníes"),"Rendimiento significativo",IF(AND(M562&gt;#REF!,Cartera!O562="Dólares americanos"),"Rendimiento significativo","Rendimiento no significativo"))</f>
        <v>#REF!</v>
      </c>
      <c r="O562" s="5" t="s">
        <v>41</v>
      </c>
      <c r="P562" s="12">
        <v>183869.86301500001</v>
      </c>
      <c r="Q562" s="12">
        <f>IF(O562="Guaraníes",P562,P562*#REF!)</f>
        <v>183869.86301500001</v>
      </c>
      <c r="R562" s="12" t="e">
        <f>IF(O562="Guaraníes",P562/#REF!,P562)</f>
        <v>#REF!</v>
      </c>
      <c r="S562" s="5" t="s">
        <v>52</v>
      </c>
      <c r="T562" s="5">
        <v>25</v>
      </c>
      <c r="W562" s="5" t="s">
        <v>65</v>
      </c>
      <c r="X562" s="5">
        <v>0</v>
      </c>
      <c r="Y562" s="5">
        <v>0</v>
      </c>
      <c r="Z562" s="5">
        <v>36773.972603000002</v>
      </c>
      <c r="AA562" s="5">
        <v>5</v>
      </c>
      <c r="AB562" s="5">
        <v>183869.86301500001</v>
      </c>
      <c r="AC562" s="5" t="str">
        <f t="shared" si="28"/>
        <v>Bonos</v>
      </c>
      <c r="AD562" s="5" t="s">
        <v>43</v>
      </c>
      <c r="AE562" s="5">
        <f t="shared" si="29"/>
        <v>10</v>
      </c>
      <c r="AF562" s="5">
        <f t="shared" si="30"/>
        <v>2019</v>
      </c>
    </row>
    <row r="563" s="5" customFormat="1" ht="13">
      <c r="A563" s="5" t="s">
        <v>44</v>
      </c>
      <c r="B563" s="5" t="s">
        <v>44</v>
      </c>
      <c r="C563" s="5" t="s">
        <v>114</v>
      </c>
      <c r="D563" s="5" t="s">
        <v>21</v>
      </c>
      <c r="E563" s="5" t="s">
        <v>44</v>
      </c>
      <c r="F563" s="5" t="s">
        <v>68</v>
      </c>
      <c r="G563" s="5" t="s">
        <v>75</v>
      </c>
      <c r="H563" s="9" t="s">
        <v>115</v>
      </c>
      <c r="I563" s="10"/>
      <c r="J563" s="10">
        <v>43769</v>
      </c>
      <c r="K563" s="5" t="s">
        <v>77</v>
      </c>
      <c r="L563" s="5" t="s">
        <v>50</v>
      </c>
      <c r="M563" s="11">
        <v>0.125</v>
      </c>
      <c r="N563" s="5" t="e">
        <f>IF(AND(M563&gt;#REF!,Cartera!O563="Guaraníes"),"Rendimiento significativo",IF(AND(M563&gt;#REF!,Cartera!O563="Dólares americanos"),"Rendimiento significativo","Rendimiento no significativo"))</f>
        <v>#REF!</v>
      </c>
      <c r="O563" s="5" t="s">
        <v>41</v>
      </c>
      <c r="P563" s="12">
        <v>897534.24656999996</v>
      </c>
      <c r="Q563" s="12">
        <f>IF(O563="Guaraníes",P563,P563*#REF!)</f>
        <v>897534.24656999996</v>
      </c>
      <c r="R563" s="12" t="e">
        <f>IF(O563="Guaraníes",P563/#REF!,P563)</f>
        <v>#REF!</v>
      </c>
      <c r="S563" s="5" t="s">
        <v>52</v>
      </c>
      <c r="T563" s="5">
        <v>25</v>
      </c>
      <c r="W563" s="5" t="s">
        <v>65</v>
      </c>
      <c r="X563" s="5">
        <v>0</v>
      </c>
      <c r="Y563" s="5">
        <v>0</v>
      </c>
      <c r="Z563" s="5">
        <v>29917.808218999999</v>
      </c>
      <c r="AA563" s="5">
        <v>30</v>
      </c>
      <c r="AB563" s="5">
        <v>897534.24656999996</v>
      </c>
      <c r="AC563" s="5" t="str">
        <f t="shared" si="28"/>
        <v>Bonos</v>
      </c>
      <c r="AD563" s="5" t="s">
        <v>43</v>
      </c>
      <c r="AE563" s="5">
        <f t="shared" si="29"/>
        <v>10</v>
      </c>
      <c r="AF563" s="5">
        <f t="shared" si="30"/>
        <v>2019</v>
      </c>
    </row>
    <row r="564" s="5" customFormat="1" ht="13">
      <c r="A564" s="5" t="s">
        <v>44</v>
      </c>
      <c r="B564" s="5" t="s">
        <v>44</v>
      </c>
      <c r="C564" s="5" t="s">
        <v>99</v>
      </c>
      <c r="D564" s="5" t="s">
        <v>21</v>
      </c>
      <c r="E564" s="5" t="s">
        <v>44</v>
      </c>
      <c r="F564" s="5" t="s">
        <v>100</v>
      </c>
      <c r="G564" s="5" t="s">
        <v>75</v>
      </c>
      <c r="H564" s="9" t="s">
        <v>248</v>
      </c>
      <c r="I564" s="10"/>
      <c r="J564" s="10">
        <v>43778</v>
      </c>
      <c r="K564" s="5" t="s">
        <v>102</v>
      </c>
      <c r="L564" s="5" t="s">
        <v>102</v>
      </c>
      <c r="M564" s="11">
        <v>0.077499999999999999</v>
      </c>
      <c r="N564" s="5" t="e">
        <f>IF(AND(M564&gt;#REF!,Cartera!O564="Guaraníes"),"Rendimiento significativo",IF(AND(M564&gt;#REF!,Cartera!O564="Dólares americanos"),"Rendimiento significativo","Rendimiento no significativo"))</f>
        <v>#REF!</v>
      </c>
      <c r="O564" s="5" t="s">
        <v>41</v>
      </c>
      <c r="P564" s="12">
        <v>1750000</v>
      </c>
      <c r="Q564" s="12">
        <f>IF(O564="Guaraníes",P564,P564*#REF!)</f>
        <v>1750000</v>
      </c>
      <c r="R564" s="12" t="e">
        <f>IF(O564="Guaraníes",P564/#REF!,P564)</f>
        <v>#REF!</v>
      </c>
      <c r="S564" s="5" t="s">
        <v>52</v>
      </c>
      <c r="T564" s="5">
        <v>25</v>
      </c>
      <c r="W564" s="5" t="s">
        <v>249</v>
      </c>
      <c r="X564" s="5">
        <v>0</v>
      </c>
      <c r="Y564" s="5">
        <v>0</v>
      </c>
      <c r="Z564" s="5">
        <v>35000</v>
      </c>
      <c r="AA564" s="5">
        <v>50</v>
      </c>
      <c r="AB564" s="5">
        <v>1750000</v>
      </c>
      <c r="AC564" s="5" t="str">
        <f t="shared" si="28"/>
        <v>Bonos</v>
      </c>
      <c r="AD564" s="5" t="s">
        <v>43</v>
      </c>
      <c r="AE564" s="5">
        <f t="shared" si="29"/>
        <v>11</v>
      </c>
      <c r="AF564" s="5">
        <f t="shared" si="30"/>
        <v>2019</v>
      </c>
    </row>
    <row r="565" s="5" customFormat="1" ht="13">
      <c r="A565" s="5" t="s">
        <v>44</v>
      </c>
      <c r="B565" s="5" t="s">
        <v>44</v>
      </c>
      <c r="C565" s="5" t="s">
        <v>33</v>
      </c>
      <c r="D565" s="5" t="s">
        <v>21</v>
      </c>
      <c r="E565" s="5" t="s">
        <v>44</v>
      </c>
      <c r="F565" s="5" t="s">
        <v>35</v>
      </c>
      <c r="G565" s="5" t="s">
        <v>75</v>
      </c>
      <c r="H565" s="9" t="s">
        <v>168</v>
      </c>
      <c r="I565" s="10"/>
      <c r="J565" s="10">
        <v>43781</v>
      </c>
      <c r="K565" s="5" t="s">
        <v>39</v>
      </c>
      <c r="L565" s="5" t="s">
        <v>50</v>
      </c>
      <c r="M565" s="11">
        <v>0.070000000000000007</v>
      </c>
      <c r="N565" s="5" t="e">
        <f>IF(AND(M565&gt;#REF!,Cartera!O565="Guaraníes"),"Rendimiento significativo",IF(AND(M565&gt;#REF!,Cartera!O565="Dólares americanos"),"Rendimiento significativo","Rendimiento no significativo"))</f>
        <v>#REF!</v>
      </c>
      <c r="O565" s="5" t="s">
        <v>51</v>
      </c>
      <c r="P565" s="13">
        <v>1221.6438500000002</v>
      </c>
      <c r="Q565" s="12" t="e">
        <f>IF(O565="Guaraníes",P565,P565*#REF!)</f>
        <v>#REF!</v>
      </c>
      <c r="R565" s="12">
        <f>IF(O565="Guaraníes",P565/#REF!,P565)</f>
        <v>1221.6438500000002</v>
      </c>
      <c r="S565" s="5" t="s">
        <v>52</v>
      </c>
      <c r="T565" s="5">
        <v>25</v>
      </c>
      <c r="W565" s="5" t="s">
        <v>65</v>
      </c>
      <c r="X565" s="5">
        <v>0</v>
      </c>
      <c r="Y565" s="5">
        <v>0</v>
      </c>
      <c r="Z565" s="5">
        <v>17.452055000000001</v>
      </c>
      <c r="AA565" s="5">
        <v>70</v>
      </c>
      <c r="AB565" s="5">
        <v>1221.6438499999999</v>
      </c>
      <c r="AC565" s="5" t="str">
        <f t="shared" si="28"/>
        <v>Bonos</v>
      </c>
      <c r="AD565" s="5" t="s">
        <v>43</v>
      </c>
      <c r="AE565" s="5">
        <f t="shared" si="29"/>
        <v>11</v>
      </c>
      <c r="AF565" s="5">
        <f t="shared" si="30"/>
        <v>2019</v>
      </c>
    </row>
    <row r="566" s="5" customFormat="1" ht="13">
      <c r="A566" s="5" t="s">
        <v>44</v>
      </c>
      <c r="B566" s="5" t="s">
        <v>44</v>
      </c>
      <c r="C566" s="5" t="s">
        <v>242</v>
      </c>
      <c r="D566" s="5" t="s">
        <v>21</v>
      </c>
      <c r="E566" s="5" t="s">
        <v>44</v>
      </c>
      <c r="F566" s="5" t="s">
        <v>68</v>
      </c>
      <c r="G566" s="5" t="s">
        <v>75</v>
      </c>
      <c r="H566" s="9" t="s">
        <v>243</v>
      </c>
      <c r="I566" s="10"/>
      <c r="J566" s="10">
        <v>43787</v>
      </c>
      <c r="K566" s="5" t="s">
        <v>244</v>
      </c>
      <c r="L566" s="5" t="s">
        <v>58</v>
      </c>
      <c r="M566" s="11">
        <v>0.13750000000000001</v>
      </c>
      <c r="N566" s="5" t="e">
        <f>IF(AND(M566&gt;#REF!,Cartera!O566="Guaraníes"),"Rendimiento significativo",IF(AND(M566&gt;#REF!,Cartera!O566="Dólares americanos"),"Rendimiento significativo","Rendimiento no significativo"))</f>
        <v>#REF!</v>
      </c>
      <c r="O566" s="5" t="s">
        <v>41</v>
      </c>
      <c r="P566" s="12">
        <v>1028424.65754</v>
      </c>
      <c r="Q566" s="12">
        <f>IF(O566="Guaraníes",P566,P566*#REF!)</f>
        <v>1028424.65754</v>
      </c>
      <c r="R566" s="12" t="e">
        <f>IF(O566="Guaraníes",P566/#REF!,P566)</f>
        <v>#REF!</v>
      </c>
      <c r="S566" s="5" t="s">
        <v>52</v>
      </c>
      <c r="T566" s="5">
        <v>25</v>
      </c>
      <c r="W566" s="5" t="s">
        <v>241</v>
      </c>
      <c r="X566" s="5">
        <v>0</v>
      </c>
      <c r="Y566" s="5">
        <v>0</v>
      </c>
      <c r="Z566" s="5">
        <v>34280.821918000001</v>
      </c>
      <c r="AA566" s="5">
        <v>30</v>
      </c>
      <c r="AB566" s="5">
        <v>1028424.65754</v>
      </c>
      <c r="AC566" s="5" t="str">
        <f t="shared" si="28"/>
        <v>Bonos</v>
      </c>
      <c r="AD566" s="5" t="s">
        <v>43</v>
      </c>
      <c r="AE566" s="5">
        <f t="shared" si="29"/>
        <v>11</v>
      </c>
      <c r="AF566" s="5">
        <f t="shared" si="30"/>
        <v>2019</v>
      </c>
    </row>
    <row r="567" s="5" customFormat="1" ht="13">
      <c r="A567" s="5" t="s">
        <v>44</v>
      </c>
      <c r="B567" s="5" t="s">
        <v>44</v>
      </c>
      <c r="C567" s="5" t="s">
        <v>114</v>
      </c>
      <c r="D567" s="5" t="s">
        <v>21</v>
      </c>
      <c r="E567" s="5" t="s">
        <v>44</v>
      </c>
      <c r="F567" s="5" t="s">
        <v>68</v>
      </c>
      <c r="G567" s="5" t="s">
        <v>75</v>
      </c>
      <c r="H567" s="9" t="s">
        <v>170</v>
      </c>
      <c r="I567" s="10"/>
      <c r="J567" s="10">
        <v>43788</v>
      </c>
      <c r="K567" s="5" t="s">
        <v>77</v>
      </c>
      <c r="L567" s="5" t="s">
        <v>50</v>
      </c>
      <c r="M567" s="11">
        <v>0.14000000000000001</v>
      </c>
      <c r="N567" s="5" t="e">
        <f>IF(AND(M567&gt;#REF!,Cartera!O567="Guaraníes"),"Rendimiento significativo",IF(AND(M567&gt;#REF!,Cartera!O567="Dólares americanos"),"Rendimiento significativo","Rendimiento no significativo"))</f>
        <v>#REF!</v>
      </c>
      <c r="O567" s="5" t="s">
        <v>41</v>
      </c>
      <c r="P567" s="12">
        <v>3490410.9589</v>
      </c>
      <c r="Q567" s="12">
        <f>IF(O567="Guaraníes",P567,P567*#REF!)</f>
        <v>3490410.9589</v>
      </c>
      <c r="R567" s="12" t="e">
        <f>IF(O567="Guaraníes",P567/#REF!,P567)</f>
        <v>#REF!</v>
      </c>
      <c r="S567" s="5" t="s">
        <v>52</v>
      </c>
      <c r="T567" s="5">
        <v>25</v>
      </c>
      <c r="W567" s="5" t="s">
        <v>65</v>
      </c>
      <c r="X567" s="5">
        <v>0</v>
      </c>
      <c r="Y567" s="5">
        <v>0</v>
      </c>
      <c r="Z567" s="5">
        <v>34904.109589</v>
      </c>
      <c r="AA567" s="5">
        <v>100</v>
      </c>
      <c r="AB567" s="5">
        <v>3490410.9589</v>
      </c>
      <c r="AC567" s="5" t="str">
        <f t="shared" si="28"/>
        <v>Bonos</v>
      </c>
      <c r="AD567" s="5" t="s">
        <v>43</v>
      </c>
      <c r="AE567" s="5">
        <f t="shared" si="29"/>
        <v>11</v>
      </c>
      <c r="AF567" s="5">
        <f t="shared" si="30"/>
        <v>2019</v>
      </c>
    </row>
    <row r="568" s="5" customFormat="1" ht="13">
      <c r="A568" s="5" t="s">
        <v>44</v>
      </c>
      <c r="B568" s="5" t="s">
        <v>44</v>
      </c>
      <c r="C568" s="5" t="s">
        <v>227</v>
      </c>
      <c r="D568" s="5" t="s">
        <v>21</v>
      </c>
      <c r="E568" s="5" t="s">
        <v>44</v>
      </c>
      <c r="F568" s="5" t="s">
        <v>68</v>
      </c>
      <c r="G568" s="5" t="s">
        <v>75</v>
      </c>
      <c r="H568" s="9" t="s">
        <v>228</v>
      </c>
      <c r="I568" s="10"/>
      <c r="J568" s="10">
        <v>43790</v>
      </c>
      <c r="K568" s="5" t="s">
        <v>77</v>
      </c>
      <c r="L568" s="5" t="s">
        <v>58</v>
      </c>
      <c r="M568" s="11">
        <v>0.1525</v>
      </c>
      <c r="N568" s="5" t="e">
        <f>IF(AND(M568&gt;#REF!,Cartera!O568="Guaraníes"),"Rendimiento significativo",IF(AND(M568&gt;#REF!,Cartera!O568="Dólares americanos"),"Rendimiento significativo","Rendimiento no significativo"))</f>
        <v>#REF!</v>
      </c>
      <c r="O568" s="5" t="s">
        <v>41</v>
      </c>
      <c r="P568" s="12">
        <v>2851541.0958749996</v>
      </c>
      <c r="Q568" s="12">
        <f>IF(O568="Guaraníes",P568,P568*#REF!)</f>
        <v>2851541.0958749996</v>
      </c>
      <c r="R568" s="12" t="e">
        <f>IF(O568="Guaraníes",P568/#REF!,P568)</f>
        <v>#REF!</v>
      </c>
      <c r="S568" s="5" t="s">
        <v>52</v>
      </c>
      <c r="T568" s="5">
        <v>25</v>
      </c>
      <c r="W568" s="5" t="s">
        <v>196</v>
      </c>
      <c r="X568" s="5">
        <v>0</v>
      </c>
      <c r="Y568" s="5">
        <v>0</v>
      </c>
      <c r="Z568" s="5">
        <v>38020.547944999998</v>
      </c>
      <c r="AA568" s="5">
        <v>75</v>
      </c>
      <c r="AB568" s="5">
        <v>2851541.0958750001</v>
      </c>
      <c r="AC568" s="5" t="str">
        <f t="shared" si="28"/>
        <v>Bonos</v>
      </c>
      <c r="AD568" s="5" t="s">
        <v>43</v>
      </c>
      <c r="AE568" s="5">
        <f t="shared" si="29"/>
        <v>11</v>
      </c>
      <c r="AF568" s="5">
        <f t="shared" si="30"/>
        <v>2019</v>
      </c>
    </row>
    <row r="569" s="5" customFormat="1" ht="13">
      <c r="A569" s="5" t="s">
        <v>44</v>
      </c>
      <c r="B569" s="5" t="s">
        <v>44</v>
      </c>
      <c r="C569" s="5" t="s">
        <v>74</v>
      </c>
      <c r="D569" s="5" t="s">
        <v>21</v>
      </c>
      <c r="E569" s="5" t="s">
        <v>44</v>
      </c>
      <c r="F569" s="5" t="s">
        <v>68</v>
      </c>
      <c r="G569" s="5" t="s">
        <v>75</v>
      </c>
      <c r="H569" s="9" t="s">
        <v>231</v>
      </c>
      <c r="I569" s="10"/>
      <c r="J569" s="10">
        <v>43795</v>
      </c>
      <c r="K569" s="5" t="s">
        <v>77</v>
      </c>
      <c r="L569" s="5" t="s">
        <v>58</v>
      </c>
      <c r="M569" s="11">
        <v>0.14000000000000001</v>
      </c>
      <c r="N569" s="5" t="e">
        <f>IF(AND(M569&gt;#REF!,Cartera!O569="Guaraníes"),"Rendimiento significativo",IF(AND(M569&gt;#REF!,Cartera!O569="Dólares americanos"),"Rendimiento significativo","Rendimiento no significativo"))</f>
        <v>#REF!</v>
      </c>
      <c r="O569" s="5" t="s">
        <v>41</v>
      </c>
      <c r="P569" s="12">
        <v>5235616.4383499995</v>
      </c>
      <c r="Q569" s="12">
        <f>IF(O569="Guaraníes",P569,P569*#REF!)</f>
        <v>5235616.4383499995</v>
      </c>
      <c r="R569" s="12" t="e">
        <f>IF(O569="Guaraníes",P569/#REF!,P569)</f>
        <v>#REF!</v>
      </c>
      <c r="S569" s="5" t="s">
        <v>52</v>
      </c>
      <c r="T569" s="5">
        <v>25</v>
      </c>
      <c r="W569" s="5" t="s">
        <v>232</v>
      </c>
      <c r="X569" s="5">
        <v>0</v>
      </c>
      <c r="Y569" s="5">
        <v>0</v>
      </c>
      <c r="Z569" s="5">
        <v>34904.109589</v>
      </c>
      <c r="AA569" s="5">
        <v>150</v>
      </c>
      <c r="AB569" s="5">
        <v>5235616.4383500004</v>
      </c>
      <c r="AC569" s="5" t="str">
        <f t="shared" si="28"/>
        <v>Bonos</v>
      </c>
      <c r="AD569" s="5" t="s">
        <v>43</v>
      </c>
      <c r="AE569" s="5">
        <f t="shared" si="29"/>
        <v>11</v>
      </c>
      <c r="AF569" s="5">
        <f t="shared" si="30"/>
        <v>2019</v>
      </c>
    </row>
    <row r="570" s="5" customFormat="1" ht="13">
      <c r="A570" s="5" t="s">
        <v>44</v>
      </c>
      <c r="B570" s="5" t="s">
        <v>44</v>
      </c>
      <c r="C570" s="5" t="s">
        <v>254</v>
      </c>
      <c r="D570" s="5" t="s">
        <v>21</v>
      </c>
      <c r="E570" s="5" t="s">
        <v>44</v>
      </c>
      <c r="F570" s="5" t="s">
        <v>68</v>
      </c>
      <c r="G570" s="5" t="s">
        <v>75</v>
      </c>
      <c r="H570" s="9" t="s">
        <v>255</v>
      </c>
      <c r="I570" s="10"/>
      <c r="J570" s="10">
        <v>43811</v>
      </c>
      <c r="K570" s="5" t="s">
        <v>256</v>
      </c>
      <c r="L570" s="5" t="s">
        <v>58</v>
      </c>
      <c r="M570" s="11">
        <v>0.057500000000000002</v>
      </c>
      <c r="N570" s="5" t="e">
        <f>IF(AND(M570&gt;#REF!,Cartera!O570="Guaraníes"),"Rendimiento significativo",IF(AND(M570&gt;#REF!,Cartera!O570="Dólares americanos"),"Rendimiento significativo","Rendimiento no significativo"))</f>
        <v>#REF!</v>
      </c>
      <c r="O570" s="5" t="s">
        <v>51</v>
      </c>
      <c r="P570" s="13">
        <v>860.13698999999997</v>
      </c>
      <c r="Q570" s="12" t="e">
        <f>IF(O570="Guaraníes",P570,P570*#REF!)</f>
        <v>#REF!</v>
      </c>
      <c r="R570" s="12">
        <f>IF(O570="Guaraníes",P570/#REF!,P570)</f>
        <v>860.13698999999997</v>
      </c>
      <c r="S570" s="5" t="s">
        <v>52</v>
      </c>
      <c r="T570" s="5">
        <v>25</v>
      </c>
      <c r="W570" s="5" t="s">
        <v>262</v>
      </c>
      <c r="X570" s="5">
        <v>0</v>
      </c>
      <c r="Y570" s="5">
        <v>0</v>
      </c>
      <c r="Z570" s="5">
        <v>28.671233000000001</v>
      </c>
      <c r="AA570" s="5">
        <v>30</v>
      </c>
      <c r="AB570" s="5">
        <v>860.13698999999997</v>
      </c>
      <c r="AC570" s="5" t="str">
        <f t="shared" si="28"/>
        <v>Bonos</v>
      </c>
      <c r="AD570" s="5" t="s">
        <v>43</v>
      </c>
      <c r="AE570" s="5">
        <f t="shared" si="29"/>
        <v>12</v>
      </c>
      <c r="AF570" s="5">
        <f t="shared" si="30"/>
        <v>2019</v>
      </c>
    </row>
    <row r="571" s="5" customFormat="1" ht="13">
      <c r="A571" s="5" t="s">
        <v>44</v>
      </c>
      <c r="B571" s="5" t="s">
        <v>44</v>
      </c>
      <c r="C571" s="5" t="s">
        <v>114</v>
      </c>
      <c r="D571" s="5" t="s">
        <v>21</v>
      </c>
      <c r="E571" s="5" t="s">
        <v>44</v>
      </c>
      <c r="F571" s="5" t="s">
        <v>68</v>
      </c>
      <c r="G571" s="5" t="s">
        <v>75</v>
      </c>
      <c r="H571" s="9" t="s">
        <v>226</v>
      </c>
      <c r="I571" s="10"/>
      <c r="J571" s="10">
        <v>43818</v>
      </c>
      <c r="K571" s="5" t="s">
        <v>77</v>
      </c>
      <c r="L571" s="5" t="s">
        <v>58</v>
      </c>
      <c r="M571" s="11">
        <v>0.14000000000000001</v>
      </c>
      <c r="N571" s="5" t="e">
        <f>IF(AND(M571&gt;#REF!,Cartera!O571="Guaraníes"),"Rendimiento significativo",IF(AND(M571&gt;#REF!,Cartera!O571="Dólares americanos"),"Rendimiento significativo","Rendimiento no significativo"))</f>
        <v>#REF!</v>
      </c>
      <c r="O571" s="5" t="s">
        <v>41</v>
      </c>
      <c r="P571" s="12">
        <v>523561.643835</v>
      </c>
      <c r="Q571" s="12">
        <f>IF(O571="Guaraníes",P571,P571*#REF!)</f>
        <v>523561.643835</v>
      </c>
      <c r="R571" s="12" t="e">
        <f>IF(O571="Guaraníes",P571/#REF!,P571)</f>
        <v>#REF!</v>
      </c>
      <c r="S571" s="5" t="s">
        <v>52</v>
      </c>
      <c r="T571" s="5">
        <v>25</v>
      </c>
      <c r="W571" s="5" t="s">
        <v>65</v>
      </c>
      <c r="X571" s="5">
        <v>0</v>
      </c>
      <c r="Y571" s="5">
        <v>0</v>
      </c>
      <c r="Z571" s="5">
        <v>34904.109589</v>
      </c>
      <c r="AA571" s="5">
        <v>15</v>
      </c>
      <c r="AB571" s="5">
        <v>523561.643835</v>
      </c>
      <c r="AC571" s="5" t="str">
        <f t="shared" si="28"/>
        <v>Bonos</v>
      </c>
      <c r="AD571" s="5" t="s">
        <v>43</v>
      </c>
      <c r="AE571" s="5">
        <f t="shared" si="29"/>
        <v>12</v>
      </c>
      <c r="AF571" s="5">
        <f t="shared" si="30"/>
        <v>2019</v>
      </c>
    </row>
    <row r="572" s="5" customFormat="1" ht="13">
      <c r="A572" s="5" t="s">
        <v>44</v>
      </c>
      <c r="B572" s="5" t="s">
        <v>44</v>
      </c>
      <c r="C572" s="5" t="s">
        <v>114</v>
      </c>
      <c r="D572" s="5" t="s">
        <v>21</v>
      </c>
      <c r="E572" s="5" t="s">
        <v>44</v>
      </c>
      <c r="F572" s="5" t="s">
        <v>68</v>
      </c>
      <c r="G572" s="5" t="s">
        <v>75</v>
      </c>
      <c r="H572" s="9" t="s">
        <v>236</v>
      </c>
      <c r="I572" s="10"/>
      <c r="J572" s="10">
        <v>43818</v>
      </c>
      <c r="K572" s="5" t="s">
        <v>77</v>
      </c>
      <c r="L572" s="5" t="s">
        <v>50</v>
      </c>
      <c r="M572" s="11">
        <v>0.14749999999999999</v>
      </c>
      <c r="N572" s="5" t="e">
        <f>IF(AND(M572&gt;#REF!,Cartera!O572="Guaraníes"),"Rendimiento significativo",IF(AND(M572&gt;#REF!,Cartera!O572="Dólares americanos"),"Rendimiento significativo","Rendimiento no significativo"))</f>
        <v>#REF!</v>
      </c>
      <c r="O572" s="5" t="s">
        <v>41</v>
      </c>
      <c r="P572" s="12">
        <v>112191.780822</v>
      </c>
      <c r="Q572" s="12">
        <f>IF(O572="Guaraníes",P572,P572*#REF!)</f>
        <v>112191.780822</v>
      </c>
      <c r="R572" s="12" t="e">
        <f>IF(O572="Guaraníes",P572/#REF!,P572)</f>
        <v>#REF!</v>
      </c>
      <c r="S572" s="5" t="s">
        <v>52</v>
      </c>
      <c r="T572" s="5">
        <v>25</v>
      </c>
      <c r="W572" s="5" t="s">
        <v>65</v>
      </c>
      <c r="X572" s="5">
        <v>0</v>
      </c>
      <c r="Y572" s="5">
        <v>0</v>
      </c>
      <c r="Z572" s="5">
        <v>37397.260274</v>
      </c>
      <c r="AA572" s="5">
        <v>3</v>
      </c>
      <c r="AB572" s="5">
        <v>112191.780822</v>
      </c>
      <c r="AC572" s="5" t="str">
        <f t="shared" si="28"/>
        <v>Bonos</v>
      </c>
      <c r="AD572" s="5" t="s">
        <v>43</v>
      </c>
      <c r="AE572" s="5">
        <f t="shared" si="29"/>
        <v>12</v>
      </c>
      <c r="AF572" s="5">
        <f t="shared" si="30"/>
        <v>2019</v>
      </c>
    </row>
    <row r="573" s="5" customFormat="1" ht="13">
      <c r="A573" s="5" t="s">
        <v>44</v>
      </c>
      <c r="B573" s="5" t="s">
        <v>44</v>
      </c>
      <c r="C573" s="5" t="s">
        <v>33</v>
      </c>
      <c r="D573" s="5" t="s">
        <v>21</v>
      </c>
      <c r="E573" s="5" t="s">
        <v>44</v>
      </c>
      <c r="F573" s="5" t="s">
        <v>35</v>
      </c>
      <c r="G573" s="5" t="s">
        <v>75</v>
      </c>
      <c r="H573" s="9" t="s">
        <v>257</v>
      </c>
      <c r="I573" s="10"/>
      <c r="J573" s="10">
        <v>43829</v>
      </c>
      <c r="K573" s="5" t="s">
        <v>39</v>
      </c>
      <c r="L573" s="5" t="s">
        <v>106</v>
      </c>
      <c r="M573" s="11">
        <v>0.0625</v>
      </c>
      <c r="N573" s="5" t="e">
        <f>IF(AND(M573&gt;#REF!,Cartera!O573="Guaraníes"),"Rendimiento significativo",IF(AND(M573&gt;#REF!,Cartera!O573="Dólares americanos"),"Rendimiento significativo","Rendimiento no significativo"))</f>
        <v>#REF!</v>
      </c>
      <c r="O573" s="5" t="s">
        <v>51</v>
      </c>
      <c r="P573" s="13">
        <v>602.73972000000003</v>
      </c>
      <c r="Q573" s="12" t="e">
        <f>IF(O573="Guaraníes",P573,P573*#REF!)</f>
        <v>#REF!</v>
      </c>
      <c r="R573" s="12">
        <f>IF(O573="Guaraníes",P573/#REF!,P573)</f>
        <v>602.73972000000003</v>
      </c>
      <c r="S573" s="5" t="s">
        <v>52</v>
      </c>
      <c r="T573" s="5">
        <v>25</v>
      </c>
      <c r="W573" s="5" t="s">
        <v>218</v>
      </c>
      <c r="X573" s="5">
        <v>0</v>
      </c>
      <c r="Y573" s="5">
        <v>0</v>
      </c>
      <c r="Z573" s="5">
        <v>15.068493</v>
      </c>
      <c r="AA573" s="5">
        <v>40</v>
      </c>
      <c r="AB573" s="5">
        <v>602.73972000000003</v>
      </c>
      <c r="AC573" s="5" t="str">
        <f t="shared" si="28"/>
        <v>Bonos</v>
      </c>
      <c r="AD573" s="5" t="s">
        <v>43</v>
      </c>
      <c r="AE573" s="5">
        <f t="shared" si="29"/>
        <v>12</v>
      </c>
      <c r="AF573" s="5">
        <f t="shared" si="30"/>
        <v>2019</v>
      </c>
    </row>
    <row r="574" s="5" customFormat="1" ht="13">
      <c r="A574" s="5" t="s">
        <v>44</v>
      </c>
      <c r="B574" s="5" t="s">
        <v>44</v>
      </c>
      <c r="C574" s="5" t="s">
        <v>114</v>
      </c>
      <c r="D574" s="5" t="s">
        <v>21</v>
      </c>
      <c r="E574" s="5" t="s">
        <v>44</v>
      </c>
      <c r="F574" s="5" t="s">
        <v>68</v>
      </c>
      <c r="G574" s="5" t="s">
        <v>75</v>
      </c>
      <c r="H574" s="9" t="s">
        <v>237</v>
      </c>
      <c r="I574" s="10"/>
      <c r="J574" s="10">
        <v>43832</v>
      </c>
      <c r="K574" s="5" t="s">
        <v>77</v>
      </c>
      <c r="L574" s="5" t="s">
        <v>50</v>
      </c>
      <c r="M574" s="11">
        <v>0.13750000000000001</v>
      </c>
      <c r="N574" s="5" t="e">
        <f>IF(AND(M574&gt;#REF!,Cartera!O574="Guaraníes"),"Rendimiento significativo",IF(AND(M574&gt;#REF!,Cartera!O574="Dólares americanos"),"Rendimiento significativo","Rendimiento no significativo"))</f>
        <v>#REF!</v>
      </c>
      <c r="O574" s="5" t="s">
        <v>41</v>
      </c>
      <c r="P574" s="12">
        <v>700684.93149999995</v>
      </c>
      <c r="Q574" s="12">
        <f>IF(O574="Guaraníes",P574,P574*#REF!)</f>
        <v>700684.93149999995</v>
      </c>
      <c r="R574" s="12" t="e">
        <f>IF(O574="Guaraníes",P574/#REF!,P574)</f>
        <v>#REF!</v>
      </c>
      <c r="S574" s="5" t="s">
        <v>52</v>
      </c>
      <c r="T574" s="5">
        <v>25</v>
      </c>
      <c r="W574" s="5" t="s">
        <v>65</v>
      </c>
      <c r="X574" s="5">
        <v>0</v>
      </c>
      <c r="Y574" s="5">
        <v>0</v>
      </c>
      <c r="Z574" s="5">
        <v>35034.246574999997</v>
      </c>
      <c r="AA574" s="5">
        <v>20</v>
      </c>
      <c r="AB574" s="5">
        <v>700684.93149999995</v>
      </c>
      <c r="AC574" s="5" t="str">
        <f t="shared" si="28"/>
        <v>Bonos</v>
      </c>
      <c r="AD574" s="5" t="s">
        <v>43</v>
      </c>
      <c r="AE574" s="5">
        <f t="shared" si="29"/>
        <v>1</v>
      </c>
      <c r="AF574" s="5">
        <f t="shared" si="30"/>
        <v>2020</v>
      </c>
    </row>
    <row r="575" s="5" customFormat="1" ht="13">
      <c r="A575" s="5" t="s">
        <v>44</v>
      </c>
      <c r="B575" s="5" t="s">
        <v>44</v>
      </c>
      <c r="C575" s="5" t="s">
        <v>156</v>
      </c>
      <c r="D575" s="5" t="s">
        <v>21</v>
      </c>
      <c r="E575" s="5" t="s">
        <v>44</v>
      </c>
      <c r="F575" s="5" t="s">
        <v>68</v>
      </c>
      <c r="G575" s="5" t="s">
        <v>75</v>
      </c>
      <c r="H575" s="9" t="s">
        <v>157</v>
      </c>
      <c r="I575" s="10"/>
      <c r="J575" s="10">
        <v>43844</v>
      </c>
      <c r="K575" s="5" t="s">
        <v>158</v>
      </c>
      <c r="L575" s="5" t="s">
        <v>58</v>
      </c>
      <c r="M575" s="11">
        <v>0.16</v>
      </c>
      <c r="N575" s="5" t="e">
        <f>IF(AND(M575&gt;#REF!,Cartera!O575="Guaraníes"),"Rendimiento significativo",IF(AND(M575&gt;#REF!,Cartera!O575="Dólares americanos"),"Rendimiento significativo","Rendimiento no significativo"))</f>
        <v>#REF!</v>
      </c>
      <c r="O575" s="5" t="s">
        <v>41</v>
      </c>
      <c r="P575" s="12">
        <v>4188493.15068</v>
      </c>
      <c r="Q575" s="12">
        <f>IF(O575="Guaraníes",P575,P575*#REF!)</f>
        <v>4188493.15068</v>
      </c>
      <c r="R575" s="12" t="e">
        <f>IF(O575="Guaraníes",P575/#REF!,P575)</f>
        <v>#REF!</v>
      </c>
      <c r="S575" s="5" t="s">
        <v>52</v>
      </c>
      <c r="T575" s="5">
        <v>25</v>
      </c>
      <c r="W575" s="5" t="s">
        <v>53</v>
      </c>
      <c r="X575" s="5">
        <v>0</v>
      </c>
      <c r="Y575" s="5">
        <v>0</v>
      </c>
      <c r="Z575" s="5">
        <v>34904.109589</v>
      </c>
      <c r="AA575" s="5">
        <v>120</v>
      </c>
      <c r="AB575" s="5">
        <v>4188493.15068</v>
      </c>
      <c r="AC575" s="5" t="str">
        <f t="shared" si="28"/>
        <v>Bonos</v>
      </c>
      <c r="AD575" s="5" t="s">
        <v>43</v>
      </c>
      <c r="AE575" s="5">
        <f t="shared" si="29"/>
        <v>1</v>
      </c>
      <c r="AF575" s="5">
        <f t="shared" si="30"/>
        <v>2020</v>
      </c>
    </row>
    <row r="576" s="5" customFormat="1" ht="13">
      <c r="A576" s="5" t="s">
        <v>44</v>
      </c>
      <c r="B576" s="5" t="s">
        <v>44</v>
      </c>
      <c r="C576" s="5" t="s">
        <v>239</v>
      </c>
      <c r="D576" s="5" t="s">
        <v>21</v>
      </c>
      <c r="E576" s="5" t="s">
        <v>44</v>
      </c>
      <c r="F576" s="5" t="s">
        <v>68</v>
      </c>
      <c r="G576" s="5" t="s">
        <v>75</v>
      </c>
      <c r="H576" s="9" t="s">
        <v>240</v>
      </c>
      <c r="I576" s="10"/>
      <c r="J576" s="10">
        <v>43851</v>
      </c>
      <c r="K576" s="5" t="s">
        <v>49</v>
      </c>
      <c r="L576" s="5" t="s">
        <v>58</v>
      </c>
      <c r="M576" s="11">
        <v>0.13</v>
      </c>
      <c r="N576" s="5" t="e">
        <f>IF(AND(M576&gt;#REF!,Cartera!O576="Guaraníes"),"Rendimiento significativo",IF(AND(M576&gt;#REF!,Cartera!O576="Dólares americanos"),"Rendimiento significativo","Rendimiento no significativo"))</f>
        <v>#REF!</v>
      </c>
      <c r="O576" s="5" t="s">
        <v>41</v>
      </c>
      <c r="P576" s="12">
        <v>1620547.9452</v>
      </c>
      <c r="Q576" s="12">
        <f>IF(O576="Guaraníes",P576,P576*#REF!)</f>
        <v>1620547.9452</v>
      </c>
      <c r="R576" s="12" t="e">
        <f>IF(O576="Guaraníes",P576/#REF!,P576)</f>
        <v>#REF!</v>
      </c>
      <c r="S576" s="5" t="s">
        <v>52</v>
      </c>
      <c r="T576" s="5">
        <v>25</v>
      </c>
      <c r="W576" s="5" t="s">
        <v>245</v>
      </c>
      <c r="X576" s="5">
        <v>0</v>
      </c>
      <c r="Y576" s="5">
        <v>0</v>
      </c>
      <c r="Z576" s="5">
        <v>32410.958903999999</v>
      </c>
      <c r="AA576" s="5">
        <v>50</v>
      </c>
      <c r="AB576" s="5">
        <v>1620547.9452</v>
      </c>
      <c r="AC576" s="5" t="str">
        <f t="shared" ref="AC576:AC639" si="31">IF(ISNUMBER(SEARCH("Acciones",L576)),"Acciones",IF(ISNUMBER(SEARCH("Bono",L576)),"Bonos",IF(ISNUMBER(SEARCH("CDA",L576)),"CDA",IF(ISNUMBER(SEARCH("Fondo",L576)),"Fondo",0))))</f>
        <v>Bonos</v>
      </c>
      <c r="AD576" s="5" t="s">
        <v>43</v>
      </c>
      <c r="AE576" s="5">
        <f t="shared" si="29"/>
        <v>1</v>
      </c>
      <c r="AF576" s="5">
        <f t="shared" si="30"/>
        <v>2020</v>
      </c>
    </row>
    <row r="577" s="5" customFormat="1" ht="13">
      <c r="A577" s="5" t="s">
        <v>44</v>
      </c>
      <c r="B577" s="5" t="s">
        <v>44</v>
      </c>
      <c r="C577" s="5" t="s">
        <v>114</v>
      </c>
      <c r="D577" s="5" t="s">
        <v>21</v>
      </c>
      <c r="E577" s="5" t="s">
        <v>44</v>
      </c>
      <c r="F577" s="5" t="s">
        <v>68</v>
      </c>
      <c r="G577" s="5" t="s">
        <v>75</v>
      </c>
      <c r="H577" s="9" t="s">
        <v>234</v>
      </c>
      <c r="I577" s="10"/>
      <c r="J577" s="10">
        <v>43852</v>
      </c>
      <c r="K577" s="5" t="s">
        <v>77</v>
      </c>
      <c r="L577" s="5" t="s">
        <v>50</v>
      </c>
      <c r="M577" s="11">
        <v>0.12</v>
      </c>
      <c r="N577" s="5" t="e">
        <f>IF(AND(M577&gt;#REF!,Cartera!O577="Guaraníes"),"Rendimiento significativo",IF(AND(M577&gt;#REF!,Cartera!O577="Dólares americanos"),"Rendimiento significativo","Rendimiento no significativo"))</f>
        <v>#REF!</v>
      </c>
      <c r="O577" s="5" t="s">
        <v>51</v>
      </c>
      <c r="P577" s="13">
        <v>486.16437000000002</v>
      </c>
      <c r="Q577" s="12" t="e">
        <f>IF(O577="Guaraníes",P577,P577*#REF!)</f>
        <v>#REF!</v>
      </c>
      <c r="R577" s="12">
        <f>IF(O577="Guaraníes",P577/#REF!,P577)</f>
        <v>486.16437000000002</v>
      </c>
      <c r="S577" s="5" t="s">
        <v>52</v>
      </c>
      <c r="T577" s="5">
        <v>25</v>
      </c>
      <c r="W577" s="5" t="s">
        <v>65</v>
      </c>
      <c r="X577" s="5">
        <v>0</v>
      </c>
      <c r="Y577" s="5">
        <v>0</v>
      </c>
      <c r="Z577" s="5">
        <v>16.205479</v>
      </c>
      <c r="AA577" s="5">
        <v>30</v>
      </c>
      <c r="AB577" s="5">
        <v>486.16437000000002</v>
      </c>
      <c r="AC577" s="5" t="str">
        <f t="shared" si="31"/>
        <v>Bonos</v>
      </c>
      <c r="AD577" s="5" t="s">
        <v>43</v>
      </c>
      <c r="AE577" s="5">
        <f t="shared" si="29"/>
        <v>1</v>
      </c>
      <c r="AF577" s="5">
        <f t="shared" si="30"/>
        <v>2020</v>
      </c>
    </row>
    <row r="578" s="5" customFormat="1" ht="13">
      <c r="A578" s="5" t="s">
        <v>44</v>
      </c>
      <c r="B578" s="5" t="s">
        <v>44</v>
      </c>
      <c r="C578" s="5" t="s">
        <v>114</v>
      </c>
      <c r="D578" s="5" t="s">
        <v>21</v>
      </c>
      <c r="E578" s="5" t="s">
        <v>44</v>
      </c>
      <c r="F578" s="5" t="s">
        <v>68</v>
      </c>
      <c r="G578" s="5" t="s">
        <v>75</v>
      </c>
      <c r="H578" s="9" t="s">
        <v>115</v>
      </c>
      <c r="I578" s="10"/>
      <c r="J578" s="10">
        <v>43858</v>
      </c>
      <c r="K578" s="5" t="s">
        <v>77</v>
      </c>
      <c r="L578" s="5" t="s">
        <v>50</v>
      </c>
      <c r="M578" s="11">
        <v>0.125</v>
      </c>
      <c r="N578" s="5" t="e">
        <f>IF(AND(M578&gt;#REF!,Cartera!O578="Guaraníes"),"Rendimiento significativo",IF(AND(M578&gt;#REF!,Cartera!O578="Dólares americanos"),"Rendimiento significativo","Rendimiento no significativo"))</f>
        <v>#REF!</v>
      </c>
      <c r="O578" s="5" t="s">
        <v>41</v>
      </c>
      <c r="P578" s="12">
        <v>877808.21918999997</v>
      </c>
      <c r="Q578" s="12">
        <f>IF(O578="Guaraníes",P578,P578*#REF!)</f>
        <v>877808.21918999997</v>
      </c>
      <c r="R578" s="12" t="e">
        <f>IF(O578="Guaraníes",P578/#REF!,P578)</f>
        <v>#REF!</v>
      </c>
      <c r="S578" s="5" t="s">
        <v>52</v>
      </c>
      <c r="T578" s="5">
        <v>25</v>
      </c>
      <c r="W578" s="5" t="s">
        <v>65</v>
      </c>
      <c r="X578" s="5">
        <v>0</v>
      </c>
      <c r="Y578" s="5">
        <v>0</v>
      </c>
      <c r="Z578" s="5">
        <v>29260.273972999999</v>
      </c>
      <c r="AA578" s="5">
        <v>30</v>
      </c>
      <c r="AB578" s="5">
        <v>877808.21918999997</v>
      </c>
      <c r="AC578" s="5" t="str">
        <f t="shared" si="31"/>
        <v>Bonos</v>
      </c>
      <c r="AD578" s="5" t="s">
        <v>43</v>
      </c>
      <c r="AE578" s="5">
        <f t="shared" si="29"/>
        <v>1</v>
      </c>
      <c r="AF578" s="5">
        <f t="shared" si="30"/>
        <v>2020</v>
      </c>
    </row>
    <row r="579" s="5" customFormat="1" ht="13">
      <c r="A579" s="5" t="s">
        <v>44</v>
      </c>
      <c r="B579" s="5" t="s">
        <v>44</v>
      </c>
      <c r="C579" s="5" t="s">
        <v>156</v>
      </c>
      <c r="D579" s="5" t="s">
        <v>21</v>
      </c>
      <c r="E579" s="5" t="s">
        <v>44</v>
      </c>
      <c r="F579" s="5" t="s">
        <v>68</v>
      </c>
      <c r="G579" s="5" t="s">
        <v>75</v>
      </c>
      <c r="H579" s="9" t="s">
        <v>246</v>
      </c>
      <c r="I579" s="10"/>
      <c r="J579" s="10">
        <v>43860</v>
      </c>
      <c r="K579" s="5" t="s">
        <v>158</v>
      </c>
      <c r="L579" s="5" t="s">
        <v>58</v>
      </c>
      <c r="M579" s="11">
        <v>0.125</v>
      </c>
      <c r="N579" s="5" t="e">
        <f>IF(AND(M579&gt;#REF!,Cartera!O579="Guaraníes"),"Rendimiento significativo",IF(AND(M579&gt;#REF!,Cartera!O579="Dólares americanos"),"Rendimiento significativo","Rendimiento no significativo"))</f>
        <v>#REF!</v>
      </c>
      <c r="O579" s="5" t="s">
        <v>41</v>
      </c>
      <c r="P579" s="12">
        <v>1495890.4109499999</v>
      </c>
      <c r="Q579" s="12">
        <f>IF(O579="Guaraníes",P579,P579*#REF!)</f>
        <v>1495890.4109499999</v>
      </c>
      <c r="R579" s="12" t="e">
        <f>IF(O579="Guaraníes",P579/#REF!,P579)</f>
        <v>#REF!</v>
      </c>
      <c r="S579" s="5" t="s">
        <v>52</v>
      </c>
      <c r="T579" s="5">
        <v>25</v>
      </c>
      <c r="W579" s="5" t="s">
        <v>247</v>
      </c>
      <c r="X579" s="5">
        <v>0</v>
      </c>
      <c r="Y579" s="5">
        <v>0</v>
      </c>
      <c r="Z579" s="5">
        <v>29917.808218999999</v>
      </c>
      <c r="AA579" s="5">
        <v>50</v>
      </c>
      <c r="AB579" s="5">
        <v>1495890.4109499999</v>
      </c>
      <c r="AC579" s="5" t="str">
        <f t="shared" si="31"/>
        <v>Bonos</v>
      </c>
      <c r="AD579" s="5" t="s">
        <v>43</v>
      </c>
      <c r="AE579" s="5">
        <f t="shared" si="29"/>
        <v>1</v>
      </c>
      <c r="AF579" s="5">
        <f t="shared" si="30"/>
        <v>2020</v>
      </c>
    </row>
    <row r="580" s="5" customFormat="1" ht="13">
      <c r="A580" s="5" t="s">
        <v>44</v>
      </c>
      <c r="B580" s="5" t="s">
        <v>44</v>
      </c>
      <c r="C580" s="5" t="s">
        <v>114</v>
      </c>
      <c r="D580" s="5" t="s">
        <v>21</v>
      </c>
      <c r="E580" s="5" t="s">
        <v>44</v>
      </c>
      <c r="F580" s="5" t="s">
        <v>68</v>
      </c>
      <c r="G580" s="5" t="s">
        <v>75</v>
      </c>
      <c r="H580" s="9" t="s">
        <v>235</v>
      </c>
      <c r="I580" s="10"/>
      <c r="J580" s="10">
        <v>43860</v>
      </c>
      <c r="K580" s="5" t="s">
        <v>77</v>
      </c>
      <c r="L580" s="5" t="s">
        <v>50</v>
      </c>
      <c r="M580" s="11">
        <v>0.14249999999999999</v>
      </c>
      <c r="N580" s="5" t="e">
        <f>IF(AND(M580&gt;#REF!,Cartera!O580="Guaraníes"),"Rendimiento significativo",IF(AND(M580&gt;#REF!,Cartera!O580="Dólares americanos"),"Rendimiento significativo","Rendimiento no significativo"))</f>
        <v>#REF!</v>
      </c>
      <c r="O580" s="5" t="s">
        <v>41</v>
      </c>
      <c r="P580" s="12">
        <v>183869.86301500001</v>
      </c>
      <c r="Q580" s="12">
        <f>IF(O580="Guaraníes",P580,P580*#REF!)</f>
        <v>183869.86301500001</v>
      </c>
      <c r="R580" s="12" t="e">
        <f>IF(O580="Guaraníes",P580/#REF!,P580)</f>
        <v>#REF!</v>
      </c>
      <c r="S580" s="5" t="s">
        <v>52</v>
      </c>
      <c r="T580" s="5">
        <v>25</v>
      </c>
      <c r="W580" s="5" t="s">
        <v>65</v>
      </c>
      <c r="X580" s="5">
        <v>0</v>
      </c>
      <c r="Y580" s="5">
        <v>0</v>
      </c>
      <c r="Z580" s="5">
        <v>36773.972603000002</v>
      </c>
      <c r="AA580" s="5">
        <v>5</v>
      </c>
      <c r="AB580" s="5">
        <v>183869.86301500001</v>
      </c>
      <c r="AC580" s="5" t="str">
        <f t="shared" si="31"/>
        <v>Bonos</v>
      </c>
      <c r="AD580" s="5" t="s">
        <v>43</v>
      </c>
      <c r="AE580" s="5">
        <f t="shared" si="29"/>
        <v>1</v>
      </c>
      <c r="AF580" s="5">
        <f t="shared" si="30"/>
        <v>2020</v>
      </c>
    </row>
    <row r="581" s="5" customFormat="1" ht="13">
      <c r="A581" s="5" t="s">
        <v>44</v>
      </c>
      <c r="B581" s="5" t="s">
        <v>44</v>
      </c>
      <c r="C581" s="5" t="s">
        <v>99</v>
      </c>
      <c r="D581" s="5" t="s">
        <v>21</v>
      </c>
      <c r="E581" s="5" t="s">
        <v>44</v>
      </c>
      <c r="F581" s="5" t="s">
        <v>100</v>
      </c>
      <c r="G581" s="5" t="s">
        <v>75</v>
      </c>
      <c r="H581" s="9" t="s">
        <v>238</v>
      </c>
      <c r="I581" s="10"/>
      <c r="J581" s="10">
        <v>44775</v>
      </c>
      <c r="K581" s="5" t="s">
        <v>102</v>
      </c>
      <c r="L581" s="5" t="s">
        <v>102</v>
      </c>
      <c r="M581" s="11">
        <v>0.081000000000000003</v>
      </c>
      <c r="N581" s="5" t="e">
        <f>IF(AND(M581&gt;#REF!,Cartera!O581="Guaraníes"),"Rendimiento significativo",IF(AND(M581&gt;#REF!,Cartera!O581="Dólares americanos"),"Rendimiento significativo","Rendimiento no significativo"))</f>
        <v>#REF!</v>
      </c>
      <c r="O581" s="5" t="s">
        <v>41</v>
      </c>
      <c r="P581" s="12">
        <v>4217547.9452400003</v>
      </c>
      <c r="Q581" s="12">
        <f>IF(O581="Guaraníes",P581,P581*#REF!)</f>
        <v>4217547.9452400003</v>
      </c>
      <c r="R581" s="12" t="e">
        <f>IF(O581="Guaraníes",P581/#REF!,P581)</f>
        <v>#REF!</v>
      </c>
      <c r="S581" s="5" t="s">
        <v>52</v>
      </c>
      <c r="T581" s="5">
        <v>25</v>
      </c>
      <c r="W581" s="5" t="s">
        <v>230</v>
      </c>
      <c r="X581" s="5">
        <v>0</v>
      </c>
      <c r="Y581" s="5">
        <v>0</v>
      </c>
      <c r="Z581" s="5">
        <v>40832.876711999997</v>
      </c>
      <c r="AA581" s="5">
        <v>105</v>
      </c>
      <c r="AB581" s="5">
        <v>4287452.0547599997</v>
      </c>
      <c r="AC581" s="5" t="str">
        <f t="shared" si="31"/>
        <v>Bonos</v>
      </c>
      <c r="AD581" s="5" t="s">
        <v>43</v>
      </c>
      <c r="AE581" s="5">
        <f t="shared" si="29"/>
        <v>8</v>
      </c>
      <c r="AF581" s="5">
        <f t="shared" si="30"/>
        <v>2022</v>
      </c>
    </row>
    <row r="582" s="5" customFormat="1" ht="13">
      <c r="A582" s="5" t="s">
        <v>44</v>
      </c>
      <c r="B582" s="5" t="s">
        <v>44</v>
      </c>
      <c r="C582" s="5" t="s">
        <v>33</v>
      </c>
      <c r="D582" s="5" t="s">
        <v>21</v>
      </c>
      <c r="E582" s="5" t="s">
        <v>44</v>
      </c>
      <c r="F582" s="5" t="s">
        <v>35</v>
      </c>
      <c r="G582" s="5" t="s">
        <v>75</v>
      </c>
      <c r="H582" s="9" t="s">
        <v>168</v>
      </c>
      <c r="I582" s="10"/>
      <c r="J582" s="10">
        <v>43872</v>
      </c>
      <c r="K582" s="5" t="s">
        <v>39</v>
      </c>
      <c r="L582" s="5" t="s">
        <v>50</v>
      </c>
      <c r="M582" s="11">
        <v>0.070000000000000007</v>
      </c>
      <c r="N582" s="5" t="e">
        <f>IF(AND(M582&gt;#REF!,Cartera!O582="Guaraníes"),"Rendimiento significativo",IF(AND(M582&gt;#REF!,Cartera!O582="Dólares americanos"),"Rendimiento significativo","Rendimiento no significativo"))</f>
        <v>#REF!</v>
      </c>
      <c r="O582" s="5" t="s">
        <v>51</v>
      </c>
      <c r="P582" s="13">
        <v>1221.6438500000002</v>
      </c>
      <c r="Q582" s="12" t="e">
        <f>IF(O582="Guaraníes",P582,P582*#REF!)</f>
        <v>#REF!</v>
      </c>
      <c r="R582" s="12">
        <f>IF(O582="Guaraníes",P582/#REF!,P582)</f>
        <v>1221.6438500000002</v>
      </c>
      <c r="S582" s="5" t="s">
        <v>52</v>
      </c>
      <c r="T582" s="5">
        <v>25</v>
      </c>
      <c r="W582" s="5" t="s">
        <v>65</v>
      </c>
      <c r="X582" s="5">
        <v>0</v>
      </c>
      <c r="Y582" s="5">
        <v>0</v>
      </c>
      <c r="Z582" s="5">
        <v>17.452055000000001</v>
      </c>
      <c r="AA582" s="5">
        <v>70</v>
      </c>
      <c r="AB582" s="5">
        <v>1221.6438499999999</v>
      </c>
      <c r="AC582" s="5" t="str">
        <f t="shared" si="31"/>
        <v>Bonos</v>
      </c>
      <c r="AD582" s="5" t="s">
        <v>43</v>
      </c>
      <c r="AE582" s="5">
        <f t="shared" si="29"/>
        <v>2</v>
      </c>
      <c r="AF582" s="5">
        <f t="shared" si="30"/>
        <v>2020</v>
      </c>
    </row>
    <row r="583" s="5" customFormat="1" ht="13">
      <c r="A583" s="5" t="s">
        <v>44</v>
      </c>
      <c r="B583" s="5" t="s">
        <v>44</v>
      </c>
      <c r="C583" s="5" t="s">
        <v>242</v>
      </c>
      <c r="D583" s="5" t="s">
        <v>21</v>
      </c>
      <c r="E583" s="5" t="s">
        <v>44</v>
      </c>
      <c r="F583" s="5" t="s">
        <v>68</v>
      </c>
      <c r="G583" s="5" t="s">
        <v>75</v>
      </c>
      <c r="H583" s="9" t="s">
        <v>243</v>
      </c>
      <c r="I583" s="10"/>
      <c r="J583" s="10">
        <v>43878</v>
      </c>
      <c r="K583" s="5" t="s">
        <v>244</v>
      </c>
      <c r="L583" s="5" t="s">
        <v>58</v>
      </c>
      <c r="M583" s="11">
        <v>0.13750000000000001</v>
      </c>
      <c r="N583" s="5" t="e">
        <f>IF(AND(M583&gt;#REF!,Cartera!O583="Guaraníes"),"Rendimiento significativo",IF(AND(M583&gt;#REF!,Cartera!O583="Dólares americanos"),"Rendimiento significativo","Rendimiento no significativo"))</f>
        <v>#REF!</v>
      </c>
      <c r="O583" s="5" t="s">
        <v>41</v>
      </c>
      <c r="P583" s="12">
        <v>1028424.65754</v>
      </c>
      <c r="Q583" s="12">
        <f>IF(O583="Guaraníes",P583,P583*#REF!)</f>
        <v>1028424.65754</v>
      </c>
      <c r="R583" s="12" t="e">
        <f>IF(O583="Guaraníes",P583/#REF!,P583)</f>
        <v>#REF!</v>
      </c>
      <c r="S583" s="5" t="s">
        <v>52</v>
      </c>
      <c r="T583" s="5">
        <v>25</v>
      </c>
      <c r="W583" s="5" t="s">
        <v>241</v>
      </c>
      <c r="X583" s="5">
        <v>0</v>
      </c>
      <c r="Y583" s="5">
        <v>0</v>
      </c>
      <c r="Z583" s="5">
        <v>34280.821918000001</v>
      </c>
      <c r="AA583" s="5">
        <v>30</v>
      </c>
      <c r="AB583" s="5">
        <v>1028424.65754</v>
      </c>
      <c r="AC583" s="5" t="str">
        <f t="shared" si="31"/>
        <v>Bonos</v>
      </c>
      <c r="AD583" s="5" t="s">
        <v>43</v>
      </c>
      <c r="AE583" s="5">
        <f t="shared" si="29"/>
        <v>2</v>
      </c>
      <c r="AF583" s="5">
        <f t="shared" si="30"/>
        <v>2020</v>
      </c>
    </row>
    <row r="584" s="5" customFormat="1" ht="13">
      <c r="A584" s="5" t="s">
        <v>44</v>
      </c>
      <c r="B584" s="5" t="s">
        <v>44</v>
      </c>
      <c r="C584" s="5" t="s">
        <v>114</v>
      </c>
      <c r="D584" s="5" t="s">
        <v>21</v>
      </c>
      <c r="E584" s="5" t="s">
        <v>44</v>
      </c>
      <c r="F584" s="5" t="s">
        <v>68</v>
      </c>
      <c r="G584" s="5" t="s">
        <v>75</v>
      </c>
      <c r="H584" s="9" t="s">
        <v>170</v>
      </c>
      <c r="I584" s="10"/>
      <c r="J584" s="10">
        <v>43879</v>
      </c>
      <c r="K584" s="5" t="s">
        <v>77</v>
      </c>
      <c r="L584" s="5" t="s">
        <v>50</v>
      </c>
      <c r="M584" s="11">
        <v>0.14000000000000001</v>
      </c>
      <c r="N584" s="5" t="e">
        <f>IF(AND(M584&gt;#REF!,Cartera!O584="Guaraníes"),"Rendimiento significativo",IF(AND(M584&gt;#REF!,Cartera!O584="Dólares americanos"),"Rendimiento significativo","Rendimiento no significativo"))</f>
        <v>#REF!</v>
      </c>
      <c r="O584" s="5" t="s">
        <v>41</v>
      </c>
      <c r="P584" s="12">
        <v>3490410.9589</v>
      </c>
      <c r="Q584" s="12">
        <f>IF(O584="Guaraníes",P584,P584*#REF!)</f>
        <v>3490410.9589</v>
      </c>
      <c r="R584" s="12" t="e">
        <f>IF(O584="Guaraníes",P584/#REF!,P584)</f>
        <v>#REF!</v>
      </c>
      <c r="S584" s="5" t="s">
        <v>52</v>
      </c>
      <c r="T584" s="5">
        <v>25</v>
      </c>
      <c r="W584" s="5" t="s">
        <v>65</v>
      </c>
      <c r="X584" s="5">
        <v>0</v>
      </c>
      <c r="Y584" s="5">
        <v>0</v>
      </c>
      <c r="Z584" s="5">
        <v>34904.109589</v>
      </c>
      <c r="AA584" s="5">
        <v>100</v>
      </c>
      <c r="AB584" s="5">
        <v>3490410.9589</v>
      </c>
      <c r="AC584" s="5" t="str">
        <f t="shared" si="31"/>
        <v>Bonos</v>
      </c>
      <c r="AD584" s="5" t="s">
        <v>43</v>
      </c>
      <c r="AE584" s="5">
        <f t="shared" si="29"/>
        <v>2</v>
      </c>
      <c r="AF584" s="5">
        <f t="shared" si="30"/>
        <v>2020</v>
      </c>
    </row>
    <row r="585" s="5" customFormat="1" ht="13">
      <c r="A585" s="5" t="s">
        <v>44</v>
      </c>
      <c r="B585" s="5" t="s">
        <v>44</v>
      </c>
      <c r="C585" s="5" t="s">
        <v>227</v>
      </c>
      <c r="D585" s="5" t="s">
        <v>21</v>
      </c>
      <c r="E585" s="5" t="s">
        <v>44</v>
      </c>
      <c r="F585" s="5" t="s">
        <v>68</v>
      </c>
      <c r="G585" s="5" t="s">
        <v>75</v>
      </c>
      <c r="H585" s="9" t="s">
        <v>228</v>
      </c>
      <c r="I585" s="10"/>
      <c r="J585" s="10">
        <v>43881</v>
      </c>
      <c r="K585" s="5" t="s">
        <v>77</v>
      </c>
      <c r="L585" s="5" t="s">
        <v>58</v>
      </c>
      <c r="M585" s="11">
        <v>0.1525</v>
      </c>
      <c r="N585" s="5" t="e">
        <f>IF(AND(M585&gt;#REF!,Cartera!O585="Guaraníes"),"Rendimiento significativo",IF(AND(M585&gt;#REF!,Cartera!O585="Dólares americanos"),"Rendimiento significativo","Rendimiento no significativo"))</f>
        <v>#REF!</v>
      </c>
      <c r="O585" s="5" t="s">
        <v>41</v>
      </c>
      <c r="P585" s="12">
        <v>2851541.0958749996</v>
      </c>
      <c r="Q585" s="12">
        <f>IF(O585="Guaraníes",P585,P585*#REF!)</f>
        <v>2851541.0958749996</v>
      </c>
      <c r="R585" s="12" t="e">
        <f>IF(O585="Guaraníes",P585/#REF!,P585)</f>
        <v>#REF!</v>
      </c>
      <c r="S585" s="5" t="s">
        <v>52</v>
      </c>
      <c r="T585" s="5">
        <v>25</v>
      </c>
      <c r="W585" s="5" t="s">
        <v>196</v>
      </c>
      <c r="X585" s="5">
        <v>0</v>
      </c>
      <c r="Y585" s="5">
        <v>0</v>
      </c>
      <c r="Z585" s="5">
        <v>38020.547944999998</v>
      </c>
      <c r="AA585" s="5">
        <v>75</v>
      </c>
      <c r="AB585" s="5">
        <v>2851541.0958750001</v>
      </c>
      <c r="AC585" s="5" t="str">
        <f t="shared" si="31"/>
        <v>Bonos</v>
      </c>
      <c r="AD585" s="5" t="s">
        <v>43</v>
      </c>
      <c r="AE585" s="5">
        <f t="shared" si="29"/>
        <v>2</v>
      </c>
      <c r="AF585" s="5">
        <f t="shared" si="30"/>
        <v>2020</v>
      </c>
    </row>
    <row r="586" s="5" customFormat="1" ht="13">
      <c r="A586" s="5" t="s">
        <v>44</v>
      </c>
      <c r="B586" s="5" t="s">
        <v>44</v>
      </c>
      <c r="C586" s="5" t="s">
        <v>74</v>
      </c>
      <c r="D586" s="5" t="s">
        <v>21</v>
      </c>
      <c r="E586" s="5" t="s">
        <v>44</v>
      </c>
      <c r="F586" s="5" t="s">
        <v>68</v>
      </c>
      <c r="G586" s="5" t="s">
        <v>75</v>
      </c>
      <c r="H586" s="9" t="s">
        <v>231</v>
      </c>
      <c r="I586" s="10"/>
      <c r="J586" s="10">
        <v>43886</v>
      </c>
      <c r="K586" s="5" t="s">
        <v>77</v>
      </c>
      <c r="L586" s="5" t="s">
        <v>58</v>
      </c>
      <c r="M586" s="11">
        <v>0.14000000000000001</v>
      </c>
      <c r="N586" s="5" t="e">
        <f>IF(AND(M586&gt;#REF!,Cartera!O586="Guaraníes"),"Rendimiento significativo",IF(AND(M586&gt;#REF!,Cartera!O586="Dólares americanos"),"Rendimiento significativo","Rendimiento no significativo"))</f>
        <v>#REF!</v>
      </c>
      <c r="O586" s="5" t="s">
        <v>41</v>
      </c>
      <c r="P586" s="12">
        <v>5235616.4383499995</v>
      </c>
      <c r="Q586" s="12">
        <f>IF(O586="Guaraníes",P586,P586*#REF!)</f>
        <v>5235616.4383499995</v>
      </c>
      <c r="R586" s="12" t="e">
        <f>IF(O586="Guaraníes",P586/#REF!,P586)</f>
        <v>#REF!</v>
      </c>
      <c r="S586" s="5" t="s">
        <v>52</v>
      </c>
      <c r="T586" s="5">
        <v>25</v>
      </c>
      <c r="W586" s="5" t="s">
        <v>232</v>
      </c>
      <c r="X586" s="5">
        <v>0</v>
      </c>
      <c r="Y586" s="5">
        <v>0</v>
      </c>
      <c r="Z586" s="5">
        <v>34904.109589</v>
      </c>
      <c r="AA586" s="5">
        <v>150</v>
      </c>
      <c r="AB586" s="5">
        <v>5235616.4383500004</v>
      </c>
      <c r="AC586" s="5" t="str">
        <f t="shared" si="31"/>
        <v>Bonos</v>
      </c>
      <c r="AD586" s="5" t="s">
        <v>43</v>
      </c>
      <c r="AE586" s="5">
        <f t="shared" si="29"/>
        <v>2</v>
      </c>
      <c r="AF586" s="5">
        <f t="shared" si="30"/>
        <v>2020</v>
      </c>
    </row>
    <row r="587" s="5" customFormat="1" ht="13">
      <c r="A587" s="5" t="s">
        <v>44</v>
      </c>
      <c r="B587" s="5" t="s">
        <v>44</v>
      </c>
      <c r="C587" s="5" t="s">
        <v>114</v>
      </c>
      <c r="D587" s="5" t="s">
        <v>21</v>
      </c>
      <c r="E587" s="5" t="s">
        <v>44</v>
      </c>
      <c r="F587" s="5" t="s">
        <v>68</v>
      </c>
      <c r="G587" s="5" t="s">
        <v>75</v>
      </c>
      <c r="H587" s="9" t="s">
        <v>226</v>
      </c>
      <c r="I587" s="10"/>
      <c r="J587" s="10">
        <v>43909</v>
      </c>
      <c r="K587" s="5" t="s">
        <v>77</v>
      </c>
      <c r="L587" s="5" t="s">
        <v>58</v>
      </c>
      <c r="M587" s="11">
        <v>0.14000000000000001</v>
      </c>
      <c r="N587" s="5" t="e">
        <f>IF(AND(M587&gt;#REF!,Cartera!O587="Guaraníes"),"Rendimiento significativo",IF(AND(M587&gt;#REF!,Cartera!O587="Dólares americanos"),"Rendimiento significativo","Rendimiento no significativo"))</f>
        <v>#REF!</v>
      </c>
      <c r="O587" s="5" t="s">
        <v>41</v>
      </c>
      <c r="P587" s="12">
        <v>523561.643835</v>
      </c>
      <c r="Q587" s="12">
        <f>IF(O587="Guaraníes",P587,P587*#REF!)</f>
        <v>523561.643835</v>
      </c>
      <c r="R587" s="12" t="e">
        <f>IF(O587="Guaraníes",P587/#REF!,P587)</f>
        <v>#REF!</v>
      </c>
      <c r="S587" s="5" t="s">
        <v>52</v>
      </c>
      <c r="T587" s="5">
        <v>25</v>
      </c>
      <c r="W587" s="5" t="s">
        <v>65</v>
      </c>
      <c r="X587" s="5">
        <v>0</v>
      </c>
      <c r="Y587" s="5">
        <v>0</v>
      </c>
      <c r="Z587" s="5">
        <v>34904.109589</v>
      </c>
      <c r="AA587" s="5">
        <v>15</v>
      </c>
      <c r="AB587" s="5">
        <v>523561.643835</v>
      </c>
      <c r="AC587" s="5" t="str">
        <f t="shared" si="31"/>
        <v>Bonos</v>
      </c>
      <c r="AD587" s="5" t="s">
        <v>43</v>
      </c>
      <c r="AE587" s="5">
        <f t="shared" si="29"/>
        <v>3</v>
      </c>
      <c r="AF587" s="5">
        <f t="shared" si="30"/>
        <v>2020</v>
      </c>
    </row>
    <row r="588" s="5" customFormat="1" ht="13">
      <c r="A588" s="5" t="s">
        <v>44</v>
      </c>
      <c r="B588" s="5" t="s">
        <v>44</v>
      </c>
      <c r="C588" s="5" t="s">
        <v>114</v>
      </c>
      <c r="D588" s="5" t="s">
        <v>21</v>
      </c>
      <c r="E588" s="5" t="s">
        <v>44</v>
      </c>
      <c r="F588" s="5" t="s">
        <v>68</v>
      </c>
      <c r="G588" s="5" t="s">
        <v>75</v>
      </c>
      <c r="H588" s="9" t="s">
        <v>236</v>
      </c>
      <c r="I588" s="10"/>
      <c r="J588" s="10">
        <v>43909</v>
      </c>
      <c r="K588" s="5" t="s">
        <v>77</v>
      </c>
      <c r="L588" s="5" t="s">
        <v>50</v>
      </c>
      <c r="M588" s="11">
        <v>0.14749999999999999</v>
      </c>
      <c r="N588" s="5" t="e">
        <f>IF(AND(M588&gt;#REF!,Cartera!O588="Guaraníes"),"Rendimiento significativo",IF(AND(M588&gt;#REF!,Cartera!O588="Dólares americanos"),"Rendimiento significativo","Rendimiento no significativo"))</f>
        <v>#REF!</v>
      </c>
      <c r="O588" s="5" t="s">
        <v>41</v>
      </c>
      <c r="P588" s="12">
        <v>112191.780822</v>
      </c>
      <c r="Q588" s="12">
        <f>IF(O588="Guaraníes",P588,P588*#REF!)</f>
        <v>112191.780822</v>
      </c>
      <c r="R588" s="12" t="e">
        <f>IF(O588="Guaraníes",P588/#REF!,P588)</f>
        <v>#REF!</v>
      </c>
      <c r="S588" s="5" t="s">
        <v>52</v>
      </c>
      <c r="T588" s="5">
        <v>25</v>
      </c>
      <c r="W588" s="5" t="s">
        <v>65</v>
      </c>
      <c r="X588" s="5">
        <v>0</v>
      </c>
      <c r="Y588" s="5">
        <v>0</v>
      </c>
      <c r="Z588" s="5">
        <v>37397.260274</v>
      </c>
      <c r="AA588" s="5">
        <v>3</v>
      </c>
      <c r="AB588" s="5">
        <v>112191.780822</v>
      </c>
      <c r="AC588" s="5" t="str">
        <f t="shared" si="31"/>
        <v>Bonos</v>
      </c>
      <c r="AD588" s="5" t="s">
        <v>43</v>
      </c>
      <c r="AE588" s="5">
        <f t="shared" si="29"/>
        <v>3</v>
      </c>
      <c r="AF588" s="5">
        <f t="shared" si="30"/>
        <v>2020</v>
      </c>
    </row>
    <row r="589" s="5" customFormat="1" ht="13">
      <c r="A589" s="5" t="s">
        <v>44</v>
      </c>
      <c r="B589" s="5" t="s">
        <v>44</v>
      </c>
      <c r="C589" s="5" t="s">
        <v>99</v>
      </c>
      <c r="D589" s="5" t="s">
        <v>21</v>
      </c>
      <c r="E589" s="5" t="s">
        <v>44</v>
      </c>
      <c r="F589" s="5" t="s">
        <v>100</v>
      </c>
      <c r="G589" s="5" t="s">
        <v>75</v>
      </c>
      <c r="H589" s="9" t="s">
        <v>229</v>
      </c>
      <c r="I589" s="10"/>
      <c r="J589" s="10">
        <v>43913</v>
      </c>
      <c r="K589" s="5" t="s">
        <v>102</v>
      </c>
      <c r="L589" s="5" t="s">
        <v>102</v>
      </c>
      <c r="M589" s="11">
        <v>0.089999999999999997</v>
      </c>
      <c r="N589" s="5" t="e">
        <f>IF(AND(M589&gt;#REF!,Cartera!O589="Guaraníes"),"Rendimiento significativo",IF(AND(M589&gt;#REF!,Cartera!O589="Dólares americanos"),"Rendimiento significativo","Rendimiento no significativo"))</f>
        <v>#REF!</v>
      </c>
      <c r="O589" s="5" t="s">
        <v>41</v>
      </c>
      <c r="P589" s="12">
        <v>6058356.164415</v>
      </c>
      <c r="Q589" s="12">
        <f>IF(O589="Guaraníes",P589,P589*#REF!)</f>
        <v>6058356.164415</v>
      </c>
      <c r="R589" s="12" t="e">
        <f>IF(O589="Guaraníes",P589/#REF!,P589)</f>
        <v>#REF!</v>
      </c>
      <c r="S589" s="5" t="s">
        <v>52</v>
      </c>
      <c r="T589" s="5">
        <v>25</v>
      </c>
      <c r="W589" s="5" t="s">
        <v>230</v>
      </c>
      <c r="X589" s="5">
        <v>0</v>
      </c>
      <c r="Y589" s="5">
        <v>0</v>
      </c>
      <c r="Z589" s="5">
        <v>44876.712329000002</v>
      </c>
      <c r="AA589" s="5">
        <v>135</v>
      </c>
      <c r="AB589" s="5">
        <v>6058356.164415</v>
      </c>
      <c r="AC589" s="5" t="str">
        <f t="shared" si="31"/>
        <v>Bonos</v>
      </c>
      <c r="AD589" s="5" t="s">
        <v>43</v>
      </c>
      <c r="AE589" s="5">
        <f t="shared" si="29"/>
        <v>3</v>
      </c>
      <c r="AF589" s="5">
        <f t="shared" si="30"/>
        <v>2020</v>
      </c>
    </row>
    <row r="590" s="5" customFormat="1" ht="13">
      <c r="A590" s="5" t="s">
        <v>44</v>
      </c>
      <c r="B590" s="5" t="s">
        <v>44</v>
      </c>
      <c r="C590" s="5" t="s">
        <v>114</v>
      </c>
      <c r="D590" s="5" t="s">
        <v>21</v>
      </c>
      <c r="E590" s="5" t="s">
        <v>44</v>
      </c>
      <c r="F590" s="5" t="s">
        <v>68</v>
      </c>
      <c r="G590" s="5" t="s">
        <v>75</v>
      </c>
      <c r="H590" s="9" t="s">
        <v>237</v>
      </c>
      <c r="I590" s="10"/>
      <c r="J590" s="10">
        <v>43921</v>
      </c>
      <c r="K590" s="5" t="s">
        <v>77</v>
      </c>
      <c r="L590" s="5" t="s">
        <v>50</v>
      </c>
      <c r="M590" s="11">
        <v>0.13750000000000001</v>
      </c>
      <c r="N590" s="5" t="e">
        <f>IF(AND(M590&gt;#REF!,Cartera!O590="Guaraníes"),"Rendimiento significativo",IF(AND(M590&gt;#REF!,Cartera!O590="Dólares americanos"),"Rendimiento significativo","Rendimiento no significativo"))</f>
        <v>#REF!</v>
      </c>
      <c r="O590" s="5" t="s">
        <v>41</v>
      </c>
      <c r="P590" s="12">
        <v>670547.94519999996</v>
      </c>
      <c r="Q590" s="12">
        <f>IF(O590="Guaraníes",P590,P590*#REF!)</f>
        <v>670547.94519999996</v>
      </c>
      <c r="R590" s="12" t="e">
        <f>IF(O590="Guaraníes",P590/#REF!,P590)</f>
        <v>#REF!</v>
      </c>
      <c r="S590" s="5" t="s">
        <v>52</v>
      </c>
      <c r="T590" s="5">
        <v>25</v>
      </c>
      <c r="W590" s="5" t="s">
        <v>65</v>
      </c>
      <c r="X590" s="5">
        <v>0</v>
      </c>
      <c r="Y590" s="5">
        <v>0</v>
      </c>
      <c r="Z590" s="5">
        <v>33527.397259999998</v>
      </c>
      <c r="AA590" s="5">
        <v>20</v>
      </c>
      <c r="AB590" s="5">
        <v>670547.94519999996</v>
      </c>
      <c r="AC590" s="5" t="str">
        <f t="shared" si="31"/>
        <v>Bonos</v>
      </c>
      <c r="AD590" s="5" t="s">
        <v>43</v>
      </c>
      <c r="AE590" s="5">
        <f t="shared" si="29"/>
        <v>3</v>
      </c>
      <c r="AF590" s="5">
        <f t="shared" si="30"/>
        <v>2020</v>
      </c>
    </row>
    <row r="591" s="5" customFormat="1" ht="13">
      <c r="A591" s="5" t="s">
        <v>44</v>
      </c>
      <c r="B591" s="5" t="s">
        <v>44</v>
      </c>
      <c r="C591" s="5" t="s">
        <v>33</v>
      </c>
      <c r="D591" s="5" t="s">
        <v>21</v>
      </c>
      <c r="E591" s="5" t="s">
        <v>44</v>
      </c>
      <c r="F591" s="5" t="s">
        <v>35</v>
      </c>
      <c r="G591" s="5" t="s">
        <v>75</v>
      </c>
      <c r="H591" s="9" t="s">
        <v>257</v>
      </c>
      <c r="I591" s="10"/>
      <c r="J591" s="10">
        <v>43923</v>
      </c>
      <c r="K591" s="5" t="s">
        <v>39</v>
      </c>
      <c r="L591" s="5" t="s">
        <v>106</v>
      </c>
      <c r="M591" s="11">
        <v>0.0625</v>
      </c>
      <c r="N591" s="5" t="e">
        <f>IF(AND(M591&gt;#REF!,Cartera!O591="Guaraníes"),"Rendimiento significativo",IF(AND(M591&gt;#REF!,Cartera!O591="Dólares americanos"),"Rendimiento significativo","Rendimiento no significativo"))</f>
        <v>#REF!</v>
      </c>
      <c r="O591" s="5" t="s">
        <v>51</v>
      </c>
      <c r="P591" s="13">
        <v>643.8356</v>
      </c>
      <c r="Q591" s="12" t="e">
        <f>IF(O591="Guaraníes",P591,P591*#REF!)</f>
        <v>#REF!</v>
      </c>
      <c r="R591" s="12">
        <f>IF(O591="Guaraníes",P591/#REF!,P591)</f>
        <v>643.8356</v>
      </c>
      <c r="S591" s="5" t="s">
        <v>52</v>
      </c>
      <c r="T591" s="5">
        <v>25</v>
      </c>
      <c r="W591" s="5" t="s">
        <v>218</v>
      </c>
      <c r="X591" s="5">
        <v>0</v>
      </c>
      <c r="Y591" s="5">
        <v>0</v>
      </c>
      <c r="Z591" s="5">
        <v>16.095890000000001</v>
      </c>
      <c r="AA591" s="5">
        <v>40</v>
      </c>
      <c r="AB591" s="5">
        <v>643.8356</v>
      </c>
      <c r="AC591" s="5" t="str">
        <f t="shared" si="31"/>
        <v>Bonos</v>
      </c>
      <c r="AD591" s="5" t="s">
        <v>43</v>
      </c>
      <c r="AE591" s="5">
        <f t="shared" si="29"/>
        <v>4</v>
      </c>
      <c r="AF591" s="5">
        <f t="shared" si="30"/>
        <v>2020</v>
      </c>
    </row>
    <row r="592" s="5" customFormat="1" ht="13">
      <c r="A592" s="5" t="s">
        <v>44</v>
      </c>
      <c r="B592" s="5" t="s">
        <v>44</v>
      </c>
      <c r="C592" s="5" t="s">
        <v>183</v>
      </c>
      <c r="D592" s="5" t="s">
        <v>21</v>
      </c>
      <c r="E592" s="5" t="s">
        <v>44</v>
      </c>
      <c r="F592" s="5" t="s">
        <v>184</v>
      </c>
      <c r="G592" s="5" t="s">
        <v>75</v>
      </c>
      <c r="H592" s="9" t="s">
        <v>251</v>
      </c>
      <c r="I592" s="10"/>
      <c r="J592" s="10">
        <v>43931</v>
      </c>
      <c r="K592" s="5" t="s">
        <v>124</v>
      </c>
      <c r="L592" s="5" t="s">
        <v>106</v>
      </c>
      <c r="M592" s="11">
        <v>0.069199999999999998</v>
      </c>
      <c r="N592" s="5" t="e">
        <f>IF(AND(M592&gt;#REF!,Cartera!O592="Guaraníes"),"Rendimiento significativo",IF(AND(M592&gt;#REF!,Cartera!O592="Dólares americanos"),"Rendimiento significativo","Rendimiento no significativo"))</f>
        <v>#REF!</v>
      </c>
      <c r="O592" s="5" t="s">
        <v>41</v>
      </c>
      <c r="P592" s="12">
        <v>5422602.7397999996</v>
      </c>
      <c r="Q592" s="12">
        <f>IF(O592="Guaraníes",P592,P592*#REF!)</f>
        <v>5422602.7397999996</v>
      </c>
      <c r="R592" s="12" t="e">
        <f>IF(O592="Guaraníes",P592/#REF!,P592)</f>
        <v>#REF!</v>
      </c>
      <c r="S592" s="5" t="s">
        <v>52</v>
      </c>
      <c r="T592" s="5">
        <v>25</v>
      </c>
      <c r="W592" s="5" t="s">
        <v>258</v>
      </c>
      <c r="X592" s="5">
        <v>0</v>
      </c>
      <c r="Y592" s="5">
        <v>0</v>
      </c>
      <c r="Z592" s="5">
        <v>36150.684931999996</v>
      </c>
      <c r="AA592" s="5">
        <v>150</v>
      </c>
      <c r="AB592" s="5">
        <v>5422602.7397999996</v>
      </c>
      <c r="AC592" s="5" t="str">
        <f t="shared" si="31"/>
        <v>Bonos</v>
      </c>
      <c r="AD592" s="5" t="s">
        <v>43</v>
      </c>
      <c r="AE592" s="5">
        <f t="shared" si="29"/>
        <v>4</v>
      </c>
      <c r="AF592" s="5">
        <f t="shared" si="30"/>
        <v>2020</v>
      </c>
    </row>
    <row r="593" s="5" customFormat="1" ht="13">
      <c r="A593" s="5" t="s">
        <v>44</v>
      </c>
      <c r="B593" s="5" t="s">
        <v>44</v>
      </c>
      <c r="C593" s="5" t="s">
        <v>156</v>
      </c>
      <c r="D593" s="5" t="s">
        <v>21</v>
      </c>
      <c r="E593" s="5" t="s">
        <v>44</v>
      </c>
      <c r="F593" s="5" t="s">
        <v>68</v>
      </c>
      <c r="G593" s="5" t="s">
        <v>75</v>
      </c>
      <c r="H593" s="9" t="s">
        <v>157</v>
      </c>
      <c r="I593" s="10"/>
      <c r="J593" s="10">
        <v>43935</v>
      </c>
      <c r="K593" s="5" t="s">
        <v>158</v>
      </c>
      <c r="L593" s="5" t="s">
        <v>58</v>
      </c>
      <c r="M593" s="11">
        <v>0.16</v>
      </c>
      <c r="N593" s="5" t="e">
        <f>IF(AND(M593&gt;#REF!,Cartera!O593="Guaraníes"),"Rendimiento significativo",IF(AND(M593&gt;#REF!,Cartera!O593="Dólares americanos"),"Rendimiento significativo","Rendimiento no significativo"))</f>
        <v>#REF!</v>
      </c>
      <c r="O593" s="5" t="s">
        <v>41</v>
      </c>
      <c r="P593" s="12">
        <v>4188493.15068</v>
      </c>
      <c r="Q593" s="12">
        <f>IF(O593="Guaraníes",P593,P593*#REF!)</f>
        <v>4188493.15068</v>
      </c>
      <c r="R593" s="12" t="e">
        <f>IF(O593="Guaraníes",P593/#REF!,P593)</f>
        <v>#REF!</v>
      </c>
      <c r="S593" s="5" t="s">
        <v>52</v>
      </c>
      <c r="T593" s="5">
        <v>25</v>
      </c>
      <c r="W593" s="5" t="s">
        <v>259</v>
      </c>
      <c r="X593" s="5">
        <v>0</v>
      </c>
      <c r="Y593" s="5">
        <v>0</v>
      </c>
      <c r="Z593" s="5">
        <v>34904.109589</v>
      </c>
      <c r="AA593" s="5">
        <v>120</v>
      </c>
      <c r="AB593" s="5">
        <v>4188493.15068</v>
      </c>
      <c r="AC593" s="5" t="str">
        <f t="shared" si="31"/>
        <v>Bonos</v>
      </c>
      <c r="AD593" s="5" t="s">
        <v>43</v>
      </c>
      <c r="AE593" s="5">
        <f t="shared" si="29"/>
        <v>4</v>
      </c>
      <c r="AF593" s="5">
        <f t="shared" si="30"/>
        <v>2020</v>
      </c>
    </row>
    <row r="594" s="5" customFormat="1" ht="13">
      <c r="A594" s="5" t="s">
        <v>44</v>
      </c>
      <c r="B594" s="5" t="s">
        <v>44</v>
      </c>
      <c r="C594" s="5" t="s">
        <v>239</v>
      </c>
      <c r="D594" s="5" t="s">
        <v>21</v>
      </c>
      <c r="E594" s="5" t="s">
        <v>44</v>
      </c>
      <c r="F594" s="5" t="s">
        <v>68</v>
      </c>
      <c r="G594" s="5" t="s">
        <v>75</v>
      </c>
      <c r="H594" s="9" t="s">
        <v>240</v>
      </c>
      <c r="I594" s="10"/>
      <c r="J594" s="10">
        <v>43942</v>
      </c>
      <c r="K594" s="5" t="s">
        <v>49</v>
      </c>
      <c r="L594" s="5" t="s">
        <v>58</v>
      </c>
      <c r="M594" s="11">
        <v>0.13</v>
      </c>
      <c r="N594" s="5" t="e">
        <f>IF(AND(M594&gt;#REF!,Cartera!O594="Guaraníes"),"Rendimiento significativo",IF(AND(M594&gt;#REF!,Cartera!O594="Dólares americanos"),"Rendimiento significativo","Rendimiento no significativo"))</f>
        <v>#REF!</v>
      </c>
      <c r="O594" s="5" t="s">
        <v>41</v>
      </c>
      <c r="P594" s="12">
        <v>1620547.9452</v>
      </c>
      <c r="Q594" s="12">
        <f>IF(O594="Guaraníes",P594,P594*#REF!)</f>
        <v>1620547.9452</v>
      </c>
      <c r="R594" s="12" t="e">
        <f>IF(O594="Guaraníes",P594/#REF!,P594)</f>
        <v>#REF!</v>
      </c>
      <c r="S594" s="5" t="s">
        <v>52</v>
      </c>
      <c r="T594" s="5">
        <v>25</v>
      </c>
      <c r="W594" s="5" t="s">
        <v>260</v>
      </c>
      <c r="X594" s="5">
        <v>0</v>
      </c>
      <c r="Y594" s="5">
        <v>0</v>
      </c>
      <c r="Z594" s="5">
        <v>32410.958903999999</v>
      </c>
      <c r="AA594" s="5">
        <v>50</v>
      </c>
      <c r="AB594" s="5">
        <v>1620547.9452</v>
      </c>
      <c r="AC594" s="5" t="str">
        <f t="shared" si="31"/>
        <v>Bonos</v>
      </c>
      <c r="AD594" s="5" t="s">
        <v>43</v>
      </c>
      <c r="AE594" s="5">
        <f t="shared" si="29"/>
        <v>4</v>
      </c>
      <c r="AF594" s="5">
        <f t="shared" si="30"/>
        <v>2020</v>
      </c>
    </row>
    <row r="595" s="5" customFormat="1" ht="13">
      <c r="A595" s="5" t="s">
        <v>44</v>
      </c>
      <c r="B595" s="5" t="s">
        <v>44</v>
      </c>
      <c r="C595" s="5" t="s">
        <v>114</v>
      </c>
      <c r="D595" s="5" t="s">
        <v>21</v>
      </c>
      <c r="E595" s="5" t="s">
        <v>44</v>
      </c>
      <c r="F595" s="5" t="s">
        <v>68</v>
      </c>
      <c r="G595" s="5" t="s">
        <v>75</v>
      </c>
      <c r="H595" s="9" t="s">
        <v>234</v>
      </c>
      <c r="I595" s="10"/>
      <c r="J595" s="10">
        <v>43943</v>
      </c>
      <c r="K595" s="5" t="s">
        <v>77</v>
      </c>
      <c r="L595" s="5" t="s">
        <v>50</v>
      </c>
      <c r="M595" s="11">
        <v>0.12</v>
      </c>
      <c r="N595" s="5" t="e">
        <f>IF(AND(M595&gt;#REF!,Cartera!O595="Guaraníes"),"Rendimiento significativo",IF(AND(M595&gt;#REF!,Cartera!O595="Dólares americanos"),"Rendimiento significativo","Rendimiento no significativo"))</f>
        <v>#REF!</v>
      </c>
      <c r="O595" s="5" t="s">
        <v>51</v>
      </c>
      <c r="P595" s="13">
        <v>486.16437000000002</v>
      </c>
      <c r="Q595" s="12" t="e">
        <f>IF(O595="Guaraníes",P595,P595*#REF!)</f>
        <v>#REF!</v>
      </c>
      <c r="R595" s="12">
        <f>IF(O595="Guaraníes",P595/#REF!,P595)</f>
        <v>486.16437000000002</v>
      </c>
      <c r="S595" s="5" t="s">
        <v>52</v>
      </c>
      <c r="T595" s="5">
        <v>25</v>
      </c>
      <c r="W595" s="5" t="s">
        <v>65</v>
      </c>
      <c r="X595" s="5">
        <v>0</v>
      </c>
      <c r="Y595" s="5">
        <v>0</v>
      </c>
      <c r="Z595" s="5">
        <v>16.205479</v>
      </c>
      <c r="AA595" s="5">
        <v>30</v>
      </c>
      <c r="AB595" s="5">
        <v>486.16437000000002</v>
      </c>
      <c r="AC595" s="5" t="str">
        <f t="shared" si="31"/>
        <v>Bonos</v>
      </c>
      <c r="AD595" s="5" t="s">
        <v>43</v>
      </c>
      <c r="AE595" s="5">
        <f t="shared" si="29"/>
        <v>4</v>
      </c>
      <c r="AF595" s="5">
        <f t="shared" si="30"/>
        <v>2020</v>
      </c>
    </row>
    <row r="596" s="5" customFormat="1" ht="13">
      <c r="A596" s="5" t="s">
        <v>44</v>
      </c>
      <c r="B596" s="5" t="s">
        <v>44</v>
      </c>
      <c r="C596" s="5" t="s">
        <v>99</v>
      </c>
      <c r="D596" s="5" t="s">
        <v>21</v>
      </c>
      <c r="E596" s="5" t="s">
        <v>44</v>
      </c>
      <c r="F596" s="5" t="s">
        <v>100</v>
      </c>
      <c r="G596" s="5" t="s">
        <v>75</v>
      </c>
      <c r="H596" s="9" t="s">
        <v>217</v>
      </c>
      <c r="I596" s="10"/>
      <c r="J596" s="10">
        <v>43945</v>
      </c>
      <c r="K596" s="5" t="s">
        <v>102</v>
      </c>
      <c r="L596" s="5" t="s">
        <v>102</v>
      </c>
      <c r="M596" s="11">
        <v>0.080000000000000002</v>
      </c>
      <c r="N596" s="5" t="e">
        <f>IF(AND(M596&gt;#REF!,Cartera!O596="Guaraníes"),"Rendimiento significativo",IF(AND(M596&gt;#REF!,Cartera!O596="Dólares americanos"),"Rendimiento significativo","Rendimiento no significativo"))</f>
        <v>#REF!</v>
      </c>
      <c r="O596" s="5" t="s">
        <v>41</v>
      </c>
      <c r="P596" s="12">
        <v>5767000</v>
      </c>
      <c r="Q596" s="12">
        <f>IF(O596="Guaraníes",P596,P596*#REF!)</f>
        <v>5767000</v>
      </c>
      <c r="R596" s="12" t="e">
        <f>IF(O596="Guaraníes",P596/#REF!,P596)</f>
        <v>#REF!</v>
      </c>
      <c r="S596" s="5" t="s">
        <v>52</v>
      </c>
      <c r="T596" s="5">
        <v>25</v>
      </c>
      <c r="W596" s="5" t="s">
        <v>218</v>
      </c>
      <c r="X596" s="5">
        <v>0</v>
      </c>
      <c r="Y596" s="5">
        <v>0</v>
      </c>
      <c r="Z596" s="5">
        <v>39500</v>
      </c>
      <c r="AA596" s="5">
        <v>146</v>
      </c>
      <c r="AB596" s="5">
        <v>5767000</v>
      </c>
      <c r="AC596" s="5" t="str">
        <f t="shared" si="31"/>
        <v>Bonos</v>
      </c>
      <c r="AD596" s="5" t="s">
        <v>43</v>
      </c>
      <c r="AE596" s="5">
        <f t="shared" si="29"/>
        <v>4</v>
      </c>
      <c r="AF596" s="5">
        <f t="shared" si="30"/>
        <v>2020</v>
      </c>
    </row>
    <row r="597" s="5" customFormat="1" ht="13">
      <c r="A597" s="5" t="s">
        <v>44</v>
      </c>
      <c r="B597" s="5" t="s">
        <v>44</v>
      </c>
      <c r="C597" s="5" t="s">
        <v>156</v>
      </c>
      <c r="D597" s="5" t="s">
        <v>21</v>
      </c>
      <c r="E597" s="5" t="s">
        <v>44</v>
      </c>
      <c r="F597" s="5" t="s">
        <v>68</v>
      </c>
      <c r="G597" s="5" t="s">
        <v>75</v>
      </c>
      <c r="H597" s="9" t="s">
        <v>246</v>
      </c>
      <c r="I597" s="10"/>
      <c r="J597" s="10">
        <v>43951</v>
      </c>
      <c r="K597" s="5" t="s">
        <v>158</v>
      </c>
      <c r="L597" s="5" t="s">
        <v>58</v>
      </c>
      <c r="M597" s="11">
        <v>0.125</v>
      </c>
      <c r="N597" s="5" t="e">
        <f>IF(AND(M597&gt;#REF!,Cartera!O597="Guaraníes"),"Rendimiento significativo",IF(AND(M597&gt;#REF!,Cartera!O597="Dólares americanos"),"Rendimiento significativo","Rendimiento no significativo"))</f>
        <v>#REF!</v>
      </c>
      <c r="O597" s="5" t="s">
        <v>41</v>
      </c>
      <c r="P597" s="12">
        <v>1495890.4109499999</v>
      </c>
      <c r="Q597" s="12">
        <f>IF(O597="Guaraníes",P597,P597*#REF!)</f>
        <v>1495890.4109499999</v>
      </c>
      <c r="R597" s="12" t="e">
        <f>IF(O597="Guaraníes",P597/#REF!,P597)</f>
        <v>#REF!</v>
      </c>
      <c r="S597" s="5" t="s">
        <v>52</v>
      </c>
      <c r="T597" s="5">
        <v>25</v>
      </c>
      <c r="W597" s="5" t="s">
        <v>261</v>
      </c>
      <c r="X597" s="5">
        <v>0</v>
      </c>
      <c r="Y597" s="5">
        <v>0</v>
      </c>
      <c r="Z597" s="5">
        <v>29917.808218999999</v>
      </c>
      <c r="AA597" s="5">
        <v>50</v>
      </c>
      <c r="AB597" s="5">
        <v>1495890.4109499999</v>
      </c>
      <c r="AC597" s="5" t="str">
        <f t="shared" si="31"/>
        <v>Bonos</v>
      </c>
      <c r="AD597" s="5" t="s">
        <v>43</v>
      </c>
      <c r="AE597" s="5">
        <f t="shared" si="29"/>
        <v>4</v>
      </c>
      <c r="AF597" s="5">
        <f t="shared" si="30"/>
        <v>2020</v>
      </c>
    </row>
    <row r="598" s="5" customFormat="1" ht="13">
      <c r="A598" s="5" t="s">
        <v>44</v>
      </c>
      <c r="B598" s="5" t="s">
        <v>44</v>
      </c>
      <c r="C598" s="5" t="s">
        <v>114</v>
      </c>
      <c r="D598" s="5" t="s">
        <v>21</v>
      </c>
      <c r="E598" s="5" t="s">
        <v>44</v>
      </c>
      <c r="F598" s="5" t="s">
        <v>68</v>
      </c>
      <c r="G598" s="5" t="s">
        <v>75</v>
      </c>
      <c r="H598" s="9" t="s">
        <v>235</v>
      </c>
      <c r="I598" s="10"/>
      <c r="J598" s="10">
        <v>43951</v>
      </c>
      <c r="K598" s="5" t="s">
        <v>77</v>
      </c>
      <c r="L598" s="5" t="s">
        <v>50</v>
      </c>
      <c r="M598" s="11">
        <v>0.14249999999999999</v>
      </c>
      <c r="N598" s="5" t="e">
        <f>IF(AND(M598&gt;#REF!,Cartera!O598="Guaraníes"),"Rendimiento significativo",IF(AND(M598&gt;#REF!,Cartera!O598="Dólares americanos"),"Rendimiento significativo","Rendimiento no significativo"))</f>
        <v>#REF!</v>
      </c>
      <c r="O598" s="5" t="s">
        <v>41</v>
      </c>
      <c r="P598" s="12">
        <v>183869.86301500001</v>
      </c>
      <c r="Q598" s="12">
        <f>IF(O598="Guaraníes",P598,P598*#REF!)</f>
        <v>183869.86301500001</v>
      </c>
      <c r="R598" s="12" t="e">
        <f>IF(O598="Guaraníes",P598/#REF!,P598)</f>
        <v>#REF!</v>
      </c>
      <c r="S598" s="5" t="s">
        <v>52</v>
      </c>
      <c r="T598" s="5">
        <v>25</v>
      </c>
      <c r="W598" s="5" t="s">
        <v>65</v>
      </c>
      <c r="X598" s="5">
        <v>0</v>
      </c>
      <c r="Y598" s="5">
        <v>0</v>
      </c>
      <c r="Z598" s="5">
        <v>36773.972603000002</v>
      </c>
      <c r="AA598" s="5">
        <v>5</v>
      </c>
      <c r="AB598" s="5">
        <v>183869.86301500001</v>
      </c>
      <c r="AC598" s="5" t="str">
        <f t="shared" si="31"/>
        <v>Bonos</v>
      </c>
      <c r="AD598" s="5" t="s">
        <v>43</v>
      </c>
      <c r="AE598" s="5">
        <f t="shared" si="29"/>
        <v>4</v>
      </c>
      <c r="AF598" s="5">
        <f t="shared" si="30"/>
        <v>2020</v>
      </c>
    </row>
    <row r="599" s="5" customFormat="1" ht="13">
      <c r="A599" s="5" t="s">
        <v>44</v>
      </c>
      <c r="B599" s="5" t="s">
        <v>44</v>
      </c>
      <c r="C599" s="5" t="s">
        <v>114</v>
      </c>
      <c r="D599" s="5" t="s">
        <v>21</v>
      </c>
      <c r="E599" s="5" t="s">
        <v>44</v>
      </c>
      <c r="F599" s="5" t="s">
        <v>68</v>
      </c>
      <c r="G599" s="5" t="s">
        <v>75</v>
      </c>
      <c r="H599" s="9" t="s">
        <v>115</v>
      </c>
      <c r="I599" s="10"/>
      <c r="J599" s="10">
        <v>43951</v>
      </c>
      <c r="K599" s="5" t="s">
        <v>77</v>
      </c>
      <c r="L599" s="5" t="s">
        <v>50</v>
      </c>
      <c r="M599" s="11">
        <v>0.125</v>
      </c>
      <c r="N599" s="5" t="e">
        <f>IF(AND(M599&gt;#REF!,Cartera!O599="Guaraníes"),"Rendimiento significativo",IF(AND(M599&gt;#REF!,Cartera!O599="Dólares americanos"),"Rendimiento significativo","Rendimiento no significativo"))</f>
        <v>#REF!</v>
      </c>
      <c r="O599" s="5" t="s">
        <v>41</v>
      </c>
      <c r="P599" s="12">
        <v>917260.27397999994</v>
      </c>
      <c r="Q599" s="12">
        <f>IF(O599="Guaraníes",P599,P599*#REF!)</f>
        <v>917260.27397999994</v>
      </c>
      <c r="R599" s="12" t="e">
        <f>IF(O599="Guaraníes",P599/#REF!,P599)</f>
        <v>#REF!</v>
      </c>
      <c r="S599" s="5" t="s">
        <v>52</v>
      </c>
      <c r="T599" s="5">
        <v>25</v>
      </c>
      <c r="W599" s="5" t="s">
        <v>65</v>
      </c>
      <c r="X599" s="5">
        <v>0</v>
      </c>
      <c r="Y599" s="5">
        <v>0</v>
      </c>
      <c r="Z599" s="5">
        <v>30575.342465999998</v>
      </c>
      <c r="AA599" s="5">
        <v>30</v>
      </c>
      <c r="AB599" s="5">
        <v>917260.27398000006</v>
      </c>
      <c r="AC599" s="5" t="str">
        <f t="shared" si="31"/>
        <v>Bonos</v>
      </c>
      <c r="AD599" s="5" t="s">
        <v>43</v>
      </c>
      <c r="AE599" s="5">
        <f t="shared" si="29"/>
        <v>4</v>
      </c>
      <c r="AF599" s="5">
        <f t="shared" si="30"/>
        <v>2020</v>
      </c>
    </row>
    <row r="600" s="5" customFormat="1" ht="13">
      <c r="A600" s="5" t="s">
        <v>44</v>
      </c>
      <c r="B600" s="5" t="s">
        <v>44</v>
      </c>
      <c r="C600" s="5" t="s">
        <v>99</v>
      </c>
      <c r="D600" s="5" t="s">
        <v>21</v>
      </c>
      <c r="E600" s="5" t="s">
        <v>44</v>
      </c>
      <c r="F600" s="5" t="s">
        <v>100</v>
      </c>
      <c r="G600" s="5" t="s">
        <v>75</v>
      </c>
      <c r="H600" s="9" t="s">
        <v>248</v>
      </c>
      <c r="I600" s="10"/>
      <c r="J600" s="10">
        <v>43960</v>
      </c>
      <c r="K600" s="5" t="s">
        <v>102</v>
      </c>
      <c r="L600" s="5" t="s">
        <v>102</v>
      </c>
      <c r="M600" s="11">
        <v>0.077499999999999999</v>
      </c>
      <c r="N600" s="5" t="e">
        <f>IF(AND(M600&gt;#REF!,Cartera!O600="Guaraníes"),"Rendimiento significativo",IF(AND(M600&gt;#REF!,Cartera!O600="Dólares americanos"),"Rendimiento significativo","Rendimiento no significativo"))</f>
        <v>#REF!</v>
      </c>
      <c r="O600" s="5" t="s">
        <v>41</v>
      </c>
      <c r="P600" s="12">
        <v>1750000</v>
      </c>
      <c r="Q600" s="12">
        <f>IF(O600="Guaraníes",P600,P600*#REF!)</f>
        <v>1750000</v>
      </c>
      <c r="R600" s="12" t="e">
        <f>IF(O600="Guaraníes",P600/#REF!,P600)</f>
        <v>#REF!</v>
      </c>
      <c r="S600" s="5" t="s">
        <v>52</v>
      </c>
      <c r="T600" s="5">
        <v>25</v>
      </c>
      <c r="W600" s="5" t="s">
        <v>249</v>
      </c>
      <c r="X600" s="5">
        <v>0</v>
      </c>
      <c r="Y600" s="5">
        <v>0</v>
      </c>
      <c r="Z600" s="5">
        <v>35000</v>
      </c>
      <c r="AA600" s="5">
        <v>50</v>
      </c>
      <c r="AB600" s="5">
        <v>1750000</v>
      </c>
      <c r="AC600" s="5" t="str">
        <f t="shared" si="31"/>
        <v>Bonos</v>
      </c>
      <c r="AD600" s="5" t="s">
        <v>43</v>
      </c>
      <c r="AE600" s="5">
        <f t="shared" si="29"/>
        <v>5</v>
      </c>
      <c r="AF600" s="5">
        <f t="shared" si="30"/>
        <v>2020</v>
      </c>
    </row>
    <row r="601" s="5" customFormat="1" ht="13">
      <c r="A601" s="5" t="s">
        <v>44</v>
      </c>
      <c r="B601" s="5" t="s">
        <v>44</v>
      </c>
      <c r="C601" s="5" t="s">
        <v>33</v>
      </c>
      <c r="D601" s="5" t="s">
        <v>21</v>
      </c>
      <c r="E601" s="5" t="s">
        <v>44</v>
      </c>
      <c r="F601" s="5" t="s">
        <v>35</v>
      </c>
      <c r="G601" s="5" t="s">
        <v>75</v>
      </c>
      <c r="H601" s="9" t="s">
        <v>168</v>
      </c>
      <c r="I601" s="10"/>
      <c r="J601" s="10">
        <v>43963</v>
      </c>
      <c r="K601" s="5" t="s">
        <v>39</v>
      </c>
      <c r="L601" s="5" t="s">
        <v>50</v>
      </c>
      <c r="M601" s="11">
        <v>0.070000000000000007</v>
      </c>
      <c r="N601" s="5" t="e">
        <f>IF(AND(M601&gt;#REF!,Cartera!O601="Guaraníes"),"Rendimiento significativo",IF(AND(M601&gt;#REF!,Cartera!O601="Dólares americanos"),"Rendimiento significativo","Rendimiento no significativo"))</f>
        <v>#REF!</v>
      </c>
      <c r="O601" s="5" t="s">
        <v>51</v>
      </c>
      <c r="P601" s="13">
        <v>1221.6438500000002</v>
      </c>
      <c r="Q601" s="12" t="e">
        <f>IF(O601="Guaraníes",P601,P601*#REF!)</f>
        <v>#REF!</v>
      </c>
      <c r="R601" s="12">
        <f>IF(O601="Guaraníes",P601/#REF!,P601)</f>
        <v>1221.6438500000002</v>
      </c>
      <c r="S601" s="5" t="s">
        <v>52</v>
      </c>
      <c r="T601" s="5">
        <v>25</v>
      </c>
      <c r="W601" s="5" t="s">
        <v>65</v>
      </c>
      <c r="X601" s="5">
        <v>0</v>
      </c>
      <c r="Y601" s="5">
        <v>0</v>
      </c>
      <c r="Z601" s="5">
        <v>17.452055000000001</v>
      </c>
      <c r="AA601" s="5">
        <v>70</v>
      </c>
      <c r="AB601" s="5">
        <v>1221.6438499999999</v>
      </c>
      <c r="AC601" s="5" t="str">
        <f t="shared" si="31"/>
        <v>Bonos</v>
      </c>
      <c r="AD601" s="5" t="s">
        <v>43</v>
      </c>
      <c r="AE601" s="5">
        <f t="shared" si="29"/>
        <v>5</v>
      </c>
      <c r="AF601" s="5">
        <f t="shared" si="30"/>
        <v>2020</v>
      </c>
    </row>
    <row r="602" s="5" customFormat="1" ht="13">
      <c r="A602" s="5" t="s">
        <v>44</v>
      </c>
      <c r="B602" s="5" t="s">
        <v>44</v>
      </c>
      <c r="C602" s="5" t="s">
        <v>242</v>
      </c>
      <c r="D602" s="5" t="s">
        <v>21</v>
      </c>
      <c r="E602" s="5" t="s">
        <v>44</v>
      </c>
      <c r="F602" s="5" t="s">
        <v>68</v>
      </c>
      <c r="G602" s="5" t="s">
        <v>75</v>
      </c>
      <c r="H602" s="9" t="s">
        <v>243</v>
      </c>
      <c r="I602" s="10"/>
      <c r="J602" s="10">
        <v>43969</v>
      </c>
      <c r="K602" s="5" t="s">
        <v>244</v>
      </c>
      <c r="L602" s="5" t="s">
        <v>58</v>
      </c>
      <c r="M602" s="11">
        <v>0.13750000000000001</v>
      </c>
      <c r="N602" s="5" t="e">
        <f>IF(AND(M602&gt;#REF!,Cartera!O602="Guaraníes"),"Rendimiento significativo",IF(AND(M602&gt;#REF!,Cartera!O602="Dólares americanos"),"Rendimiento significativo","Rendimiento no significativo"))</f>
        <v>#REF!</v>
      </c>
      <c r="O602" s="5" t="s">
        <v>41</v>
      </c>
      <c r="P602" s="12">
        <v>1028424.65754</v>
      </c>
      <c r="Q602" s="12">
        <f>IF(O602="Guaraníes",P602,P602*#REF!)</f>
        <v>1028424.65754</v>
      </c>
      <c r="R602" s="12" t="e">
        <f>IF(O602="Guaraníes",P602/#REF!,P602)</f>
        <v>#REF!</v>
      </c>
      <c r="S602" s="5" t="s">
        <v>52</v>
      </c>
      <c r="T602" s="5">
        <v>25</v>
      </c>
      <c r="W602" s="5" t="s">
        <v>241</v>
      </c>
      <c r="X602" s="5">
        <v>0</v>
      </c>
      <c r="Y602" s="5">
        <v>0</v>
      </c>
      <c r="Z602" s="5">
        <v>34280.821918000001</v>
      </c>
      <c r="AA602" s="5">
        <v>30</v>
      </c>
      <c r="AB602" s="5">
        <v>1028424.65754</v>
      </c>
      <c r="AC602" s="5" t="str">
        <f t="shared" si="31"/>
        <v>Bonos</v>
      </c>
      <c r="AD602" s="5" t="s">
        <v>43</v>
      </c>
      <c r="AE602" s="5">
        <f t="shared" si="29"/>
        <v>5</v>
      </c>
      <c r="AF602" s="5">
        <f t="shared" si="30"/>
        <v>2020</v>
      </c>
    </row>
    <row r="603" s="5" customFormat="1" ht="13">
      <c r="A603" s="5" t="s">
        <v>44</v>
      </c>
      <c r="B603" s="5" t="s">
        <v>44</v>
      </c>
      <c r="C603" s="5" t="s">
        <v>114</v>
      </c>
      <c r="D603" s="5" t="s">
        <v>21</v>
      </c>
      <c r="E603" s="5" t="s">
        <v>44</v>
      </c>
      <c r="F603" s="5" t="s">
        <v>68</v>
      </c>
      <c r="G603" s="5" t="s">
        <v>75</v>
      </c>
      <c r="H603" s="9" t="s">
        <v>170</v>
      </c>
      <c r="I603" s="10"/>
      <c r="J603" s="10">
        <v>43970</v>
      </c>
      <c r="K603" s="5" t="s">
        <v>77</v>
      </c>
      <c r="L603" s="5" t="s">
        <v>50</v>
      </c>
      <c r="M603" s="11">
        <v>0.14000000000000001</v>
      </c>
      <c r="N603" s="5" t="e">
        <f>IF(AND(M603&gt;#REF!,Cartera!O603="Guaraníes"),"Rendimiento significativo",IF(AND(M603&gt;#REF!,Cartera!O603="Dólares americanos"),"Rendimiento significativo","Rendimiento no significativo"))</f>
        <v>#REF!</v>
      </c>
      <c r="O603" s="5" t="s">
        <v>41</v>
      </c>
      <c r="P603" s="12">
        <v>3490410.9589</v>
      </c>
      <c r="Q603" s="12">
        <f>IF(O603="Guaraníes",P603,P603*#REF!)</f>
        <v>3490410.9589</v>
      </c>
      <c r="R603" s="12" t="e">
        <f>IF(O603="Guaraníes",P603/#REF!,P603)</f>
        <v>#REF!</v>
      </c>
      <c r="S603" s="5" t="s">
        <v>52</v>
      </c>
      <c r="T603" s="5">
        <v>25</v>
      </c>
      <c r="W603" s="5" t="s">
        <v>65</v>
      </c>
      <c r="X603" s="5">
        <v>0</v>
      </c>
      <c r="Y603" s="5">
        <v>0</v>
      </c>
      <c r="Z603" s="5">
        <v>34904.109589</v>
      </c>
      <c r="AA603" s="5">
        <v>100</v>
      </c>
      <c r="AB603" s="5">
        <v>3490410.9589</v>
      </c>
      <c r="AC603" s="5" t="str">
        <f t="shared" si="31"/>
        <v>Bonos</v>
      </c>
      <c r="AD603" s="5" t="s">
        <v>43</v>
      </c>
      <c r="AE603" s="5">
        <f t="shared" si="29"/>
        <v>5</v>
      </c>
      <c r="AF603" s="5">
        <f t="shared" si="30"/>
        <v>2020</v>
      </c>
    </row>
    <row r="604" s="5" customFormat="1" ht="13">
      <c r="A604" s="5" t="s">
        <v>44</v>
      </c>
      <c r="B604" s="5" t="s">
        <v>44</v>
      </c>
      <c r="C604" s="5" t="s">
        <v>227</v>
      </c>
      <c r="D604" s="5" t="s">
        <v>21</v>
      </c>
      <c r="E604" s="5" t="s">
        <v>44</v>
      </c>
      <c r="F604" s="5" t="s">
        <v>68</v>
      </c>
      <c r="G604" s="5" t="s">
        <v>75</v>
      </c>
      <c r="H604" s="9" t="s">
        <v>228</v>
      </c>
      <c r="I604" s="10"/>
      <c r="J604" s="10">
        <v>43972</v>
      </c>
      <c r="K604" s="5" t="s">
        <v>77</v>
      </c>
      <c r="L604" s="5" t="s">
        <v>58</v>
      </c>
      <c r="M604" s="11">
        <v>0.1525</v>
      </c>
      <c r="N604" s="5" t="e">
        <f>IF(AND(M604&gt;#REF!,Cartera!O604="Guaraníes"),"Rendimiento significativo",IF(AND(M604&gt;#REF!,Cartera!O604="Dólares americanos"),"Rendimiento significativo","Rendimiento no significativo"))</f>
        <v>#REF!</v>
      </c>
      <c r="O604" s="5" t="s">
        <v>41</v>
      </c>
      <c r="P604" s="12">
        <v>2851541.0958749996</v>
      </c>
      <c r="Q604" s="12">
        <f>IF(O604="Guaraníes",P604,P604*#REF!)</f>
        <v>2851541.0958749996</v>
      </c>
      <c r="R604" s="12" t="e">
        <f>IF(O604="Guaraníes",P604/#REF!,P604)</f>
        <v>#REF!</v>
      </c>
      <c r="S604" s="5" t="s">
        <v>52</v>
      </c>
      <c r="T604" s="5">
        <v>25</v>
      </c>
      <c r="W604" s="5" t="s">
        <v>196</v>
      </c>
      <c r="X604" s="5">
        <v>0</v>
      </c>
      <c r="Y604" s="5">
        <v>0</v>
      </c>
      <c r="Z604" s="5">
        <v>38020.547944999998</v>
      </c>
      <c r="AA604" s="5">
        <v>75</v>
      </c>
      <c r="AB604" s="5">
        <v>2851541.0958750001</v>
      </c>
      <c r="AC604" s="5" t="str">
        <f t="shared" si="31"/>
        <v>Bonos</v>
      </c>
      <c r="AD604" s="5" t="s">
        <v>43</v>
      </c>
      <c r="AE604" s="5">
        <f t="shared" si="29"/>
        <v>5</v>
      </c>
      <c r="AF604" s="5">
        <f t="shared" si="30"/>
        <v>2020</v>
      </c>
    </row>
    <row r="605" s="5" customFormat="1" ht="13">
      <c r="A605" s="5" t="s">
        <v>44</v>
      </c>
      <c r="B605" s="5" t="s">
        <v>44</v>
      </c>
      <c r="C605" s="5" t="s">
        <v>74</v>
      </c>
      <c r="D605" s="5" t="s">
        <v>21</v>
      </c>
      <c r="E605" s="5" t="s">
        <v>44</v>
      </c>
      <c r="F605" s="5" t="s">
        <v>68</v>
      </c>
      <c r="G605" s="5" t="s">
        <v>75</v>
      </c>
      <c r="H605" s="9" t="s">
        <v>231</v>
      </c>
      <c r="I605" s="10"/>
      <c r="J605" s="10">
        <v>43977</v>
      </c>
      <c r="K605" s="5" t="s">
        <v>77</v>
      </c>
      <c r="L605" s="5" t="s">
        <v>58</v>
      </c>
      <c r="M605" s="11">
        <v>0.14000000000000001</v>
      </c>
      <c r="N605" s="5" t="e">
        <f>IF(AND(M605&gt;#REF!,Cartera!O605="Guaraníes"),"Rendimiento significativo",IF(AND(M605&gt;#REF!,Cartera!O605="Dólares americanos"),"Rendimiento significativo","Rendimiento no significativo"))</f>
        <v>#REF!</v>
      </c>
      <c r="O605" s="5" t="s">
        <v>41</v>
      </c>
      <c r="P605" s="12">
        <v>5235616.4383499995</v>
      </c>
      <c r="Q605" s="12">
        <f>IF(O605="Guaraníes",P605,P605*#REF!)</f>
        <v>5235616.4383499995</v>
      </c>
      <c r="R605" s="12" t="e">
        <f>IF(O605="Guaraníes",P605/#REF!,P605)</f>
        <v>#REF!</v>
      </c>
      <c r="S605" s="5" t="s">
        <v>52</v>
      </c>
      <c r="T605" s="5">
        <v>25</v>
      </c>
      <c r="W605" s="5" t="s">
        <v>232</v>
      </c>
      <c r="X605" s="5">
        <v>0</v>
      </c>
      <c r="Y605" s="5">
        <v>0</v>
      </c>
      <c r="Z605" s="5">
        <v>34904.109589</v>
      </c>
      <c r="AA605" s="5">
        <v>150</v>
      </c>
      <c r="AB605" s="5">
        <v>5235616.4383500004</v>
      </c>
      <c r="AC605" s="5" t="str">
        <f t="shared" si="31"/>
        <v>Bonos</v>
      </c>
      <c r="AD605" s="5" t="s">
        <v>43</v>
      </c>
      <c r="AE605" s="5">
        <f t="shared" si="29"/>
        <v>5</v>
      </c>
      <c r="AF605" s="5">
        <f t="shared" si="30"/>
        <v>2020</v>
      </c>
    </row>
    <row r="606" s="5" customFormat="1" ht="13">
      <c r="A606" s="5" t="s">
        <v>44</v>
      </c>
      <c r="B606" s="5" t="s">
        <v>44</v>
      </c>
      <c r="C606" s="5" t="s">
        <v>254</v>
      </c>
      <c r="D606" s="5" t="s">
        <v>21</v>
      </c>
      <c r="E606" s="5" t="s">
        <v>44</v>
      </c>
      <c r="F606" s="5" t="s">
        <v>68</v>
      </c>
      <c r="G606" s="5" t="s">
        <v>75</v>
      </c>
      <c r="H606" s="9" t="s">
        <v>255</v>
      </c>
      <c r="I606" s="10"/>
      <c r="J606" s="10">
        <v>43993</v>
      </c>
      <c r="K606" s="5" t="s">
        <v>256</v>
      </c>
      <c r="L606" s="5" t="s">
        <v>58</v>
      </c>
      <c r="M606" s="11">
        <v>0.057500000000000002</v>
      </c>
      <c r="N606" s="5" t="e">
        <f>IF(AND(M606&gt;#REF!,Cartera!O606="Guaraníes"),"Rendimiento significativo",IF(AND(M606&gt;#REF!,Cartera!O606="Dólares americanos"),"Rendimiento significativo","Rendimiento no significativo"))</f>
        <v>#REF!</v>
      </c>
      <c r="O606" s="5" t="s">
        <v>51</v>
      </c>
      <c r="P606" s="13">
        <v>860.13698999999997</v>
      </c>
      <c r="Q606" s="12" t="e">
        <f>IF(O606="Guaraníes",P606,P606*#REF!)</f>
        <v>#REF!</v>
      </c>
      <c r="R606" s="12">
        <f>IF(O606="Guaraníes",P606/#REF!,P606)</f>
        <v>860.13698999999997</v>
      </c>
      <c r="S606" s="5" t="s">
        <v>52</v>
      </c>
      <c r="T606" s="5">
        <v>25</v>
      </c>
      <c r="W606" s="5" t="s">
        <v>262</v>
      </c>
      <c r="X606" s="5">
        <v>0</v>
      </c>
      <c r="Y606" s="5">
        <v>0</v>
      </c>
      <c r="Z606" s="5">
        <v>28.671233000000001</v>
      </c>
      <c r="AA606" s="5">
        <v>30</v>
      </c>
      <c r="AB606" s="5">
        <v>860.13698999999997</v>
      </c>
      <c r="AC606" s="5" t="str">
        <f t="shared" si="31"/>
        <v>Bonos</v>
      </c>
      <c r="AD606" s="5" t="s">
        <v>43</v>
      </c>
      <c r="AE606" s="5">
        <f t="shared" si="29"/>
        <v>6</v>
      </c>
      <c r="AF606" s="5">
        <f t="shared" si="30"/>
        <v>2020</v>
      </c>
    </row>
    <row r="607" s="5" customFormat="1" ht="13">
      <c r="A607" s="5" t="s">
        <v>44</v>
      </c>
      <c r="B607" s="5" t="s">
        <v>44</v>
      </c>
      <c r="C607" s="5" t="s">
        <v>114</v>
      </c>
      <c r="D607" s="5" t="s">
        <v>21</v>
      </c>
      <c r="E607" s="5" t="s">
        <v>44</v>
      </c>
      <c r="F607" s="5" t="s">
        <v>68</v>
      </c>
      <c r="G607" s="5" t="s">
        <v>75</v>
      </c>
      <c r="H607" s="9" t="s">
        <v>226</v>
      </c>
      <c r="I607" s="10"/>
      <c r="J607" s="10">
        <v>44000</v>
      </c>
      <c r="K607" s="5" t="s">
        <v>77</v>
      </c>
      <c r="L607" s="5" t="s">
        <v>58</v>
      </c>
      <c r="M607" s="11">
        <v>0.14000000000000001</v>
      </c>
      <c r="N607" s="5" t="e">
        <f>IF(AND(M607&gt;#REF!,Cartera!O607="Guaraníes"),"Rendimiento significativo",IF(AND(M607&gt;#REF!,Cartera!O607="Dólares americanos"),"Rendimiento significativo","Rendimiento no significativo"))</f>
        <v>#REF!</v>
      </c>
      <c r="O607" s="5" t="s">
        <v>41</v>
      </c>
      <c r="P607" s="12">
        <v>523561.643835</v>
      </c>
      <c r="Q607" s="12">
        <f>IF(O607="Guaraníes",P607,P607*#REF!)</f>
        <v>523561.643835</v>
      </c>
      <c r="R607" s="12" t="e">
        <f>IF(O607="Guaraníes",P607/#REF!,P607)</f>
        <v>#REF!</v>
      </c>
      <c r="S607" s="5" t="s">
        <v>52</v>
      </c>
      <c r="T607" s="5">
        <v>25</v>
      </c>
      <c r="W607" s="5" t="s">
        <v>65</v>
      </c>
      <c r="X607" s="5">
        <v>0</v>
      </c>
      <c r="Y607" s="5">
        <v>0</v>
      </c>
      <c r="Z607" s="5">
        <v>34904.109589</v>
      </c>
      <c r="AA607" s="5">
        <v>15</v>
      </c>
      <c r="AB607" s="5">
        <v>523561.643835</v>
      </c>
      <c r="AC607" s="5" t="str">
        <f t="shared" si="31"/>
        <v>Bonos</v>
      </c>
      <c r="AD607" s="5" t="s">
        <v>43</v>
      </c>
      <c r="AE607" s="5">
        <f t="shared" ref="AE607:AE670" si="32">IFERROR((MONTH(J607)),0)</f>
        <v>6</v>
      </c>
      <c r="AF607" s="5">
        <f t="shared" ref="AF607:AF670" si="33">IFERROR((YEAR(J607)),0)</f>
        <v>2020</v>
      </c>
    </row>
    <row r="608" s="5" customFormat="1" ht="13">
      <c r="A608" s="5" t="s">
        <v>44</v>
      </c>
      <c r="B608" s="5" t="s">
        <v>44</v>
      </c>
      <c r="C608" s="5" t="s">
        <v>114</v>
      </c>
      <c r="D608" s="5" t="s">
        <v>21</v>
      </c>
      <c r="E608" s="5" t="s">
        <v>44</v>
      </c>
      <c r="F608" s="5" t="s">
        <v>68</v>
      </c>
      <c r="G608" s="5" t="s">
        <v>75</v>
      </c>
      <c r="H608" s="9" t="s">
        <v>236</v>
      </c>
      <c r="I608" s="10"/>
      <c r="J608" s="10">
        <v>44000</v>
      </c>
      <c r="K608" s="5" t="s">
        <v>77</v>
      </c>
      <c r="L608" s="5" t="s">
        <v>50</v>
      </c>
      <c r="M608" s="11">
        <v>0.14749999999999999</v>
      </c>
      <c r="N608" s="5" t="e">
        <f>IF(AND(M608&gt;#REF!,Cartera!O608="Guaraníes"),"Rendimiento significativo",IF(AND(M608&gt;#REF!,Cartera!O608="Dólares americanos"),"Rendimiento significativo","Rendimiento no significativo"))</f>
        <v>#REF!</v>
      </c>
      <c r="O608" s="5" t="s">
        <v>41</v>
      </c>
      <c r="P608" s="12">
        <v>112191.780822</v>
      </c>
      <c r="Q608" s="12">
        <f>IF(O608="Guaraníes",P608,P608*#REF!)</f>
        <v>112191.780822</v>
      </c>
      <c r="R608" s="12" t="e">
        <f>IF(O608="Guaraníes",P608/#REF!,P608)</f>
        <v>#REF!</v>
      </c>
      <c r="S608" s="5" t="s">
        <v>52</v>
      </c>
      <c r="T608" s="5">
        <v>25</v>
      </c>
      <c r="W608" s="5" t="s">
        <v>65</v>
      </c>
      <c r="X608" s="5">
        <v>0</v>
      </c>
      <c r="Y608" s="5">
        <v>0</v>
      </c>
      <c r="Z608" s="5">
        <v>37397.260274</v>
      </c>
      <c r="AA608" s="5">
        <v>3</v>
      </c>
      <c r="AB608" s="5">
        <v>112191.780822</v>
      </c>
      <c r="AC608" s="5" t="str">
        <f t="shared" si="31"/>
        <v>Bonos</v>
      </c>
      <c r="AD608" s="5" t="s">
        <v>43</v>
      </c>
      <c r="AE608" s="5">
        <f t="shared" si="32"/>
        <v>6</v>
      </c>
      <c r="AF608" s="5">
        <f t="shared" si="33"/>
        <v>2020</v>
      </c>
    </row>
    <row r="609" s="5" customFormat="1" ht="13">
      <c r="A609" s="5" t="s">
        <v>44</v>
      </c>
      <c r="B609" s="5" t="s">
        <v>44</v>
      </c>
      <c r="C609" s="5" t="s">
        <v>54</v>
      </c>
      <c r="D609" s="5" t="s">
        <v>21</v>
      </c>
      <c r="E609" s="5" t="s">
        <v>44</v>
      </c>
      <c r="F609" s="5" t="s">
        <v>46</v>
      </c>
      <c r="G609" s="5" t="s">
        <v>75</v>
      </c>
      <c r="H609" s="9" t="s">
        <v>147</v>
      </c>
      <c r="I609" s="10"/>
      <c r="J609" s="10">
        <v>44011</v>
      </c>
      <c r="K609" s="5" t="s">
        <v>57</v>
      </c>
      <c r="L609" s="5" t="s">
        <v>58</v>
      </c>
      <c r="M609" s="11">
        <v>0.12</v>
      </c>
      <c r="N609" s="5" t="e">
        <f>IF(AND(M609&gt;#REF!,Cartera!O609="Guaraníes"),"Rendimiento significativo",IF(AND(M609&gt;#REF!,Cartera!O609="Dólares americanos"),"Rendimiento significativo","Rendimiento no significativo"))</f>
        <v>#REF!</v>
      </c>
      <c r="O609" s="5" t="s">
        <v>41</v>
      </c>
      <c r="P609" s="12">
        <v>4487671.2328500003</v>
      </c>
      <c r="Q609" s="12">
        <f>IF(O609="Guaraníes",P609,P609*#REF!)</f>
        <v>4487671.2328500003</v>
      </c>
      <c r="R609" s="12" t="e">
        <f>IF(O609="Guaraníes",P609/#REF!,P609)</f>
        <v>#REF!</v>
      </c>
      <c r="S609" s="5" t="s">
        <v>52</v>
      </c>
      <c r="T609" s="5">
        <v>25</v>
      </c>
      <c r="W609" s="5" t="s">
        <v>192</v>
      </c>
      <c r="X609" s="5">
        <v>0</v>
      </c>
      <c r="Y609" s="5">
        <v>0</v>
      </c>
      <c r="Z609" s="5">
        <v>29917.808218999999</v>
      </c>
      <c r="AA609" s="5">
        <v>150</v>
      </c>
      <c r="AB609" s="5">
        <v>4487671.2328500003</v>
      </c>
      <c r="AC609" s="5" t="str">
        <f t="shared" si="31"/>
        <v>Bonos</v>
      </c>
      <c r="AD609" s="5" t="s">
        <v>43</v>
      </c>
      <c r="AE609" s="5">
        <f t="shared" si="32"/>
        <v>6</v>
      </c>
      <c r="AF609" s="5">
        <f t="shared" si="33"/>
        <v>2020</v>
      </c>
    </row>
    <row r="610" s="5" customFormat="1" ht="13">
      <c r="A610" s="5" t="s">
        <v>44</v>
      </c>
      <c r="B610" s="5" t="s">
        <v>44</v>
      </c>
      <c r="C610" s="5" t="s">
        <v>114</v>
      </c>
      <c r="D610" s="5" t="s">
        <v>21</v>
      </c>
      <c r="E610" s="5" t="s">
        <v>44</v>
      </c>
      <c r="F610" s="5" t="s">
        <v>68</v>
      </c>
      <c r="G610" s="5" t="s">
        <v>75</v>
      </c>
      <c r="H610" s="9" t="s">
        <v>237</v>
      </c>
      <c r="I610" s="10"/>
      <c r="J610" s="10">
        <v>44012</v>
      </c>
      <c r="K610" s="5" t="s">
        <v>77</v>
      </c>
      <c r="L610" s="5" t="s">
        <v>50</v>
      </c>
      <c r="M610" s="11">
        <v>0.13750000000000001</v>
      </c>
      <c r="N610" s="5" t="e">
        <f>IF(AND(M610&gt;#REF!,Cartera!O610="Guaraníes"),"Rendimiento significativo",IF(AND(M610&gt;#REF!,Cartera!O610="Dólares americanos"),"Rendimiento significativo","Rendimiento no significativo"))</f>
        <v>#REF!</v>
      </c>
      <c r="O610" s="5" t="s">
        <v>41</v>
      </c>
      <c r="P610" s="12">
        <v>685616.43836000003</v>
      </c>
      <c r="Q610" s="12">
        <f>IF(O610="Guaraníes",P610,P610*#REF!)</f>
        <v>685616.43836000003</v>
      </c>
      <c r="R610" s="12" t="e">
        <f>IF(O610="Guaraníes",P610/#REF!,P610)</f>
        <v>#REF!</v>
      </c>
      <c r="S610" s="5" t="s">
        <v>52</v>
      </c>
      <c r="T610" s="5">
        <v>25</v>
      </c>
      <c r="W610" s="5" t="s">
        <v>65</v>
      </c>
      <c r="X610" s="5">
        <v>0</v>
      </c>
      <c r="Y610" s="5">
        <v>0</v>
      </c>
      <c r="Z610" s="5">
        <v>34280.821918000001</v>
      </c>
      <c r="AA610" s="5">
        <v>20</v>
      </c>
      <c r="AB610" s="5">
        <v>685616.43836000003</v>
      </c>
      <c r="AC610" s="5" t="str">
        <f t="shared" si="31"/>
        <v>Bonos</v>
      </c>
      <c r="AD610" s="5" t="s">
        <v>43</v>
      </c>
      <c r="AE610" s="5">
        <f t="shared" si="32"/>
        <v>6</v>
      </c>
      <c r="AF610" s="5">
        <f t="shared" si="33"/>
        <v>2020</v>
      </c>
    </row>
    <row r="611" s="5" customFormat="1" ht="13">
      <c r="A611" s="5" t="s">
        <v>44</v>
      </c>
      <c r="B611" s="5" t="s">
        <v>44</v>
      </c>
      <c r="C611" s="5" t="s">
        <v>33</v>
      </c>
      <c r="D611" s="5" t="s">
        <v>21</v>
      </c>
      <c r="E611" s="5" t="s">
        <v>44</v>
      </c>
      <c r="F611" s="5" t="s">
        <v>35</v>
      </c>
      <c r="G611" s="5" t="s">
        <v>75</v>
      </c>
      <c r="H611" s="9" t="s">
        <v>257</v>
      </c>
      <c r="I611" s="10"/>
      <c r="J611" s="10">
        <v>44014</v>
      </c>
      <c r="K611" s="5" t="s">
        <v>39</v>
      </c>
      <c r="L611" s="5" t="s">
        <v>106</v>
      </c>
      <c r="M611" s="11">
        <v>0.0625</v>
      </c>
      <c r="N611" s="5" t="e">
        <f>IF(AND(M611&gt;#REF!,Cartera!O611="Guaraníes"),"Rendimiento significativo",IF(AND(M611&gt;#REF!,Cartera!O611="Dólares americanos"),"Rendimiento significativo","Rendimiento no significativo"))</f>
        <v>#REF!</v>
      </c>
      <c r="O611" s="5" t="s">
        <v>51</v>
      </c>
      <c r="P611" s="13">
        <v>623.28767999999991</v>
      </c>
      <c r="Q611" s="12" t="e">
        <f>IF(O611="Guaraníes",P611,P611*#REF!)</f>
        <v>#REF!</v>
      </c>
      <c r="R611" s="12">
        <f>IF(O611="Guaraníes",P611/#REF!,P611)</f>
        <v>623.28767999999991</v>
      </c>
      <c r="S611" s="5" t="s">
        <v>52</v>
      </c>
      <c r="T611" s="5">
        <v>25</v>
      </c>
      <c r="W611" s="5" t="s">
        <v>218</v>
      </c>
      <c r="X611" s="5">
        <v>0</v>
      </c>
      <c r="Y611" s="5">
        <v>0</v>
      </c>
      <c r="Z611" s="5">
        <v>15.582191999999999</v>
      </c>
      <c r="AA611" s="5">
        <v>40</v>
      </c>
      <c r="AB611" s="5">
        <v>623.28768000000002</v>
      </c>
      <c r="AC611" s="5" t="str">
        <f t="shared" si="31"/>
        <v>Bonos</v>
      </c>
      <c r="AD611" s="5" t="s">
        <v>43</v>
      </c>
      <c r="AE611" s="5">
        <f t="shared" si="32"/>
        <v>7</v>
      </c>
      <c r="AF611" s="5">
        <f t="shared" si="33"/>
        <v>2020</v>
      </c>
    </row>
    <row r="612" s="5" customFormat="1" ht="13">
      <c r="A612" s="5" t="s">
        <v>44</v>
      </c>
      <c r="B612" s="5" t="s">
        <v>44</v>
      </c>
      <c r="C612" s="5" t="s">
        <v>156</v>
      </c>
      <c r="D612" s="5" t="s">
        <v>21</v>
      </c>
      <c r="E612" s="5" t="s">
        <v>44</v>
      </c>
      <c r="F612" s="5" t="s">
        <v>68</v>
      </c>
      <c r="G612" s="5" t="s">
        <v>75</v>
      </c>
      <c r="H612" s="9" t="s">
        <v>157</v>
      </c>
      <c r="I612" s="10"/>
      <c r="J612" s="10">
        <v>44026</v>
      </c>
      <c r="K612" s="5" t="s">
        <v>158</v>
      </c>
      <c r="L612" s="5" t="s">
        <v>58</v>
      </c>
      <c r="M612" s="11">
        <v>0.16</v>
      </c>
      <c r="N612" s="5" t="e">
        <f>IF(AND(M612&gt;#REF!,Cartera!O612="Guaraníes"),"Rendimiento significativo",IF(AND(M612&gt;#REF!,Cartera!O612="Dólares americanos"),"Rendimiento significativo","Rendimiento no significativo"))</f>
        <v>#REF!</v>
      </c>
      <c r="O612" s="5" t="s">
        <v>41</v>
      </c>
      <c r="P612" s="12">
        <v>4188493.15068</v>
      </c>
      <c r="Q612" s="12">
        <f>IF(O612="Guaraníes",P612,P612*#REF!)</f>
        <v>4188493.15068</v>
      </c>
      <c r="R612" s="12" t="e">
        <f>IF(O612="Guaraníes",P612/#REF!,P612)</f>
        <v>#REF!</v>
      </c>
      <c r="S612" s="5" t="s">
        <v>52</v>
      </c>
      <c r="T612" s="5">
        <v>25</v>
      </c>
      <c r="W612" s="5" t="s">
        <v>232</v>
      </c>
      <c r="X612" s="5">
        <v>0</v>
      </c>
      <c r="Y612" s="5">
        <v>0</v>
      </c>
      <c r="Z612" s="5">
        <v>34904.109589</v>
      </c>
      <c r="AA612" s="5">
        <v>120</v>
      </c>
      <c r="AB612" s="5">
        <v>4188493.15068</v>
      </c>
      <c r="AC612" s="5" t="str">
        <f t="shared" si="31"/>
        <v>Bonos</v>
      </c>
      <c r="AD612" s="5" t="s">
        <v>43</v>
      </c>
      <c r="AE612" s="5">
        <f t="shared" si="32"/>
        <v>7</v>
      </c>
      <c r="AF612" s="5">
        <f t="shared" si="33"/>
        <v>2020</v>
      </c>
    </row>
    <row r="613" s="5" customFormat="1" ht="13">
      <c r="A613" s="5" t="s">
        <v>44</v>
      </c>
      <c r="B613" s="5" t="s">
        <v>44</v>
      </c>
      <c r="C613" s="5" t="s">
        <v>239</v>
      </c>
      <c r="D613" s="5" t="s">
        <v>21</v>
      </c>
      <c r="E613" s="5" t="s">
        <v>44</v>
      </c>
      <c r="F613" s="5" t="s">
        <v>68</v>
      </c>
      <c r="G613" s="5" t="s">
        <v>75</v>
      </c>
      <c r="H613" s="9" t="s">
        <v>240</v>
      </c>
      <c r="I613" s="10"/>
      <c r="J613" s="10">
        <v>44033</v>
      </c>
      <c r="K613" s="5" t="s">
        <v>49</v>
      </c>
      <c r="L613" s="5" t="s">
        <v>58</v>
      </c>
      <c r="M613" s="11">
        <v>0.13</v>
      </c>
      <c r="N613" s="5" t="e">
        <f>IF(AND(M613&gt;#REF!,Cartera!O613="Guaraníes"),"Rendimiento significativo",IF(AND(M613&gt;#REF!,Cartera!O613="Dólares americanos"),"Rendimiento significativo","Rendimiento no significativo"))</f>
        <v>#REF!</v>
      </c>
      <c r="O613" s="5" t="s">
        <v>41</v>
      </c>
      <c r="P613" s="12">
        <v>1620547.9452</v>
      </c>
      <c r="Q613" s="12">
        <f>IF(O613="Guaraníes",P613,P613*#REF!)</f>
        <v>1620547.9452</v>
      </c>
      <c r="R613" s="12" t="e">
        <f>IF(O613="Guaraníes",P613/#REF!,P613)</f>
        <v>#REF!</v>
      </c>
      <c r="S613" s="5" t="s">
        <v>52</v>
      </c>
      <c r="T613" s="5">
        <v>25</v>
      </c>
      <c r="W613" s="5" t="s">
        <v>253</v>
      </c>
      <c r="X613" s="5">
        <v>0</v>
      </c>
      <c r="Y613" s="5">
        <v>0</v>
      </c>
      <c r="Z613" s="5">
        <v>32410.958903999999</v>
      </c>
      <c r="AA613" s="5">
        <v>50</v>
      </c>
      <c r="AB613" s="5">
        <v>1620547.9452</v>
      </c>
      <c r="AC613" s="5" t="str">
        <f t="shared" si="31"/>
        <v>Bonos</v>
      </c>
      <c r="AD613" s="5" t="s">
        <v>43</v>
      </c>
      <c r="AE613" s="5">
        <f t="shared" si="32"/>
        <v>7</v>
      </c>
      <c r="AF613" s="5">
        <f t="shared" si="33"/>
        <v>2020</v>
      </c>
    </row>
    <row r="614" s="5" customFormat="1" ht="13">
      <c r="A614" s="5" t="s">
        <v>44</v>
      </c>
      <c r="B614" s="5" t="s">
        <v>44</v>
      </c>
      <c r="C614" s="5" t="s">
        <v>114</v>
      </c>
      <c r="D614" s="5" t="s">
        <v>21</v>
      </c>
      <c r="E614" s="5" t="s">
        <v>44</v>
      </c>
      <c r="F614" s="5" t="s">
        <v>68</v>
      </c>
      <c r="G614" s="5" t="s">
        <v>75</v>
      </c>
      <c r="H614" s="9" t="s">
        <v>234</v>
      </c>
      <c r="I614" s="10"/>
      <c r="J614" s="10">
        <v>44034</v>
      </c>
      <c r="K614" s="5" t="s">
        <v>77</v>
      </c>
      <c r="L614" s="5" t="s">
        <v>50</v>
      </c>
      <c r="M614" s="11">
        <v>0.12</v>
      </c>
      <c r="N614" s="5" t="e">
        <f>IF(AND(M614&gt;#REF!,Cartera!O614="Guaraníes"),"Rendimiento significativo",IF(AND(M614&gt;#REF!,Cartera!O614="Dólares americanos"),"Rendimiento significativo","Rendimiento no significativo"))</f>
        <v>#REF!</v>
      </c>
      <c r="O614" s="5" t="s">
        <v>51</v>
      </c>
      <c r="P614" s="13">
        <v>486.16437000000002</v>
      </c>
      <c r="Q614" s="12" t="e">
        <f>IF(O614="Guaraníes",P614,P614*#REF!)</f>
        <v>#REF!</v>
      </c>
      <c r="R614" s="12">
        <f>IF(O614="Guaraníes",P614/#REF!,P614)</f>
        <v>486.16437000000002</v>
      </c>
      <c r="S614" s="5" t="s">
        <v>52</v>
      </c>
      <c r="T614" s="5">
        <v>25</v>
      </c>
      <c r="W614" s="5" t="s">
        <v>65</v>
      </c>
      <c r="X614" s="5">
        <v>0</v>
      </c>
      <c r="Y614" s="5">
        <v>0</v>
      </c>
      <c r="Z614" s="5">
        <v>16.205479</v>
      </c>
      <c r="AA614" s="5">
        <v>30</v>
      </c>
      <c r="AB614" s="5">
        <v>486.16437000000002</v>
      </c>
      <c r="AC614" s="5" t="str">
        <f t="shared" si="31"/>
        <v>Bonos</v>
      </c>
      <c r="AD614" s="5" t="s">
        <v>43</v>
      </c>
      <c r="AE614" s="5">
        <f t="shared" si="32"/>
        <v>7</v>
      </c>
      <c r="AF614" s="5">
        <f t="shared" si="33"/>
        <v>2020</v>
      </c>
    </row>
    <row r="615" s="5" customFormat="1" ht="13">
      <c r="A615" s="5" t="s">
        <v>44</v>
      </c>
      <c r="B615" s="5" t="s">
        <v>44</v>
      </c>
      <c r="C615" s="5" t="s">
        <v>156</v>
      </c>
      <c r="D615" s="5" t="s">
        <v>21</v>
      </c>
      <c r="E615" s="5" t="s">
        <v>44</v>
      </c>
      <c r="F615" s="5" t="s">
        <v>68</v>
      </c>
      <c r="G615" s="5" t="s">
        <v>75</v>
      </c>
      <c r="H615" s="9" t="s">
        <v>246</v>
      </c>
      <c r="I615" s="10"/>
      <c r="J615" s="10">
        <v>44042</v>
      </c>
      <c r="K615" s="5" t="s">
        <v>158</v>
      </c>
      <c r="L615" s="5" t="s">
        <v>58</v>
      </c>
      <c r="M615" s="11">
        <v>0.125</v>
      </c>
      <c r="N615" s="5" t="e">
        <f>IF(AND(M615&gt;#REF!,Cartera!O615="Guaraníes"),"Rendimiento significativo",IF(AND(M615&gt;#REF!,Cartera!O615="Dólares americanos"),"Rendimiento significativo","Rendimiento no significativo"))</f>
        <v>#REF!</v>
      </c>
      <c r="O615" s="5" t="s">
        <v>41</v>
      </c>
      <c r="P615" s="12">
        <v>1495890.4109499999</v>
      </c>
      <c r="Q615" s="12">
        <f>IF(O615="Guaraníes",P615,P615*#REF!)</f>
        <v>1495890.4109499999</v>
      </c>
      <c r="R615" s="12" t="e">
        <f>IF(O615="Guaraníes",P615/#REF!,P615)</f>
        <v>#REF!</v>
      </c>
      <c r="S615" s="5" t="s">
        <v>52</v>
      </c>
      <c r="T615" s="5">
        <v>25</v>
      </c>
      <c r="W615" s="5" t="s">
        <v>247</v>
      </c>
      <c r="X615" s="5">
        <v>0</v>
      </c>
      <c r="Y615" s="5">
        <v>0</v>
      </c>
      <c r="Z615" s="5">
        <v>29917.808218999999</v>
      </c>
      <c r="AA615" s="5">
        <v>50</v>
      </c>
      <c r="AB615" s="5">
        <v>1495890.4109499999</v>
      </c>
      <c r="AC615" s="5" t="str">
        <f t="shared" si="31"/>
        <v>Bonos</v>
      </c>
      <c r="AD615" s="5" t="s">
        <v>43</v>
      </c>
      <c r="AE615" s="5">
        <f t="shared" si="32"/>
        <v>7</v>
      </c>
      <c r="AF615" s="5">
        <f t="shared" si="33"/>
        <v>2020</v>
      </c>
    </row>
    <row r="616" s="5" customFormat="1" ht="13">
      <c r="A616" s="5" t="s">
        <v>44</v>
      </c>
      <c r="B616" s="5" t="s">
        <v>44</v>
      </c>
      <c r="C616" s="5" t="s">
        <v>114</v>
      </c>
      <c r="D616" s="5" t="s">
        <v>21</v>
      </c>
      <c r="E616" s="5" t="s">
        <v>44</v>
      </c>
      <c r="F616" s="5" t="s">
        <v>68</v>
      </c>
      <c r="G616" s="5" t="s">
        <v>75</v>
      </c>
      <c r="H616" s="9" t="s">
        <v>235</v>
      </c>
      <c r="I616" s="10"/>
      <c r="J616" s="10">
        <v>44042</v>
      </c>
      <c r="K616" s="5" t="s">
        <v>77</v>
      </c>
      <c r="L616" s="5" t="s">
        <v>50</v>
      </c>
      <c r="M616" s="11">
        <v>0.14249999999999999</v>
      </c>
      <c r="N616" s="5" t="e">
        <f>IF(AND(M616&gt;#REF!,Cartera!O616="Guaraníes"),"Rendimiento significativo",IF(AND(M616&gt;#REF!,Cartera!O616="Dólares americanos"),"Rendimiento significativo","Rendimiento no significativo"))</f>
        <v>#REF!</v>
      </c>
      <c r="O616" s="5" t="s">
        <v>41</v>
      </c>
      <c r="P616" s="12">
        <v>183869.86301500001</v>
      </c>
      <c r="Q616" s="12">
        <f>IF(O616="Guaraníes",P616,P616*#REF!)</f>
        <v>183869.86301500001</v>
      </c>
      <c r="R616" s="12" t="e">
        <f>IF(O616="Guaraníes",P616/#REF!,P616)</f>
        <v>#REF!</v>
      </c>
      <c r="S616" s="5" t="s">
        <v>52</v>
      </c>
      <c r="T616" s="5">
        <v>25</v>
      </c>
      <c r="W616" s="5" t="s">
        <v>65</v>
      </c>
      <c r="X616" s="5">
        <v>0</v>
      </c>
      <c r="Y616" s="5">
        <v>0</v>
      </c>
      <c r="Z616" s="5">
        <v>36773.972603000002</v>
      </c>
      <c r="AA616" s="5">
        <v>5</v>
      </c>
      <c r="AB616" s="5">
        <v>183869.86301500001</v>
      </c>
      <c r="AC616" s="5" t="str">
        <f t="shared" si="31"/>
        <v>Bonos</v>
      </c>
      <c r="AD616" s="5" t="s">
        <v>43</v>
      </c>
      <c r="AE616" s="5">
        <f t="shared" si="32"/>
        <v>7</v>
      </c>
      <c r="AF616" s="5">
        <f t="shared" si="33"/>
        <v>2020</v>
      </c>
    </row>
    <row r="617" s="5" customFormat="1" ht="13">
      <c r="A617" s="5" t="s">
        <v>44</v>
      </c>
      <c r="B617" s="5" t="s">
        <v>44</v>
      </c>
      <c r="C617" s="5" t="s">
        <v>114</v>
      </c>
      <c r="D617" s="5" t="s">
        <v>21</v>
      </c>
      <c r="E617" s="5" t="s">
        <v>44</v>
      </c>
      <c r="F617" s="5" t="s">
        <v>68</v>
      </c>
      <c r="G617" s="5" t="s">
        <v>75</v>
      </c>
      <c r="H617" s="9" t="s">
        <v>115</v>
      </c>
      <c r="I617" s="10"/>
      <c r="J617" s="10">
        <v>44042</v>
      </c>
      <c r="K617" s="5" t="s">
        <v>77</v>
      </c>
      <c r="L617" s="5" t="s">
        <v>50</v>
      </c>
      <c r="M617" s="11">
        <v>0.125</v>
      </c>
      <c r="N617" s="5" t="e">
        <f>IF(AND(M617&gt;#REF!,Cartera!O617="Guaraníes"),"Rendimiento significativo",IF(AND(M617&gt;#REF!,Cartera!O617="Dólares americanos"),"Rendimiento significativo","Rendimiento no significativo"))</f>
        <v>#REF!</v>
      </c>
      <c r="O617" s="5" t="s">
        <v>41</v>
      </c>
      <c r="P617" s="12">
        <v>897534.24656999996</v>
      </c>
      <c r="Q617" s="12">
        <f>IF(O617="Guaraníes",P617,P617*#REF!)</f>
        <v>897534.24656999996</v>
      </c>
      <c r="R617" s="12" t="e">
        <f>IF(O617="Guaraníes",P617/#REF!,P617)</f>
        <v>#REF!</v>
      </c>
      <c r="S617" s="5" t="s">
        <v>52</v>
      </c>
      <c r="T617" s="5">
        <v>25</v>
      </c>
      <c r="W617" s="5" t="s">
        <v>65</v>
      </c>
      <c r="X617" s="5">
        <v>0</v>
      </c>
      <c r="Y617" s="5">
        <v>0</v>
      </c>
      <c r="Z617" s="5">
        <v>29917.808218999999</v>
      </c>
      <c r="AA617" s="5">
        <v>30</v>
      </c>
      <c r="AB617" s="5">
        <v>897534.24656999996</v>
      </c>
      <c r="AC617" s="5" t="str">
        <f t="shared" si="31"/>
        <v>Bonos</v>
      </c>
      <c r="AD617" s="5" t="s">
        <v>43</v>
      </c>
      <c r="AE617" s="5">
        <f t="shared" si="32"/>
        <v>7</v>
      </c>
      <c r="AF617" s="5">
        <f t="shared" si="33"/>
        <v>2020</v>
      </c>
    </row>
    <row r="618" s="5" customFormat="1" ht="13">
      <c r="A618" s="5" t="s">
        <v>44</v>
      </c>
      <c r="B618" s="5" t="s">
        <v>44</v>
      </c>
      <c r="C618" s="5" t="s">
        <v>99</v>
      </c>
      <c r="D618" s="5" t="s">
        <v>21</v>
      </c>
      <c r="E618" s="5" t="s">
        <v>44</v>
      </c>
      <c r="F618" s="5" t="s">
        <v>100</v>
      </c>
      <c r="G618" s="5" t="s">
        <v>75</v>
      </c>
      <c r="H618" s="9" t="s">
        <v>238</v>
      </c>
      <c r="I618" s="10"/>
      <c r="J618" s="10">
        <v>44959</v>
      </c>
      <c r="K618" s="5" t="s">
        <v>102</v>
      </c>
      <c r="L618" s="5" t="s">
        <v>102</v>
      </c>
      <c r="M618" s="11">
        <v>0.081000000000000003</v>
      </c>
      <c r="N618" s="5" t="e">
        <f>IF(AND(M618&gt;#REF!,Cartera!O618="Guaraníes"),"Rendimiento significativo",IF(AND(M618&gt;#REF!,Cartera!O618="Dólares americanos"),"Rendimiento significativo","Rendimiento no significativo"))</f>
        <v>#REF!</v>
      </c>
      <c r="O618" s="5" t="s">
        <v>41</v>
      </c>
      <c r="P618" s="12">
        <v>4287452.0547599997</v>
      </c>
      <c r="Q618" s="12">
        <f>IF(O618="Guaraníes",P618,P618*#REF!)</f>
        <v>4287452.0547599997</v>
      </c>
      <c r="R618" s="12" t="e">
        <f>IF(O618="Guaraníes",P618/#REF!,P618)</f>
        <v>#REF!</v>
      </c>
      <c r="S618" s="5" t="s">
        <v>52</v>
      </c>
      <c r="T618" s="5">
        <v>25</v>
      </c>
      <c r="W618" s="5" t="s">
        <v>230</v>
      </c>
      <c r="X618" s="5">
        <v>0</v>
      </c>
      <c r="Y618" s="5">
        <v>0</v>
      </c>
      <c r="Z618" s="5">
        <v>40389.041096000001</v>
      </c>
      <c r="AA618" s="5">
        <v>105</v>
      </c>
      <c r="AB618" s="5">
        <v>4240849.3150800001</v>
      </c>
      <c r="AC618" s="5" t="str">
        <f t="shared" si="31"/>
        <v>Bonos</v>
      </c>
      <c r="AD618" s="5" t="s">
        <v>43</v>
      </c>
      <c r="AE618" s="5">
        <f t="shared" si="32"/>
        <v>2</v>
      </c>
      <c r="AF618" s="5">
        <f t="shared" si="33"/>
        <v>2023</v>
      </c>
    </row>
    <row r="619" s="5" customFormat="1" ht="13">
      <c r="A619" s="5" t="s">
        <v>44</v>
      </c>
      <c r="B619" s="5" t="s">
        <v>44</v>
      </c>
      <c r="C619" s="5" t="s">
        <v>33</v>
      </c>
      <c r="D619" s="5" t="s">
        <v>21</v>
      </c>
      <c r="E619" s="5" t="s">
        <v>44</v>
      </c>
      <c r="F619" s="5" t="s">
        <v>35</v>
      </c>
      <c r="G619" s="5" t="s">
        <v>75</v>
      </c>
      <c r="H619" s="9" t="s">
        <v>168</v>
      </c>
      <c r="I619" s="10"/>
      <c r="J619" s="10">
        <v>44054</v>
      </c>
      <c r="K619" s="5" t="s">
        <v>39</v>
      </c>
      <c r="L619" s="5" t="s">
        <v>50</v>
      </c>
      <c r="M619" s="11">
        <v>0.070000000000000007</v>
      </c>
      <c r="N619" s="5" t="e">
        <f>IF(AND(M619&gt;#REF!,Cartera!O619="Guaraníes"),"Rendimiento significativo",IF(AND(M619&gt;#REF!,Cartera!O619="Dólares americanos"),"Rendimiento significativo","Rendimiento no significativo"))</f>
        <v>#REF!</v>
      </c>
      <c r="O619" s="5" t="s">
        <v>51</v>
      </c>
      <c r="P619" s="13">
        <v>1221.6438500000002</v>
      </c>
      <c r="Q619" s="12" t="e">
        <f>IF(O619="Guaraníes",P619,P619*#REF!)</f>
        <v>#REF!</v>
      </c>
      <c r="R619" s="12">
        <f>IF(O619="Guaraníes",P619/#REF!,P619)</f>
        <v>1221.6438500000002</v>
      </c>
      <c r="S619" s="5" t="s">
        <v>52</v>
      </c>
      <c r="T619" s="5">
        <v>25</v>
      </c>
      <c r="W619" s="5" t="s">
        <v>65</v>
      </c>
      <c r="X619" s="5">
        <v>0</v>
      </c>
      <c r="Y619" s="5">
        <v>0</v>
      </c>
      <c r="Z619" s="5">
        <v>17.452055000000001</v>
      </c>
      <c r="AA619" s="5">
        <v>70</v>
      </c>
      <c r="AB619" s="5">
        <v>1221.6438499999999</v>
      </c>
      <c r="AC619" s="5" t="str">
        <f t="shared" si="31"/>
        <v>Bonos</v>
      </c>
      <c r="AD619" s="5" t="s">
        <v>43</v>
      </c>
      <c r="AE619" s="5">
        <f t="shared" si="32"/>
        <v>8</v>
      </c>
      <c r="AF619" s="5">
        <f t="shared" si="33"/>
        <v>2020</v>
      </c>
    </row>
    <row r="620" s="5" customFormat="1" ht="13">
      <c r="A620" s="5" t="s">
        <v>44</v>
      </c>
      <c r="B620" s="5" t="s">
        <v>44</v>
      </c>
      <c r="C620" s="5" t="s">
        <v>242</v>
      </c>
      <c r="D620" s="5" t="s">
        <v>21</v>
      </c>
      <c r="E620" s="5" t="s">
        <v>44</v>
      </c>
      <c r="F620" s="5" t="s">
        <v>68</v>
      </c>
      <c r="G620" s="5" t="s">
        <v>75</v>
      </c>
      <c r="H620" s="9" t="s">
        <v>243</v>
      </c>
      <c r="I620" s="10"/>
      <c r="J620" s="10">
        <v>44060</v>
      </c>
      <c r="K620" s="5" t="s">
        <v>244</v>
      </c>
      <c r="L620" s="5" t="s">
        <v>58</v>
      </c>
      <c r="M620" s="11">
        <v>0.13750000000000001</v>
      </c>
      <c r="N620" s="5" t="e">
        <f>IF(AND(M620&gt;#REF!,Cartera!O620="Guaraníes"),"Rendimiento significativo",IF(AND(M620&gt;#REF!,Cartera!O620="Dólares americanos"),"Rendimiento significativo","Rendimiento no significativo"))</f>
        <v>#REF!</v>
      </c>
      <c r="O620" s="5" t="s">
        <v>41</v>
      </c>
      <c r="P620" s="12">
        <v>1028424.65754</v>
      </c>
      <c r="Q620" s="12">
        <f>IF(O620="Guaraníes",P620,P620*#REF!)</f>
        <v>1028424.65754</v>
      </c>
      <c r="R620" s="12" t="e">
        <f>IF(O620="Guaraníes",P620/#REF!,P620)</f>
        <v>#REF!</v>
      </c>
      <c r="S620" s="5" t="s">
        <v>52</v>
      </c>
      <c r="T620" s="5">
        <v>25</v>
      </c>
      <c r="W620" s="5" t="s">
        <v>241</v>
      </c>
      <c r="X620" s="5">
        <v>0</v>
      </c>
      <c r="Y620" s="5">
        <v>0</v>
      </c>
      <c r="Z620" s="5">
        <v>34280.821918000001</v>
      </c>
      <c r="AA620" s="5">
        <v>30</v>
      </c>
      <c r="AB620" s="5">
        <v>1028424.65754</v>
      </c>
      <c r="AC620" s="5" t="str">
        <f t="shared" si="31"/>
        <v>Bonos</v>
      </c>
      <c r="AD620" s="5" t="s">
        <v>43</v>
      </c>
      <c r="AE620" s="5">
        <f t="shared" si="32"/>
        <v>8</v>
      </c>
      <c r="AF620" s="5">
        <f t="shared" si="33"/>
        <v>2020</v>
      </c>
    </row>
    <row r="621" s="5" customFormat="1" ht="13">
      <c r="A621" s="5" t="s">
        <v>44</v>
      </c>
      <c r="B621" s="5" t="s">
        <v>44</v>
      </c>
      <c r="C621" s="5" t="s">
        <v>114</v>
      </c>
      <c r="D621" s="5" t="s">
        <v>21</v>
      </c>
      <c r="E621" s="5" t="s">
        <v>44</v>
      </c>
      <c r="F621" s="5" t="s">
        <v>68</v>
      </c>
      <c r="G621" s="5" t="s">
        <v>75</v>
      </c>
      <c r="H621" s="9" t="s">
        <v>170</v>
      </c>
      <c r="I621" s="10"/>
      <c r="J621" s="10">
        <v>44061</v>
      </c>
      <c r="K621" s="5" t="s">
        <v>77</v>
      </c>
      <c r="L621" s="5" t="s">
        <v>50</v>
      </c>
      <c r="M621" s="11">
        <v>0.14000000000000001</v>
      </c>
      <c r="N621" s="5" t="e">
        <f>IF(AND(M621&gt;#REF!,Cartera!O621="Guaraníes"),"Rendimiento significativo",IF(AND(M621&gt;#REF!,Cartera!O621="Dólares americanos"),"Rendimiento significativo","Rendimiento no significativo"))</f>
        <v>#REF!</v>
      </c>
      <c r="O621" s="5" t="s">
        <v>41</v>
      </c>
      <c r="P621" s="12">
        <v>3490410.9589</v>
      </c>
      <c r="Q621" s="12">
        <f>IF(O621="Guaraníes",P621,P621*#REF!)</f>
        <v>3490410.9589</v>
      </c>
      <c r="R621" s="12" t="e">
        <f>IF(O621="Guaraníes",P621/#REF!,P621)</f>
        <v>#REF!</v>
      </c>
      <c r="S621" s="5" t="s">
        <v>52</v>
      </c>
      <c r="T621" s="5">
        <v>25</v>
      </c>
      <c r="W621" s="5" t="s">
        <v>65</v>
      </c>
      <c r="X621" s="5">
        <v>0</v>
      </c>
      <c r="Y621" s="5">
        <v>0</v>
      </c>
      <c r="Z621" s="5">
        <v>34904.109589</v>
      </c>
      <c r="AA621" s="5">
        <v>100</v>
      </c>
      <c r="AB621" s="5">
        <v>3490410.9589</v>
      </c>
      <c r="AC621" s="5" t="str">
        <f t="shared" si="31"/>
        <v>Bonos</v>
      </c>
      <c r="AD621" s="5" t="s">
        <v>43</v>
      </c>
      <c r="AE621" s="5">
        <f t="shared" si="32"/>
        <v>8</v>
      </c>
      <c r="AF621" s="5">
        <f t="shared" si="33"/>
        <v>2020</v>
      </c>
    </row>
    <row r="622" s="5" customFormat="1" ht="13">
      <c r="A622" s="5" t="s">
        <v>44</v>
      </c>
      <c r="B622" s="5" t="s">
        <v>44</v>
      </c>
      <c r="C622" s="5" t="s">
        <v>227</v>
      </c>
      <c r="D622" s="5" t="s">
        <v>21</v>
      </c>
      <c r="E622" s="5" t="s">
        <v>44</v>
      </c>
      <c r="F622" s="5" t="s">
        <v>68</v>
      </c>
      <c r="G622" s="5" t="s">
        <v>75</v>
      </c>
      <c r="H622" s="9" t="s">
        <v>228</v>
      </c>
      <c r="I622" s="10"/>
      <c r="J622" s="10">
        <v>44063</v>
      </c>
      <c r="K622" s="5" t="s">
        <v>77</v>
      </c>
      <c r="L622" s="5" t="s">
        <v>58</v>
      </c>
      <c r="M622" s="11">
        <v>0.1525</v>
      </c>
      <c r="N622" s="5" t="e">
        <f>IF(AND(M622&gt;#REF!,Cartera!O622="Guaraníes"),"Rendimiento significativo",IF(AND(M622&gt;#REF!,Cartera!O622="Dólares americanos"),"Rendimiento significativo","Rendimiento no significativo"))</f>
        <v>#REF!</v>
      </c>
      <c r="O622" s="5" t="s">
        <v>41</v>
      </c>
      <c r="P622" s="12">
        <v>2851541.0958749996</v>
      </c>
      <c r="Q622" s="12">
        <f>IF(O622="Guaraníes",P622,P622*#REF!)</f>
        <v>2851541.0958749996</v>
      </c>
      <c r="R622" s="12" t="e">
        <f>IF(O622="Guaraníes",P622/#REF!,P622)</f>
        <v>#REF!</v>
      </c>
      <c r="S622" s="5" t="s">
        <v>52</v>
      </c>
      <c r="T622" s="5">
        <v>25</v>
      </c>
      <c r="W622" s="5" t="s">
        <v>196</v>
      </c>
      <c r="X622" s="5">
        <v>0</v>
      </c>
      <c r="Y622" s="5">
        <v>0</v>
      </c>
      <c r="Z622" s="5">
        <v>38020.547944999998</v>
      </c>
      <c r="AA622" s="5">
        <v>75</v>
      </c>
      <c r="AB622" s="5">
        <v>2851541.0958750001</v>
      </c>
      <c r="AC622" s="5" t="str">
        <f t="shared" si="31"/>
        <v>Bonos</v>
      </c>
      <c r="AD622" s="5" t="s">
        <v>43</v>
      </c>
      <c r="AE622" s="5">
        <f t="shared" si="32"/>
        <v>8</v>
      </c>
      <c r="AF622" s="5">
        <f t="shared" si="33"/>
        <v>2020</v>
      </c>
    </row>
    <row r="623" s="5" customFormat="1" ht="13">
      <c r="A623" s="5" t="s">
        <v>44</v>
      </c>
      <c r="B623" s="5" t="s">
        <v>44</v>
      </c>
      <c r="C623" s="5" t="s">
        <v>74</v>
      </c>
      <c r="D623" s="5" t="s">
        <v>21</v>
      </c>
      <c r="E623" s="5" t="s">
        <v>44</v>
      </c>
      <c r="F623" s="5" t="s">
        <v>68</v>
      </c>
      <c r="G623" s="5" t="s">
        <v>75</v>
      </c>
      <c r="H623" s="9" t="s">
        <v>231</v>
      </c>
      <c r="I623" s="10"/>
      <c r="J623" s="10">
        <v>44068</v>
      </c>
      <c r="K623" s="5" t="s">
        <v>77</v>
      </c>
      <c r="L623" s="5" t="s">
        <v>58</v>
      </c>
      <c r="M623" s="11">
        <v>0.14000000000000001</v>
      </c>
      <c r="N623" s="5" t="e">
        <f>IF(AND(M623&gt;#REF!,Cartera!O623="Guaraníes"),"Rendimiento significativo",IF(AND(M623&gt;#REF!,Cartera!O623="Dólares americanos"),"Rendimiento significativo","Rendimiento no significativo"))</f>
        <v>#REF!</v>
      </c>
      <c r="O623" s="5" t="s">
        <v>41</v>
      </c>
      <c r="P623" s="12">
        <v>5235616.4383499995</v>
      </c>
      <c r="Q623" s="12">
        <f>IF(O623="Guaraníes",P623,P623*#REF!)</f>
        <v>5235616.4383499995</v>
      </c>
      <c r="R623" s="12" t="e">
        <f>IF(O623="Guaraníes",P623/#REF!,P623)</f>
        <v>#REF!</v>
      </c>
      <c r="S623" s="5" t="s">
        <v>52</v>
      </c>
      <c r="T623" s="5">
        <v>25</v>
      </c>
      <c r="W623" s="5" t="s">
        <v>232</v>
      </c>
      <c r="X623" s="5">
        <v>0</v>
      </c>
      <c r="Y623" s="5">
        <v>0</v>
      </c>
      <c r="Z623" s="5">
        <v>34904.109589</v>
      </c>
      <c r="AA623" s="5">
        <v>150</v>
      </c>
      <c r="AB623" s="5">
        <v>5235616.4383500004</v>
      </c>
      <c r="AC623" s="5" t="str">
        <f t="shared" si="31"/>
        <v>Bonos</v>
      </c>
      <c r="AD623" s="5" t="s">
        <v>43</v>
      </c>
      <c r="AE623" s="5">
        <f t="shared" si="32"/>
        <v>8</v>
      </c>
      <c r="AF623" s="5">
        <f t="shared" si="33"/>
        <v>2020</v>
      </c>
    </row>
    <row r="624" s="5" customFormat="1" ht="13">
      <c r="A624" s="5" t="s">
        <v>44</v>
      </c>
      <c r="B624" s="5" t="s">
        <v>44</v>
      </c>
      <c r="C624" s="5" t="s">
        <v>114</v>
      </c>
      <c r="D624" s="5" t="s">
        <v>21</v>
      </c>
      <c r="E624" s="5" t="s">
        <v>44</v>
      </c>
      <c r="F624" s="5" t="s">
        <v>68</v>
      </c>
      <c r="G624" s="5" t="s">
        <v>75</v>
      </c>
      <c r="H624" s="9" t="s">
        <v>226</v>
      </c>
      <c r="I624" s="10"/>
      <c r="J624" s="10">
        <v>44091</v>
      </c>
      <c r="K624" s="5" t="s">
        <v>77</v>
      </c>
      <c r="L624" s="5" t="s">
        <v>58</v>
      </c>
      <c r="M624" s="11">
        <v>0.14000000000000001</v>
      </c>
      <c r="N624" s="5" t="e">
        <f>IF(AND(M624&gt;#REF!,Cartera!O624="Guaraníes"),"Rendimiento significativo",IF(AND(M624&gt;#REF!,Cartera!O624="Dólares americanos"),"Rendimiento significativo","Rendimiento no significativo"))</f>
        <v>#REF!</v>
      </c>
      <c r="O624" s="5" t="s">
        <v>41</v>
      </c>
      <c r="P624" s="12">
        <v>523561.643835</v>
      </c>
      <c r="Q624" s="12">
        <f>IF(O624="Guaraníes",P624,P624*#REF!)</f>
        <v>523561.643835</v>
      </c>
      <c r="R624" s="12" t="e">
        <f>IF(O624="Guaraníes",P624/#REF!,P624)</f>
        <v>#REF!</v>
      </c>
      <c r="S624" s="5" t="s">
        <v>52</v>
      </c>
      <c r="T624" s="5">
        <v>25</v>
      </c>
      <c r="W624" s="5" t="s">
        <v>65</v>
      </c>
      <c r="X624" s="5">
        <v>0</v>
      </c>
      <c r="Y624" s="5">
        <v>0</v>
      </c>
      <c r="Z624" s="5">
        <v>34904.109589</v>
      </c>
      <c r="AA624" s="5">
        <v>15</v>
      </c>
      <c r="AB624" s="5">
        <v>523561.643835</v>
      </c>
      <c r="AC624" s="5" t="str">
        <f t="shared" si="31"/>
        <v>Bonos</v>
      </c>
      <c r="AD624" s="5" t="s">
        <v>43</v>
      </c>
      <c r="AE624" s="5">
        <f t="shared" si="32"/>
        <v>9</v>
      </c>
      <c r="AF624" s="5">
        <f t="shared" si="33"/>
        <v>2020</v>
      </c>
    </row>
    <row r="625" s="5" customFormat="1" ht="13">
      <c r="A625" s="5" t="s">
        <v>44</v>
      </c>
      <c r="B625" s="5" t="s">
        <v>44</v>
      </c>
      <c r="C625" s="5" t="s">
        <v>114</v>
      </c>
      <c r="D625" s="5" t="s">
        <v>21</v>
      </c>
      <c r="E625" s="5" t="s">
        <v>44</v>
      </c>
      <c r="F625" s="5" t="s">
        <v>68</v>
      </c>
      <c r="G625" s="5" t="s">
        <v>75</v>
      </c>
      <c r="H625" s="9" t="s">
        <v>236</v>
      </c>
      <c r="I625" s="10"/>
      <c r="J625" s="10">
        <v>44091</v>
      </c>
      <c r="K625" s="5" t="s">
        <v>77</v>
      </c>
      <c r="L625" s="5" t="s">
        <v>50</v>
      </c>
      <c r="M625" s="11">
        <v>0.14749999999999999</v>
      </c>
      <c r="N625" s="5" t="e">
        <f>IF(AND(M625&gt;#REF!,Cartera!O625="Guaraníes"),"Rendimiento significativo",IF(AND(M625&gt;#REF!,Cartera!O625="Dólares americanos"),"Rendimiento significativo","Rendimiento no significativo"))</f>
        <v>#REF!</v>
      </c>
      <c r="O625" s="5" t="s">
        <v>41</v>
      </c>
      <c r="P625" s="12">
        <v>112191.780822</v>
      </c>
      <c r="Q625" s="12">
        <f>IF(O625="Guaraníes",P625,P625*#REF!)</f>
        <v>112191.780822</v>
      </c>
      <c r="R625" s="12" t="e">
        <f>IF(O625="Guaraníes",P625/#REF!,P625)</f>
        <v>#REF!</v>
      </c>
      <c r="S625" s="5" t="s">
        <v>52</v>
      </c>
      <c r="T625" s="5">
        <v>25</v>
      </c>
      <c r="W625" s="5" t="s">
        <v>65</v>
      </c>
      <c r="X625" s="5">
        <v>0</v>
      </c>
      <c r="Y625" s="5">
        <v>0</v>
      </c>
      <c r="Z625" s="5">
        <v>37397.260274</v>
      </c>
      <c r="AA625" s="5">
        <v>3</v>
      </c>
      <c r="AB625" s="5">
        <v>112191.780822</v>
      </c>
      <c r="AC625" s="5" t="str">
        <f t="shared" si="31"/>
        <v>Bonos</v>
      </c>
      <c r="AD625" s="5" t="s">
        <v>43</v>
      </c>
      <c r="AE625" s="5">
        <f t="shared" si="32"/>
        <v>9</v>
      </c>
      <c r="AF625" s="5">
        <f t="shared" si="33"/>
        <v>2020</v>
      </c>
    </row>
    <row r="626" s="5" customFormat="1" ht="13">
      <c r="A626" s="5" t="s">
        <v>44</v>
      </c>
      <c r="B626" s="5" t="s">
        <v>44</v>
      </c>
      <c r="C626" s="5" t="s">
        <v>99</v>
      </c>
      <c r="D626" s="5" t="s">
        <v>21</v>
      </c>
      <c r="E626" s="5" t="s">
        <v>44</v>
      </c>
      <c r="F626" s="5" t="s">
        <v>100</v>
      </c>
      <c r="G626" s="5" t="s">
        <v>75</v>
      </c>
      <c r="H626" s="9" t="s">
        <v>229</v>
      </c>
      <c r="I626" s="10"/>
      <c r="J626" s="10">
        <v>44096</v>
      </c>
      <c r="K626" s="5" t="s">
        <v>102</v>
      </c>
      <c r="L626" s="5" t="s">
        <v>102</v>
      </c>
      <c r="M626" s="11">
        <v>0.089999999999999997</v>
      </c>
      <c r="N626" s="5" t="e">
        <f>IF(AND(M626&gt;#REF!,Cartera!O626="Guaraníes"),"Rendimiento significativo",IF(AND(M626&gt;#REF!,Cartera!O626="Dólares americanos"),"Rendimiento significativo","Rendimiento no significativo"))</f>
        <v>#REF!</v>
      </c>
      <c r="O626" s="5" t="s">
        <v>41</v>
      </c>
      <c r="P626" s="12">
        <v>6091643.835585</v>
      </c>
      <c r="Q626" s="12">
        <f>IF(O626="Guaraníes",P626,P626*#REF!)</f>
        <v>6091643.835585</v>
      </c>
      <c r="R626" s="12" t="e">
        <f>IF(O626="Guaraníes",P626/#REF!,P626)</f>
        <v>#REF!</v>
      </c>
      <c r="S626" s="5" t="s">
        <v>52</v>
      </c>
      <c r="T626" s="5">
        <v>25</v>
      </c>
      <c r="W626" s="5" t="s">
        <v>230</v>
      </c>
      <c r="X626" s="5">
        <v>0</v>
      </c>
      <c r="Y626" s="5">
        <v>0</v>
      </c>
      <c r="Z626" s="5">
        <v>45123.287670999998</v>
      </c>
      <c r="AA626" s="5">
        <v>135</v>
      </c>
      <c r="AB626" s="5">
        <v>6091643.835585</v>
      </c>
      <c r="AC626" s="5" t="str">
        <f t="shared" si="31"/>
        <v>Bonos</v>
      </c>
      <c r="AD626" s="5" t="s">
        <v>43</v>
      </c>
      <c r="AE626" s="5">
        <f t="shared" si="32"/>
        <v>9</v>
      </c>
      <c r="AF626" s="5">
        <f t="shared" si="33"/>
        <v>2020</v>
      </c>
    </row>
    <row r="627" s="5" customFormat="1" ht="13">
      <c r="A627" s="5" t="s">
        <v>44</v>
      </c>
      <c r="B627" s="5" t="s">
        <v>44</v>
      </c>
      <c r="C627" s="5" t="s">
        <v>54</v>
      </c>
      <c r="D627" s="5" t="s">
        <v>21</v>
      </c>
      <c r="E627" s="5" t="s">
        <v>44</v>
      </c>
      <c r="F627" s="5" t="s">
        <v>46</v>
      </c>
      <c r="G627" s="5" t="s">
        <v>75</v>
      </c>
      <c r="H627" s="9" t="s">
        <v>147</v>
      </c>
      <c r="I627" s="10"/>
      <c r="J627" s="10">
        <v>44102</v>
      </c>
      <c r="K627" s="5" t="s">
        <v>57</v>
      </c>
      <c r="L627" s="5" t="s">
        <v>58</v>
      </c>
      <c r="M627" s="11">
        <v>0.12</v>
      </c>
      <c r="N627" s="5" t="e">
        <f>IF(AND(M627&gt;#REF!,Cartera!O627="Guaraníes"),"Rendimiento significativo",IF(AND(M627&gt;#REF!,Cartera!O627="Dólares americanos"),"Rendimiento significativo","Rendimiento no significativo"))</f>
        <v>#REF!</v>
      </c>
      <c r="O627" s="5" t="s">
        <v>41</v>
      </c>
      <c r="P627" s="12">
        <v>4487671.2328500003</v>
      </c>
      <c r="Q627" s="12">
        <f>IF(O627="Guaraníes",P627,P627*#REF!)</f>
        <v>4487671.2328500003</v>
      </c>
      <c r="R627" s="12" t="e">
        <f>IF(O627="Guaraníes",P627/#REF!,P627)</f>
        <v>#REF!</v>
      </c>
      <c r="S627" s="5" t="s">
        <v>52</v>
      </c>
      <c r="T627" s="5">
        <v>25</v>
      </c>
      <c r="W627" s="5" t="s">
        <v>263</v>
      </c>
      <c r="X627" s="5">
        <v>0</v>
      </c>
      <c r="Y627" s="5">
        <v>0</v>
      </c>
      <c r="Z627" s="5">
        <v>29917.808218999999</v>
      </c>
      <c r="AA627" s="5">
        <v>150</v>
      </c>
      <c r="AB627" s="5">
        <v>4487671.2328500003</v>
      </c>
      <c r="AC627" s="5" t="str">
        <f t="shared" si="31"/>
        <v>Bonos</v>
      </c>
      <c r="AD627" s="5" t="s">
        <v>43</v>
      </c>
      <c r="AE627" s="5">
        <f t="shared" si="32"/>
        <v>9</v>
      </c>
      <c r="AF627" s="5">
        <f t="shared" si="33"/>
        <v>2020</v>
      </c>
    </row>
    <row r="628" s="5" customFormat="1" ht="13">
      <c r="A628" s="5" t="s">
        <v>44</v>
      </c>
      <c r="B628" s="5" t="s">
        <v>44</v>
      </c>
      <c r="C628" s="5" t="s">
        <v>114</v>
      </c>
      <c r="D628" s="5" t="s">
        <v>21</v>
      </c>
      <c r="E628" s="5" t="s">
        <v>44</v>
      </c>
      <c r="F628" s="5" t="s">
        <v>68</v>
      </c>
      <c r="G628" s="5" t="s">
        <v>75</v>
      </c>
      <c r="H628" s="9" t="s">
        <v>237</v>
      </c>
      <c r="I628" s="10"/>
      <c r="J628" s="10">
        <v>44104</v>
      </c>
      <c r="K628" s="5" t="s">
        <v>77</v>
      </c>
      <c r="L628" s="5" t="s">
        <v>50</v>
      </c>
      <c r="M628" s="11">
        <v>0.13750000000000001</v>
      </c>
      <c r="N628" s="5" t="e">
        <f>IF(AND(M628&gt;#REF!,Cartera!O628="Guaraníes"),"Rendimiento significativo",IF(AND(M628&gt;#REF!,Cartera!O628="Dólares americanos"),"Rendimiento significativo","Rendimiento no significativo"))</f>
        <v>#REF!</v>
      </c>
      <c r="O628" s="5" t="s">
        <v>41</v>
      </c>
      <c r="P628" s="12">
        <v>693150.68494000006</v>
      </c>
      <c r="Q628" s="12">
        <f>IF(O628="Guaraníes",P628,P628*#REF!)</f>
        <v>693150.68494000006</v>
      </c>
      <c r="R628" s="12" t="e">
        <f>IF(O628="Guaraníes",P628/#REF!,P628)</f>
        <v>#REF!</v>
      </c>
      <c r="S628" s="5" t="s">
        <v>52</v>
      </c>
      <c r="T628" s="5">
        <v>25</v>
      </c>
      <c r="W628" s="5" t="s">
        <v>65</v>
      </c>
      <c r="X628" s="5">
        <v>0</v>
      </c>
      <c r="Y628" s="5">
        <v>0</v>
      </c>
      <c r="Z628" s="5">
        <v>34657.534247000003</v>
      </c>
      <c r="AA628" s="5">
        <v>20</v>
      </c>
      <c r="AB628" s="5">
        <v>693150.68493999995</v>
      </c>
      <c r="AC628" s="5" t="str">
        <f t="shared" si="31"/>
        <v>Bonos</v>
      </c>
      <c r="AD628" s="5" t="s">
        <v>43</v>
      </c>
      <c r="AE628" s="5">
        <f t="shared" si="32"/>
        <v>9</v>
      </c>
      <c r="AF628" s="5">
        <f t="shared" si="33"/>
        <v>2020</v>
      </c>
    </row>
    <row r="629" s="5" customFormat="1" ht="13">
      <c r="A629" s="5" t="s">
        <v>44</v>
      </c>
      <c r="B629" s="5" t="s">
        <v>44</v>
      </c>
      <c r="C629" s="5" t="s">
        <v>33</v>
      </c>
      <c r="D629" s="5" t="s">
        <v>21</v>
      </c>
      <c r="E629" s="5" t="s">
        <v>44</v>
      </c>
      <c r="F629" s="5" t="s">
        <v>35</v>
      </c>
      <c r="G629" s="5" t="s">
        <v>75</v>
      </c>
      <c r="H629" s="9" t="s">
        <v>257</v>
      </c>
      <c r="I629" s="10"/>
      <c r="J629" s="10">
        <v>44105</v>
      </c>
      <c r="K629" s="5" t="s">
        <v>39</v>
      </c>
      <c r="L629" s="5" t="s">
        <v>106</v>
      </c>
      <c r="M629" s="11">
        <v>0.0625</v>
      </c>
      <c r="N629" s="5" t="e">
        <f>IF(AND(M629&gt;#REF!,Cartera!O629="Guaraníes"),"Rendimiento significativo",IF(AND(M629&gt;#REF!,Cartera!O629="Dólares americanos"),"Rendimiento significativo","Rendimiento no significativo"))</f>
        <v>#REF!</v>
      </c>
      <c r="O629" s="5" t="s">
        <v>51</v>
      </c>
      <c r="P629" s="13">
        <v>623.28767999999991</v>
      </c>
      <c r="Q629" s="12" t="e">
        <f>IF(O629="Guaraníes",P629,P629*#REF!)</f>
        <v>#REF!</v>
      </c>
      <c r="R629" s="12">
        <f>IF(O629="Guaraníes",P629/#REF!,P629)</f>
        <v>623.28767999999991</v>
      </c>
      <c r="S629" s="5" t="s">
        <v>52</v>
      </c>
      <c r="T629" s="5">
        <v>25</v>
      </c>
      <c r="W629" s="5" t="s">
        <v>218</v>
      </c>
      <c r="X629" s="5">
        <v>0</v>
      </c>
      <c r="Y629" s="5">
        <v>0</v>
      </c>
      <c r="Z629" s="5">
        <v>15.582191999999999</v>
      </c>
      <c r="AA629" s="5">
        <v>40</v>
      </c>
      <c r="AB629" s="5">
        <v>623.28768000000002</v>
      </c>
      <c r="AC629" s="5" t="str">
        <f t="shared" si="31"/>
        <v>Bonos</v>
      </c>
      <c r="AD629" s="5" t="s">
        <v>43</v>
      </c>
      <c r="AE629" s="5">
        <f t="shared" si="32"/>
        <v>10</v>
      </c>
      <c r="AF629" s="5">
        <f t="shared" si="33"/>
        <v>2020</v>
      </c>
    </row>
    <row r="630" s="5" customFormat="1" ht="13">
      <c r="A630" s="5" t="s">
        <v>44</v>
      </c>
      <c r="B630" s="5" t="s">
        <v>44</v>
      </c>
      <c r="C630" s="5" t="s">
        <v>183</v>
      </c>
      <c r="D630" s="5" t="s">
        <v>21</v>
      </c>
      <c r="E630" s="5" t="s">
        <v>44</v>
      </c>
      <c r="F630" s="5" t="s">
        <v>184</v>
      </c>
      <c r="G630" s="5" t="s">
        <v>75</v>
      </c>
      <c r="H630" s="9" t="s">
        <v>251</v>
      </c>
      <c r="I630" s="10"/>
      <c r="J630" s="10">
        <v>44113</v>
      </c>
      <c r="K630" s="5" t="s">
        <v>124</v>
      </c>
      <c r="L630" s="5" t="s">
        <v>106</v>
      </c>
      <c r="M630" s="11">
        <v>0.069199999999999998</v>
      </c>
      <c r="N630" s="5" t="e">
        <f>IF(AND(M630&gt;#REF!,Cartera!O630="Guaraníes"),"Rendimiento significativo",IF(AND(M630&gt;#REF!,Cartera!O630="Dólares americanos"),"Rendimiento significativo","Rendimiento no significativo"))</f>
        <v>#REF!</v>
      </c>
      <c r="O630" s="5" t="s">
        <v>41</v>
      </c>
      <c r="P630" s="12">
        <v>5422602.7397999996</v>
      </c>
      <c r="Q630" s="12">
        <f>IF(O630="Guaraníes",P630,P630*#REF!)</f>
        <v>5422602.7397999996</v>
      </c>
      <c r="R630" s="12" t="e">
        <f>IF(O630="Guaraníes",P630/#REF!,P630)</f>
        <v>#REF!</v>
      </c>
      <c r="S630" s="5" t="s">
        <v>52</v>
      </c>
      <c r="T630" s="5">
        <v>25</v>
      </c>
      <c r="W630" s="5" t="s">
        <v>258</v>
      </c>
      <c r="X630" s="5">
        <v>0</v>
      </c>
      <c r="Y630" s="5">
        <v>0</v>
      </c>
      <c r="Z630" s="5">
        <v>36150.684931999996</v>
      </c>
      <c r="AA630" s="5">
        <v>150</v>
      </c>
      <c r="AB630" s="5">
        <v>5422602.7397999996</v>
      </c>
      <c r="AC630" s="5" t="str">
        <f t="shared" si="31"/>
        <v>Bonos</v>
      </c>
      <c r="AD630" s="5" t="s">
        <v>43</v>
      </c>
      <c r="AE630" s="5">
        <f t="shared" si="32"/>
        <v>10</v>
      </c>
      <c r="AF630" s="5">
        <f t="shared" si="33"/>
        <v>2020</v>
      </c>
    </row>
    <row r="631" s="5" customFormat="1" ht="13">
      <c r="A631" s="5" t="s">
        <v>44</v>
      </c>
      <c r="B631" s="5" t="s">
        <v>44</v>
      </c>
      <c r="C631" s="5" t="s">
        <v>156</v>
      </c>
      <c r="D631" s="5" t="s">
        <v>21</v>
      </c>
      <c r="E631" s="5" t="s">
        <v>44</v>
      </c>
      <c r="F631" s="5" t="s">
        <v>68</v>
      </c>
      <c r="G631" s="5" t="s">
        <v>75</v>
      </c>
      <c r="H631" s="9" t="s">
        <v>157</v>
      </c>
      <c r="I631" s="10"/>
      <c r="J631" s="10">
        <v>44117</v>
      </c>
      <c r="K631" s="5" t="s">
        <v>158</v>
      </c>
      <c r="L631" s="5" t="s">
        <v>58</v>
      </c>
      <c r="M631" s="11">
        <v>0.16</v>
      </c>
      <c r="N631" s="5" t="e">
        <f>IF(AND(M631&gt;#REF!,Cartera!O631="Guaraníes"),"Rendimiento significativo",IF(AND(M631&gt;#REF!,Cartera!O631="Dólares americanos"),"Rendimiento significativo","Rendimiento no significativo"))</f>
        <v>#REF!</v>
      </c>
      <c r="O631" s="5" t="s">
        <v>41</v>
      </c>
      <c r="P631" s="12">
        <v>4188493.15068</v>
      </c>
      <c r="Q631" s="12">
        <f>IF(O631="Guaraníes",P631,P631*#REF!)</f>
        <v>4188493.15068</v>
      </c>
      <c r="R631" s="12" t="e">
        <f>IF(O631="Guaraníes",P631/#REF!,P631)</f>
        <v>#REF!</v>
      </c>
      <c r="S631" s="5" t="s">
        <v>52</v>
      </c>
      <c r="T631" s="5">
        <v>25</v>
      </c>
      <c r="W631" s="5" t="s">
        <v>259</v>
      </c>
      <c r="X631" s="5">
        <v>0</v>
      </c>
      <c r="Y631" s="5">
        <v>0</v>
      </c>
      <c r="Z631" s="5">
        <v>34904.109589</v>
      </c>
      <c r="AA631" s="5">
        <v>120</v>
      </c>
      <c r="AB631" s="5">
        <v>4188493.15068</v>
      </c>
      <c r="AC631" s="5" t="str">
        <f t="shared" si="31"/>
        <v>Bonos</v>
      </c>
      <c r="AD631" s="5" t="s">
        <v>43</v>
      </c>
      <c r="AE631" s="5">
        <f t="shared" si="32"/>
        <v>10</v>
      </c>
      <c r="AF631" s="5">
        <f t="shared" si="33"/>
        <v>2020</v>
      </c>
    </row>
    <row r="632" s="5" customFormat="1" ht="13">
      <c r="A632" s="5" t="s">
        <v>44</v>
      </c>
      <c r="B632" s="5" t="s">
        <v>44</v>
      </c>
      <c r="C632" s="5" t="s">
        <v>197</v>
      </c>
      <c r="D632" s="5" t="s">
        <v>21</v>
      </c>
      <c r="E632" s="5" t="s">
        <v>44</v>
      </c>
      <c r="F632" s="5" t="s">
        <v>68</v>
      </c>
      <c r="G632" s="5" t="s">
        <v>75</v>
      </c>
      <c r="H632" s="9" t="s">
        <v>198</v>
      </c>
      <c r="I632" s="10"/>
      <c r="J632" s="10">
        <v>44119</v>
      </c>
      <c r="K632" s="5" t="s">
        <v>199</v>
      </c>
      <c r="L632" s="5" t="s">
        <v>58</v>
      </c>
      <c r="M632" s="11">
        <v>0.10000000000000001</v>
      </c>
      <c r="N632" s="5" t="e">
        <f>IF(AND(M632&gt;#REF!,Cartera!O632="Guaraníes"),"Rendimiento significativo",IF(AND(M632&gt;#REF!,Cartera!O632="Dólares americanos"),"Rendimiento significativo","Rendimiento no significativo"))</f>
        <v>#REF!</v>
      </c>
      <c r="O632" s="5" t="s">
        <v>41</v>
      </c>
      <c r="P632" s="12">
        <v>1436712.328764</v>
      </c>
      <c r="Q632" s="12">
        <f>IF(O632="Guaraníes",P632,P632*#REF!)</f>
        <v>1436712.328764</v>
      </c>
      <c r="R632" s="12" t="e">
        <f>IF(O632="Guaraníes",P632/#REF!,P632)</f>
        <v>#REF!</v>
      </c>
      <c r="S632" s="5" t="s">
        <v>52</v>
      </c>
      <c r="T632" s="5">
        <v>25</v>
      </c>
      <c r="W632" s="5" t="s">
        <v>264</v>
      </c>
      <c r="X632" s="5">
        <v>0</v>
      </c>
      <c r="Y632" s="5">
        <v>0</v>
      </c>
      <c r="Z632" s="5">
        <v>25205.479452</v>
      </c>
      <c r="AA632" s="5">
        <v>57</v>
      </c>
      <c r="AB632" s="5">
        <v>1436712.328764</v>
      </c>
      <c r="AC632" s="5" t="str">
        <f t="shared" si="31"/>
        <v>Bonos</v>
      </c>
      <c r="AD632" s="5" t="s">
        <v>43</v>
      </c>
      <c r="AE632" s="5">
        <f t="shared" si="32"/>
        <v>10</v>
      </c>
      <c r="AF632" s="5">
        <f t="shared" si="33"/>
        <v>2020</v>
      </c>
    </row>
    <row r="633" s="5" customFormat="1" ht="13">
      <c r="A633" s="5" t="s">
        <v>44</v>
      </c>
      <c r="B633" s="5" t="s">
        <v>44</v>
      </c>
      <c r="C633" s="5" t="s">
        <v>239</v>
      </c>
      <c r="D633" s="5" t="s">
        <v>21</v>
      </c>
      <c r="E633" s="5" t="s">
        <v>44</v>
      </c>
      <c r="F633" s="5" t="s">
        <v>68</v>
      </c>
      <c r="G633" s="5" t="s">
        <v>75</v>
      </c>
      <c r="H633" s="9" t="s">
        <v>240</v>
      </c>
      <c r="I633" s="10"/>
      <c r="J633" s="10">
        <v>44124</v>
      </c>
      <c r="K633" s="5" t="s">
        <v>49</v>
      </c>
      <c r="L633" s="5" t="s">
        <v>58</v>
      </c>
      <c r="M633" s="11">
        <v>0.13</v>
      </c>
      <c r="N633" s="5" t="e">
        <f>IF(AND(M633&gt;#REF!,Cartera!O633="Guaraníes"),"Rendimiento significativo",IF(AND(M633&gt;#REF!,Cartera!O633="Dólares americanos"),"Rendimiento significativo","Rendimiento no significativo"))</f>
        <v>#REF!</v>
      </c>
      <c r="O633" s="5" t="s">
        <v>41</v>
      </c>
      <c r="P633" s="12">
        <v>1620547.9452</v>
      </c>
      <c r="Q633" s="12">
        <f>IF(O633="Guaraníes",P633,P633*#REF!)</f>
        <v>1620547.9452</v>
      </c>
      <c r="R633" s="12" t="e">
        <f>IF(O633="Guaraníes",P633/#REF!,P633)</f>
        <v>#REF!</v>
      </c>
      <c r="S633" s="5" t="s">
        <v>52</v>
      </c>
      <c r="T633" s="5">
        <v>25</v>
      </c>
      <c r="W633" s="5" t="s">
        <v>245</v>
      </c>
      <c r="X633" s="5">
        <v>0</v>
      </c>
      <c r="Y633" s="5">
        <v>0</v>
      </c>
      <c r="Z633" s="5">
        <v>32410.958903999999</v>
      </c>
      <c r="AA633" s="5">
        <v>50</v>
      </c>
      <c r="AB633" s="5">
        <v>1620547.9452</v>
      </c>
      <c r="AC633" s="5" t="str">
        <f t="shared" si="31"/>
        <v>Bonos</v>
      </c>
      <c r="AD633" s="5" t="s">
        <v>43</v>
      </c>
      <c r="AE633" s="5">
        <f t="shared" si="32"/>
        <v>10</v>
      </c>
      <c r="AF633" s="5">
        <f t="shared" si="33"/>
        <v>2020</v>
      </c>
    </row>
    <row r="634" s="5" customFormat="1" ht="13">
      <c r="A634" s="5" t="s">
        <v>44</v>
      </c>
      <c r="B634" s="5" t="s">
        <v>44</v>
      </c>
      <c r="C634" s="5" t="s">
        <v>114</v>
      </c>
      <c r="D634" s="5" t="s">
        <v>21</v>
      </c>
      <c r="E634" s="5" t="s">
        <v>44</v>
      </c>
      <c r="F634" s="5" t="s">
        <v>68</v>
      </c>
      <c r="G634" s="5" t="s">
        <v>75</v>
      </c>
      <c r="H634" s="9" t="s">
        <v>234</v>
      </c>
      <c r="I634" s="10"/>
      <c r="J634" s="10">
        <v>44125</v>
      </c>
      <c r="K634" s="5" t="s">
        <v>77</v>
      </c>
      <c r="L634" s="5" t="s">
        <v>50</v>
      </c>
      <c r="M634" s="11">
        <v>0.12</v>
      </c>
      <c r="N634" s="5" t="e">
        <f>IF(AND(M634&gt;#REF!,Cartera!O634="Guaraníes"),"Rendimiento significativo",IF(AND(M634&gt;#REF!,Cartera!O634="Dólares americanos"),"Rendimiento significativo","Rendimiento no significativo"))</f>
        <v>#REF!</v>
      </c>
      <c r="O634" s="5" t="s">
        <v>51</v>
      </c>
      <c r="P634" s="13">
        <v>486.16437000000002</v>
      </c>
      <c r="Q634" s="12" t="e">
        <f>IF(O634="Guaraníes",P634,P634*#REF!)</f>
        <v>#REF!</v>
      </c>
      <c r="R634" s="12">
        <f>IF(O634="Guaraníes",P634/#REF!,P634)</f>
        <v>486.16437000000002</v>
      </c>
      <c r="S634" s="5" t="s">
        <v>52</v>
      </c>
      <c r="T634" s="5">
        <v>25</v>
      </c>
      <c r="W634" s="5" t="s">
        <v>65</v>
      </c>
      <c r="X634" s="5">
        <v>0</v>
      </c>
      <c r="Y634" s="5">
        <v>0</v>
      </c>
      <c r="Z634" s="5">
        <v>16.205479</v>
      </c>
      <c r="AA634" s="5">
        <v>30</v>
      </c>
      <c r="AB634" s="5">
        <v>486.16437000000002</v>
      </c>
      <c r="AC634" s="5" t="str">
        <f t="shared" si="31"/>
        <v>Bonos</v>
      </c>
      <c r="AD634" s="5" t="s">
        <v>43</v>
      </c>
      <c r="AE634" s="5">
        <f t="shared" si="32"/>
        <v>10</v>
      </c>
      <c r="AF634" s="5">
        <f t="shared" si="33"/>
        <v>2020</v>
      </c>
    </row>
    <row r="635" s="5" customFormat="1" ht="13">
      <c r="A635" s="5" t="s">
        <v>44</v>
      </c>
      <c r="B635" s="5" t="s">
        <v>44</v>
      </c>
      <c r="C635" s="5" t="s">
        <v>99</v>
      </c>
      <c r="D635" s="5" t="s">
        <v>21</v>
      </c>
      <c r="E635" s="5" t="s">
        <v>44</v>
      </c>
      <c r="F635" s="5" t="s">
        <v>100</v>
      </c>
      <c r="G635" s="5" t="s">
        <v>75</v>
      </c>
      <c r="H635" s="9" t="s">
        <v>217</v>
      </c>
      <c r="I635" s="10"/>
      <c r="J635" s="10">
        <v>44128</v>
      </c>
      <c r="K635" s="5" t="s">
        <v>102</v>
      </c>
      <c r="L635" s="5" t="s">
        <v>102</v>
      </c>
      <c r="M635" s="11">
        <v>0.080000000000000002</v>
      </c>
      <c r="N635" s="5" t="e">
        <f>IF(AND(M635&gt;#REF!,Cartera!O635="Guaraníes"),"Rendimiento significativo",IF(AND(M635&gt;#REF!,Cartera!O635="Dólares americanos"),"Rendimiento significativo","Rendimiento no significativo"))</f>
        <v>#REF!</v>
      </c>
      <c r="O635" s="5" t="s">
        <v>41</v>
      </c>
      <c r="P635" s="12">
        <v>5767000</v>
      </c>
      <c r="Q635" s="12">
        <f>IF(O635="Guaraníes",P635,P635*#REF!)</f>
        <v>5767000</v>
      </c>
      <c r="R635" s="12" t="e">
        <f>IF(O635="Guaraníes",P635/#REF!,P635)</f>
        <v>#REF!</v>
      </c>
      <c r="S635" s="5" t="s">
        <v>52</v>
      </c>
      <c r="T635" s="5">
        <v>25</v>
      </c>
      <c r="W635" s="5" t="s">
        <v>218</v>
      </c>
      <c r="X635" s="5">
        <v>0</v>
      </c>
      <c r="Y635" s="5">
        <v>0</v>
      </c>
      <c r="Z635" s="5">
        <v>39500</v>
      </c>
      <c r="AA635" s="5">
        <v>146</v>
      </c>
      <c r="AB635" s="5">
        <v>5767000</v>
      </c>
      <c r="AC635" s="5" t="str">
        <f t="shared" si="31"/>
        <v>Bonos</v>
      </c>
      <c r="AD635" s="5" t="s">
        <v>43</v>
      </c>
      <c r="AE635" s="5">
        <f t="shared" si="32"/>
        <v>10</v>
      </c>
      <c r="AF635" s="5">
        <f t="shared" si="33"/>
        <v>2020</v>
      </c>
    </row>
    <row r="636" s="5" customFormat="1" ht="13">
      <c r="A636" s="5" t="s">
        <v>44</v>
      </c>
      <c r="B636" s="5" t="s">
        <v>44</v>
      </c>
      <c r="C636" s="5" t="s">
        <v>156</v>
      </c>
      <c r="D636" s="5" t="s">
        <v>21</v>
      </c>
      <c r="E636" s="5" t="s">
        <v>44</v>
      </c>
      <c r="F636" s="5" t="s">
        <v>68</v>
      </c>
      <c r="G636" s="5" t="s">
        <v>75</v>
      </c>
      <c r="H636" s="9" t="s">
        <v>246</v>
      </c>
      <c r="I636" s="10"/>
      <c r="J636" s="10">
        <v>44133</v>
      </c>
      <c r="K636" s="5" t="s">
        <v>158</v>
      </c>
      <c r="L636" s="5" t="s">
        <v>58</v>
      </c>
      <c r="M636" s="11">
        <v>0.125</v>
      </c>
      <c r="N636" s="5" t="e">
        <f>IF(AND(M636&gt;#REF!,Cartera!O636="Guaraníes"),"Rendimiento significativo",IF(AND(M636&gt;#REF!,Cartera!O636="Dólares americanos"),"Rendimiento significativo","Rendimiento no significativo"))</f>
        <v>#REF!</v>
      </c>
      <c r="O636" s="5" t="s">
        <v>41</v>
      </c>
      <c r="P636" s="12">
        <v>1495890.4109499999</v>
      </c>
      <c r="Q636" s="12">
        <f>IF(O636="Guaraníes",P636,P636*#REF!)</f>
        <v>1495890.4109499999</v>
      </c>
      <c r="R636" s="12" t="e">
        <f>IF(O636="Guaraníes",P636/#REF!,P636)</f>
        <v>#REF!</v>
      </c>
      <c r="S636" s="5" t="s">
        <v>52</v>
      </c>
      <c r="T636" s="5">
        <v>25</v>
      </c>
      <c r="W636" s="5" t="s">
        <v>261</v>
      </c>
      <c r="X636" s="5">
        <v>0</v>
      </c>
      <c r="Y636" s="5">
        <v>0</v>
      </c>
      <c r="Z636" s="5">
        <v>29917.808218999999</v>
      </c>
      <c r="AA636" s="5">
        <v>50</v>
      </c>
      <c r="AB636" s="5">
        <v>1495890.4109499999</v>
      </c>
      <c r="AC636" s="5" t="str">
        <f t="shared" si="31"/>
        <v>Bonos</v>
      </c>
      <c r="AD636" s="5" t="s">
        <v>43</v>
      </c>
      <c r="AE636" s="5">
        <f t="shared" si="32"/>
        <v>10</v>
      </c>
      <c r="AF636" s="5">
        <f t="shared" si="33"/>
        <v>2020</v>
      </c>
    </row>
    <row r="637" s="5" customFormat="1" ht="13">
      <c r="A637" s="5" t="s">
        <v>44</v>
      </c>
      <c r="B637" s="5" t="s">
        <v>44</v>
      </c>
      <c r="C637" s="5" t="s">
        <v>114</v>
      </c>
      <c r="D637" s="5" t="s">
        <v>21</v>
      </c>
      <c r="E637" s="5" t="s">
        <v>44</v>
      </c>
      <c r="F637" s="5" t="s">
        <v>68</v>
      </c>
      <c r="G637" s="5" t="s">
        <v>75</v>
      </c>
      <c r="H637" s="9" t="s">
        <v>235</v>
      </c>
      <c r="I637" s="10"/>
      <c r="J637" s="10">
        <v>44133</v>
      </c>
      <c r="K637" s="5" t="s">
        <v>77</v>
      </c>
      <c r="L637" s="5" t="s">
        <v>50</v>
      </c>
      <c r="M637" s="11">
        <v>0.14249999999999999</v>
      </c>
      <c r="N637" s="5" t="e">
        <f>IF(AND(M637&gt;#REF!,Cartera!O637="Guaraníes"),"Rendimiento significativo",IF(AND(M637&gt;#REF!,Cartera!O637="Dólares americanos"),"Rendimiento significativo","Rendimiento no significativo"))</f>
        <v>#REF!</v>
      </c>
      <c r="O637" s="5" t="s">
        <v>41</v>
      </c>
      <c r="P637" s="12">
        <v>183869.86301500001</v>
      </c>
      <c r="Q637" s="12">
        <f>IF(O637="Guaraníes",P637,P637*#REF!)</f>
        <v>183869.86301500001</v>
      </c>
      <c r="R637" s="12" t="e">
        <f>IF(O637="Guaraníes",P637/#REF!,P637)</f>
        <v>#REF!</v>
      </c>
      <c r="S637" s="5" t="s">
        <v>52</v>
      </c>
      <c r="T637" s="5">
        <v>25</v>
      </c>
      <c r="W637" s="5" t="s">
        <v>65</v>
      </c>
      <c r="X637" s="5">
        <v>0</v>
      </c>
      <c r="Y637" s="5">
        <v>0</v>
      </c>
      <c r="Z637" s="5">
        <v>36773.972603000002</v>
      </c>
      <c r="AA637" s="5">
        <v>5</v>
      </c>
      <c r="AB637" s="5">
        <v>183869.86301500001</v>
      </c>
      <c r="AC637" s="5" t="str">
        <f t="shared" si="31"/>
        <v>Bonos</v>
      </c>
      <c r="AD637" s="5" t="s">
        <v>43</v>
      </c>
      <c r="AE637" s="5">
        <f t="shared" si="32"/>
        <v>10</v>
      </c>
      <c r="AF637" s="5">
        <f t="shared" si="33"/>
        <v>2020</v>
      </c>
    </row>
    <row r="638" s="5" customFormat="1" ht="13">
      <c r="A638" s="5" t="s">
        <v>44</v>
      </c>
      <c r="B638" s="5" t="s">
        <v>44</v>
      </c>
      <c r="C638" s="5" t="s">
        <v>114</v>
      </c>
      <c r="D638" s="5" t="s">
        <v>21</v>
      </c>
      <c r="E638" s="5" t="s">
        <v>44</v>
      </c>
      <c r="F638" s="5" t="s">
        <v>68</v>
      </c>
      <c r="G638" s="5" t="s">
        <v>75</v>
      </c>
      <c r="H638" s="9" t="s">
        <v>115</v>
      </c>
      <c r="I638" s="10"/>
      <c r="J638" s="10">
        <v>44133</v>
      </c>
      <c r="K638" s="5" t="s">
        <v>77</v>
      </c>
      <c r="L638" s="5" t="s">
        <v>50</v>
      </c>
      <c r="M638" s="11">
        <v>0.125</v>
      </c>
      <c r="N638" s="5" t="e">
        <f>IF(AND(M638&gt;#REF!,Cartera!O638="Guaraníes"),"Rendimiento significativo",IF(AND(M638&gt;#REF!,Cartera!O638="Dólares americanos"),"Rendimiento significativo","Rendimiento no significativo"))</f>
        <v>#REF!</v>
      </c>
      <c r="O638" s="5" t="s">
        <v>41</v>
      </c>
      <c r="P638" s="12">
        <v>897534.24656999996</v>
      </c>
      <c r="Q638" s="12">
        <f>IF(O638="Guaraníes",P638,P638*#REF!)</f>
        <v>897534.24656999996</v>
      </c>
      <c r="R638" s="12" t="e">
        <f>IF(O638="Guaraníes",P638/#REF!,P638)</f>
        <v>#REF!</v>
      </c>
      <c r="S638" s="5" t="s">
        <v>52</v>
      </c>
      <c r="T638" s="5">
        <v>25</v>
      </c>
      <c r="W638" s="5" t="s">
        <v>65</v>
      </c>
      <c r="X638" s="5">
        <v>0</v>
      </c>
      <c r="Y638" s="5">
        <v>0</v>
      </c>
      <c r="Z638" s="5">
        <v>29917.808218999999</v>
      </c>
      <c r="AA638" s="5">
        <v>30</v>
      </c>
      <c r="AB638" s="5">
        <v>897534.24656999996</v>
      </c>
      <c r="AC638" s="5" t="str">
        <f t="shared" si="31"/>
        <v>Bonos</v>
      </c>
      <c r="AD638" s="5" t="s">
        <v>43</v>
      </c>
      <c r="AE638" s="5">
        <f t="shared" si="32"/>
        <v>10</v>
      </c>
      <c r="AF638" s="5">
        <f t="shared" si="33"/>
        <v>2020</v>
      </c>
    </row>
    <row r="639" s="5" customFormat="1" ht="13">
      <c r="A639" s="5" t="s">
        <v>44</v>
      </c>
      <c r="B639" s="5" t="s">
        <v>44</v>
      </c>
      <c r="C639" s="5" t="s">
        <v>99</v>
      </c>
      <c r="D639" s="5" t="s">
        <v>21</v>
      </c>
      <c r="E639" s="5" t="s">
        <v>44</v>
      </c>
      <c r="F639" s="5" t="s">
        <v>100</v>
      </c>
      <c r="G639" s="5" t="s">
        <v>75</v>
      </c>
      <c r="H639" s="9" t="s">
        <v>248</v>
      </c>
      <c r="I639" s="10"/>
      <c r="J639" s="10">
        <v>44144</v>
      </c>
      <c r="K639" s="5" t="s">
        <v>102</v>
      </c>
      <c r="L639" s="5" t="s">
        <v>102</v>
      </c>
      <c r="M639" s="11">
        <v>0.077499999999999999</v>
      </c>
      <c r="N639" s="5" t="e">
        <f>IF(AND(M639&gt;#REF!,Cartera!O639="Guaraníes"),"Rendimiento significativo",IF(AND(M639&gt;#REF!,Cartera!O639="Dólares americanos"),"Rendimiento significativo","Rendimiento no significativo"))</f>
        <v>#REF!</v>
      </c>
      <c r="O639" s="5" t="s">
        <v>41</v>
      </c>
      <c r="P639" s="12">
        <v>1750000</v>
      </c>
      <c r="Q639" s="12">
        <f>IF(O639="Guaraníes",P639,P639*#REF!)</f>
        <v>1750000</v>
      </c>
      <c r="R639" s="12" t="e">
        <f>IF(O639="Guaraníes",P639/#REF!,P639)</f>
        <v>#REF!</v>
      </c>
      <c r="S639" s="5" t="s">
        <v>52</v>
      </c>
      <c r="T639" s="5">
        <v>25</v>
      </c>
      <c r="W639" s="5" t="s">
        <v>249</v>
      </c>
      <c r="X639" s="5">
        <v>0</v>
      </c>
      <c r="Y639" s="5">
        <v>0</v>
      </c>
      <c r="Z639" s="5">
        <v>35000</v>
      </c>
      <c r="AA639" s="5">
        <v>50</v>
      </c>
      <c r="AB639" s="5">
        <v>1750000</v>
      </c>
      <c r="AC639" s="5" t="str">
        <f t="shared" si="31"/>
        <v>Bonos</v>
      </c>
      <c r="AD639" s="5" t="s">
        <v>43</v>
      </c>
      <c r="AE639" s="5">
        <f t="shared" si="32"/>
        <v>11</v>
      </c>
      <c r="AF639" s="5">
        <f t="shared" si="33"/>
        <v>2020</v>
      </c>
    </row>
    <row r="640" s="5" customFormat="1" ht="13">
      <c r="A640" s="5" t="s">
        <v>44</v>
      </c>
      <c r="B640" s="5" t="s">
        <v>44</v>
      </c>
      <c r="C640" s="5" t="s">
        <v>33</v>
      </c>
      <c r="D640" s="5" t="s">
        <v>21</v>
      </c>
      <c r="E640" s="5" t="s">
        <v>44</v>
      </c>
      <c r="F640" s="5" t="s">
        <v>35</v>
      </c>
      <c r="G640" s="5" t="s">
        <v>75</v>
      </c>
      <c r="H640" s="9" t="s">
        <v>168</v>
      </c>
      <c r="I640" s="10"/>
      <c r="J640" s="10">
        <v>44145</v>
      </c>
      <c r="K640" s="5" t="s">
        <v>39</v>
      </c>
      <c r="L640" s="5" t="s">
        <v>50</v>
      </c>
      <c r="M640" s="11">
        <v>0.070000000000000007</v>
      </c>
      <c r="N640" s="5" t="e">
        <f>IF(AND(M640&gt;#REF!,Cartera!O640="Guaraníes"),"Rendimiento significativo",IF(AND(M640&gt;#REF!,Cartera!O640="Dólares americanos"),"Rendimiento significativo","Rendimiento no significativo"))</f>
        <v>#REF!</v>
      </c>
      <c r="O640" s="5" t="s">
        <v>51</v>
      </c>
      <c r="P640" s="13">
        <v>1221.6438500000002</v>
      </c>
      <c r="Q640" s="12" t="e">
        <f>IF(O640="Guaraníes",P640,P640*#REF!)</f>
        <v>#REF!</v>
      </c>
      <c r="R640" s="12">
        <f>IF(O640="Guaraníes",P640/#REF!,P640)</f>
        <v>1221.6438500000002</v>
      </c>
      <c r="S640" s="5" t="s">
        <v>52</v>
      </c>
      <c r="T640" s="5">
        <v>25</v>
      </c>
      <c r="W640" s="5" t="s">
        <v>65</v>
      </c>
      <c r="X640" s="5">
        <v>0</v>
      </c>
      <c r="Y640" s="5">
        <v>0</v>
      </c>
      <c r="Z640" s="5">
        <v>17.452055000000001</v>
      </c>
      <c r="AA640" s="5">
        <v>70</v>
      </c>
      <c r="AB640" s="5">
        <v>1221.6438499999999</v>
      </c>
      <c r="AC640" s="5" t="str">
        <f t="shared" ref="AC640:AC703" si="34">IF(ISNUMBER(SEARCH("Acciones",L640)),"Acciones",IF(ISNUMBER(SEARCH("Bono",L640)),"Bonos",IF(ISNUMBER(SEARCH("CDA",L640)),"CDA",IF(ISNUMBER(SEARCH("Fondo",L640)),"Fondo",0))))</f>
        <v>Bonos</v>
      </c>
      <c r="AD640" s="5" t="s">
        <v>43</v>
      </c>
      <c r="AE640" s="5">
        <f t="shared" si="32"/>
        <v>11</v>
      </c>
      <c r="AF640" s="5">
        <f t="shared" si="33"/>
        <v>2020</v>
      </c>
    </row>
    <row r="641" s="5" customFormat="1" ht="13">
      <c r="A641" s="5" t="s">
        <v>44</v>
      </c>
      <c r="B641" s="5" t="s">
        <v>44</v>
      </c>
      <c r="C641" s="5" t="s">
        <v>242</v>
      </c>
      <c r="D641" s="5" t="s">
        <v>21</v>
      </c>
      <c r="E641" s="5" t="s">
        <v>44</v>
      </c>
      <c r="F641" s="5" t="s">
        <v>68</v>
      </c>
      <c r="G641" s="5" t="s">
        <v>75</v>
      </c>
      <c r="H641" s="9" t="s">
        <v>243</v>
      </c>
      <c r="I641" s="10"/>
      <c r="J641" s="10">
        <v>44151</v>
      </c>
      <c r="K641" s="5" t="s">
        <v>244</v>
      </c>
      <c r="L641" s="5" t="s">
        <v>58</v>
      </c>
      <c r="M641" s="11">
        <v>0.13750000000000001</v>
      </c>
      <c r="N641" s="5" t="e">
        <f>IF(AND(M641&gt;#REF!,Cartera!O641="Guaraníes"),"Rendimiento significativo",IF(AND(M641&gt;#REF!,Cartera!O641="Dólares americanos"),"Rendimiento significativo","Rendimiento no significativo"))</f>
        <v>#REF!</v>
      </c>
      <c r="O641" s="5" t="s">
        <v>41</v>
      </c>
      <c r="P641" s="12">
        <v>1028424.65754</v>
      </c>
      <c r="Q641" s="12">
        <f>IF(O641="Guaraníes",P641,P641*#REF!)</f>
        <v>1028424.65754</v>
      </c>
      <c r="R641" s="12" t="e">
        <f>IF(O641="Guaraníes",P641/#REF!,P641)</f>
        <v>#REF!</v>
      </c>
      <c r="S641" s="5" t="s">
        <v>52</v>
      </c>
      <c r="T641" s="5">
        <v>25</v>
      </c>
      <c r="W641" s="5" t="s">
        <v>241</v>
      </c>
      <c r="X641" s="5">
        <v>0</v>
      </c>
      <c r="Y641" s="5">
        <v>0</v>
      </c>
      <c r="Z641" s="5">
        <v>34280.821918000001</v>
      </c>
      <c r="AA641" s="5">
        <v>30</v>
      </c>
      <c r="AB641" s="5">
        <v>1028424.65754</v>
      </c>
      <c r="AC641" s="5" t="str">
        <f t="shared" si="34"/>
        <v>Bonos</v>
      </c>
      <c r="AD641" s="5" t="s">
        <v>43</v>
      </c>
      <c r="AE641" s="5">
        <f t="shared" si="32"/>
        <v>11</v>
      </c>
      <c r="AF641" s="5">
        <f t="shared" si="33"/>
        <v>2020</v>
      </c>
    </row>
    <row r="642" s="5" customFormat="1" ht="13">
      <c r="A642" s="5" t="s">
        <v>44</v>
      </c>
      <c r="B642" s="5" t="s">
        <v>44</v>
      </c>
      <c r="C642" s="5" t="s">
        <v>114</v>
      </c>
      <c r="D642" s="5" t="s">
        <v>21</v>
      </c>
      <c r="E642" s="5" t="s">
        <v>44</v>
      </c>
      <c r="F642" s="5" t="s">
        <v>68</v>
      </c>
      <c r="G642" s="5" t="s">
        <v>75</v>
      </c>
      <c r="H642" s="9" t="s">
        <v>170</v>
      </c>
      <c r="I642" s="10"/>
      <c r="J642" s="10">
        <v>44152</v>
      </c>
      <c r="K642" s="5" t="s">
        <v>77</v>
      </c>
      <c r="L642" s="5" t="s">
        <v>50</v>
      </c>
      <c r="M642" s="11">
        <v>0.14000000000000001</v>
      </c>
      <c r="N642" s="5" t="e">
        <f>IF(AND(M642&gt;#REF!,Cartera!O642="Guaraníes"),"Rendimiento significativo",IF(AND(M642&gt;#REF!,Cartera!O642="Dólares americanos"),"Rendimiento significativo","Rendimiento no significativo"))</f>
        <v>#REF!</v>
      </c>
      <c r="O642" s="5" t="s">
        <v>41</v>
      </c>
      <c r="P642" s="12">
        <v>3490410.9589</v>
      </c>
      <c r="Q642" s="12">
        <f>IF(O642="Guaraníes",P642,P642*#REF!)</f>
        <v>3490410.9589</v>
      </c>
      <c r="R642" s="12" t="e">
        <f>IF(O642="Guaraníes",P642/#REF!,P642)</f>
        <v>#REF!</v>
      </c>
      <c r="S642" s="5" t="s">
        <v>52</v>
      </c>
      <c r="T642" s="5">
        <v>25</v>
      </c>
      <c r="W642" s="5" t="s">
        <v>65</v>
      </c>
      <c r="X642" s="5">
        <v>0</v>
      </c>
      <c r="Y642" s="5">
        <v>0</v>
      </c>
      <c r="Z642" s="5">
        <v>34904.109589</v>
      </c>
      <c r="AA642" s="5">
        <v>100</v>
      </c>
      <c r="AB642" s="5">
        <v>3490410.9589</v>
      </c>
      <c r="AC642" s="5" t="str">
        <f t="shared" si="34"/>
        <v>Bonos</v>
      </c>
      <c r="AD642" s="5" t="s">
        <v>43</v>
      </c>
      <c r="AE642" s="5">
        <f t="shared" si="32"/>
        <v>11</v>
      </c>
      <c r="AF642" s="5">
        <f t="shared" si="33"/>
        <v>2020</v>
      </c>
    </row>
    <row r="643" s="5" customFormat="1" ht="13">
      <c r="A643" s="5" t="s">
        <v>44</v>
      </c>
      <c r="B643" s="5" t="s">
        <v>44</v>
      </c>
      <c r="C643" s="5" t="s">
        <v>227</v>
      </c>
      <c r="D643" s="5" t="s">
        <v>21</v>
      </c>
      <c r="E643" s="5" t="s">
        <v>44</v>
      </c>
      <c r="F643" s="5" t="s">
        <v>68</v>
      </c>
      <c r="G643" s="5" t="s">
        <v>75</v>
      </c>
      <c r="H643" s="9" t="s">
        <v>228</v>
      </c>
      <c r="I643" s="10"/>
      <c r="J643" s="10">
        <v>44154</v>
      </c>
      <c r="K643" s="5" t="s">
        <v>77</v>
      </c>
      <c r="L643" s="5" t="s">
        <v>58</v>
      </c>
      <c r="M643" s="11">
        <v>0.1525</v>
      </c>
      <c r="N643" s="5" t="e">
        <f>IF(AND(M643&gt;#REF!,Cartera!O643="Guaraníes"),"Rendimiento significativo",IF(AND(M643&gt;#REF!,Cartera!O643="Dólares americanos"),"Rendimiento significativo","Rendimiento no significativo"))</f>
        <v>#REF!</v>
      </c>
      <c r="O643" s="5" t="s">
        <v>41</v>
      </c>
      <c r="P643" s="12">
        <v>2851541.0958749996</v>
      </c>
      <c r="Q643" s="12">
        <f>IF(O643="Guaraníes",P643,P643*#REF!)</f>
        <v>2851541.0958749996</v>
      </c>
      <c r="R643" s="12" t="e">
        <f>IF(O643="Guaraníes",P643/#REF!,P643)</f>
        <v>#REF!</v>
      </c>
      <c r="S643" s="5" t="s">
        <v>52</v>
      </c>
      <c r="T643" s="5">
        <v>25</v>
      </c>
      <c r="W643" s="5" t="s">
        <v>196</v>
      </c>
      <c r="X643" s="5">
        <v>0</v>
      </c>
      <c r="Y643" s="5">
        <v>0</v>
      </c>
      <c r="Z643" s="5">
        <v>38020.547944999998</v>
      </c>
      <c r="AA643" s="5">
        <v>75</v>
      </c>
      <c r="AB643" s="5">
        <v>2851541.0958750001</v>
      </c>
      <c r="AC643" s="5" t="str">
        <f t="shared" si="34"/>
        <v>Bonos</v>
      </c>
      <c r="AD643" s="5" t="s">
        <v>43</v>
      </c>
      <c r="AE643" s="5">
        <f t="shared" si="32"/>
        <v>11</v>
      </c>
      <c r="AF643" s="5">
        <f t="shared" si="33"/>
        <v>2020</v>
      </c>
    </row>
    <row r="644" s="5" customFormat="1" ht="13">
      <c r="A644" s="5" t="s">
        <v>44</v>
      </c>
      <c r="B644" s="5" t="s">
        <v>44</v>
      </c>
      <c r="C644" s="5" t="s">
        <v>74</v>
      </c>
      <c r="D644" s="5" t="s">
        <v>21</v>
      </c>
      <c r="E644" s="5" t="s">
        <v>44</v>
      </c>
      <c r="F644" s="5" t="s">
        <v>68</v>
      </c>
      <c r="G644" s="5" t="s">
        <v>75</v>
      </c>
      <c r="H644" s="9" t="s">
        <v>231</v>
      </c>
      <c r="I644" s="10"/>
      <c r="J644" s="10">
        <v>44159</v>
      </c>
      <c r="K644" s="5" t="s">
        <v>77</v>
      </c>
      <c r="L644" s="5" t="s">
        <v>58</v>
      </c>
      <c r="M644" s="11">
        <v>0.14000000000000001</v>
      </c>
      <c r="N644" s="5" t="e">
        <f>IF(AND(M644&gt;#REF!,Cartera!O644="Guaraníes"),"Rendimiento significativo",IF(AND(M644&gt;#REF!,Cartera!O644="Dólares americanos"),"Rendimiento significativo","Rendimiento no significativo"))</f>
        <v>#REF!</v>
      </c>
      <c r="O644" s="5" t="s">
        <v>41</v>
      </c>
      <c r="P644" s="12">
        <v>5235616.4383499995</v>
      </c>
      <c r="Q644" s="12">
        <f>IF(O644="Guaraníes",P644,P644*#REF!)</f>
        <v>5235616.4383499995</v>
      </c>
      <c r="R644" s="12" t="e">
        <f>IF(O644="Guaraníes",P644/#REF!,P644)</f>
        <v>#REF!</v>
      </c>
      <c r="S644" s="5" t="s">
        <v>52</v>
      </c>
      <c r="T644" s="5">
        <v>25</v>
      </c>
      <c r="W644" s="5" t="s">
        <v>232</v>
      </c>
      <c r="X644" s="5">
        <v>0</v>
      </c>
      <c r="Y644" s="5">
        <v>0</v>
      </c>
      <c r="Z644" s="5">
        <v>34904.109589</v>
      </c>
      <c r="AA644" s="5">
        <v>150</v>
      </c>
      <c r="AB644" s="5">
        <v>5235616.4383500004</v>
      </c>
      <c r="AC644" s="5" t="str">
        <f t="shared" si="34"/>
        <v>Bonos</v>
      </c>
      <c r="AD644" s="5" t="s">
        <v>43</v>
      </c>
      <c r="AE644" s="5">
        <f t="shared" si="32"/>
        <v>11</v>
      </c>
      <c r="AF644" s="5">
        <f t="shared" si="33"/>
        <v>2020</v>
      </c>
    </row>
    <row r="645" s="5" customFormat="1" ht="13">
      <c r="A645" s="5" t="s">
        <v>44</v>
      </c>
      <c r="B645" s="5" t="s">
        <v>44</v>
      </c>
      <c r="C645" s="5" t="s">
        <v>254</v>
      </c>
      <c r="D645" s="5" t="s">
        <v>21</v>
      </c>
      <c r="E645" s="5" t="s">
        <v>44</v>
      </c>
      <c r="F645" s="5" t="s">
        <v>68</v>
      </c>
      <c r="G645" s="5" t="s">
        <v>75</v>
      </c>
      <c r="H645" s="9" t="s">
        <v>255</v>
      </c>
      <c r="I645" s="10"/>
      <c r="J645" s="10">
        <v>44175</v>
      </c>
      <c r="K645" s="5" t="s">
        <v>256</v>
      </c>
      <c r="L645" s="5" t="s">
        <v>58</v>
      </c>
      <c r="M645" s="11">
        <v>0.057500000000000002</v>
      </c>
      <c r="N645" s="5" t="e">
        <f>IF(AND(M645&gt;#REF!,Cartera!O645="Guaraníes"),"Rendimiento significativo",IF(AND(M645&gt;#REF!,Cartera!O645="Dólares americanos"),"Rendimiento significativo","Rendimiento no significativo"))</f>
        <v>#REF!</v>
      </c>
      <c r="O645" s="5" t="s">
        <v>51</v>
      </c>
      <c r="P645" s="13">
        <v>860.13698999999997</v>
      </c>
      <c r="Q645" s="12" t="e">
        <f>IF(O645="Guaraníes",P645,P645*#REF!)</f>
        <v>#REF!</v>
      </c>
      <c r="R645" s="12">
        <f>IF(O645="Guaraníes",P645/#REF!,P645)</f>
        <v>860.13698999999997</v>
      </c>
      <c r="S645" s="5" t="s">
        <v>52</v>
      </c>
      <c r="T645" s="5">
        <v>25</v>
      </c>
      <c r="W645" s="5" t="s">
        <v>262</v>
      </c>
      <c r="X645" s="5">
        <v>0</v>
      </c>
      <c r="Y645" s="5">
        <v>0</v>
      </c>
      <c r="Z645" s="5">
        <v>28.671233000000001</v>
      </c>
      <c r="AA645" s="5">
        <v>30</v>
      </c>
      <c r="AB645" s="5">
        <v>860.13698999999997</v>
      </c>
      <c r="AC645" s="5" t="str">
        <f t="shared" si="34"/>
        <v>Bonos</v>
      </c>
      <c r="AD645" s="5" t="s">
        <v>43</v>
      </c>
      <c r="AE645" s="5">
        <f t="shared" si="32"/>
        <v>12</v>
      </c>
      <c r="AF645" s="5">
        <f t="shared" si="33"/>
        <v>2020</v>
      </c>
    </row>
    <row r="646" s="5" customFormat="1" ht="13">
      <c r="A646" s="5" t="s">
        <v>44</v>
      </c>
      <c r="B646" s="5" t="s">
        <v>44</v>
      </c>
      <c r="C646" s="5" t="s">
        <v>135</v>
      </c>
      <c r="D646" s="5" t="s">
        <v>21</v>
      </c>
      <c r="E646" s="5" t="s">
        <v>44</v>
      </c>
      <c r="F646" s="5" t="s">
        <v>68</v>
      </c>
      <c r="G646" s="5" t="s">
        <v>75</v>
      </c>
      <c r="H646" s="9" t="s">
        <v>136</v>
      </c>
      <c r="I646" s="10"/>
      <c r="J646" s="10">
        <v>44181</v>
      </c>
      <c r="K646" s="5" t="s">
        <v>124</v>
      </c>
      <c r="L646" s="5" t="s">
        <v>58</v>
      </c>
      <c r="M646" s="11">
        <v>0.060999999999999999</v>
      </c>
      <c r="N646" s="5" t="e">
        <f>IF(AND(M646&gt;#REF!,Cartera!O646="Guaraníes"),"Rendimiento significativo",IF(AND(M646&gt;#REF!,Cartera!O646="Dólares americanos"),"Rendimiento significativo","Rendimiento no significativo"))</f>
        <v>#REF!</v>
      </c>
      <c r="O646" s="5" t="s">
        <v>41</v>
      </c>
      <c r="P646" s="12">
        <v>6116712.3288000003</v>
      </c>
      <c r="Q646" s="12">
        <f>IF(O646="Guaraníes",P646,P646*#REF!)</f>
        <v>6116712.3288000003</v>
      </c>
      <c r="R646" s="12" t="e">
        <f>IF(O646="Guaraníes",P646/#REF!,P646)</f>
        <v>#REF!</v>
      </c>
      <c r="S646" s="5" t="s">
        <v>52</v>
      </c>
      <c r="T646" s="5">
        <v>25</v>
      </c>
      <c r="W646" s="5" t="s">
        <v>137</v>
      </c>
      <c r="X646" s="5">
        <v>0</v>
      </c>
      <c r="Y646" s="5">
        <v>0</v>
      </c>
      <c r="Z646" s="5">
        <v>30583.561644000001</v>
      </c>
      <c r="AA646" s="5">
        <v>200</v>
      </c>
      <c r="AB646" s="5">
        <v>6116712.3288000003</v>
      </c>
      <c r="AC646" s="5" t="str">
        <f t="shared" si="34"/>
        <v>Bonos</v>
      </c>
      <c r="AD646" s="5" t="s">
        <v>43</v>
      </c>
      <c r="AE646" s="5">
        <f t="shared" si="32"/>
        <v>12</v>
      </c>
      <c r="AF646" s="5">
        <f t="shared" si="33"/>
        <v>2020</v>
      </c>
    </row>
    <row r="647" s="5" customFormat="1" ht="13">
      <c r="A647" s="5" t="s">
        <v>44</v>
      </c>
      <c r="B647" s="5" t="s">
        <v>44</v>
      </c>
      <c r="C647" s="5" t="s">
        <v>114</v>
      </c>
      <c r="D647" s="5" t="s">
        <v>21</v>
      </c>
      <c r="E647" s="5" t="s">
        <v>44</v>
      </c>
      <c r="F647" s="5" t="s">
        <v>68</v>
      </c>
      <c r="G647" s="5" t="s">
        <v>75</v>
      </c>
      <c r="H647" s="9" t="s">
        <v>226</v>
      </c>
      <c r="I647" s="10"/>
      <c r="J647" s="10">
        <v>44182</v>
      </c>
      <c r="K647" s="5" t="s">
        <v>77</v>
      </c>
      <c r="L647" s="5" t="s">
        <v>58</v>
      </c>
      <c r="M647" s="11">
        <v>0.14000000000000001</v>
      </c>
      <c r="N647" s="5" t="e">
        <f>IF(AND(M647&gt;#REF!,Cartera!O647="Guaraníes"),"Rendimiento significativo",IF(AND(M647&gt;#REF!,Cartera!O647="Dólares americanos"),"Rendimiento significativo","Rendimiento no significativo"))</f>
        <v>#REF!</v>
      </c>
      <c r="O647" s="5" t="s">
        <v>41</v>
      </c>
      <c r="P647" s="12">
        <v>523561.643835</v>
      </c>
      <c r="Q647" s="12">
        <f>IF(O647="Guaraníes",P647,P647*#REF!)</f>
        <v>523561.643835</v>
      </c>
      <c r="R647" s="12" t="e">
        <f>IF(O647="Guaraníes",P647/#REF!,P647)</f>
        <v>#REF!</v>
      </c>
      <c r="S647" s="5" t="s">
        <v>52</v>
      </c>
      <c r="T647" s="5">
        <v>25</v>
      </c>
      <c r="W647" s="5" t="s">
        <v>65</v>
      </c>
      <c r="X647" s="5">
        <v>0</v>
      </c>
      <c r="Y647" s="5">
        <v>0</v>
      </c>
      <c r="Z647" s="5">
        <v>34904.109589</v>
      </c>
      <c r="AA647" s="5">
        <v>15</v>
      </c>
      <c r="AB647" s="5">
        <v>523561.643835</v>
      </c>
      <c r="AC647" s="5" t="str">
        <f t="shared" si="34"/>
        <v>Bonos</v>
      </c>
      <c r="AD647" s="5" t="s">
        <v>43</v>
      </c>
      <c r="AE647" s="5">
        <f t="shared" si="32"/>
        <v>12</v>
      </c>
      <c r="AF647" s="5">
        <f t="shared" si="33"/>
        <v>2020</v>
      </c>
    </row>
    <row r="648" s="5" customFormat="1" ht="13">
      <c r="A648" s="5" t="s">
        <v>44</v>
      </c>
      <c r="B648" s="5" t="s">
        <v>44</v>
      </c>
      <c r="C648" s="5" t="s">
        <v>114</v>
      </c>
      <c r="D648" s="5" t="s">
        <v>21</v>
      </c>
      <c r="E648" s="5" t="s">
        <v>44</v>
      </c>
      <c r="F648" s="5" t="s">
        <v>68</v>
      </c>
      <c r="G648" s="5" t="s">
        <v>75</v>
      </c>
      <c r="H648" s="9" t="s">
        <v>236</v>
      </c>
      <c r="I648" s="10"/>
      <c r="J648" s="10">
        <v>44182</v>
      </c>
      <c r="K648" s="5" t="s">
        <v>77</v>
      </c>
      <c r="L648" s="5" t="s">
        <v>50</v>
      </c>
      <c r="M648" s="11">
        <v>0.14749999999999999</v>
      </c>
      <c r="N648" s="5" t="e">
        <f>IF(AND(M648&gt;#REF!,Cartera!O648="Guaraníes"),"Rendimiento significativo",IF(AND(M648&gt;#REF!,Cartera!O648="Dólares americanos"),"Rendimiento significativo","Rendimiento no significativo"))</f>
        <v>#REF!</v>
      </c>
      <c r="O648" s="5" t="s">
        <v>41</v>
      </c>
      <c r="P648" s="12">
        <v>112191.780822</v>
      </c>
      <c r="Q648" s="12">
        <f>IF(O648="Guaraníes",P648,P648*#REF!)</f>
        <v>112191.780822</v>
      </c>
      <c r="R648" s="12" t="e">
        <f>IF(O648="Guaraníes",P648/#REF!,P648)</f>
        <v>#REF!</v>
      </c>
      <c r="S648" s="5" t="s">
        <v>52</v>
      </c>
      <c r="T648" s="5">
        <v>25</v>
      </c>
      <c r="W648" s="5" t="s">
        <v>65</v>
      </c>
      <c r="X648" s="5">
        <v>0</v>
      </c>
      <c r="Y648" s="5">
        <v>0</v>
      </c>
      <c r="Z648" s="5">
        <v>37397.260274</v>
      </c>
      <c r="AA648" s="5">
        <v>3</v>
      </c>
      <c r="AB648" s="5">
        <v>112191.780822</v>
      </c>
      <c r="AC648" s="5" t="str">
        <f t="shared" si="34"/>
        <v>Bonos</v>
      </c>
      <c r="AD648" s="5" t="s">
        <v>43</v>
      </c>
      <c r="AE648" s="5">
        <f t="shared" si="32"/>
        <v>12</v>
      </c>
      <c r="AF648" s="5">
        <f t="shared" si="33"/>
        <v>2020</v>
      </c>
    </row>
    <row r="649" s="5" customFormat="1" ht="13">
      <c r="A649" s="5" t="s">
        <v>44</v>
      </c>
      <c r="B649" s="5" t="s">
        <v>44</v>
      </c>
      <c r="C649" s="5" t="s">
        <v>135</v>
      </c>
      <c r="D649" s="5" t="s">
        <v>21</v>
      </c>
      <c r="E649" s="5" t="s">
        <v>44</v>
      </c>
      <c r="F649" s="5" t="s">
        <v>68</v>
      </c>
      <c r="G649" s="5" t="s">
        <v>75</v>
      </c>
      <c r="H649" s="9" t="s">
        <v>265</v>
      </c>
      <c r="I649" s="10"/>
      <c r="J649" s="10">
        <v>44187</v>
      </c>
      <c r="K649" s="5" t="s">
        <v>124</v>
      </c>
      <c r="L649" s="5" t="s">
        <v>58</v>
      </c>
      <c r="M649" s="11">
        <v>0.054000000000000006</v>
      </c>
      <c r="N649" s="5" t="e">
        <f>IF(AND(M649&gt;#REF!,Cartera!O649="Guaraníes"),"Rendimiento significativo",IF(AND(M649&gt;#REF!,Cartera!O649="Dólares americanos"),"Rendimiento significativo","Rendimiento no significativo"))</f>
        <v>#REF!</v>
      </c>
      <c r="O649" s="5" t="s">
        <v>41</v>
      </c>
      <c r="P649" s="12">
        <v>399452.05479999998</v>
      </c>
      <c r="Q649" s="12">
        <f>IF(O649="Guaraníes",P649,P649*#REF!)</f>
        <v>399452.05479999998</v>
      </c>
      <c r="R649" s="12" t="e">
        <f>IF(O649="Guaraníes",P649/#REF!,P649)</f>
        <v>#REF!</v>
      </c>
      <c r="S649" s="5" t="s">
        <v>52</v>
      </c>
      <c r="T649" s="5">
        <v>25</v>
      </c>
      <c r="W649" s="5" t="s">
        <v>137</v>
      </c>
      <c r="X649" s="5">
        <v>0</v>
      </c>
      <c r="Y649" s="5">
        <v>0</v>
      </c>
      <c r="Z649" s="5">
        <v>7989.0410959999999</v>
      </c>
      <c r="AA649" s="5">
        <v>50</v>
      </c>
      <c r="AB649" s="5">
        <v>399452.05479999998</v>
      </c>
      <c r="AC649" s="5" t="str">
        <f t="shared" si="34"/>
        <v>Bonos</v>
      </c>
      <c r="AD649" s="5" t="s">
        <v>43</v>
      </c>
      <c r="AE649" s="5">
        <f t="shared" si="32"/>
        <v>12</v>
      </c>
      <c r="AF649" s="5">
        <f t="shared" si="33"/>
        <v>2020</v>
      </c>
    </row>
    <row r="650" s="5" customFormat="1" ht="13">
      <c r="A650" s="5" t="s">
        <v>44</v>
      </c>
      <c r="B650" s="5" t="s">
        <v>44</v>
      </c>
      <c r="C650" s="5" t="s">
        <v>54</v>
      </c>
      <c r="D650" s="5" t="s">
        <v>21</v>
      </c>
      <c r="E650" s="5" t="s">
        <v>44</v>
      </c>
      <c r="F650" s="5" t="s">
        <v>46</v>
      </c>
      <c r="G650" s="5" t="s">
        <v>75</v>
      </c>
      <c r="H650" s="9" t="s">
        <v>147</v>
      </c>
      <c r="I650" s="10"/>
      <c r="J650" s="10">
        <v>44193</v>
      </c>
      <c r="K650" s="5" t="s">
        <v>57</v>
      </c>
      <c r="L650" s="5" t="s">
        <v>58</v>
      </c>
      <c r="M650" s="11">
        <v>0.12</v>
      </c>
      <c r="N650" s="5" t="e">
        <f>IF(AND(M650&gt;#REF!,Cartera!O650="Guaraníes"),"Rendimiento significativo",IF(AND(M650&gt;#REF!,Cartera!O650="Dólares americanos"),"Rendimiento significativo","Rendimiento no significativo"))</f>
        <v>#REF!</v>
      </c>
      <c r="O650" s="5" t="s">
        <v>41</v>
      </c>
      <c r="P650" s="12">
        <v>4487671.2328500003</v>
      </c>
      <c r="Q650" s="12">
        <f>IF(O650="Guaraníes",P650,P650*#REF!)</f>
        <v>4487671.2328500003</v>
      </c>
      <c r="R650" s="12" t="e">
        <f>IF(O650="Guaraníes",P650/#REF!,P650)</f>
        <v>#REF!</v>
      </c>
      <c r="S650" s="5" t="s">
        <v>52</v>
      </c>
      <c r="T650" s="5">
        <v>25</v>
      </c>
      <c r="W650" s="5" t="s">
        <v>263</v>
      </c>
      <c r="X650" s="5">
        <v>0</v>
      </c>
      <c r="Y650" s="5">
        <v>0</v>
      </c>
      <c r="Z650" s="5">
        <v>29917.808218999999</v>
      </c>
      <c r="AA650" s="5">
        <v>150</v>
      </c>
      <c r="AB650" s="5">
        <v>4487671.2328500003</v>
      </c>
      <c r="AC650" s="5" t="str">
        <f t="shared" si="34"/>
        <v>Bonos</v>
      </c>
      <c r="AD650" s="5" t="s">
        <v>43</v>
      </c>
      <c r="AE650" s="5">
        <f t="shared" si="32"/>
        <v>12</v>
      </c>
      <c r="AF650" s="5">
        <f t="shared" si="33"/>
        <v>2020</v>
      </c>
    </row>
    <row r="651" s="5" customFormat="1" ht="13">
      <c r="A651" s="5" t="s">
        <v>44</v>
      </c>
      <c r="B651" s="5" t="s">
        <v>44</v>
      </c>
      <c r="C651" s="5" t="s">
        <v>114</v>
      </c>
      <c r="D651" s="5" t="s">
        <v>21</v>
      </c>
      <c r="E651" s="5" t="s">
        <v>44</v>
      </c>
      <c r="F651" s="5" t="s">
        <v>68</v>
      </c>
      <c r="G651" s="5" t="s">
        <v>75</v>
      </c>
      <c r="H651" s="9" t="s">
        <v>237</v>
      </c>
      <c r="I651" s="10"/>
      <c r="J651" s="10">
        <v>44194</v>
      </c>
      <c r="K651" s="5" t="s">
        <v>77</v>
      </c>
      <c r="L651" s="5" t="s">
        <v>50</v>
      </c>
      <c r="M651" s="11">
        <v>0.13750000000000001</v>
      </c>
      <c r="N651" s="5" t="e">
        <f>IF(AND(M651&gt;#REF!,Cartera!O651="Guaraníes"),"Rendimiento significativo",IF(AND(M651&gt;#REF!,Cartera!O651="Dólares americanos"),"Rendimiento significativo","Rendimiento no significativo"))</f>
        <v>#REF!</v>
      </c>
      <c r="O651" s="5" t="s">
        <v>41</v>
      </c>
      <c r="P651" s="12">
        <v>678082.19177999999</v>
      </c>
      <c r="Q651" s="12">
        <f>IF(O651="Guaraníes",P651,P651*#REF!)</f>
        <v>678082.19177999999</v>
      </c>
      <c r="R651" s="12" t="e">
        <f>IF(O651="Guaraníes",P651/#REF!,P651)</f>
        <v>#REF!</v>
      </c>
      <c r="S651" s="5" t="s">
        <v>52</v>
      </c>
      <c r="T651" s="5">
        <v>25</v>
      </c>
      <c r="W651" s="5" t="s">
        <v>65</v>
      </c>
      <c r="X651" s="5">
        <v>0</v>
      </c>
      <c r="Y651" s="5">
        <v>0</v>
      </c>
      <c r="Z651" s="5">
        <v>33904.109589</v>
      </c>
      <c r="AA651" s="5">
        <v>20</v>
      </c>
      <c r="AB651" s="5">
        <v>678082.19177999999</v>
      </c>
      <c r="AC651" s="5" t="str">
        <f t="shared" si="34"/>
        <v>Bonos</v>
      </c>
      <c r="AD651" s="5" t="s">
        <v>43</v>
      </c>
      <c r="AE651" s="5">
        <f t="shared" si="32"/>
        <v>12</v>
      </c>
      <c r="AF651" s="5">
        <f t="shared" si="33"/>
        <v>2020</v>
      </c>
    </row>
    <row r="652" s="5" customFormat="1" ht="13">
      <c r="A652" s="5" t="s">
        <v>44</v>
      </c>
      <c r="B652" s="5" t="s">
        <v>44</v>
      </c>
      <c r="C652" s="5" t="s">
        <v>33</v>
      </c>
      <c r="D652" s="5" t="s">
        <v>21</v>
      </c>
      <c r="E652" s="5" t="s">
        <v>44</v>
      </c>
      <c r="F652" s="5" t="s">
        <v>35</v>
      </c>
      <c r="G652" s="5" t="s">
        <v>75</v>
      </c>
      <c r="H652" s="9" t="s">
        <v>257</v>
      </c>
      <c r="I652" s="10"/>
      <c r="J652" s="10">
        <v>44196</v>
      </c>
      <c r="K652" s="5" t="s">
        <v>39</v>
      </c>
      <c r="L652" s="5" t="s">
        <v>106</v>
      </c>
      <c r="M652" s="11">
        <v>0.0625</v>
      </c>
      <c r="N652" s="5" t="e">
        <f>IF(AND(M652&gt;#REF!,Cartera!O652="Guaraníes"),"Rendimiento significativo",IF(AND(M652&gt;#REF!,Cartera!O652="Dólares americanos"),"Rendimiento significativo","Rendimiento no significativo"))</f>
        <v>#REF!</v>
      </c>
      <c r="O652" s="5" t="s">
        <v>51</v>
      </c>
      <c r="P652" s="13">
        <v>623.28767999999991</v>
      </c>
      <c r="Q652" s="12" t="e">
        <f>IF(O652="Guaraníes",P652,P652*#REF!)</f>
        <v>#REF!</v>
      </c>
      <c r="R652" s="12">
        <f>IF(O652="Guaraníes",P652/#REF!,P652)</f>
        <v>623.28767999999991</v>
      </c>
      <c r="S652" s="5" t="s">
        <v>52</v>
      </c>
      <c r="T652" s="5">
        <v>25</v>
      </c>
      <c r="W652" s="5" t="s">
        <v>218</v>
      </c>
      <c r="X652" s="5">
        <v>0</v>
      </c>
      <c r="Y652" s="5">
        <v>0</v>
      </c>
      <c r="Z652" s="5">
        <v>15.582191999999999</v>
      </c>
      <c r="AA652" s="5">
        <v>40</v>
      </c>
      <c r="AB652" s="5">
        <v>623.28768000000002</v>
      </c>
      <c r="AC652" s="5" t="str">
        <f t="shared" si="34"/>
        <v>Bonos</v>
      </c>
      <c r="AD652" s="5" t="s">
        <v>43</v>
      </c>
      <c r="AE652" s="5">
        <f t="shared" si="32"/>
        <v>12</v>
      </c>
      <c r="AF652" s="5">
        <f t="shared" si="33"/>
        <v>2020</v>
      </c>
    </row>
    <row r="653" s="5" customFormat="1" ht="13">
      <c r="A653" s="5" t="s">
        <v>44</v>
      </c>
      <c r="B653" s="5" t="s">
        <v>44</v>
      </c>
      <c r="C653" s="5" t="s">
        <v>156</v>
      </c>
      <c r="D653" s="5" t="s">
        <v>21</v>
      </c>
      <c r="E653" s="5" t="s">
        <v>44</v>
      </c>
      <c r="F653" s="5" t="s">
        <v>68</v>
      </c>
      <c r="G653" s="5" t="s">
        <v>75</v>
      </c>
      <c r="H653" s="9" t="s">
        <v>157</v>
      </c>
      <c r="I653" s="10"/>
      <c r="J653" s="10">
        <v>44208</v>
      </c>
      <c r="K653" s="5" t="s">
        <v>158</v>
      </c>
      <c r="L653" s="5" t="s">
        <v>58</v>
      </c>
      <c r="M653" s="11">
        <v>0.16</v>
      </c>
      <c r="N653" s="5" t="e">
        <f>IF(AND(M653&gt;#REF!,Cartera!O653="Guaraníes"),"Rendimiento significativo",IF(AND(M653&gt;#REF!,Cartera!O653="Dólares americanos"),"Rendimiento significativo","Rendimiento no significativo"))</f>
        <v>#REF!</v>
      </c>
      <c r="O653" s="5" t="s">
        <v>41</v>
      </c>
      <c r="P653" s="12">
        <v>4188493.15068</v>
      </c>
      <c r="Q653" s="12">
        <f>IF(O653="Guaraníes",P653,P653*#REF!)</f>
        <v>4188493.15068</v>
      </c>
      <c r="R653" s="12" t="e">
        <f>IF(O653="Guaraníes",P653/#REF!,P653)</f>
        <v>#REF!</v>
      </c>
      <c r="S653" s="5" t="s">
        <v>52</v>
      </c>
      <c r="T653" s="5">
        <v>25</v>
      </c>
      <c r="W653" s="5" t="s">
        <v>232</v>
      </c>
      <c r="X653" s="5">
        <v>0</v>
      </c>
      <c r="Y653" s="5">
        <v>0</v>
      </c>
      <c r="Z653" s="5">
        <v>34904.109589</v>
      </c>
      <c r="AA653" s="5">
        <v>120</v>
      </c>
      <c r="AB653" s="5">
        <v>4188493.15068</v>
      </c>
      <c r="AC653" s="5" t="str">
        <f t="shared" si="34"/>
        <v>Bonos</v>
      </c>
      <c r="AD653" s="5" t="s">
        <v>43</v>
      </c>
      <c r="AE653" s="5">
        <f t="shared" si="32"/>
        <v>1</v>
      </c>
      <c r="AF653" s="5">
        <f t="shared" si="33"/>
        <v>2021</v>
      </c>
    </row>
    <row r="654" s="5" customFormat="1" ht="13">
      <c r="A654" s="5" t="s">
        <v>44</v>
      </c>
      <c r="B654" s="5" t="s">
        <v>44</v>
      </c>
      <c r="C654" s="5" t="s">
        <v>197</v>
      </c>
      <c r="D654" s="5" t="s">
        <v>21</v>
      </c>
      <c r="E654" s="5" t="s">
        <v>44</v>
      </c>
      <c r="F654" s="5" t="s">
        <v>68</v>
      </c>
      <c r="G654" s="5" t="s">
        <v>75</v>
      </c>
      <c r="H654" s="9" t="s">
        <v>198</v>
      </c>
      <c r="I654" s="10"/>
      <c r="J654" s="10">
        <v>44210</v>
      </c>
      <c r="K654" s="5" t="s">
        <v>199</v>
      </c>
      <c r="L654" s="5" t="s">
        <v>58</v>
      </c>
      <c r="M654" s="11">
        <v>0.10000000000000001</v>
      </c>
      <c r="N654" s="5" t="e">
        <f>IF(AND(M654&gt;#REF!,Cartera!O654="Guaraníes"),"Rendimiento significativo",IF(AND(M654&gt;#REF!,Cartera!O654="Dólares americanos"),"Rendimiento significativo","Rendimiento no significativo"))</f>
        <v>#REF!</v>
      </c>
      <c r="O654" s="5" t="s">
        <v>41</v>
      </c>
      <c r="P654" s="12">
        <v>1421095.8903930001</v>
      </c>
      <c r="Q654" s="12">
        <f>IF(O654="Guaraníes",P654,P654*#REF!)</f>
        <v>1421095.8903930001</v>
      </c>
      <c r="R654" s="12" t="e">
        <f>IF(O654="Guaraníes",P654/#REF!,P654)</f>
        <v>#REF!</v>
      </c>
      <c r="S654" s="5" t="s">
        <v>52</v>
      </c>
      <c r="T654" s="5">
        <v>25</v>
      </c>
      <c r="W654" s="5" t="s">
        <v>266</v>
      </c>
      <c r="X654" s="5">
        <v>0</v>
      </c>
      <c r="Y654" s="5">
        <v>0</v>
      </c>
      <c r="Z654" s="5">
        <v>24931.506849000001</v>
      </c>
      <c r="AA654" s="5">
        <v>57</v>
      </c>
      <c r="AB654" s="5">
        <v>1421095.8903930001</v>
      </c>
      <c r="AC654" s="5" t="str">
        <f t="shared" si="34"/>
        <v>Bonos</v>
      </c>
      <c r="AD654" s="5" t="s">
        <v>43</v>
      </c>
      <c r="AE654" s="5">
        <f t="shared" si="32"/>
        <v>1</v>
      </c>
      <c r="AF654" s="5">
        <f t="shared" si="33"/>
        <v>2021</v>
      </c>
    </row>
    <row r="655" s="5" customFormat="1" ht="13">
      <c r="A655" s="5" t="s">
        <v>44</v>
      </c>
      <c r="B655" s="5" t="s">
        <v>44</v>
      </c>
      <c r="C655" s="5" t="s">
        <v>239</v>
      </c>
      <c r="D655" s="5" t="s">
        <v>21</v>
      </c>
      <c r="E655" s="5" t="s">
        <v>44</v>
      </c>
      <c r="F655" s="5" t="s">
        <v>68</v>
      </c>
      <c r="G655" s="5" t="s">
        <v>75</v>
      </c>
      <c r="H655" s="9" t="s">
        <v>240</v>
      </c>
      <c r="I655" s="10"/>
      <c r="J655" s="10">
        <v>44215</v>
      </c>
      <c r="K655" s="5" t="s">
        <v>49</v>
      </c>
      <c r="L655" s="5" t="s">
        <v>58</v>
      </c>
      <c r="M655" s="11">
        <v>0.13</v>
      </c>
      <c r="N655" s="5" t="e">
        <f>IF(AND(M655&gt;#REF!,Cartera!O655="Guaraníes"),"Rendimiento significativo",IF(AND(M655&gt;#REF!,Cartera!O655="Dólares americanos"),"Rendimiento significativo","Rendimiento no significativo"))</f>
        <v>#REF!</v>
      </c>
      <c r="O655" s="5" t="s">
        <v>41</v>
      </c>
      <c r="P655" s="12">
        <v>1620547.9452</v>
      </c>
      <c r="Q655" s="12">
        <f>IF(O655="Guaraníes",P655,P655*#REF!)</f>
        <v>1620547.9452</v>
      </c>
      <c r="R655" s="12" t="e">
        <f>IF(O655="Guaraníes",P655/#REF!,P655)</f>
        <v>#REF!</v>
      </c>
      <c r="S655" s="5" t="s">
        <v>52</v>
      </c>
      <c r="T655" s="5">
        <v>25</v>
      </c>
      <c r="W655" s="5" t="s">
        <v>260</v>
      </c>
      <c r="X655" s="5">
        <v>0</v>
      </c>
      <c r="Y655" s="5">
        <v>0</v>
      </c>
      <c r="Z655" s="5">
        <v>32410.958903999999</v>
      </c>
      <c r="AA655" s="5">
        <v>50</v>
      </c>
      <c r="AB655" s="5">
        <v>1620547.9452</v>
      </c>
      <c r="AC655" s="5" t="str">
        <f t="shared" si="34"/>
        <v>Bonos</v>
      </c>
      <c r="AD655" s="5" t="s">
        <v>43</v>
      </c>
      <c r="AE655" s="5">
        <f t="shared" si="32"/>
        <v>1</v>
      </c>
      <c r="AF655" s="5">
        <f t="shared" si="33"/>
        <v>2021</v>
      </c>
    </row>
    <row r="656" s="5" customFormat="1" ht="13">
      <c r="A656" s="5" t="s">
        <v>44</v>
      </c>
      <c r="B656" s="5" t="s">
        <v>44</v>
      </c>
      <c r="C656" s="5" t="s">
        <v>114</v>
      </c>
      <c r="D656" s="5" t="s">
        <v>21</v>
      </c>
      <c r="E656" s="5" t="s">
        <v>44</v>
      </c>
      <c r="F656" s="5" t="s">
        <v>68</v>
      </c>
      <c r="G656" s="5" t="s">
        <v>75</v>
      </c>
      <c r="H656" s="9" t="s">
        <v>234</v>
      </c>
      <c r="I656" s="10"/>
      <c r="J656" s="10">
        <v>44216</v>
      </c>
      <c r="K656" s="5" t="s">
        <v>77</v>
      </c>
      <c r="L656" s="5" t="s">
        <v>50</v>
      </c>
      <c r="M656" s="11">
        <v>0.12</v>
      </c>
      <c r="N656" s="5" t="e">
        <f>IF(AND(M656&gt;#REF!,Cartera!O656="Guaraníes"),"Rendimiento significativo",IF(AND(M656&gt;#REF!,Cartera!O656="Dólares americanos"),"Rendimiento significativo","Rendimiento no significativo"))</f>
        <v>#REF!</v>
      </c>
      <c r="O656" s="5" t="s">
        <v>51</v>
      </c>
      <c r="P656" s="13">
        <v>486.16437000000002</v>
      </c>
      <c r="Q656" s="12" t="e">
        <f>IF(O656="Guaraníes",P656,P656*#REF!)</f>
        <v>#REF!</v>
      </c>
      <c r="R656" s="12">
        <f>IF(O656="Guaraníes",P656/#REF!,P656)</f>
        <v>486.16437000000002</v>
      </c>
      <c r="S656" s="5" t="s">
        <v>52</v>
      </c>
      <c r="T656" s="5">
        <v>25</v>
      </c>
      <c r="W656" s="5" t="s">
        <v>65</v>
      </c>
      <c r="X656" s="5">
        <v>0</v>
      </c>
      <c r="Y656" s="5">
        <v>0</v>
      </c>
      <c r="Z656" s="5">
        <v>16.205479</v>
      </c>
      <c r="AA656" s="5">
        <v>30</v>
      </c>
      <c r="AB656" s="5">
        <v>486.16437000000002</v>
      </c>
      <c r="AC656" s="5" t="str">
        <f t="shared" si="34"/>
        <v>Bonos</v>
      </c>
      <c r="AD656" s="5" t="s">
        <v>43</v>
      </c>
      <c r="AE656" s="5">
        <f t="shared" si="32"/>
        <v>1</v>
      </c>
      <c r="AF656" s="5">
        <f t="shared" si="33"/>
        <v>2021</v>
      </c>
    </row>
    <row r="657" s="5" customFormat="1" ht="13">
      <c r="A657" s="5" t="s">
        <v>44</v>
      </c>
      <c r="B657" s="5" t="s">
        <v>44</v>
      </c>
      <c r="C657" s="5" t="s">
        <v>156</v>
      </c>
      <c r="D657" s="5" t="s">
        <v>21</v>
      </c>
      <c r="E657" s="5" t="s">
        <v>44</v>
      </c>
      <c r="F657" s="5" t="s">
        <v>68</v>
      </c>
      <c r="G657" s="5" t="s">
        <v>75</v>
      </c>
      <c r="H657" s="9" t="s">
        <v>246</v>
      </c>
      <c r="I657" s="10"/>
      <c r="J657" s="10">
        <v>44224</v>
      </c>
      <c r="K657" s="5" t="s">
        <v>158</v>
      </c>
      <c r="L657" s="5" t="s">
        <v>58</v>
      </c>
      <c r="M657" s="11">
        <v>0.125</v>
      </c>
      <c r="N657" s="5" t="e">
        <f>IF(AND(M657&gt;#REF!,Cartera!O657="Guaraníes"),"Rendimiento significativo",IF(AND(M657&gt;#REF!,Cartera!O657="Dólares americanos"),"Rendimiento significativo","Rendimiento no significativo"))</f>
        <v>#REF!</v>
      </c>
      <c r="O657" s="5" t="s">
        <v>41</v>
      </c>
      <c r="P657" s="12">
        <v>1495890.4109499999</v>
      </c>
      <c r="Q657" s="12">
        <f>IF(O657="Guaraníes",P657,P657*#REF!)</f>
        <v>1495890.4109499999</v>
      </c>
      <c r="R657" s="12" t="e">
        <f>IF(O657="Guaraníes",P657/#REF!,P657)</f>
        <v>#REF!</v>
      </c>
      <c r="S657" s="5" t="s">
        <v>52</v>
      </c>
      <c r="T657" s="5">
        <v>25</v>
      </c>
      <c r="W657" s="5" t="s">
        <v>247</v>
      </c>
      <c r="X657" s="5">
        <v>0</v>
      </c>
      <c r="Y657" s="5">
        <v>0</v>
      </c>
      <c r="Z657" s="5">
        <v>29917.808218999999</v>
      </c>
      <c r="AA657" s="5">
        <v>50</v>
      </c>
      <c r="AB657" s="5">
        <v>1495890.4109499999</v>
      </c>
      <c r="AC657" s="5" t="str">
        <f t="shared" si="34"/>
        <v>Bonos</v>
      </c>
      <c r="AD657" s="5" t="s">
        <v>43</v>
      </c>
      <c r="AE657" s="5">
        <f t="shared" si="32"/>
        <v>1</v>
      </c>
      <c r="AF657" s="5">
        <f t="shared" si="33"/>
        <v>2021</v>
      </c>
    </row>
    <row r="658" s="5" customFormat="1" ht="13">
      <c r="A658" s="5" t="s">
        <v>44</v>
      </c>
      <c r="B658" s="5" t="s">
        <v>44</v>
      </c>
      <c r="C658" s="5" t="s">
        <v>114</v>
      </c>
      <c r="D658" s="5" t="s">
        <v>21</v>
      </c>
      <c r="E658" s="5" t="s">
        <v>44</v>
      </c>
      <c r="F658" s="5" t="s">
        <v>68</v>
      </c>
      <c r="G658" s="5" t="s">
        <v>75</v>
      </c>
      <c r="H658" s="9" t="s">
        <v>235</v>
      </c>
      <c r="I658" s="10"/>
      <c r="J658" s="10">
        <v>44224</v>
      </c>
      <c r="K658" s="5" t="s">
        <v>77</v>
      </c>
      <c r="L658" s="5" t="s">
        <v>50</v>
      </c>
      <c r="M658" s="11">
        <v>0.14249999999999999</v>
      </c>
      <c r="N658" s="5" t="e">
        <f>IF(AND(M658&gt;#REF!,Cartera!O658="Guaraníes"),"Rendimiento significativo",IF(AND(M658&gt;#REF!,Cartera!O658="Dólares americanos"),"Rendimiento significativo","Rendimiento no significativo"))</f>
        <v>#REF!</v>
      </c>
      <c r="O658" s="5" t="s">
        <v>41</v>
      </c>
      <c r="P658" s="12">
        <v>183869.86301500001</v>
      </c>
      <c r="Q658" s="12">
        <f>IF(O658="Guaraníes",P658,P658*#REF!)</f>
        <v>183869.86301500001</v>
      </c>
      <c r="R658" s="12" t="e">
        <f>IF(O658="Guaraníes",P658/#REF!,P658)</f>
        <v>#REF!</v>
      </c>
      <c r="S658" s="5" t="s">
        <v>52</v>
      </c>
      <c r="T658" s="5">
        <v>25</v>
      </c>
      <c r="W658" s="5" t="s">
        <v>65</v>
      </c>
      <c r="X658" s="5">
        <v>0</v>
      </c>
      <c r="Y658" s="5">
        <v>0</v>
      </c>
      <c r="Z658" s="5">
        <v>36773.972603000002</v>
      </c>
      <c r="AA658" s="5">
        <v>5</v>
      </c>
      <c r="AB658" s="5">
        <v>183869.86301500001</v>
      </c>
      <c r="AC658" s="5" t="str">
        <f t="shared" si="34"/>
        <v>Bonos</v>
      </c>
      <c r="AD658" s="5" t="s">
        <v>43</v>
      </c>
      <c r="AE658" s="5">
        <f t="shared" si="32"/>
        <v>1</v>
      </c>
      <c r="AF658" s="5">
        <f t="shared" si="33"/>
        <v>2021</v>
      </c>
    </row>
    <row r="659" s="5" customFormat="1" ht="13">
      <c r="A659" s="5" t="s">
        <v>44</v>
      </c>
      <c r="B659" s="5" t="s">
        <v>44</v>
      </c>
      <c r="C659" s="5" t="s">
        <v>114</v>
      </c>
      <c r="D659" s="5" t="s">
        <v>21</v>
      </c>
      <c r="E659" s="5" t="s">
        <v>44</v>
      </c>
      <c r="F659" s="5" t="s">
        <v>68</v>
      </c>
      <c r="G659" s="5" t="s">
        <v>75</v>
      </c>
      <c r="H659" s="9" t="s">
        <v>115</v>
      </c>
      <c r="I659" s="10"/>
      <c r="J659" s="10">
        <v>44224</v>
      </c>
      <c r="K659" s="5" t="s">
        <v>77</v>
      </c>
      <c r="L659" s="5" t="s">
        <v>50</v>
      </c>
      <c r="M659" s="11">
        <v>0.125</v>
      </c>
      <c r="N659" s="5" t="e">
        <f>IF(AND(M659&gt;#REF!,Cartera!O659="Guaraníes"),"Rendimiento significativo",IF(AND(M659&gt;#REF!,Cartera!O659="Dólares americanos"),"Rendimiento significativo","Rendimiento no significativo"))</f>
        <v>#REF!</v>
      </c>
      <c r="O659" s="5" t="s">
        <v>41</v>
      </c>
      <c r="P659" s="12">
        <v>897534.24656999996</v>
      </c>
      <c r="Q659" s="12">
        <f>IF(O659="Guaraníes",P659,P659*#REF!)</f>
        <v>897534.24656999996</v>
      </c>
      <c r="R659" s="12" t="e">
        <f>IF(O659="Guaraníes",P659/#REF!,P659)</f>
        <v>#REF!</v>
      </c>
      <c r="S659" s="5" t="s">
        <v>52</v>
      </c>
      <c r="T659" s="5">
        <v>25</v>
      </c>
      <c r="W659" s="5" t="s">
        <v>65</v>
      </c>
      <c r="X659" s="5">
        <v>0</v>
      </c>
      <c r="Y659" s="5">
        <v>0</v>
      </c>
      <c r="Z659" s="5">
        <v>29917.808218999999</v>
      </c>
      <c r="AA659" s="5">
        <v>30</v>
      </c>
      <c r="AB659" s="5">
        <v>897534.24656999996</v>
      </c>
      <c r="AC659" s="5" t="str">
        <f t="shared" si="34"/>
        <v>Bonos</v>
      </c>
      <c r="AD659" s="5" t="s">
        <v>43</v>
      </c>
      <c r="AE659" s="5">
        <f t="shared" si="32"/>
        <v>1</v>
      </c>
      <c r="AF659" s="5">
        <f t="shared" si="33"/>
        <v>2021</v>
      </c>
    </row>
    <row r="660" s="5" customFormat="1" ht="13">
      <c r="A660" s="5" t="s">
        <v>44</v>
      </c>
      <c r="B660" s="5" t="s">
        <v>44</v>
      </c>
      <c r="C660" s="5" t="s">
        <v>99</v>
      </c>
      <c r="D660" s="5" t="s">
        <v>20</v>
      </c>
      <c r="E660" s="5" t="s">
        <v>44</v>
      </c>
      <c r="F660" s="5" t="s">
        <v>100</v>
      </c>
      <c r="G660" s="5" t="s">
        <v>75</v>
      </c>
      <c r="H660" s="9" t="s">
        <v>238</v>
      </c>
      <c r="I660" s="10">
        <v>42542</v>
      </c>
      <c r="J660" s="10">
        <v>44959</v>
      </c>
      <c r="K660" s="5" t="s">
        <v>102</v>
      </c>
      <c r="L660" s="5" t="s">
        <v>102</v>
      </c>
      <c r="M660" s="11">
        <v>0.081000000000000003</v>
      </c>
      <c r="N660" s="5" t="e">
        <f>IF(AND(M660&gt;#REF!,Cartera!O660="Guaraníes"),"Rendimiento significativo",IF(AND(M660&gt;#REF!,Cartera!O660="Dólares americanos"),"Rendimiento significativo","Rendimiento no significativo"))</f>
        <v>#REF!</v>
      </c>
      <c r="O660" s="5" t="s">
        <v>41</v>
      </c>
      <c r="P660" s="12">
        <v>105000000</v>
      </c>
      <c r="Q660" s="12">
        <f>IF(O660="Guaraníes",P660,P660*#REF!)</f>
        <v>105000000</v>
      </c>
      <c r="R660" s="12" t="e">
        <f>IF(O660="Guaraníes",P660/#REF!,P660)</f>
        <v>#REF!</v>
      </c>
      <c r="S660" s="5" t="s">
        <v>52</v>
      </c>
      <c r="T660" s="5">
        <v>25</v>
      </c>
      <c r="W660" s="5" t="s">
        <v>230</v>
      </c>
      <c r="X660" s="5">
        <v>0</v>
      </c>
      <c r="Y660" s="5">
        <v>0</v>
      </c>
      <c r="Z660" s="5">
        <v>40832.876711999997</v>
      </c>
      <c r="AA660" s="5">
        <v>105</v>
      </c>
      <c r="AB660" s="5">
        <v>4287452.0547599997</v>
      </c>
      <c r="AC660" s="5" t="str">
        <f t="shared" si="34"/>
        <v>Bonos</v>
      </c>
      <c r="AD660" s="5" t="s">
        <v>43</v>
      </c>
      <c r="AE660" s="5">
        <f t="shared" si="32"/>
        <v>2</v>
      </c>
      <c r="AF660" s="5">
        <f t="shared" si="33"/>
        <v>2023</v>
      </c>
    </row>
    <row r="661" s="5" customFormat="1" ht="13">
      <c r="A661" s="5" t="s">
        <v>44</v>
      </c>
      <c r="B661" s="5" t="s">
        <v>44</v>
      </c>
      <c r="C661" s="5" t="s">
        <v>33</v>
      </c>
      <c r="D661" s="5" t="s">
        <v>21</v>
      </c>
      <c r="E661" s="5" t="s">
        <v>44</v>
      </c>
      <c r="F661" s="5" t="s">
        <v>35</v>
      </c>
      <c r="G661" s="5" t="s">
        <v>75</v>
      </c>
      <c r="H661" s="9" t="s">
        <v>168</v>
      </c>
      <c r="I661" s="10"/>
      <c r="J661" s="10">
        <v>44236</v>
      </c>
      <c r="K661" s="5" t="s">
        <v>39</v>
      </c>
      <c r="L661" s="5" t="s">
        <v>50</v>
      </c>
      <c r="M661" s="11">
        <v>0.070000000000000007</v>
      </c>
      <c r="N661" s="5" t="e">
        <f>IF(AND(M661&gt;#REF!,Cartera!O661="Guaraníes"),"Rendimiento significativo",IF(AND(M661&gt;#REF!,Cartera!O661="Dólares americanos"),"Rendimiento significativo","Rendimiento no significativo"))</f>
        <v>#REF!</v>
      </c>
      <c r="O661" s="5" t="s">
        <v>51</v>
      </c>
      <c r="P661" s="13">
        <v>1221.6438500000002</v>
      </c>
      <c r="Q661" s="12" t="e">
        <f>IF(O661="Guaraníes",P661,P661*#REF!)</f>
        <v>#REF!</v>
      </c>
      <c r="R661" s="12">
        <f>IF(O661="Guaraníes",P661/#REF!,P661)</f>
        <v>1221.6438500000002</v>
      </c>
      <c r="S661" s="5" t="s">
        <v>52</v>
      </c>
      <c r="T661" s="5">
        <v>25</v>
      </c>
      <c r="W661" s="5" t="s">
        <v>65</v>
      </c>
      <c r="X661" s="5">
        <v>0</v>
      </c>
      <c r="Y661" s="5">
        <v>0</v>
      </c>
      <c r="Z661" s="5">
        <v>17.452055000000001</v>
      </c>
      <c r="AA661" s="5">
        <v>70</v>
      </c>
      <c r="AB661" s="5">
        <v>1221.6438499999999</v>
      </c>
      <c r="AC661" s="5" t="str">
        <f t="shared" si="34"/>
        <v>Bonos</v>
      </c>
      <c r="AD661" s="5" t="s">
        <v>43</v>
      </c>
      <c r="AE661" s="5">
        <f t="shared" si="32"/>
        <v>2</v>
      </c>
      <c r="AF661" s="5">
        <f t="shared" si="33"/>
        <v>2021</v>
      </c>
    </row>
    <row r="662" s="5" customFormat="1" ht="13">
      <c r="A662" s="5" t="s">
        <v>44</v>
      </c>
      <c r="B662" s="5" t="s">
        <v>44</v>
      </c>
      <c r="C662" s="5" t="s">
        <v>242</v>
      </c>
      <c r="D662" s="5" t="s">
        <v>21</v>
      </c>
      <c r="E662" s="5" t="s">
        <v>44</v>
      </c>
      <c r="F662" s="5" t="s">
        <v>68</v>
      </c>
      <c r="G662" s="5" t="s">
        <v>75</v>
      </c>
      <c r="H662" s="9" t="s">
        <v>243</v>
      </c>
      <c r="I662" s="10"/>
      <c r="J662" s="10">
        <v>44242</v>
      </c>
      <c r="K662" s="5" t="s">
        <v>244</v>
      </c>
      <c r="L662" s="5" t="s">
        <v>58</v>
      </c>
      <c r="M662" s="11">
        <v>0.13750000000000001</v>
      </c>
      <c r="N662" s="5" t="e">
        <f>IF(AND(M662&gt;#REF!,Cartera!O662="Guaraníes"),"Rendimiento significativo",IF(AND(M662&gt;#REF!,Cartera!O662="Dólares americanos"),"Rendimiento significativo","Rendimiento no significativo"))</f>
        <v>#REF!</v>
      </c>
      <c r="O662" s="5" t="s">
        <v>41</v>
      </c>
      <c r="P662" s="12">
        <v>1028424.65754</v>
      </c>
      <c r="Q662" s="12">
        <f>IF(O662="Guaraníes",P662,P662*#REF!)</f>
        <v>1028424.65754</v>
      </c>
      <c r="R662" s="12" t="e">
        <f>IF(O662="Guaraníes",P662/#REF!,P662)</f>
        <v>#REF!</v>
      </c>
      <c r="S662" s="5" t="s">
        <v>52</v>
      </c>
      <c r="T662" s="5">
        <v>25</v>
      </c>
      <c r="W662" s="5" t="s">
        <v>241</v>
      </c>
      <c r="X662" s="5">
        <v>0</v>
      </c>
      <c r="Y662" s="5">
        <v>0</v>
      </c>
      <c r="Z662" s="5">
        <v>34280.821918000001</v>
      </c>
      <c r="AA662" s="5">
        <v>30</v>
      </c>
      <c r="AB662" s="5">
        <v>1028424.65754</v>
      </c>
      <c r="AC662" s="5" t="str">
        <f t="shared" si="34"/>
        <v>Bonos</v>
      </c>
      <c r="AD662" s="5" t="s">
        <v>43</v>
      </c>
      <c r="AE662" s="5">
        <f t="shared" si="32"/>
        <v>2</v>
      </c>
      <c r="AF662" s="5">
        <f t="shared" si="33"/>
        <v>2021</v>
      </c>
    </row>
    <row r="663" s="5" customFormat="1" ht="13">
      <c r="A663" s="5" t="s">
        <v>44</v>
      </c>
      <c r="B663" s="5" t="s">
        <v>44</v>
      </c>
      <c r="C663" s="5" t="s">
        <v>114</v>
      </c>
      <c r="D663" s="5" t="s">
        <v>21</v>
      </c>
      <c r="E663" s="5" t="s">
        <v>44</v>
      </c>
      <c r="F663" s="5" t="s">
        <v>68</v>
      </c>
      <c r="G663" s="5" t="s">
        <v>75</v>
      </c>
      <c r="H663" s="9" t="s">
        <v>170</v>
      </c>
      <c r="I663" s="10"/>
      <c r="J663" s="10">
        <v>44243</v>
      </c>
      <c r="K663" s="5" t="s">
        <v>77</v>
      </c>
      <c r="L663" s="5" t="s">
        <v>50</v>
      </c>
      <c r="M663" s="11">
        <v>0.14000000000000001</v>
      </c>
      <c r="N663" s="5" t="e">
        <f>IF(AND(M663&gt;#REF!,Cartera!O663="Guaraníes"),"Rendimiento significativo",IF(AND(M663&gt;#REF!,Cartera!O663="Dólares americanos"),"Rendimiento significativo","Rendimiento no significativo"))</f>
        <v>#REF!</v>
      </c>
      <c r="O663" s="5" t="s">
        <v>41</v>
      </c>
      <c r="P663" s="12">
        <v>3490410.9589</v>
      </c>
      <c r="Q663" s="12">
        <f>IF(O663="Guaraníes",P663,P663*#REF!)</f>
        <v>3490410.9589</v>
      </c>
      <c r="R663" s="12" t="e">
        <f>IF(O663="Guaraníes",P663/#REF!,P663)</f>
        <v>#REF!</v>
      </c>
      <c r="S663" s="5" t="s">
        <v>52</v>
      </c>
      <c r="T663" s="5">
        <v>25</v>
      </c>
      <c r="W663" s="5" t="s">
        <v>65</v>
      </c>
      <c r="X663" s="5">
        <v>0</v>
      </c>
      <c r="Y663" s="5">
        <v>0</v>
      </c>
      <c r="Z663" s="5">
        <v>34904.109589</v>
      </c>
      <c r="AA663" s="5">
        <v>100</v>
      </c>
      <c r="AB663" s="5">
        <v>3490410.9589</v>
      </c>
      <c r="AC663" s="5" t="str">
        <f t="shared" si="34"/>
        <v>Bonos</v>
      </c>
      <c r="AD663" s="5" t="s">
        <v>43</v>
      </c>
      <c r="AE663" s="5">
        <f t="shared" si="32"/>
        <v>2</v>
      </c>
      <c r="AF663" s="5">
        <f t="shared" si="33"/>
        <v>2021</v>
      </c>
    </row>
    <row r="664" s="5" customFormat="1" ht="13">
      <c r="A664" s="5" t="s">
        <v>44</v>
      </c>
      <c r="B664" s="5" t="s">
        <v>44</v>
      </c>
      <c r="C664" s="5" t="s">
        <v>114</v>
      </c>
      <c r="D664" s="5" t="s">
        <v>21</v>
      </c>
      <c r="E664" s="5" t="s">
        <v>44</v>
      </c>
      <c r="F664" s="5" t="s">
        <v>68</v>
      </c>
      <c r="G664" s="5" t="s">
        <v>75</v>
      </c>
      <c r="H664" s="9" t="s">
        <v>226</v>
      </c>
      <c r="I664" s="10"/>
      <c r="J664" s="10">
        <v>44273</v>
      </c>
      <c r="K664" s="5" t="s">
        <v>77</v>
      </c>
      <c r="L664" s="5" t="s">
        <v>58</v>
      </c>
      <c r="M664" s="11">
        <v>0.14000000000000001</v>
      </c>
      <c r="N664" s="5" t="e">
        <f>IF(AND(M664&gt;#REF!,Cartera!O664="Guaraníes"),"Rendimiento significativo",IF(AND(M664&gt;#REF!,Cartera!O664="Dólares americanos"),"Rendimiento significativo","Rendimiento no significativo"))</f>
        <v>#REF!</v>
      </c>
      <c r="O664" s="5" t="s">
        <v>41</v>
      </c>
      <c r="P664" s="12">
        <v>523561.643835</v>
      </c>
      <c r="Q664" s="12">
        <f>IF(O664="Guaraníes",P664,P664*#REF!)</f>
        <v>523561.643835</v>
      </c>
      <c r="R664" s="12" t="e">
        <f>IF(O664="Guaraníes",P664/#REF!,P664)</f>
        <v>#REF!</v>
      </c>
      <c r="S664" s="5" t="s">
        <v>52</v>
      </c>
      <c r="T664" s="5">
        <v>25</v>
      </c>
      <c r="W664" s="5" t="s">
        <v>65</v>
      </c>
      <c r="X664" s="5">
        <v>0</v>
      </c>
      <c r="Y664" s="5">
        <v>0</v>
      </c>
      <c r="Z664" s="5">
        <v>34904.109589</v>
      </c>
      <c r="AA664" s="5">
        <v>15</v>
      </c>
      <c r="AB664" s="5">
        <v>523561.643835</v>
      </c>
      <c r="AC664" s="5" t="str">
        <f t="shared" si="34"/>
        <v>Bonos</v>
      </c>
      <c r="AD664" s="5" t="s">
        <v>43</v>
      </c>
      <c r="AE664" s="5">
        <f t="shared" si="32"/>
        <v>3</v>
      </c>
      <c r="AF664" s="5">
        <f t="shared" si="33"/>
        <v>2021</v>
      </c>
    </row>
    <row r="665" s="5" customFormat="1" ht="13">
      <c r="A665" s="5" t="s">
        <v>44</v>
      </c>
      <c r="B665" s="5" t="s">
        <v>44</v>
      </c>
      <c r="C665" s="5" t="s">
        <v>114</v>
      </c>
      <c r="D665" s="5" t="s">
        <v>21</v>
      </c>
      <c r="E665" s="5" t="s">
        <v>44</v>
      </c>
      <c r="F665" s="5" t="s">
        <v>68</v>
      </c>
      <c r="G665" s="5" t="s">
        <v>75</v>
      </c>
      <c r="H665" s="9" t="s">
        <v>236</v>
      </c>
      <c r="I665" s="10"/>
      <c r="J665" s="10">
        <v>44273</v>
      </c>
      <c r="K665" s="5" t="s">
        <v>77</v>
      </c>
      <c r="L665" s="5" t="s">
        <v>50</v>
      </c>
      <c r="M665" s="11">
        <v>0.14749999999999999</v>
      </c>
      <c r="N665" s="5" t="e">
        <f>IF(AND(M665&gt;#REF!,Cartera!O665="Guaraníes"),"Rendimiento significativo",IF(AND(M665&gt;#REF!,Cartera!O665="Dólares americanos"),"Rendimiento significativo","Rendimiento no significativo"))</f>
        <v>#REF!</v>
      </c>
      <c r="O665" s="5" t="s">
        <v>41</v>
      </c>
      <c r="P665" s="12">
        <v>112191.780822</v>
      </c>
      <c r="Q665" s="12">
        <f>IF(O665="Guaraníes",P665,P665*#REF!)</f>
        <v>112191.780822</v>
      </c>
      <c r="R665" s="12" t="e">
        <f>IF(O665="Guaraníes",P665/#REF!,P665)</f>
        <v>#REF!</v>
      </c>
      <c r="S665" s="5" t="s">
        <v>52</v>
      </c>
      <c r="T665" s="5">
        <v>25</v>
      </c>
      <c r="W665" s="5" t="s">
        <v>65</v>
      </c>
      <c r="X665" s="5">
        <v>0</v>
      </c>
      <c r="Y665" s="5">
        <v>0</v>
      </c>
      <c r="Z665" s="5">
        <v>37397.260274</v>
      </c>
      <c r="AA665" s="5">
        <v>3</v>
      </c>
      <c r="AB665" s="5">
        <v>112191.780822</v>
      </c>
      <c r="AC665" s="5" t="str">
        <f t="shared" si="34"/>
        <v>Bonos</v>
      </c>
      <c r="AD665" s="5" t="s">
        <v>43</v>
      </c>
      <c r="AE665" s="5">
        <f t="shared" si="32"/>
        <v>3</v>
      </c>
      <c r="AF665" s="5">
        <f t="shared" si="33"/>
        <v>2021</v>
      </c>
    </row>
    <row r="666" s="5" customFormat="1" ht="13">
      <c r="A666" s="5" t="s">
        <v>44</v>
      </c>
      <c r="B666" s="5" t="s">
        <v>44</v>
      </c>
      <c r="C666" s="5" t="s">
        <v>99</v>
      </c>
      <c r="D666" s="5" t="s">
        <v>21</v>
      </c>
      <c r="E666" s="5" t="s">
        <v>44</v>
      </c>
      <c r="F666" s="5" t="s">
        <v>100</v>
      </c>
      <c r="G666" s="5" t="s">
        <v>75</v>
      </c>
      <c r="H666" s="9" t="s">
        <v>229</v>
      </c>
      <c r="I666" s="10"/>
      <c r="J666" s="10">
        <v>44277</v>
      </c>
      <c r="K666" s="5" t="s">
        <v>102</v>
      </c>
      <c r="L666" s="5" t="s">
        <v>102</v>
      </c>
      <c r="M666" s="11">
        <v>0.089999999999999997</v>
      </c>
      <c r="N666" s="5" t="e">
        <f>IF(AND(M666&gt;#REF!,Cartera!O666="Guaraníes"),"Rendimiento significativo",IF(AND(M666&gt;#REF!,Cartera!O666="Dólares americanos"),"Rendimiento significativo","Rendimiento no significativo"))</f>
        <v>#REF!</v>
      </c>
      <c r="O666" s="5" t="s">
        <v>41</v>
      </c>
      <c r="P666" s="12">
        <v>6025068.4931099992</v>
      </c>
      <c r="Q666" s="12">
        <f>IF(O666="Guaraníes",P666,P666*#REF!)</f>
        <v>6025068.4931099992</v>
      </c>
      <c r="R666" s="12" t="e">
        <f>IF(O666="Guaraníes",P666/#REF!,P666)</f>
        <v>#REF!</v>
      </c>
      <c r="S666" s="5" t="s">
        <v>52</v>
      </c>
      <c r="T666" s="5">
        <v>25</v>
      </c>
      <c r="W666" s="5" t="s">
        <v>230</v>
      </c>
      <c r="X666" s="5">
        <v>0</v>
      </c>
      <c r="Y666" s="5">
        <v>0</v>
      </c>
      <c r="Z666" s="5">
        <v>44630.136985999998</v>
      </c>
      <c r="AA666" s="5">
        <v>135</v>
      </c>
      <c r="AB666" s="5">
        <v>6025068.4931100002</v>
      </c>
      <c r="AC666" s="5" t="str">
        <f t="shared" si="34"/>
        <v>Bonos</v>
      </c>
      <c r="AD666" s="5" t="s">
        <v>43</v>
      </c>
      <c r="AE666" s="5">
        <f t="shared" si="32"/>
        <v>3</v>
      </c>
      <c r="AF666" s="5">
        <f t="shared" si="33"/>
        <v>2021</v>
      </c>
    </row>
    <row r="667" s="5" customFormat="1" ht="13">
      <c r="A667" s="5" t="s">
        <v>44</v>
      </c>
      <c r="B667" s="5" t="s">
        <v>44</v>
      </c>
      <c r="C667" s="5" t="s">
        <v>54</v>
      </c>
      <c r="D667" s="5" t="s">
        <v>21</v>
      </c>
      <c r="E667" s="5" t="s">
        <v>44</v>
      </c>
      <c r="F667" s="5" t="s">
        <v>46</v>
      </c>
      <c r="G667" s="5" t="s">
        <v>75</v>
      </c>
      <c r="H667" s="9" t="s">
        <v>147</v>
      </c>
      <c r="I667" s="10"/>
      <c r="J667" s="10">
        <v>44284</v>
      </c>
      <c r="K667" s="5" t="s">
        <v>57</v>
      </c>
      <c r="L667" s="5" t="s">
        <v>58</v>
      </c>
      <c r="M667" s="11">
        <v>0.12</v>
      </c>
      <c r="N667" s="5" t="e">
        <f>IF(AND(M667&gt;#REF!,Cartera!O667="Guaraníes"),"Rendimiento significativo",IF(AND(M667&gt;#REF!,Cartera!O667="Dólares americanos"),"Rendimiento significativo","Rendimiento no significativo"))</f>
        <v>#REF!</v>
      </c>
      <c r="O667" s="5" t="s">
        <v>41</v>
      </c>
      <c r="P667" s="12">
        <v>4487671.2328500003</v>
      </c>
      <c r="Q667" s="12">
        <f>IF(O667="Guaraníes",P667,P667*#REF!)</f>
        <v>4487671.2328500003</v>
      </c>
      <c r="R667" s="12" t="e">
        <f>IF(O667="Guaraníes",P667/#REF!,P667)</f>
        <v>#REF!</v>
      </c>
      <c r="S667" s="5" t="s">
        <v>52</v>
      </c>
      <c r="T667" s="5">
        <v>25</v>
      </c>
      <c r="W667" s="5" t="s">
        <v>263</v>
      </c>
      <c r="X667" s="5">
        <v>0</v>
      </c>
      <c r="Y667" s="5">
        <v>0</v>
      </c>
      <c r="Z667" s="5">
        <v>29917.808218999999</v>
      </c>
      <c r="AA667" s="5">
        <v>150</v>
      </c>
      <c r="AB667" s="5">
        <v>4487671.2328500003</v>
      </c>
      <c r="AC667" s="5" t="str">
        <f t="shared" si="34"/>
        <v>Bonos</v>
      </c>
      <c r="AD667" s="5" t="s">
        <v>43</v>
      </c>
      <c r="AE667" s="5">
        <f t="shared" si="32"/>
        <v>3</v>
      </c>
      <c r="AF667" s="5">
        <f t="shared" si="33"/>
        <v>2021</v>
      </c>
    </row>
    <row r="668" s="5" customFormat="1" ht="13">
      <c r="A668" s="5" t="s">
        <v>44</v>
      </c>
      <c r="B668" s="5" t="s">
        <v>44</v>
      </c>
      <c r="C668" s="5" t="s">
        <v>114</v>
      </c>
      <c r="D668" s="5" t="s">
        <v>21</v>
      </c>
      <c r="E668" s="5" t="s">
        <v>44</v>
      </c>
      <c r="F668" s="5" t="s">
        <v>68</v>
      </c>
      <c r="G668" s="5" t="s">
        <v>75</v>
      </c>
      <c r="H668" s="9" t="s">
        <v>237</v>
      </c>
      <c r="I668" s="10"/>
      <c r="J668" s="10">
        <v>44285</v>
      </c>
      <c r="K668" s="5" t="s">
        <v>77</v>
      </c>
      <c r="L668" s="5" t="s">
        <v>50</v>
      </c>
      <c r="M668" s="11">
        <v>0.13750000000000001</v>
      </c>
      <c r="N668" s="5" t="e">
        <f>IF(AND(M668&gt;#REF!,Cartera!O668="Guaraníes"),"Rendimiento significativo",IF(AND(M668&gt;#REF!,Cartera!O668="Dólares americanos"),"Rendimiento significativo","Rendimiento no significativo"))</f>
        <v>#REF!</v>
      </c>
      <c r="O668" s="5" t="s">
        <v>41</v>
      </c>
      <c r="P668" s="12">
        <v>685616.43836000003</v>
      </c>
      <c r="Q668" s="12">
        <f>IF(O668="Guaraníes",P668,P668*#REF!)</f>
        <v>685616.43836000003</v>
      </c>
      <c r="R668" s="12" t="e">
        <f>IF(O668="Guaraníes",P668/#REF!,P668)</f>
        <v>#REF!</v>
      </c>
      <c r="S668" s="5" t="s">
        <v>52</v>
      </c>
      <c r="T668" s="5">
        <v>25</v>
      </c>
      <c r="W668" s="5" t="s">
        <v>65</v>
      </c>
      <c r="X668" s="5">
        <v>0</v>
      </c>
      <c r="Y668" s="5">
        <v>0</v>
      </c>
      <c r="Z668" s="5">
        <v>34280.821918000001</v>
      </c>
      <c r="AA668" s="5">
        <v>20</v>
      </c>
      <c r="AB668" s="5">
        <v>685616.43836000003</v>
      </c>
      <c r="AC668" s="5" t="str">
        <f t="shared" si="34"/>
        <v>Bonos</v>
      </c>
      <c r="AD668" s="5" t="s">
        <v>43</v>
      </c>
      <c r="AE668" s="5">
        <f t="shared" si="32"/>
        <v>3</v>
      </c>
      <c r="AF668" s="5">
        <f t="shared" si="33"/>
        <v>2021</v>
      </c>
    </row>
    <row r="669" s="5" customFormat="1" ht="13">
      <c r="A669" s="5" t="s">
        <v>44</v>
      </c>
      <c r="B669" s="5" t="s">
        <v>44</v>
      </c>
      <c r="C669" s="5" t="s">
        <v>33</v>
      </c>
      <c r="D669" s="5" t="s">
        <v>21</v>
      </c>
      <c r="E669" s="5" t="s">
        <v>44</v>
      </c>
      <c r="F669" s="5" t="s">
        <v>35</v>
      </c>
      <c r="G669" s="5" t="s">
        <v>75</v>
      </c>
      <c r="H669" s="9" t="s">
        <v>257</v>
      </c>
      <c r="I669" s="10"/>
      <c r="J669" s="10">
        <v>44287</v>
      </c>
      <c r="K669" s="5" t="s">
        <v>39</v>
      </c>
      <c r="L669" s="5" t="s">
        <v>106</v>
      </c>
      <c r="M669" s="11">
        <v>0.0625</v>
      </c>
      <c r="N669" s="5" t="e">
        <f>IF(AND(M669&gt;#REF!,Cartera!O669="Guaraníes"),"Rendimiento significativo",IF(AND(M669&gt;#REF!,Cartera!O669="Dólares americanos"),"Rendimiento significativo","Rendimiento no significativo"))</f>
        <v>#REF!</v>
      </c>
      <c r="O669" s="5" t="s">
        <v>51</v>
      </c>
      <c r="P669" s="13">
        <v>623.28767999999991</v>
      </c>
      <c r="Q669" s="12" t="e">
        <f>IF(O669="Guaraníes",P669,P669*#REF!)</f>
        <v>#REF!</v>
      </c>
      <c r="R669" s="12">
        <f>IF(O669="Guaraníes",P669/#REF!,P669)</f>
        <v>623.28767999999991</v>
      </c>
      <c r="S669" s="5" t="s">
        <v>52</v>
      </c>
      <c r="T669" s="5">
        <v>25</v>
      </c>
      <c r="W669" s="5" t="s">
        <v>218</v>
      </c>
      <c r="X669" s="5">
        <v>0</v>
      </c>
      <c r="Y669" s="5">
        <v>0</v>
      </c>
      <c r="Z669" s="5">
        <v>15.582191999999999</v>
      </c>
      <c r="AA669" s="5">
        <v>40</v>
      </c>
      <c r="AB669" s="5">
        <v>623.28768000000002</v>
      </c>
      <c r="AC669" s="5" t="str">
        <f t="shared" si="34"/>
        <v>Bonos</v>
      </c>
      <c r="AD669" s="5" t="s">
        <v>43</v>
      </c>
      <c r="AE669" s="5">
        <f t="shared" si="32"/>
        <v>4</v>
      </c>
      <c r="AF669" s="5">
        <f t="shared" si="33"/>
        <v>2021</v>
      </c>
    </row>
    <row r="670" s="5" customFormat="1" ht="13">
      <c r="A670" s="5" t="s">
        <v>44</v>
      </c>
      <c r="B670" s="5" t="s">
        <v>44</v>
      </c>
      <c r="C670" s="5" t="s">
        <v>183</v>
      </c>
      <c r="D670" s="5" t="s">
        <v>21</v>
      </c>
      <c r="E670" s="5" t="s">
        <v>44</v>
      </c>
      <c r="F670" s="5" t="s">
        <v>184</v>
      </c>
      <c r="G670" s="5" t="s">
        <v>75</v>
      </c>
      <c r="H670" s="9" t="s">
        <v>251</v>
      </c>
      <c r="I670" s="10"/>
      <c r="J670" s="10">
        <v>44295</v>
      </c>
      <c r="K670" s="5" t="s">
        <v>124</v>
      </c>
      <c r="L670" s="5" t="s">
        <v>106</v>
      </c>
      <c r="M670" s="11">
        <v>0.069199999999999998</v>
      </c>
      <c r="N670" s="5" t="e">
        <f>IF(AND(M670&gt;#REF!,Cartera!O670="Guaraníes"),"Rendimiento significativo",IF(AND(M670&gt;#REF!,Cartera!O670="Dólares americanos"),"Rendimiento significativo","Rendimiento no significativo"))</f>
        <v>#REF!</v>
      </c>
      <c r="O670" s="5" t="s">
        <v>41</v>
      </c>
      <c r="P670" s="12">
        <v>5422602.7397999996</v>
      </c>
      <c r="Q670" s="12">
        <f>IF(O670="Guaraníes",P670,P670*#REF!)</f>
        <v>5422602.7397999996</v>
      </c>
      <c r="R670" s="12" t="e">
        <f>IF(O670="Guaraníes",P670/#REF!,P670)</f>
        <v>#REF!</v>
      </c>
      <c r="S670" s="5" t="s">
        <v>52</v>
      </c>
      <c r="T670" s="5">
        <v>25</v>
      </c>
      <c r="W670" s="5" t="s">
        <v>258</v>
      </c>
      <c r="X670" s="5">
        <v>0</v>
      </c>
      <c r="Y670" s="5">
        <v>0</v>
      </c>
      <c r="Z670" s="5">
        <v>36150.684931999996</v>
      </c>
      <c r="AA670" s="5">
        <v>150</v>
      </c>
      <c r="AB670" s="5">
        <v>5422602.7397999996</v>
      </c>
      <c r="AC670" s="5" t="str">
        <f t="shared" si="34"/>
        <v>Bonos</v>
      </c>
      <c r="AD670" s="5" t="s">
        <v>43</v>
      </c>
      <c r="AE670" s="5">
        <f t="shared" si="32"/>
        <v>4</v>
      </c>
      <c r="AF670" s="5">
        <f t="shared" si="33"/>
        <v>2021</v>
      </c>
    </row>
    <row r="671" s="5" customFormat="1" ht="13">
      <c r="A671" s="5" t="s">
        <v>44</v>
      </c>
      <c r="B671" s="5" t="s">
        <v>44</v>
      </c>
      <c r="C671" s="5" t="s">
        <v>156</v>
      </c>
      <c r="D671" s="5" t="s">
        <v>21</v>
      </c>
      <c r="E671" s="5" t="s">
        <v>44</v>
      </c>
      <c r="F671" s="5" t="s">
        <v>68</v>
      </c>
      <c r="G671" s="5" t="s">
        <v>75</v>
      </c>
      <c r="H671" s="9" t="s">
        <v>157</v>
      </c>
      <c r="I671" s="10"/>
      <c r="J671" s="10">
        <v>44299</v>
      </c>
      <c r="K671" s="5" t="s">
        <v>158</v>
      </c>
      <c r="L671" s="5" t="s">
        <v>58</v>
      </c>
      <c r="M671" s="11">
        <v>0.16</v>
      </c>
      <c r="N671" s="5" t="e">
        <f>IF(AND(M671&gt;#REF!,Cartera!O671="Guaraníes"),"Rendimiento significativo",IF(AND(M671&gt;#REF!,Cartera!O671="Dólares americanos"),"Rendimiento significativo","Rendimiento no significativo"))</f>
        <v>#REF!</v>
      </c>
      <c r="O671" s="5" t="s">
        <v>41</v>
      </c>
      <c r="P671" s="12">
        <v>4188493.15068</v>
      </c>
      <c r="Q671" s="12">
        <f>IF(O671="Guaraníes",P671,P671*#REF!)</f>
        <v>4188493.15068</v>
      </c>
      <c r="R671" s="12" t="e">
        <f>IF(O671="Guaraníes",P671/#REF!,P671)</f>
        <v>#REF!</v>
      </c>
      <c r="S671" s="5" t="s">
        <v>52</v>
      </c>
      <c r="T671" s="5">
        <v>25</v>
      </c>
      <c r="W671" s="5" t="s">
        <v>259</v>
      </c>
      <c r="X671" s="5">
        <v>0</v>
      </c>
      <c r="Y671" s="5">
        <v>0</v>
      </c>
      <c r="Z671" s="5">
        <v>34904.109589</v>
      </c>
      <c r="AA671" s="5">
        <v>120</v>
      </c>
      <c r="AB671" s="5">
        <v>4188493.15068</v>
      </c>
      <c r="AC671" s="5" t="str">
        <f t="shared" si="34"/>
        <v>Bonos</v>
      </c>
      <c r="AD671" s="5" t="s">
        <v>43</v>
      </c>
      <c r="AE671" s="5">
        <f t="shared" ref="AE671:AE734" si="35">IFERROR((MONTH(J671)),0)</f>
        <v>4</v>
      </c>
      <c r="AF671" s="5">
        <f t="shared" ref="AF671:AF734" si="36">IFERROR((YEAR(J671)),0)</f>
        <v>2021</v>
      </c>
    </row>
    <row r="672" s="5" customFormat="1" ht="13">
      <c r="A672" s="5" t="s">
        <v>44</v>
      </c>
      <c r="B672" s="5" t="s">
        <v>44</v>
      </c>
      <c r="C672" s="5" t="s">
        <v>197</v>
      </c>
      <c r="D672" s="5" t="s">
        <v>21</v>
      </c>
      <c r="E672" s="5" t="s">
        <v>44</v>
      </c>
      <c r="F672" s="5" t="s">
        <v>68</v>
      </c>
      <c r="G672" s="5" t="s">
        <v>75</v>
      </c>
      <c r="H672" s="9" t="s">
        <v>198</v>
      </c>
      <c r="I672" s="10"/>
      <c r="J672" s="10">
        <v>44301</v>
      </c>
      <c r="K672" s="5" t="s">
        <v>199</v>
      </c>
      <c r="L672" s="5" t="s">
        <v>58</v>
      </c>
      <c r="M672" s="11">
        <v>0.10000000000000001</v>
      </c>
      <c r="N672" s="5" t="e">
        <f>IF(AND(M672&gt;#REF!,Cartera!O672="Guaraníes"),"Rendimiento significativo",IF(AND(M672&gt;#REF!,Cartera!O672="Dólares americanos"),"Rendimiento significativo","Rendimiento no significativo"))</f>
        <v>#REF!</v>
      </c>
      <c r="O672" s="5" t="s">
        <v>41</v>
      </c>
      <c r="P672" s="12">
        <v>1421095.8903930001</v>
      </c>
      <c r="Q672" s="12">
        <f>IF(O672="Guaraníes",P672,P672*#REF!)</f>
        <v>1421095.8903930001</v>
      </c>
      <c r="R672" s="12" t="e">
        <f>IF(O672="Guaraníes",P672/#REF!,P672)</f>
        <v>#REF!</v>
      </c>
      <c r="S672" s="5" t="s">
        <v>52</v>
      </c>
      <c r="T672" s="5">
        <v>25</v>
      </c>
      <c r="W672" s="5" t="s">
        <v>267</v>
      </c>
      <c r="X672" s="5">
        <v>0</v>
      </c>
      <c r="Y672" s="5">
        <v>0</v>
      </c>
      <c r="Z672" s="5">
        <v>24931.506849000001</v>
      </c>
      <c r="AA672" s="5">
        <v>57</v>
      </c>
      <c r="AB672" s="5">
        <v>1421095.8903930001</v>
      </c>
      <c r="AC672" s="5" t="str">
        <f t="shared" si="34"/>
        <v>Bonos</v>
      </c>
      <c r="AD672" s="5" t="s">
        <v>43</v>
      </c>
      <c r="AE672" s="5">
        <f t="shared" si="35"/>
        <v>4</v>
      </c>
      <c r="AF672" s="5">
        <f t="shared" si="36"/>
        <v>2021</v>
      </c>
    </row>
    <row r="673" s="5" customFormat="1" ht="13">
      <c r="A673" s="5" t="s">
        <v>44</v>
      </c>
      <c r="B673" s="5" t="s">
        <v>44</v>
      </c>
      <c r="C673" s="5" t="s">
        <v>239</v>
      </c>
      <c r="D673" s="5" t="s">
        <v>21</v>
      </c>
      <c r="E673" s="5" t="s">
        <v>44</v>
      </c>
      <c r="F673" s="5" t="s">
        <v>68</v>
      </c>
      <c r="G673" s="5" t="s">
        <v>75</v>
      </c>
      <c r="H673" s="9" t="s">
        <v>240</v>
      </c>
      <c r="I673" s="10"/>
      <c r="J673" s="10">
        <v>44306</v>
      </c>
      <c r="K673" s="5" t="s">
        <v>49</v>
      </c>
      <c r="L673" s="5" t="s">
        <v>58</v>
      </c>
      <c r="M673" s="11">
        <v>0.13</v>
      </c>
      <c r="N673" s="5" t="e">
        <f>IF(AND(M673&gt;#REF!,Cartera!O673="Guaraníes"),"Rendimiento significativo",IF(AND(M673&gt;#REF!,Cartera!O673="Dólares americanos"),"Rendimiento significativo","Rendimiento no significativo"))</f>
        <v>#REF!</v>
      </c>
      <c r="O673" s="5" t="s">
        <v>41</v>
      </c>
      <c r="P673" s="12">
        <v>1620547.9452</v>
      </c>
      <c r="Q673" s="12">
        <f>IF(O673="Guaraníes",P673,P673*#REF!)</f>
        <v>1620547.9452</v>
      </c>
      <c r="R673" s="12" t="e">
        <f>IF(O673="Guaraníes",P673/#REF!,P673)</f>
        <v>#REF!</v>
      </c>
      <c r="S673" s="5" t="s">
        <v>52</v>
      </c>
      <c r="T673" s="5">
        <v>25</v>
      </c>
      <c r="W673" s="5" t="s">
        <v>268</v>
      </c>
      <c r="X673" s="5">
        <v>0</v>
      </c>
      <c r="Y673" s="5">
        <v>0</v>
      </c>
      <c r="Z673" s="5">
        <v>32410.958903999999</v>
      </c>
      <c r="AA673" s="5">
        <v>50</v>
      </c>
      <c r="AB673" s="5">
        <v>1620547.9452</v>
      </c>
      <c r="AC673" s="5" t="str">
        <f t="shared" si="34"/>
        <v>Bonos</v>
      </c>
      <c r="AD673" s="5" t="s">
        <v>43</v>
      </c>
      <c r="AE673" s="5">
        <f t="shared" si="35"/>
        <v>4</v>
      </c>
      <c r="AF673" s="5">
        <f t="shared" si="36"/>
        <v>2021</v>
      </c>
    </row>
    <row r="674" s="5" customFormat="1" ht="13">
      <c r="A674" s="5" t="s">
        <v>44</v>
      </c>
      <c r="B674" s="5" t="s">
        <v>44</v>
      </c>
      <c r="C674" s="5" t="s">
        <v>114</v>
      </c>
      <c r="D674" s="5" t="s">
        <v>21</v>
      </c>
      <c r="E674" s="5" t="s">
        <v>44</v>
      </c>
      <c r="F674" s="5" t="s">
        <v>68</v>
      </c>
      <c r="G674" s="5" t="s">
        <v>75</v>
      </c>
      <c r="H674" s="9" t="s">
        <v>234</v>
      </c>
      <c r="I674" s="10"/>
      <c r="J674" s="10">
        <v>44307</v>
      </c>
      <c r="K674" s="5" t="s">
        <v>77</v>
      </c>
      <c r="L674" s="5" t="s">
        <v>50</v>
      </c>
      <c r="M674" s="11">
        <v>0.12</v>
      </c>
      <c r="N674" s="5" t="e">
        <f>IF(AND(M674&gt;#REF!,Cartera!O674="Guaraníes"),"Rendimiento significativo",IF(AND(M674&gt;#REF!,Cartera!O674="Dólares americanos"),"Rendimiento significativo","Rendimiento no significativo"))</f>
        <v>#REF!</v>
      </c>
      <c r="O674" s="5" t="s">
        <v>51</v>
      </c>
      <c r="P674" s="13">
        <v>486.16437000000002</v>
      </c>
      <c r="Q674" s="12" t="e">
        <f>IF(O674="Guaraníes",P674,P674*#REF!)</f>
        <v>#REF!</v>
      </c>
      <c r="R674" s="12">
        <f>IF(O674="Guaraníes",P674/#REF!,P674)</f>
        <v>486.16437000000002</v>
      </c>
      <c r="S674" s="5" t="s">
        <v>52</v>
      </c>
      <c r="T674" s="5">
        <v>25</v>
      </c>
      <c r="W674" s="5" t="s">
        <v>65</v>
      </c>
      <c r="X674" s="5">
        <v>0</v>
      </c>
      <c r="Y674" s="5">
        <v>0</v>
      </c>
      <c r="Z674" s="5">
        <v>16.205479</v>
      </c>
      <c r="AA674" s="5">
        <v>30</v>
      </c>
      <c r="AB674" s="5">
        <v>486.16437000000002</v>
      </c>
      <c r="AC674" s="5" t="str">
        <f t="shared" si="34"/>
        <v>Bonos</v>
      </c>
      <c r="AD674" s="5" t="s">
        <v>43</v>
      </c>
      <c r="AE674" s="5">
        <f t="shared" si="35"/>
        <v>4</v>
      </c>
      <c r="AF674" s="5">
        <f t="shared" si="36"/>
        <v>2021</v>
      </c>
    </row>
    <row r="675" s="5" customFormat="1" ht="13">
      <c r="A675" s="5" t="s">
        <v>44</v>
      </c>
      <c r="B675" s="5" t="s">
        <v>44</v>
      </c>
      <c r="C675" s="5" t="s">
        <v>99</v>
      </c>
      <c r="D675" s="5" t="s">
        <v>21</v>
      </c>
      <c r="E675" s="5" t="s">
        <v>44</v>
      </c>
      <c r="F675" s="5" t="s">
        <v>100</v>
      </c>
      <c r="G675" s="5" t="s">
        <v>75</v>
      </c>
      <c r="H675" s="9" t="s">
        <v>217</v>
      </c>
      <c r="I675" s="10"/>
      <c r="J675" s="10">
        <v>44310</v>
      </c>
      <c r="K675" s="5" t="s">
        <v>102</v>
      </c>
      <c r="L675" s="5" t="s">
        <v>102</v>
      </c>
      <c r="M675" s="11">
        <v>0.080000000000000002</v>
      </c>
      <c r="N675" s="5" t="e">
        <f>IF(AND(M675&gt;#REF!,Cartera!O675="Guaraníes"),"Rendimiento significativo",IF(AND(M675&gt;#REF!,Cartera!O675="Dólares americanos"),"Rendimiento significativo","Rendimiento no significativo"))</f>
        <v>#REF!</v>
      </c>
      <c r="O675" s="5" t="s">
        <v>41</v>
      </c>
      <c r="P675" s="12">
        <v>5767000</v>
      </c>
      <c r="Q675" s="12">
        <f>IF(O675="Guaraníes",P675,P675*#REF!)</f>
        <v>5767000</v>
      </c>
      <c r="R675" s="12" t="e">
        <f>IF(O675="Guaraníes",P675/#REF!,P675)</f>
        <v>#REF!</v>
      </c>
      <c r="S675" s="5" t="s">
        <v>52</v>
      </c>
      <c r="T675" s="5">
        <v>25</v>
      </c>
      <c r="W675" s="5" t="s">
        <v>218</v>
      </c>
      <c r="X675" s="5">
        <v>0</v>
      </c>
      <c r="Y675" s="5">
        <v>0</v>
      </c>
      <c r="Z675" s="5">
        <v>39500</v>
      </c>
      <c r="AA675" s="5">
        <v>146</v>
      </c>
      <c r="AB675" s="5">
        <v>5767000</v>
      </c>
      <c r="AC675" s="5" t="str">
        <f t="shared" si="34"/>
        <v>Bonos</v>
      </c>
      <c r="AD675" s="5" t="s">
        <v>43</v>
      </c>
      <c r="AE675" s="5">
        <f t="shared" si="35"/>
        <v>4</v>
      </c>
      <c r="AF675" s="5">
        <f t="shared" si="36"/>
        <v>2021</v>
      </c>
    </row>
    <row r="676" s="5" customFormat="1" ht="13">
      <c r="A676" s="5" t="s">
        <v>44</v>
      </c>
      <c r="B676" s="5" t="s">
        <v>44</v>
      </c>
      <c r="C676" s="5" t="s">
        <v>156</v>
      </c>
      <c r="D676" s="5" t="s">
        <v>21</v>
      </c>
      <c r="E676" s="5" t="s">
        <v>44</v>
      </c>
      <c r="F676" s="5" t="s">
        <v>68</v>
      </c>
      <c r="G676" s="5" t="s">
        <v>75</v>
      </c>
      <c r="H676" s="9" t="s">
        <v>246</v>
      </c>
      <c r="I676" s="10"/>
      <c r="J676" s="10">
        <v>44315</v>
      </c>
      <c r="K676" s="5" t="s">
        <v>158</v>
      </c>
      <c r="L676" s="5" t="s">
        <v>58</v>
      </c>
      <c r="M676" s="11">
        <v>0.125</v>
      </c>
      <c r="N676" s="5" t="e">
        <f>IF(AND(M676&gt;#REF!,Cartera!O676="Guaraníes"),"Rendimiento significativo",IF(AND(M676&gt;#REF!,Cartera!O676="Dólares americanos"),"Rendimiento significativo","Rendimiento no significativo"))</f>
        <v>#REF!</v>
      </c>
      <c r="O676" s="5" t="s">
        <v>41</v>
      </c>
      <c r="P676" s="12">
        <v>1495890.4109499999</v>
      </c>
      <c r="Q676" s="12">
        <f>IF(O676="Guaraníes",P676,P676*#REF!)</f>
        <v>1495890.4109499999</v>
      </c>
      <c r="R676" s="12" t="e">
        <f>IF(O676="Guaraníes",P676/#REF!,P676)</f>
        <v>#REF!</v>
      </c>
      <c r="S676" s="5" t="s">
        <v>52</v>
      </c>
      <c r="T676" s="5">
        <v>25</v>
      </c>
      <c r="W676" s="5" t="s">
        <v>261</v>
      </c>
      <c r="X676" s="5">
        <v>0</v>
      </c>
      <c r="Y676" s="5">
        <v>0</v>
      </c>
      <c r="Z676" s="5">
        <v>29917.808218999999</v>
      </c>
      <c r="AA676" s="5">
        <v>50</v>
      </c>
      <c r="AB676" s="5">
        <v>1495890.4109499999</v>
      </c>
      <c r="AC676" s="5" t="str">
        <f t="shared" si="34"/>
        <v>Bonos</v>
      </c>
      <c r="AD676" s="5" t="s">
        <v>43</v>
      </c>
      <c r="AE676" s="5">
        <f t="shared" si="35"/>
        <v>4</v>
      </c>
      <c r="AF676" s="5">
        <f t="shared" si="36"/>
        <v>2021</v>
      </c>
    </row>
    <row r="677" s="5" customFormat="1" ht="13">
      <c r="A677" s="5" t="s">
        <v>44</v>
      </c>
      <c r="B677" s="5" t="s">
        <v>44</v>
      </c>
      <c r="C677" s="5" t="s">
        <v>114</v>
      </c>
      <c r="D677" s="5" t="s">
        <v>21</v>
      </c>
      <c r="E677" s="5" t="s">
        <v>44</v>
      </c>
      <c r="F677" s="5" t="s">
        <v>68</v>
      </c>
      <c r="G677" s="5" t="s">
        <v>75</v>
      </c>
      <c r="H677" s="9" t="s">
        <v>235</v>
      </c>
      <c r="I677" s="10"/>
      <c r="J677" s="10">
        <v>44315</v>
      </c>
      <c r="K677" s="5" t="s">
        <v>77</v>
      </c>
      <c r="L677" s="5" t="s">
        <v>50</v>
      </c>
      <c r="M677" s="11">
        <v>0.14249999999999999</v>
      </c>
      <c r="N677" s="5" t="e">
        <f>IF(AND(M677&gt;#REF!,Cartera!O677="Guaraníes"),"Rendimiento significativo",IF(AND(M677&gt;#REF!,Cartera!O677="Dólares americanos"),"Rendimiento significativo","Rendimiento no significativo"))</f>
        <v>#REF!</v>
      </c>
      <c r="O677" s="5" t="s">
        <v>41</v>
      </c>
      <c r="P677" s="12">
        <v>183869.86301500001</v>
      </c>
      <c r="Q677" s="12">
        <f>IF(O677="Guaraníes",P677,P677*#REF!)</f>
        <v>183869.86301500001</v>
      </c>
      <c r="R677" s="12" t="e">
        <f>IF(O677="Guaraníes",P677/#REF!,P677)</f>
        <v>#REF!</v>
      </c>
      <c r="S677" s="5" t="s">
        <v>52</v>
      </c>
      <c r="T677" s="5">
        <v>25</v>
      </c>
      <c r="W677" s="5" t="s">
        <v>65</v>
      </c>
      <c r="X677" s="5">
        <v>0</v>
      </c>
      <c r="Y677" s="5">
        <v>0</v>
      </c>
      <c r="Z677" s="5">
        <v>36773.972603000002</v>
      </c>
      <c r="AA677" s="5">
        <v>5</v>
      </c>
      <c r="AB677" s="5">
        <v>183869.86301500001</v>
      </c>
      <c r="AC677" s="5" t="str">
        <f t="shared" si="34"/>
        <v>Bonos</v>
      </c>
      <c r="AD677" s="5" t="s">
        <v>43</v>
      </c>
      <c r="AE677" s="5">
        <f t="shared" si="35"/>
        <v>4</v>
      </c>
      <c r="AF677" s="5">
        <f t="shared" si="36"/>
        <v>2021</v>
      </c>
    </row>
    <row r="678" s="5" customFormat="1" ht="13">
      <c r="A678" s="5" t="s">
        <v>44</v>
      </c>
      <c r="B678" s="5" t="s">
        <v>44</v>
      </c>
      <c r="C678" s="5" t="s">
        <v>114</v>
      </c>
      <c r="D678" s="5" t="s">
        <v>21</v>
      </c>
      <c r="E678" s="5" t="s">
        <v>44</v>
      </c>
      <c r="F678" s="5" t="s">
        <v>68</v>
      </c>
      <c r="G678" s="5" t="s">
        <v>75</v>
      </c>
      <c r="H678" s="9" t="s">
        <v>115</v>
      </c>
      <c r="I678" s="10"/>
      <c r="J678" s="10">
        <v>44315</v>
      </c>
      <c r="K678" s="5" t="s">
        <v>77</v>
      </c>
      <c r="L678" s="5" t="s">
        <v>50</v>
      </c>
      <c r="M678" s="11">
        <v>0.125</v>
      </c>
      <c r="N678" s="5" t="e">
        <f>IF(AND(M678&gt;#REF!,Cartera!O678="Guaraníes"),"Rendimiento significativo",IF(AND(M678&gt;#REF!,Cartera!O678="Dólares americanos"),"Rendimiento significativo","Rendimiento no significativo"))</f>
        <v>#REF!</v>
      </c>
      <c r="O678" s="5" t="s">
        <v>41</v>
      </c>
      <c r="P678" s="12">
        <v>897534.24656999996</v>
      </c>
      <c r="Q678" s="12">
        <f>IF(O678="Guaraníes",P678,P678*#REF!)</f>
        <v>897534.24656999996</v>
      </c>
      <c r="R678" s="12" t="e">
        <f>IF(O678="Guaraníes",P678/#REF!,P678)</f>
        <v>#REF!</v>
      </c>
      <c r="S678" s="5" t="s">
        <v>52</v>
      </c>
      <c r="T678" s="5">
        <v>25</v>
      </c>
      <c r="W678" s="5" t="s">
        <v>65</v>
      </c>
      <c r="X678" s="5">
        <v>0</v>
      </c>
      <c r="Y678" s="5">
        <v>0</v>
      </c>
      <c r="Z678" s="5">
        <v>29917.808218999999</v>
      </c>
      <c r="AA678" s="5">
        <v>30</v>
      </c>
      <c r="AB678" s="5">
        <v>897534.24656999996</v>
      </c>
      <c r="AC678" s="5" t="str">
        <f t="shared" si="34"/>
        <v>Bonos</v>
      </c>
      <c r="AD678" s="5" t="s">
        <v>43</v>
      </c>
      <c r="AE678" s="5">
        <f t="shared" si="35"/>
        <v>4</v>
      </c>
      <c r="AF678" s="5">
        <f t="shared" si="36"/>
        <v>2021</v>
      </c>
    </row>
    <row r="679" s="5" customFormat="1" ht="13">
      <c r="A679" s="5" t="s">
        <v>44</v>
      </c>
      <c r="B679" s="5" t="s">
        <v>44</v>
      </c>
      <c r="C679" s="5" t="s">
        <v>99</v>
      </c>
      <c r="D679" s="5" t="s">
        <v>21</v>
      </c>
      <c r="E679" s="5" t="s">
        <v>44</v>
      </c>
      <c r="F679" s="5" t="s">
        <v>100</v>
      </c>
      <c r="G679" s="5" t="s">
        <v>75</v>
      </c>
      <c r="H679" s="9" t="s">
        <v>248</v>
      </c>
      <c r="I679" s="10"/>
      <c r="J679" s="10">
        <v>44325</v>
      </c>
      <c r="K679" s="5" t="s">
        <v>102</v>
      </c>
      <c r="L679" s="5" t="s">
        <v>102</v>
      </c>
      <c r="M679" s="11">
        <v>0.077499999999999999</v>
      </c>
      <c r="N679" s="5" t="e">
        <f>IF(AND(M679&gt;#REF!,Cartera!O679="Guaraníes"),"Rendimiento significativo",IF(AND(M679&gt;#REF!,Cartera!O679="Dólares americanos"),"Rendimiento significativo","Rendimiento no significativo"))</f>
        <v>#REF!</v>
      </c>
      <c r="O679" s="5" t="s">
        <v>41</v>
      </c>
      <c r="P679" s="12">
        <v>1750000</v>
      </c>
      <c r="Q679" s="12">
        <f>IF(O679="Guaraníes",P679,P679*#REF!)</f>
        <v>1750000</v>
      </c>
      <c r="R679" s="12" t="e">
        <f>IF(O679="Guaraníes",P679/#REF!,P679)</f>
        <v>#REF!</v>
      </c>
      <c r="S679" s="5" t="s">
        <v>52</v>
      </c>
      <c r="T679" s="5">
        <v>25</v>
      </c>
      <c r="W679" s="5" t="s">
        <v>249</v>
      </c>
      <c r="X679" s="5">
        <v>0</v>
      </c>
      <c r="Y679" s="5">
        <v>0</v>
      </c>
      <c r="Z679" s="5">
        <v>35000</v>
      </c>
      <c r="AA679" s="5">
        <v>50</v>
      </c>
      <c r="AB679" s="5">
        <v>1750000</v>
      </c>
      <c r="AC679" s="5" t="str">
        <f t="shared" si="34"/>
        <v>Bonos</v>
      </c>
      <c r="AD679" s="5" t="s">
        <v>43</v>
      </c>
      <c r="AE679" s="5">
        <f t="shared" si="35"/>
        <v>5</v>
      </c>
      <c r="AF679" s="5">
        <f t="shared" si="36"/>
        <v>2021</v>
      </c>
    </row>
    <row r="680" s="5" customFormat="1" ht="13">
      <c r="A680" s="5" t="s">
        <v>44</v>
      </c>
      <c r="B680" s="5" t="s">
        <v>44</v>
      </c>
      <c r="C680" s="5" t="s">
        <v>33</v>
      </c>
      <c r="D680" s="5" t="s">
        <v>21</v>
      </c>
      <c r="E680" s="5" t="s">
        <v>44</v>
      </c>
      <c r="F680" s="5" t="s">
        <v>35</v>
      </c>
      <c r="G680" s="5" t="s">
        <v>75</v>
      </c>
      <c r="H680" s="9" t="s">
        <v>168</v>
      </c>
      <c r="I680" s="10"/>
      <c r="J680" s="10">
        <v>44327</v>
      </c>
      <c r="K680" s="5" t="s">
        <v>39</v>
      </c>
      <c r="L680" s="5" t="s">
        <v>50</v>
      </c>
      <c r="M680" s="11">
        <v>0.070000000000000007</v>
      </c>
      <c r="N680" s="5" t="e">
        <f>IF(AND(M680&gt;#REF!,Cartera!O680="Guaraníes"),"Rendimiento significativo",IF(AND(M680&gt;#REF!,Cartera!O680="Dólares americanos"),"Rendimiento significativo","Rendimiento no significativo"))</f>
        <v>#REF!</v>
      </c>
      <c r="O680" s="5" t="s">
        <v>51</v>
      </c>
      <c r="P680" s="13">
        <v>1221.6438500000002</v>
      </c>
      <c r="Q680" s="12" t="e">
        <f>IF(O680="Guaraníes",P680,P680*#REF!)</f>
        <v>#REF!</v>
      </c>
      <c r="R680" s="12">
        <f>IF(O680="Guaraníes",P680/#REF!,P680)</f>
        <v>1221.6438500000002</v>
      </c>
      <c r="S680" s="5" t="s">
        <v>52</v>
      </c>
      <c r="T680" s="5">
        <v>25</v>
      </c>
      <c r="W680" s="5" t="s">
        <v>65</v>
      </c>
      <c r="X680" s="5">
        <v>0</v>
      </c>
      <c r="Y680" s="5">
        <v>0</v>
      </c>
      <c r="Z680" s="5">
        <v>17.452055000000001</v>
      </c>
      <c r="AA680" s="5">
        <v>70</v>
      </c>
      <c r="AB680" s="5">
        <v>1221.6438499999999</v>
      </c>
      <c r="AC680" s="5" t="str">
        <f t="shared" si="34"/>
        <v>Bonos</v>
      </c>
      <c r="AD680" s="5" t="s">
        <v>43</v>
      </c>
      <c r="AE680" s="5">
        <f t="shared" si="35"/>
        <v>5</v>
      </c>
      <c r="AF680" s="5">
        <f t="shared" si="36"/>
        <v>2021</v>
      </c>
    </row>
    <row r="681" s="5" customFormat="1" ht="13">
      <c r="A681" s="5" t="s">
        <v>44</v>
      </c>
      <c r="B681" s="5" t="s">
        <v>44</v>
      </c>
      <c r="C681" s="5" t="s">
        <v>242</v>
      </c>
      <c r="D681" s="5" t="s">
        <v>21</v>
      </c>
      <c r="E681" s="5" t="s">
        <v>44</v>
      </c>
      <c r="F681" s="5" t="s">
        <v>68</v>
      </c>
      <c r="G681" s="5" t="s">
        <v>75</v>
      </c>
      <c r="H681" s="9" t="s">
        <v>269</v>
      </c>
      <c r="I681" s="10"/>
      <c r="J681" s="10">
        <v>44329</v>
      </c>
      <c r="K681" s="5" t="s">
        <v>244</v>
      </c>
      <c r="L681" s="5" t="s">
        <v>58</v>
      </c>
      <c r="M681" s="11">
        <v>0.01</v>
      </c>
      <c r="N681" s="5" t="e">
        <f>IF(AND(M681&gt;#REF!,Cartera!O681="Guaraníes"),"Rendimiento significativo",IF(AND(M681&gt;#REF!,Cartera!O681="Dólares americanos"),"Rendimiento significativo","Rendimiento no significativo"))</f>
        <v>#REF!</v>
      </c>
      <c r="O681" s="5" t="s">
        <v>41</v>
      </c>
      <c r="P681" s="12">
        <v>40000000</v>
      </c>
      <c r="Q681" s="12">
        <f>IF(O681="Guaraníes",P681,P681*#REF!)</f>
        <v>40000000</v>
      </c>
      <c r="R681" s="12" t="e">
        <f>IF(O681="Guaraníes",P681/#REF!,P681)</f>
        <v>#REF!</v>
      </c>
      <c r="S681" s="5" t="s">
        <v>52</v>
      </c>
      <c r="T681" s="5">
        <v>25</v>
      </c>
      <c r="U681" s="5">
        <v>40000000</v>
      </c>
      <c r="W681" s="5" t="s">
        <v>270</v>
      </c>
      <c r="X681" s="5">
        <v>100</v>
      </c>
      <c r="Y681" s="5">
        <v>1000000</v>
      </c>
      <c r="Z681" s="5">
        <v>1000000</v>
      </c>
      <c r="AA681" s="5">
        <v>40</v>
      </c>
      <c r="AB681" s="5">
        <v>40000000</v>
      </c>
      <c r="AC681" s="5" t="str">
        <f t="shared" si="34"/>
        <v>Bonos</v>
      </c>
      <c r="AD681" s="5" t="s">
        <v>43</v>
      </c>
      <c r="AE681" s="5">
        <f t="shared" si="35"/>
        <v>5</v>
      </c>
      <c r="AF681" s="5">
        <f t="shared" si="36"/>
        <v>2021</v>
      </c>
    </row>
    <row r="682" s="5" customFormat="1" ht="13">
      <c r="A682" s="5" t="s">
        <v>44</v>
      </c>
      <c r="B682" s="5" t="s">
        <v>44</v>
      </c>
      <c r="C682" s="5" t="s">
        <v>242</v>
      </c>
      <c r="D682" s="5" t="s">
        <v>21</v>
      </c>
      <c r="E682" s="5" t="s">
        <v>44</v>
      </c>
      <c r="F682" s="5" t="s">
        <v>68</v>
      </c>
      <c r="G682" s="5" t="s">
        <v>75</v>
      </c>
      <c r="H682" s="9" t="s">
        <v>243</v>
      </c>
      <c r="I682" s="10"/>
      <c r="J682" s="10">
        <v>44333</v>
      </c>
      <c r="K682" s="5" t="s">
        <v>244</v>
      </c>
      <c r="L682" s="5" t="s">
        <v>58</v>
      </c>
      <c r="M682" s="11">
        <v>0.13750000000000001</v>
      </c>
      <c r="N682" s="5" t="e">
        <f>IF(AND(M682&gt;#REF!,Cartera!O682="Guaraníes"),"Rendimiento significativo",IF(AND(M682&gt;#REF!,Cartera!O682="Dólares americanos"),"Rendimiento significativo","Rendimiento no significativo"))</f>
        <v>#REF!</v>
      </c>
      <c r="O682" s="5" t="s">
        <v>41</v>
      </c>
      <c r="P682" s="12">
        <v>1028424.65754</v>
      </c>
      <c r="Q682" s="12">
        <f>IF(O682="Guaraníes",P682,P682*#REF!)</f>
        <v>1028424.65754</v>
      </c>
      <c r="R682" s="12" t="e">
        <f>IF(O682="Guaraníes",P682/#REF!,P682)</f>
        <v>#REF!</v>
      </c>
      <c r="S682" s="5" t="s">
        <v>52</v>
      </c>
      <c r="T682" s="5">
        <v>25</v>
      </c>
      <c r="W682" s="5" t="e">
        <v>#REF!</v>
      </c>
      <c r="X682" s="5">
        <v>0</v>
      </c>
      <c r="Y682" s="5">
        <v>0</v>
      </c>
      <c r="Z682" s="5">
        <v>34280.821918000001</v>
      </c>
      <c r="AA682" s="5">
        <v>30</v>
      </c>
      <c r="AB682" s="5">
        <v>1028424.65754</v>
      </c>
      <c r="AC682" s="5" t="str">
        <f t="shared" si="34"/>
        <v>Bonos</v>
      </c>
      <c r="AD682" s="5" t="s">
        <v>43</v>
      </c>
      <c r="AE682" s="5">
        <f t="shared" si="35"/>
        <v>5</v>
      </c>
      <c r="AF682" s="5">
        <f t="shared" si="36"/>
        <v>2021</v>
      </c>
    </row>
    <row r="683" s="5" customFormat="1" ht="13">
      <c r="A683" s="5" t="s">
        <v>44</v>
      </c>
      <c r="B683" s="5" t="s">
        <v>44</v>
      </c>
      <c r="C683" s="5" t="s">
        <v>114</v>
      </c>
      <c r="D683" s="5" t="s">
        <v>21</v>
      </c>
      <c r="E683" s="5" t="s">
        <v>44</v>
      </c>
      <c r="F683" s="5" t="s">
        <v>68</v>
      </c>
      <c r="G683" s="5" t="s">
        <v>75</v>
      </c>
      <c r="H683" s="9" t="s">
        <v>170</v>
      </c>
      <c r="I683" s="10"/>
      <c r="J683" s="10">
        <v>44334</v>
      </c>
      <c r="K683" s="5" t="s">
        <v>77</v>
      </c>
      <c r="L683" s="5" t="s">
        <v>50</v>
      </c>
      <c r="M683" s="11">
        <v>0.14000000000000001</v>
      </c>
      <c r="N683" s="5" t="e">
        <f>IF(AND(M683&gt;#REF!,Cartera!O683="Guaraníes"),"Rendimiento significativo",IF(AND(M683&gt;#REF!,Cartera!O683="Dólares americanos"),"Rendimiento significativo","Rendimiento no significativo"))</f>
        <v>#REF!</v>
      </c>
      <c r="O683" s="5" t="s">
        <v>41</v>
      </c>
      <c r="P683" s="12">
        <v>3490410.9589</v>
      </c>
      <c r="Q683" s="12">
        <f>IF(O683="Guaraníes",P683,P683*#REF!)</f>
        <v>3490410.9589</v>
      </c>
      <c r="R683" s="12" t="e">
        <f>IF(O683="Guaraníes",P683/#REF!,P683)</f>
        <v>#REF!</v>
      </c>
      <c r="S683" s="5" t="s">
        <v>52</v>
      </c>
      <c r="T683" s="5">
        <v>25</v>
      </c>
      <c r="W683" s="5" t="s">
        <v>65</v>
      </c>
      <c r="X683" s="5">
        <v>0</v>
      </c>
      <c r="Y683" s="5">
        <v>0</v>
      </c>
      <c r="Z683" s="5">
        <v>34904.109589</v>
      </c>
      <c r="AA683" s="5">
        <v>100</v>
      </c>
      <c r="AB683" s="5">
        <v>3490410.9589</v>
      </c>
      <c r="AC683" s="5" t="str">
        <f t="shared" si="34"/>
        <v>Bonos</v>
      </c>
      <c r="AD683" s="5" t="s">
        <v>43</v>
      </c>
      <c r="AE683" s="5">
        <f t="shared" si="35"/>
        <v>5</v>
      </c>
      <c r="AF683" s="5">
        <f t="shared" si="36"/>
        <v>2021</v>
      </c>
    </row>
    <row r="684" s="5" customFormat="1" ht="13">
      <c r="A684" s="5" t="s">
        <v>44</v>
      </c>
      <c r="B684" s="5" t="s">
        <v>44</v>
      </c>
      <c r="C684" s="5" t="s">
        <v>254</v>
      </c>
      <c r="D684" s="5" t="s">
        <v>21</v>
      </c>
      <c r="E684" s="5" t="s">
        <v>44</v>
      </c>
      <c r="F684" s="5" t="s">
        <v>68</v>
      </c>
      <c r="G684" s="5" t="s">
        <v>75</v>
      </c>
      <c r="H684" s="9" t="s">
        <v>255</v>
      </c>
      <c r="I684" s="10"/>
      <c r="J684" s="10">
        <v>44357</v>
      </c>
      <c r="K684" s="5" t="s">
        <v>256</v>
      </c>
      <c r="L684" s="5" t="s">
        <v>58</v>
      </c>
      <c r="M684" s="11">
        <v>0.057500000000000002</v>
      </c>
      <c r="N684" s="5" t="e">
        <f>IF(AND(M684&gt;#REF!,Cartera!O684="Guaraníes"),"Rendimiento significativo",IF(AND(M684&gt;#REF!,Cartera!O684="Dólares americanos"),"Rendimiento significativo","Rendimiento no significativo"))</f>
        <v>#REF!</v>
      </c>
      <c r="O684" s="5" t="s">
        <v>51</v>
      </c>
      <c r="P684" s="13">
        <v>860.13698999999997</v>
      </c>
      <c r="Q684" s="12" t="e">
        <f>IF(O684="Guaraníes",P684,P684*#REF!)</f>
        <v>#REF!</v>
      </c>
      <c r="R684" s="12">
        <f>IF(O684="Guaraníes",P684/#REF!,P684)</f>
        <v>860.13698999999997</v>
      </c>
      <c r="S684" s="5" t="s">
        <v>52</v>
      </c>
      <c r="T684" s="5">
        <v>25</v>
      </c>
      <c r="W684" s="5" t="s">
        <v>249</v>
      </c>
      <c r="X684" s="5">
        <v>0</v>
      </c>
      <c r="Y684" s="5">
        <v>0</v>
      </c>
      <c r="Z684" s="5">
        <v>28.671233000000001</v>
      </c>
      <c r="AA684" s="5">
        <v>30</v>
      </c>
      <c r="AB684" s="5">
        <v>860.13698999999997</v>
      </c>
      <c r="AC684" s="5" t="str">
        <f t="shared" si="34"/>
        <v>Bonos</v>
      </c>
      <c r="AD684" s="5" t="s">
        <v>43</v>
      </c>
      <c r="AE684" s="5">
        <f t="shared" si="35"/>
        <v>6</v>
      </c>
      <c r="AF684" s="5">
        <f t="shared" si="36"/>
        <v>2021</v>
      </c>
    </row>
    <row r="685" s="5" customFormat="1" ht="13">
      <c r="A685" s="5" t="s">
        <v>44</v>
      </c>
      <c r="B685" s="5" t="s">
        <v>44</v>
      </c>
      <c r="C685" s="5" t="s">
        <v>135</v>
      </c>
      <c r="D685" s="5" t="s">
        <v>21</v>
      </c>
      <c r="E685" s="5" t="s">
        <v>44</v>
      </c>
      <c r="F685" s="5" t="s">
        <v>68</v>
      </c>
      <c r="G685" s="5" t="s">
        <v>75</v>
      </c>
      <c r="H685" s="9" t="s">
        <v>136</v>
      </c>
      <c r="I685" s="10"/>
      <c r="J685" s="10">
        <v>44363</v>
      </c>
      <c r="K685" s="5" t="s">
        <v>124</v>
      </c>
      <c r="L685" s="5" t="s">
        <v>58</v>
      </c>
      <c r="M685" s="11">
        <v>0.060999999999999999</v>
      </c>
      <c r="N685" s="5" t="e">
        <f>IF(AND(M685&gt;#REF!,Cartera!O685="Guaraníes"),"Rendimiento significativo",IF(AND(M685&gt;#REF!,Cartera!O685="Dólares americanos"),"Rendimiento significativo","Rendimiento no significativo"))</f>
        <v>#REF!</v>
      </c>
      <c r="O685" s="5" t="s">
        <v>41</v>
      </c>
      <c r="P685" s="12">
        <v>6083287.6711999997</v>
      </c>
      <c r="Q685" s="12">
        <f>IF(O685="Guaraníes",P685,P685*#REF!)</f>
        <v>6083287.6711999997</v>
      </c>
      <c r="R685" s="12" t="e">
        <f>IF(O685="Guaraníes",P685/#REF!,P685)</f>
        <v>#REF!</v>
      </c>
      <c r="S685" s="5" t="s">
        <v>52</v>
      </c>
      <c r="T685" s="5">
        <v>25</v>
      </c>
      <c r="W685" s="5" t="s">
        <v>271</v>
      </c>
      <c r="X685" s="5">
        <v>0</v>
      </c>
      <c r="Y685" s="5">
        <v>0</v>
      </c>
      <c r="Z685" s="5">
        <v>30416.438355999999</v>
      </c>
      <c r="AA685" s="5">
        <v>200</v>
      </c>
      <c r="AB685" s="5">
        <v>6083287.6711999997</v>
      </c>
      <c r="AC685" s="5" t="str">
        <f t="shared" si="34"/>
        <v>Bonos</v>
      </c>
      <c r="AD685" s="5" t="s">
        <v>43</v>
      </c>
      <c r="AE685" s="5">
        <f t="shared" si="35"/>
        <v>6</v>
      </c>
      <c r="AF685" s="5">
        <f t="shared" si="36"/>
        <v>2021</v>
      </c>
    </row>
    <row r="686" s="5" customFormat="1" ht="13">
      <c r="A686" s="5" t="s">
        <v>44</v>
      </c>
      <c r="B686" s="5" t="s">
        <v>44</v>
      </c>
      <c r="C686" s="5" t="s">
        <v>114</v>
      </c>
      <c r="D686" s="5" t="s">
        <v>21</v>
      </c>
      <c r="E686" s="5" t="s">
        <v>44</v>
      </c>
      <c r="F686" s="5" t="s">
        <v>68</v>
      </c>
      <c r="G686" s="5" t="s">
        <v>75</v>
      </c>
      <c r="H686" s="9" t="s">
        <v>226</v>
      </c>
      <c r="I686" s="10"/>
      <c r="J686" s="10">
        <v>44364</v>
      </c>
      <c r="K686" s="5" t="s">
        <v>77</v>
      </c>
      <c r="L686" s="5" t="s">
        <v>58</v>
      </c>
      <c r="M686" s="11">
        <v>0.14000000000000001</v>
      </c>
      <c r="N686" s="5" t="e">
        <f>IF(AND(M686&gt;#REF!,Cartera!O686="Guaraníes"),"Rendimiento significativo",IF(AND(M686&gt;#REF!,Cartera!O686="Dólares americanos"),"Rendimiento significativo","Rendimiento no significativo"))</f>
        <v>#REF!</v>
      </c>
      <c r="O686" s="5" t="s">
        <v>41</v>
      </c>
      <c r="P686" s="12">
        <v>523561.643835</v>
      </c>
      <c r="Q686" s="12">
        <f>IF(O686="Guaraníes",P686,P686*#REF!)</f>
        <v>523561.643835</v>
      </c>
      <c r="R686" s="12" t="e">
        <f>IF(O686="Guaraníes",P686/#REF!,P686)</f>
        <v>#REF!</v>
      </c>
      <c r="S686" s="5" t="s">
        <v>52</v>
      </c>
      <c r="T686" s="5">
        <v>25</v>
      </c>
      <c r="W686" s="5" t="s">
        <v>65</v>
      </c>
      <c r="X686" s="5">
        <v>0</v>
      </c>
      <c r="Y686" s="5">
        <v>0</v>
      </c>
      <c r="Z686" s="5">
        <v>34904.109589</v>
      </c>
      <c r="AA686" s="5">
        <v>15</v>
      </c>
      <c r="AB686" s="5">
        <v>523561.643835</v>
      </c>
      <c r="AC686" s="5" t="str">
        <f t="shared" si="34"/>
        <v>Bonos</v>
      </c>
      <c r="AD686" s="5" t="s">
        <v>43</v>
      </c>
      <c r="AE686" s="5">
        <f t="shared" si="35"/>
        <v>6</v>
      </c>
      <c r="AF686" s="5">
        <f t="shared" si="36"/>
        <v>2021</v>
      </c>
    </row>
    <row r="687" s="5" customFormat="1" ht="13">
      <c r="A687" s="5" t="s">
        <v>44</v>
      </c>
      <c r="B687" s="5" t="s">
        <v>44</v>
      </c>
      <c r="C687" s="5" t="s">
        <v>114</v>
      </c>
      <c r="D687" s="5" t="s">
        <v>21</v>
      </c>
      <c r="E687" s="5" t="s">
        <v>44</v>
      </c>
      <c r="F687" s="5" t="s">
        <v>68</v>
      </c>
      <c r="G687" s="5" t="s">
        <v>75</v>
      </c>
      <c r="H687" s="9" t="s">
        <v>236</v>
      </c>
      <c r="I687" s="10"/>
      <c r="J687" s="10">
        <v>44364</v>
      </c>
      <c r="K687" s="5" t="s">
        <v>77</v>
      </c>
      <c r="L687" s="5" t="s">
        <v>50</v>
      </c>
      <c r="M687" s="11">
        <v>0.14749999999999999</v>
      </c>
      <c r="N687" s="5" t="e">
        <f>IF(AND(M687&gt;#REF!,Cartera!O687="Guaraníes"),"Rendimiento significativo",IF(AND(M687&gt;#REF!,Cartera!O687="Dólares americanos"),"Rendimiento significativo","Rendimiento no significativo"))</f>
        <v>#REF!</v>
      </c>
      <c r="O687" s="5" t="s">
        <v>41</v>
      </c>
      <c r="P687" s="12">
        <v>112191.780822</v>
      </c>
      <c r="Q687" s="12">
        <f>IF(O687="Guaraníes",P687,P687*#REF!)</f>
        <v>112191.780822</v>
      </c>
      <c r="R687" s="12" t="e">
        <f>IF(O687="Guaraníes",P687/#REF!,P687)</f>
        <v>#REF!</v>
      </c>
      <c r="S687" s="5" t="s">
        <v>52</v>
      </c>
      <c r="T687" s="5">
        <v>25</v>
      </c>
      <c r="W687" s="5" t="s">
        <v>65</v>
      </c>
      <c r="X687" s="5">
        <v>0</v>
      </c>
      <c r="Y687" s="5">
        <v>0</v>
      </c>
      <c r="Z687" s="5">
        <v>37397.260274</v>
      </c>
      <c r="AA687" s="5">
        <v>3</v>
      </c>
      <c r="AB687" s="5">
        <v>112191.780822</v>
      </c>
      <c r="AC687" s="5" t="str">
        <f t="shared" si="34"/>
        <v>Bonos</v>
      </c>
      <c r="AD687" s="5" t="s">
        <v>43</v>
      </c>
      <c r="AE687" s="5">
        <f t="shared" si="35"/>
        <v>6</v>
      </c>
      <c r="AF687" s="5">
        <f t="shared" si="36"/>
        <v>2021</v>
      </c>
    </row>
    <row r="688" s="5" customFormat="1" ht="13">
      <c r="A688" s="5" t="s">
        <v>44</v>
      </c>
      <c r="B688" s="5" t="s">
        <v>44</v>
      </c>
      <c r="C688" s="5" t="s">
        <v>135</v>
      </c>
      <c r="D688" s="5" t="s">
        <v>21</v>
      </c>
      <c r="E688" s="5" t="s">
        <v>44</v>
      </c>
      <c r="F688" s="5" t="s">
        <v>68</v>
      </c>
      <c r="G688" s="5" t="s">
        <v>75</v>
      </c>
      <c r="H688" s="9" t="s">
        <v>265</v>
      </c>
      <c r="I688" s="10"/>
      <c r="J688" s="10">
        <v>44369</v>
      </c>
      <c r="K688" s="5" t="s">
        <v>124</v>
      </c>
      <c r="L688" s="5" t="s">
        <v>58</v>
      </c>
      <c r="M688" s="11">
        <v>0.054000000000000006</v>
      </c>
      <c r="N688" s="5" t="e">
        <f>IF(AND(M688&gt;#REF!,Cartera!O688="Guaraníes"),"Rendimiento significativo",IF(AND(M688&gt;#REF!,Cartera!O688="Dólares americanos"),"Rendimiento significativo","Rendimiento no significativo"))</f>
        <v>#REF!</v>
      </c>
      <c r="O688" s="5" t="s">
        <v>41</v>
      </c>
      <c r="P688" s="12">
        <v>1346301.3698500001</v>
      </c>
      <c r="Q688" s="12">
        <f>IF(O688="Guaraníes",P688,P688*#REF!)</f>
        <v>1346301.3698500001</v>
      </c>
      <c r="R688" s="12" t="e">
        <f>IF(O688="Guaraníes",P688/#REF!,P688)</f>
        <v>#REF!</v>
      </c>
      <c r="S688" s="5" t="s">
        <v>52</v>
      </c>
      <c r="T688" s="5">
        <v>25</v>
      </c>
      <c r="W688" s="5" t="s">
        <v>137</v>
      </c>
      <c r="X688" s="5">
        <v>0</v>
      </c>
      <c r="Y688" s="5">
        <v>0</v>
      </c>
      <c r="Z688" s="5">
        <v>26926.027397000002</v>
      </c>
      <c r="AA688" s="5">
        <v>50</v>
      </c>
      <c r="AB688" s="5">
        <v>1346301.3698499999</v>
      </c>
      <c r="AC688" s="5" t="str">
        <f t="shared" si="34"/>
        <v>Bonos</v>
      </c>
      <c r="AD688" s="5" t="s">
        <v>43</v>
      </c>
      <c r="AE688" s="5">
        <f t="shared" si="35"/>
        <v>6</v>
      </c>
      <c r="AF688" s="5">
        <f t="shared" si="36"/>
        <v>2021</v>
      </c>
    </row>
    <row r="689" s="5" customFormat="1" ht="13">
      <c r="A689" s="5" t="s">
        <v>44</v>
      </c>
      <c r="B689" s="5" t="s">
        <v>44</v>
      </c>
      <c r="C689" s="5" t="s">
        <v>54</v>
      </c>
      <c r="D689" s="5" t="s">
        <v>21</v>
      </c>
      <c r="E689" s="5" t="s">
        <v>44</v>
      </c>
      <c r="F689" s="5" t="s">
        <v>46</v>
      </c>
      <c r="G689" s="5" t="s">
        <v>75</v>
      </c>
      <c r="H689" s="9" t="s">
        <v>147</v>
      </c>
      <c r="I689" s="10"/>
      <c r="J689" s="10">
        <v>44375</v>
      </c>
      <c r="K689" s="5" t="s">
        <v>57</v>
      </c>
      <c r="L689" s="5" t="s">
        <v>58</v>
      </c>
      <c r="M689" s="11">
        <v>0.12</v>
      </c>
      <c r="N689" s="5" t="e">
        <f>IF(AND(M689&gt;#REF!,Cartera!O689="Guaraníes"),"Rendimiento significativo",IF(AND(M689&gt;#REF!,Cartera!O689="Dólares americanos"),"Rendimiento significativo","Rendimiento no significativo"))</f>
        <v>#REF!</v>
      </c>
      <c r="O689" s="5" t="s">
        <v>41</v>
      </c>
      <c r="P689" s="12">
        <v>4487671.2328500003</v>
      </c>
      <c r="Q689" s="12">
        <f>IF(O689="Guaraníes",P689,P689*#REF!)</f>
        <v>4487671.2328500003</v>
      </c>
      <c r="R689" s="12" t="e">
        <f>IF(O689="Guaraníes",P689/#REF!,P689)</f>
        <v>#REF!</v>
      </c>
      <c r="S689" s="5" t="s">
        <v>52</v>
      </c>
      <c r="T689" s="5">
        <v>25</v>
      </c>
      <c r="W689" s="5" t="s">
        <v>263</v>
      </c>
      <c r="X689" s="5">
        <v>0</v>
      </c>
      <c r="Y689" s="5">
        <v>0</v>
      </c>
      <c r="Z689" s="5">
        <v>29917.808218999999</v>
      </c>
      <c r="AA689" s="5">
        <v>150</v>
      </c>
      <c r="AB689" s="5">
        <v>4487671.2328500003</v>
      </c>
      <c r="AC689" s="5" t="str">
        <f t="shared" si="34"/>
        <v>Bonos</v>
      </c>
      <c r="AD689" s="5" t="s">
        <v>43</v>
      </c>
      <c r="AE689" s="5">
        <f t="shared" si="35"/>
        <v>6</v>
      </c>
      <c r="AF689" s="5">
        <f t="shared" si="36"/>
        <v>2021</v>
      </c>
    </row>
    <row r="690" s="5" customFormat="1" ht="13">
      <c r="A690" s="5" t="s">
        <v>44</v>
      </c>
      <c r="B690" s="5" t="s">
        <v>44</v>
      </c>
      <c r="C690" s="5" t="s">
        <v>114</v>
      </c>
      <c r="D690" s="5" t="s">
        <v>21</v>
      </c>
      <c r="E690" s="5" t="s">
        <v>44</v>
      </c>
      <c r="F690" s="5" t="s">
        <v>68</v>
      </c>
      <c r="G690" s="5" t="s">
        <v>75</v>
      </c>
      <c r="H690" s="9" t="s">
        <v>237</v>
      </c>
      <c r="I690" s="10"/>
      <c r="J690" s="10">
        <v>44376</v>
      </c>
      <c r="K690" s="5" t="s">
        <v>77</v>
      </c>
      <c r="L690" s="5" t="s">
        <v>50</v>
      </c>
      <c r="M690" s="11">
        <v>0.13750000000000001</v>
      </c>
      <c r="N690" s="5" t="e">
        <f>IF(AND(M690&gt;#REF!,Cartera!O690="Guaraníes"),"Rendimiento significativo",IF(AND(M690&gt;#REF!,Cartera!O690="Dólares americanos"),"Rendimiento significativo","Rendimiento no significativo"))</f>
        <v>#REF!</v>
      </c>
      <c r="O690" s="5" t="s">
        <v>41</v>
      </c>
      <c r="P690" s="12">
        <v>685616.43836000003</v>
      </c>
      <c r="Q690" s="12">
        <f>IF(O690="Guaraníes",P690,P690*#REF!)</f>
        <v>685616.43836000003</v>
      </c>
      <c r="R690" s="12" t="e">
        <f>IF(O690="Guaraníes",P690/#REF!,P690)</f>
        <v>#REF!</v>
      </c>
      <c r="S690" s="5" t="s">
        <v>52</v>
      </c>
      <c r="T690" s="5">
        <v>25</v>
      </c>
      <c r="W690" s="5" t="s">
        <v>65</v>
      </c>
      <c r="X690" s="5">
        <v>0</v>
      </c>
      <c r="Y690" s="5">
        <v>0</v>
      </c>
      <c r="Z690" s="5">
        <v>34280.821918000001</v>
      </c>
      <c r="AA690" s="5">
        <v>20</v>
      </c>
      <c r="AB690" s="5">
        <v>685616.43836000003</v>
      </c>
      <c r="AC690" s="5" t="str">
        <f t="shared" si="34"/>
        <v>Bonos</v>
      </c>
      <c r="AD690" s="5" t="s">
        <v>43</v>
      </c>
      <c r="AE690" s="5">
        <f t="shared" si="35"/>
        <v>6</v>
      </c>
      <c r="AF690" s="5">
        <f t="shared" si="36"/>
        <v>2021</v>
      </c>
    </row>
    <row r="691" s="5" customFormat="1" ht="13">
      <c r="A691" s="5" t="s">
        <v>44</v>
      </c>
      <c r="B691" s="5" t="s">
        <v>44</v>
      </c>
      <c r="C691" s="5" t="s">
        <v>33</v>
      </c>
      <c r="D691" s="5" t="s">
        <v>21</v>
      </c>
      <c r="E691" s="5" t="s">
        <v>44</v>
      </c>
      <c r="F691" s="5" t="s">
        <v>35</v>
      </c>
      <c r="G691" s="5" t="s">
        <v>75</v>
      </c>
      <c r="H691" s="9" t="s">
        <v>257</v>
      </c>
      <c r="I691" s="10"/>
      <c r="J691" s="10">
        <v>44378</v>
      </c>
      <c r="K691" s="5" t="s">
        <v>39</v>
      </c>
      <c r="L691" s="5" t="s">
        <v>106</v>
      </c>
      <c r="M691" s="11">
        <v>0.0625</v>
      </c>
      <c r="N691" s="5" t="e">
        <f>IF(AND(M691&gt;#REF!,Cartera!O691="Guaraníes"),"Rendimiento significativo",IF(AND(M691&gt;#REF!,Cartera!O691="Dólares americanos"),"Rendimiento significativo","Rendimiento no significativo"))</f>
        <v>#REF!</v>
      </c>
      <c r="O691" s="5" t="s">
        <v>51</v>
      </c>
      <c r="P691" s="13">
        <v>623.28767999999991</v>
      </c>
      <c r="Q691" s="12" t="e">
        <f>IF(O691="Guaraníes",P691,P691*#REF!)</f>
        <v>#REF!</v>
      </c>
      <c r="R691" s="12">
        <f>IF(O691="Guaraníes",P691/#REF!,P691)</f>
        <v>623.28767999999991</v>
      </c>
      <c r="S691" s="5" t="s">
        <v>52</v>
      </c>
      <c r="T691" s="5">
        <v>25</v>
      </c>
      <c r="W691" s="5" t="s">
        <v>218</v>
      </c>
      <c r="X691" s="5">
        <v>0</v>
      </c>
      <c r="Y691" s="5">
        <v>0</v>
      </c>
      <c r="Z691" s="5">
        <v>15.582191999999999</v>
      </c>
      <c r="AA691" s="5">
        <v>40</v>
      </c>
      <c r="AB691" s="5">
        <v>623.28768000000002</v>
      </c>
      <c r="AC691" s="5" t="str">
        <f t="shared" si="34"/>
        <v>Bonos</v>
      </c>
      <c r="AD691" s="5" t="s">
        <v>43</v>
      </c>
      <c r="AE691" s="5">
        <f t="shared" si="35"/>
        <v>7</v>
      </c>
      <c r="AF691" s="5">
        <f t="shared" si="36"/>
        <v>2021</v>
      </c>
    </row>
    <row r="692" s="5" customFormat="1" ht="13">
      <c r="A692" s="5" t="s">
        <v>44</v>
      </c>
      <c r="B692" s="5" t="s">
        <v>44</v>
      </c>
      <c r="C692" s="5" t="s">
        <v>74</v>
      </c>
      <c r="D692" s="5" t="s">
        <v>21</v>
      </c>
      <c r="E692" s="5" t="s">
        <v>44</v>
      </c>
      <c r="F692" s="5" t="s">
        <v>68</v>
      </c>
      <c r="G692" s="5" t="s">
        <v>75</v>
      </c>
      <c r="H692" s="9" t="s">
        <v>76</v>
      </c>
      <c r="I692" s="10"/>
      <c r="J692" s="10">
        <v>44470</v>
      </c>
      <c r="K692" s="5" t="s">
        <v>77</v>
      </c>
      <c r="L692" s="5" t="s">
        <v>50</v>
      </c>
      <c r="M692" s="11">
        <v>0.055</v>
      </c>
      <c r="N692" s="5" t="e">
        <f>IF(AND(M692&gt;#REF!,Cartera!O692="Guaraníes"),"Rendimiento significativo",IF(AND(M692&gt;#REF!,Cartera!O692="Dólares americanos"),"Rendimiento significativo","Rendimiento no significativo"))</f>
        <v>#REF!</v>
      </c>
      <c r="O692" s="5" t="s">
        <v>51</v>
      </c>
      <c r="P692" s="13">
        <v>415.89042000000001</v>
      </c>
      <c r="Q692" s="12" t="e">
        <f>IF(O692="Guaraníes",P692,P692*#REF!)</f>
        <v>#REF!</v>
      </c>
      <c r="R692" s="12">
        <f>IF(O692="Guaraníes",P692/#REF!,P692)</f>
        <v>415.89042000000001</v>
      </c>
      <c r="S692" s="5" t="s">
        <v>52</v>
      </c>
      <c r="T692" s="5">
        <v>25</v>
      </c>
      <c r="W692" s="5" t="s">
        <v>65</v>
      </c>
      <c r="X692" s="5">
        <v>0</v>
      </c>
      <c r="Y692" s="5">
        <v>0</v>
      </c>
      <c r="Z692" s="5">
        <v>14.013699000000001</v>
      </c>
      <c r="AA692" s="5">
        <v>30</v>
      </c>
      <c r="AB692" s="5">
        <v>420.41000000000003</v>
      </c>
      <c r="AC692" s="5" t="str">
        <f t="shared" si="34"/>
        <v>Bonos</v>
      </c>
      <c r="AD692" s="5" t="s">
        <v>43</v>
      </c>
      <c r="AE692" s="5">
        <f t="shared" si="35"/>
        <v>10</v>
      </c>
      <c r="AF692" s="5">
        <f t="shared" si="36"/>
        <v>2021</v>
      </c>
    </row>
    <row r="693" s="5" customFormat="1" ht="13">
      <c r="A693" s="5" t="s">
        <v>44</v>
      </c>
      <c r="B693" s="5" t="s">
        <v>44</v>
      </c>
      <c r="C693" s="5" t="s">
        <v>156</v>
      </c>
      <c r="D693" s="5" t="s">
        <v>21</v>
      </c>
      <c r="E693" s="5" t="s">
        <v>44</v>
      </c>
      <c r="F693" s="5" t="s">
        <v>68</v>
      </c>
      <c r="G693" s="5" t="s">
        <v>75</v>
      </c>
      <c r="H693" s="9" t="s">
        <v>157</v>
      </c>
      <c r="I693" s="10"/>
      <c r="J693" s="10">
        <v>44390</v>
      </c>
      <c r="K693" s="5" t="s">
        <v>158</v>
      </c>
      <c r="L693" s="5" t="s">
        <v>58</v>
      </c>
      <c r="M693" s="11">
        <v>0.16</v>
      </c>
      <c r="N693" s="5" t="e">
        <f>IF(AND(M693&gt;#REF!,Cartera!O693="Guaraníes"),"Rendimiento significativo",IF(AND(M693&gt;#REF!,Cartera!O693="Dólares americanos"),"Rendimiento significativo","Rendimiento no significativo"))</f>
        <v>#REF!</v>
      </c>
      <c r="O693" s="5" t="s">
        <v>41</v>
      </c>
      <c r="P693" s="12">
        <v>4188493.15068</v>
      </c>
      <c r="Q693" s="12">
        <f>IF(O693="Guaraníes",P693,P693*#REF!)</f>
        <v>4188493.15068</v>
      </c>
      <c r="R693" s="12" t="e">
        <f>IF(O693="Guaraníes",P693/#REF!,P693)</f>
        <v>#REF!</v>
      </c>
      <c r="S693" s="5" t="s">
        <v>52</v>
      </c>
      <c r="T693" s="5">
        <v>25</v>
      </c>
      <c r="W693" s="5" t="s">
        <v>53</v>
      </c>
      <c r="X693" s="5">
        <v>0</v>
      </c>
      <c r="Y693" s="5">
        <v>0</v>
      </c>
      <c r="Z693" s="5">
        <v>34904.109589</v>
      </c>
      <c r="AA693" s="5">
        <v>120</v>
      </c>
      <c r="AB693" s="5">
        <v>4188493.15068</v>
      </c>
      <c r="AC693" s="5" t="str">
        <f t="shared" si="34"/>
        <v>Bonos</v>
      </c>
      <c r="AD693" s="5" t="s">
        <v>43</v>
      </c>
      <c r="AE693" s="5">
        <f t="shared" si="35"/>
        <v>7</v>
      </c>
      <c r="AF693" s="5">
        <f t="shared" si="36"/>
        <v>2021</v>
      </c>
    </row>
    <row r="694" s="5" customFormat="1" ht="13">
      <c r="A694" s="5" t="s">
        <v>44</v>
      </c>
      <c r="B694" s="5" t="s">
        <v>44</v>
      </c>
      <c r="C694" s="5" t="s">
        <v>197</v>
      </c>
      <c r="D694" s="5" t="s">
        <v>21</v>
      </c>
      <c r="E694" s="5" t="s">
        <v>44</v>
      </c>
      <c r="F694" s="5" t="s">
        <v>68</v>
      </c>
      <c r="G694" s="5" t="s">
        <v>75</v>
      </c>
      <c r="H694" s="9" t="s">
        <v>198</v>
      </c>
      <c r="I694" s="10"/>
      <c r="J694" s="10">
        <v>44392</v>
      </c>
      <c r="K694" s="5" t="s">
        <v>199</v>
      </c>
      <c r="L694" s="5" t="s">
        <v>58</v>
      </c>
      <c r="M694" s="11">
        <v>0.10000000000000001</v>
      </c>
      <c r="N694" s="5" t="e">
        <f>IF(AND(M694&gt;#REF!,Cartera!O694="Guaraníes"),"Rendimiento significativo",IF(AND(M694&gt;#REF!,Cartera!O694="Dólares americanos"),"Rendimiento significativo","Rendimiento no significativo"))</f>
        <v>#REF!</v>
      </c>
      <c r="O694" s="5" t="s">
        <v>41</v>
      </c>
      <c r="P694" s="12">
        <v>1421095.8903930001</v>
      </c>
      <c r="Q694" s="12">
        <f>IF(O694="Guaraníes",P694,P694*#REF!)</f>
        <v>1421095.8903930001</v>
      </c>
      <c r="R694" s="12" t="e">
        <f>IF(O694="Guaraníes",P694/#REF!,P694)</f>
        <v>#REF!</v>
      </c>
      <c r="S694" s="5" t="s">
        <v>52</v>
      </c>
      <c r="T694" s="5">
        <v>25</v>
      </c>
      <c r="W694" s="5" t="s">
        <v>200</v>
      </c>
      <c r="X694" s="5">
        <v>0</v>
      </c>
      <c r="Y694" s="5">
        <v>0</v>
      </c>
      <c r="Z694" s="5">
        <v>24931.506849000001</v>
      </c>
      <c r="AA694" s="5">
        <v>57</v>
      </c>
      <c r="AB694" s="5">
        <v>1421095.8903930001</v>
      </c>
      <c r="AC694" s="5" t="str">
        <f t="shared" si="34"/>
        <v>Bonos</v>
      </c>
      <c r="AD694" s="5" t="s">
        <v>43</v>
      </c>
      <c r="AE694" s="5">
        <f t="shared" si="35"/>
        <v>7</v>
      </c>
      <c r="AF694" s="5">
        <f t="shared" si="36"/>
        <v>2021</v>
      </c>
    </row>
    <row r="695" s="5" customFormat="1" ht="13">
      <c r="A695" s="5" t="s">
        <v>44</v>
      </c>
      <c r="B695" s="5" t="s">
        <v>44</v>
      </c>
      <c r="C695" s="5" t="s">
        <v>239</v>
      </c>
      <c r="D695" s="5" t="s">
        <v>21</v>
      </c>
      <c r="E695" s="5" t="s">
        <v>44</v>
      </c>
      <c r="F695" s="5" t="s">
        <v>68</v>
      </c>
      <c r="G695" s="5" t="s">
        <v>75</v>
      </c>
      <c r="H695" s="9" t="s">
        <v>240</v>
      </c>
      <c r="I695" s="10"/>
      <c r="J695" s="10">
        <v>44397</v>
      </c>
      <c r="K695" s="5" t="s">
        <v>49</v>
      </c>
      <c r="L695" s="5" t="s">
        <v>58</v>
      </c>
      <c r="M695" s="11">
        <v>0.13</v>
      </c>
      <c r="N695" s="5" t="e">
        <f>IF(AND(M695&gt;#REF!,Cartera!O695="Guaraníes"),"Rendimiento significativo",IF(AND(M695&gt;#REF!,Cartera!O695="Dólares americanos"),"Rendimiento significativo","Rendimiento no significativo"))</f>
        <v>#REF!</v>
      </c>
      <c r="O695" s="5" t="s">
        <v>41</v>
      </c>
      <c r="P695" s="12">
        <v>1620547.9452</v>
      </c>
      <c r="Q695" s="12">
        <f>IF(O695="Guaraníes",P695,P695*#REF!)</f>
        <v>1620547.9452</v>
      </c>
      <c r="R695" s="12" t="e">
        <f>IF(O695="Guaraníes",P695/#REF!,P695)</f>
        <v>#REF!</v>
      </c>
      <c r="S695" s="5" t="s">
        <v>52</v>
      </c>
      <c r="T695" s="5">
        <v>25</v>
      </c>
      <c r="W695" s="5" t="s">
        <v>253</v>
      </c>
      <c r="X695" s="5">
        <v>0</v>
      </c>
      <c r="Y695" s="5">
        <v>0</v>
      </c>
      <c r="Z695" s="5">
        <v>32410.958903999999</v>
      </c>
      <c r="AA695" s="5">
        <v>50</v>
      </c>
      <c r="AB695" s="5">
        <v>1620547.9452</v>
      </c>
      <c r="AC695" s="5" t="str">
        <f t="shared" si="34"/>
        <v>Bonos</v>
      </c>
      <c r="AD695" s="5" t="s">
        <v>43</v>
      </c>
      <c r="AE695" s="5">
        <f t="shared" si="35"/>
        <v>7</v>
      </c>
      <c r="AF695" s="5">
        <f t="shared" si="36"/>
        <v>2021</v>
      </c>
    </row>
    <row r="696" s="5" customFormat="1" ht="13">
      <c r="A696" s="5" t="s">
        <v>44</v>
      </c>
      <c r="B696" s="5" t="s">
        <v>44</v>
      </c>
      <c r="C696" s="5" t="s">
        <v>114</v>
      </c>
      <c r="D696" s="5" t="s">
        <v>21</v>
      </c>
      <c r="E696" s="5" t="s">
        <v>44</v>
      </c>
      <c r="F696" s="5" t="s">
        <v>68</v>
      </c>
      <c r="G696" s="5" t="s">
        <v>75</v>
      </c>
      <c r="H696" s="9" t="s">
        <v>234</v>
      </c>
      <c r="I696" s="10"/>
      <c r="J696" s="10">
        <v>44398</v>
      </c>
      <c r="K696" s="5" t="s">
        <v>77</v>
      </c>
      <c r="L696" s="5" t="s">
        <v>50</v>
      </c>
      <c r="M696" s="11">
        <v>0.12</v>
      </c>
      <c r="N696" s="5" t="e">
        <f>IF(AND(M696&gt;#REF!,Cartera!O696="Guaraníes"),"Rendimiento significativo",IF(AND(M696&gt;#REF!,Cartera!O696="Dólares americanos"),"Rendimiento significativo","Rendimiento no significativo"))</f>
        <v>#REF!</v>
      </c>
      <c r="O696" s="5" t="s">
        <v>51</v>
      </c>
      <c r="P696" s="13">
        <v>486.16437000000002</v>
      </c>
      <c r="Q696" s="12" t="e">
        <f>IF(O696="Guaraníes",P696,P696*#REF!)</f>
        <v>#REF!</v>
      </c>
      <c r="R696" s="12">
        <f>IF(O696="Guaraníes",P696/#REF!,P696)</f>
        <v>486.16437000000002</v>
      </c>
      <c r="S696" s="5" t="s">
        <v>52</v>
      </c>
      <c r="T696" s="5">
        <v>25</v>
      </c>
      <c r="W696" s="5" t="s">
        <v>65</v>
      </c>
      <c r="X696" s="5">
        <v>0</v>
      </c>
      <c r="Y696" s="5">
        <v>0</v>
      </c>
      <c r="Z696" s="5">
        <v>16.205479</v>
      </c>
      <c r="AA696" s="5">
        <v>30</v>
      </c>
      <c r="AB696" s="5">
        <v>486.16437000000002</v>
      </c>
      <c r="AC696" s="5" t="str">
        <f t="shared" si="34"/>
        <v>Bonos</v>
      </c>
      <c r="AD696" s="5" t="s">
        <v>43</v>
      </c>
      <c r="AE696" s="5">
        <f t="shared" si="35"/>
        <v>7</v>
      </c>
      <c r="AF696" s="5">
        <f t="shared" si="36"/>
        <v>2021</v>
      </c>
    </row>
    <row r="697" s="5" customFormat="1" ht="13">
      <c r="A697" s="5" t="s">
        <v>44</v>
      </c>
      <c r="B697" s="5" t="s">
        <v>44</v>
      </c>
      <c r="C697" s="5" t="s">
        <v>156</v>
      </c>
      <c r="D697" s="5" t="s">
        <v>21</v>
      </c>
      <c r="E697" s="5" t="s">
        <v>44</v>
      </c>
      <c r="F697" s="5" t="s">
        <v>68</v>
      </c>
      <c r="G697" s="5" t="s">
        <v>75</v>
      </c>
      <c r="H697" s="9" t="s">
        <v>246</v>
      </c>
      <c r="I697" s="10"/>
      <c r="J697" s="10">
        <v>44406</v>
      </c>
      <c r="K697" s="5" t="s">
        <v>158</v>
      </c>
      <c r="L697" s="5" t="s">
        <v>58</v>
      </c>
      <c r="M697" s="11">
        <v>0.125</v>
      </c>
      <c r="N697" s="5" t="e">
        <f>IF(AND(M697&gt;#REF!,Cartera!O697="Guaraníes"),"Rendimiento significativo",IF(AND(M697&gt;#REF!,Cartera!O697="Dólares americanos"),"Rendimiento significativo","Rendimiento no significativo"))</f>
        <v>#REF!</v>
      </c>
      <c r="O697" s="5" t="s">
        <v>41</v>
      </c>
      <c r="P697" s="12">
        <v>1495890.4109499999</v>
      </c>
      <c r="Q697" s="12">
        <f>IF(O697="Guaraníes",P697,P697*#REF!)</f>
        <v>1495890.4109499999</v>
      </c>
      <c r="R697" s="12" t="e">
        <f>IF(O697="Guaraníes",P697/#REF!,P697)</f>
        <v>#REF!</v>
      </c>
      <c r="S697" s="5" t="s">
        <v>52</v>
      </c>
      <c r="T697" s="5">
        <v>25</v>
      </c>
      <c r="W697" s="5" t="s">
        <v>247</v>
      </c>
      <c r="X697" s="5">
        <v>0</v>
      </c>
      <c r="Y697" s="5">
        <v>0</v>
      </c>
      <c r="Z697" s="5">
        <v>29917.808218999999</v>
      </c>
      <c r="AA697" s="5">
        <v>50</v>
      </c>
      <c r="AB697" s="5">
        <v>1495890.4109499999</v>
      </c>
      <c r="AC697" s="5" t="str">
        <f t="shared" si="34"/>
        <v>Bonos</v>
      </c>
      <c r="AD697" s="5" t="s">
        <v>43</v>
      </c>
      <c r="AE697" s="5">
        <f t="shared" si="35"/>
        <v>7</v>
      </c>
      <c r="AF697" s="5">
        <f t="shared" si="36"/>
        <v>2021</v>
      </c>
    </row>
    <row r="698" s="5" customFormat="1" ht="13">
      <c r="A698" s="5" t="s">
        <v>44</v>
      </c>
      <c r="B698" s="5" t="s">
        <v>44</v>
      </c>
      <c r="C698" s="5" t="s">
        <v>114</v>
      </c>
      <c r="D698" s="5" t="s">
        <v>21</v>
      </c>
      <c r="E698" s="5" t="s">
        <v>44</v>
      </c>
      <c r="F698" s="5" t="s">
        <v>68</v>
      </c>
      <c r="G698" s="5" t="s">
        <v>75</v>
      </c>
      <c r="H698" s="9" t="s">
        <v>235</v>
      </c>
      <c r="I698" s="10"/>
      <c r="J698" s="10">
        <v>44406</v>
      </c>
      <c r="K698" s="5" t="s">
        <v>77</v>
      </c>
      <c r="L698" s="5" t="s">
        <v>50</v>
      </c>
      <c r="M698" s="11">
        <v>0.14249999999999999</v>
      </c>
      <c r="N698" s="5" t="e">
        <f>IF(AND(M698&gt;#REF!,Cartera!O698="Guaraníes"),"Rendimiento significativo",IF(AND(M698&gt;#REF!,Cartera!O698="Dólares americanos"),"Rendimiento significativo","Rendimiento no significativo"))</f>
        <v>#REF!</v>
      </c>
      <c r="O698" s="5" t="s">
        <v>41</v>
      </c>
      <c r="P698" s="12">
        <v>183869.86301500001</v>
      </c>
      <c r="Q698" s="12">
        <f>IF(O698="Guaraníes",P698,P698*#REF!)</f>
        <v>183869.86301500001</v>
      </c>
      <c r="R698" s="12" t="e">
        <f>IF(O698="Guaraníes",P698/#REF!,P698)</f>
        <v>#REF!</v>
      </c>
      <c r="S698" s="5" t="s">
        <v>52</v>
      </c>
      <c r="T698" s="5">
        <v>25</v>
      </c>
      <c r="W698" s="5" t="s">
        <v>65</v>
      </c>
      <c r="X698" s="5">
        <v>0</v>
      </c>
      <c r="Y698" s="5">
        <v>0</v>
      </c>
      <c r="Z698" s="5">
        <v>36773.972603000002</v>
      </c>
      <c r="AA698" s="5">
        <v>5</v>
      </c>
      <c r="AB698" s="5">
        <v>183869.86301500001</v>
      </c>
      <c r="AC698" s="5" t="str">
        <f t="shared" si="34"/>
        <v>Bonos</v>
      </c>
      <c r="AD698" s="5" t="s">
        <v>43</v>
      </c>
      <c r="AE698" s="5">
        <f t="shared" si="35"/>
        <v>7</v>
      </c>
      <c r="AF698" s="5">
        <f t="shared" si="36"/>
        <v>2021</v>
      </c>
    </row>
    <row r="699" s="5" customFormat="1" ht="13">
      <c r="A699" s="5" t="s">
        <v>44</v>
      </c>
      <c r="B699" s="5" t="s">
        <v>44</v>
      </c>
      <c r="C699" s="5" t="s">
        <v>114</v>
      </c>
      <c r="D699" s="5" t="s">
        <v>21</v>
      </c>
      <c r="E699" s="5" t="s">
        <v>44</v>
      </c>
      <c r="F699" s="5" t="s">
        <v>68</v>
      </c>
      <c r="G699" s="5" t="s">
        <v>75</v>
      </c>
      <c r="H699" s="9" t="s">
        <v>115</v>
      </c>
      <c r="I699" s="10"/>
      <c r="J699" s="10">
        <v>44406</v>
      </c>
      <c r="K699" s="5" t="s">
        <v>77</v>
      </c>
      <c r="L699" s="5" t="s">
        <v>50</v>
      </c>
      <c r="M699" s="11">
        <v>0.125</v>
      </c>
      <c r="N699" s="5" t="e">
        <f>IF(AND(M699&gt;#REF!,Cartera!O699="Guaraníes"),"Rendimiento significativo",IF(AND(M699&gt;#REF!,Cartera!O699="Dólares americanos"),"Rendimiento significativo","Rendimiento no significativo"))</f>
        <v>#REF!</v>
      </c>
      <c r="O699" s="5" t="s">
        <v>41</v>
      </c>
      <c r="P699" s="12">
        <v>897534.24656999996</v>
      </c>
      <c r="Q699" s="12">
        <f>IF(O699="Guaraníes",P699,P699*#REF!)</f>
        <v>897534.24656999996</v>
      </c>
      <c r="R699" s="12" t="e">
        <f>IF(O699="Guaraníes",P699/#REF!,P699)</f>
        <v>#REF!</v>
      </c>
      <c r="S699" s="5" t="s">
        <v>52</v>
      </c>
      <c r="T699" s="5">
        <v>25</v>
      </c>
      <c r="W699" s="5" t="s">
        <v>65</v>
      </c>
      <c r="X699" s="5">
        <v>0</v>
      </c>
      <c r="Y699" s="5">
        <v>0</v>
      </c>
      <c r="Z699" s="5">
        <v>29917.808218999999</v>
      </c>
      <c r="AA699" s="5">
        <v>30</v>
      </c>
      <c r="AB699" s="5">
        <v>897534.24656999996</v>
      </c>
      <c r="AC699" s="5" t="str">
        <f t="shared" si="34"/>
        <v>Bonos</v>
      </c>
      <c r="AD699" s="5" t="s">
        <v>43</v>
      </c>
      <c r="AE699" s="5">
        <f t="shared" si="35"/>
        <v>7</v>
      </c>
      <c r="AF699" s="5">
        <f t="shared" si="36"/>
        <v>2021</v>
      </c>
    </row>
    <row r="700" s="5" customFormat="1" ht="13">
      <c r="A700" s="5" t="s">
        <v>44</v>
      </c>
      <c r="B700" s="5" t="s">
        <v>44</v>
      </c>
      <c r="C700" s="5" t="s">
        <v>33</v>
      </c>
      <c r="D700" s="5" t="s">
        <v>21</v>
      </c>
      <c r="E700" s="5" t="s">
        <v>44</v>
      </c>
      <c r="F700" s="5" t="s">
        <v>35</v>
      </c>
      <c r="G700" s="5" t="s">
        <v>75</v>
      </c>
      <c r="H700" s="9" t="s">
        <v>168</v>
      </c>
      <c r="I700" s="10"/>
      <c r="J700" s="10">
        <v>44418</v>
      </c>
      <c r="K700" s="5" t="s">
        <v>39</v>
      </c>
      <c r="L700" s="5" t="s">
        <v>50</v>
      </c>
      <c r="M700" s="11">
        <v>0.070000000000000007</v>
      </c>
      <c r="N700" s="5" t="e">
        <f>IF(AND(M700&gt;#REF!,Cartera!O700="Guaraníes"),"Rendimiento significativo",IF(AND(M700&gt;#REF!,Cartera!O700="Dólares americanos"),"Rendimiento significativo","Rendimiento no significativo"))</f>
        <v>#REF!</v>
      </c>
      <c r="O700" s="5" t="s">
        <v>51</v>
      </c>
      <c r="P700" s="13">
        <v>1221.6438500000002</v>
      </c>
      <c r="Q700" s="12" t="e">
        <f>IF(O700="Guaraníes",P700,P700*#REF!)</f>
        <v>#REF!</v>
      </c>
      <c r="R700" s="12">
        <f>IF(O700="Guaraníes",P700/#REF!,P700)</f>
        <v>1221.6438500000002</v>
      </c>
      <c r="S700" s="5" t="s">
        <v>52</v>
      </c>
      <c r="T700" s="5">
        <v>25</v>
      </c>
      <c r="W700" s="5" t="s">
        <v>65</v>
      </c>
      <c r="X700" s="5">
        <v>0</v>
      </c>
      <c r="Y700" s="5">
        <v>0</v>
      </c>
      <c r="Z700" s="5">
        <v>17.452055000000001</v>
      </c>
      <c r="AA700" s="5">
        <v>70</v>
      </c>
      <c r="AB700" s="5">
        <v>1221.6438499999999</v>
      </c>
      <c r="AC700" s="5" t="str">
        <f t="shared" si="34"/>
        <v>Bonos</v>
      </c>
      <c r="AD700" s="5" t="s">
        <v>43</v>
      </c>
      <c r="AE700" s="5">
        <f t="shared" si="35"/>
        <v>8</v>
      </c>
      <c r="AF700" s="5">
        <f t="shared" si="36"/>
        <v>2021</v>
      </c>
    </row>
    <row r="701" s="5" customFormat="1" ht="13">
      <c r="A701" s="5" t="s">
        <v>44</v>
      </c>
      <c r="B701" s="5" t="s">
        <v>44</v>
      </c>
      <c r="C701" s="5" t="s">
        <v>242</v>
      </c>
      <c r="D701" s="5" t="s">
        <v>21</v>
      </c>
      <c r="E701" s="5" t="s">
        <v>44</v>
      </c>
      <c r="F701" s="5" t="s">
        <v>68</v>
      </c>
      <c r="G701" s="5" t="s">
        <v>75</v>
      </c>
      <c r="H701" s="9" t="s">
        <v>243</v>
      </c>
      <c r="I701" s="10"/>
      <c r="J701" s="10">
        <v>44424</v>
      </c>
      <c r="K701" s="5" t="s">
        <v>244</v>
      </c>
      <c r="L701" s="5" t="s">
        <v>58</v>
      </c>
      <c r="M701" s="11">
        <v>0.13750000000000001</v>
      </c>
      <c r="N701" s="5" t="e">
        <f>IF(AND(M701&gt;#REF!,Cartera!O701="Guaraníes"),"Rendimiento significativo",IF(AND(M701&gt;#REF!,Cartera!O701="Dólares americanos"),"Rendimiento significativo","Rendimiento no significativo"))</f>
        <v>#REF!</v>
      </c>
      <c r="O701" s="5" t="s">
        <v>41</v>
      </c>
      <c r="P701" s="12">
        <v>1028424.65754</v>
      </c>
      <c r="Q701" s="12">
        <f>IF(O701="Guaraníes",P701,P701*#REF!)</f>
        <v>1028424.65754</v>
      </c>
      <c r="R701" s="12" t="e">
        <f>IF(O701="Guaraníes",P701/#REF!,P701)</f>
        <v>#REF!</v>
      </c>
      <c r="S701" s="5" t="s">
        <v>52</v>
      </c>
      <c r="T701" s="5">
        <v>25</v>
      </c>
      <c r="W701" s="5" t="s">
        <v>241</v>
      </c>
      <c r="X701" s="5">
        <v>0</v>
      </c>
      <c r="Y701" s="5">
        <v>0</v>
      </c>
      <c r="Z701" s="5">
        <v>34280.821918000001</v>
      </c>
      <c r="AA701" s="5">
        <v>30</v>
      </c>
      <c r="AB701" s="5">
        <v>1028424.65754</v>
      </c>
      <c r="AC701" s="5" t="str">
        <f t="shared" si="34"/>
        <v>Bonos</v>
      </c>
      <c r="AD701" s="5" t="s">
        <v>43</v>
      </c>
      <c r="AE701" s="5">
        <f t="shared" si="35"/>
        <v>8</v>
      </c>
      <c r="AF701" s="5">
        <f t="shared" si="36"/>
        <v>2021</v>
      </c>
    </row>
    <row r="702" s="5" customFormat="1" ht="13">
      <c r="A702" s="5" t="s">
        <v>44</v>
      </c>
      <c r="B702" s="5" t="s">
        <v>44</v>
      </c>
      <c r="C702" s="5" t="s">
        <v>114</v>
      </c>
      <c r="D702" s="5" t="s">
        <v>21</v>
      </c>
      <c r="E702" s="5" t="s">
        <v>44</v>
      </c>
      <c r="F702" s="5" t="s">
        <v>68</v>
      </c>
      <c r="G702" s="5" t="s">
        <v>75</v>
      </c>
      <c r="H702" s="9" t="s">
        <v>170</v>
      </c>
      <c r="I702" s="10"/>
      <c r="J702" s="10">
        <v>44425</v>
      </c>
      <c r="K702" s="5" t="s">
        <v>77</v>
      </c>
      <c r="L702" s="5" t="s">
        <v>50</v>
      </c>
      <c r="M702" s="11">
        <v>0.14000000000000001</v>
      </c>
      <c r="N702" s="5" t="e">
        <f>IF(AND(M702&gt;#REF!,Cartera!O702="Guaraníes"),"Rendimiento significativo",IF(AND(M702&gt;#REF!,Cartera!O702="Dólares americanos"),"Rendimiento significativo","Rendimiento no significativo"))</f>
        <v>#REF!</v>
      </c>
      <c r="O702" s="5" t="s">
        <v>41</v>
      </c>
      <c r="P702" s="12">
        <v>3490410.9589</v>
      </c>
      <c r="Q702" s="12">
        <f>IF(O702="Guaraníes",P702,P702*#REF!)</f>
        <v>3490410.9589</v>
      </c>
      <c r="R702" s="12" t="e">
        <f>IF(O702="Guaraníes",P702/#REF!,P702)</f>
        <v>#REF!</v>
      </c>
      <c r="S702" s="5" t="s">
        <v>52</v>
      </c>
      <c r="T702" s="5">
        <v>25</v>
      </c>
      <c r="W702" s="5" t="s">
        <v>65</v>
      </c>
      <c r="X702" s="5">
        <v>0</v>
      </c>
      <c r="Y702" s="5">
        <v>0</v>
      </c>
      <c r="Z702" s="5">
        <v>34904.109589</v>
      </c>
      <c r="AA702" s="5">
        <v>100</v>
      </c>
      <c r="AB702" s="5">
        <v>3490410.9589</v>
      </c>
      <c r="AC702" s="5" t="str">
        <f t="shared" si="34"/>
        <v>Bonos</v>
      </c>
      <c r="AD702" s="5" t="s">
        <v>43</v>
      </c>
      <c r="AE702" s="5">
        <f t="shared" si="35"/>
        <v>8</v>
      </c>
      <c r="AF702" s="5">
        <f t="shared" si="36"/>
        <v>2021</v>
      </c>
    </row>
    <row r="703" s="5" customFormat="1" ht="13">
      <c r="A703" s="5" t="s">
        <v>44</v>
      </c>
      <c r="B703" s="5" t="s">
        <v>44</v>
      </c>
      <c r="C703" s="5" t="s">
        <v>114</v>
      </c>
      <c r="D703" s="5" t="s">
        <v>21</v>
      </c>
      <c r="E703" s="5" t="s">
        <v>44</v>
      </c>
      <c r="F703" s="5" t="s">
        <v>68</v>
      </c>
      <c r="G703" s="5" t="s">
        <v>75</v>
      </c>
      <c r="H703" s="9" t="s">
        <v>226</v>
      </c>
      <c r="I703" s="10"/>
      <c r="J703" s="10">
        <v>44455</v>
      </c>
      <c r="K703" s="5" t="s">
        <v>77</v>
      </c>
      <c r="L703" s="5" t="s">
        <v>58</v>
      </c>
      <c r="M703" s="11">
        <v>0.14000000000000001</v>
      </c>
      <c r="N703" s="5" t="e">
        <f>IF(AND(M703&gt;#REF!,Cartera!O703="Guaraníes"),"Rendimiento significativo",IF(AND(M703&gt;#REF!,Cartera!O703="Dólares americanos"),"Rendimiento significativo","Rendimiento no significativo"))</f>
        <v>#REF!</v>
      </c>
      <c r="O703" s="5" t="s">
        <v>41</v>
      </c>
      <c r="P703" s="12">
        <v>523561.643835</v>
      </c>
      <c r="Q703" s="12">
        <f>IF(O703="Guaraníes",P703,P703*#REF!)</f>
        <v>523561.643835</v>
      </c>
      <c r="R703" s="12" t="e">
        <f>IF(O703="Guaraníes",P703/#REF!,P703)</f>
        <v>#REF!</v>
      </c>
      <c r="S703" s="5" t="s">
        <v>52</v>
      </c>
      <c r="T703" s="5">
        <v>25</v>
      </c>
      <c r="W703" s="5" t="s">
        <v>65</v>
      </c>
      <c r="X703" s="5">
        <v>0</v>
      </c>
      <c r="Y703" s="5">
        <v>0</v>
      </c>
      <c r="Z703" s="5">
        <v>34904.109589</v>
      </c>
      <c r="AA703" s="5">
        <v>15</v>
      </c>
      <c r="AB703" s="5">
        <v>523561.643835</v>
      </c>
      <c r="AC703" s="5" t="str">
        <f t="shared" si="34"/>
        <v>Bonos</v>
      </c>
      <c r="AD703" s="5" t="s">
        <v>43</v>
      </c>
      <c r="AE703" s="5">
        <f t="shared" si="35"/>
        <v>9</v>
      </c>
      <c r="AF703" s="5">
        <f t="shared" si="36"/>
        <v>2021</v>
      </c>
    </row>
    <row r="704" s="5" customFormat="1" ht="13">
      <c r="A704" s="5" t="s">
        <v>44</v>
      </c>
      <c r="B704" s="5" t="s">
        <v>44</v>
      </c>
      <c r="C704" s="5" t="s">
        <v>114</v>
      </c>
      <c r="D704" s="5" t="s">
        <v>21</v>
      </c>
      <c r="E704" s="5" t="s">
        <v>44</v>
      </c>
      <c r="F704" s="5" t="s">
        <v>68</v>
      </c>
      <c r="G704" s="5" t="s">
        <v>75</v>
      </c>
      <c r="H704" s="9" t="s">
        <v>236</v>
      </c>
      <c r="I704" s="10"/>
      <c r="J704" s="10">
        <v>44455</v>
      </c>
      <c r="K704" s="5" t="s">
        <v>77</v>
      </c>
      <c r="L704" s="5" t="s">
        <v>50</v>
      </c>
      <c r="M704" s="11">
        <v>0.14749999999999999</v>
      </c>
      <c r="N704" s="5" t="e">
        <f>IF(AND(M704&gt;#REF!,Cartera!O704="Guaraníes"),"Rendimiento significativo",IF(AND(M704&gt;#REF!,Cartera!O704="Dólares americanos"),"Rendimiento significativo","Rendimiento no significativo"))</f>
        <v>#REF!</v>
      </c>
      <c r="O704" s="5" t="s">
        <v>41</v>
      </c>
      <c r="P704" s="12">
        <v>112191.780822</v>
      </c>
      <c r="Q704" s="12">
        <f>IF(O704="Guaraníes",P704,P704*#REF!)</f>
        <v>112191.780822</v>
      </c>
      <c r="R704" s="12" t="e">
        <f>IF(O704="Guaraníes",P704/#REF!,P704)</f>
        <v>#REF!</v>
      </c>
      <c r="S704" s="5" t="s">
        <v>52</v>
      </c>
      <c r="T704" s="5">
        <v>25</v>
      </c>
      <c r="W704" s="5" t="s">
        <v>65</v>
      </c>
      <c r="X704" s="5">
        <v>0</v>
      </c>
      <c r="Y704" s="5">
        <v>0</v>
      </c>
      <c r="Z704" s="5">
        <v>37397.260274</v>
      </c>
      <c r="AA704" s="5">
        <v>3</v>
      </c>
      <c r="AB704" s="5">
        <v>112191.780822</v>
      </c>
      <c r="AC704" s="5" t="str">
        <f t="shared" ref="AC704:AC767" si="37">IF(ISNUMBER(SEARCH("Acciones",L704)),"Acciones",IF(ISNUMBER(SEARCH("Bono",L704)),"Bonos",IF(ISNUMBER(SEARCH("CDA",L704)),"CDA",IF(ISNUMBER(SEARCH("Fondo",L704)),"Fondo",0))))</f>
        <v>Bonos</v>
      </c>
      <c r="AD704" s="5" t="s">
        <v>43</v>
      </c>
      <c r="AE704" s="5">
        <f t="shared" si="35"/>
        <v>9</v>
      </c>
      <c r="AF704" s="5">
        <f t="shared" si="36"/>
        <v>2021</v>
      </c>
    </row>
    <row r="705" s="5" customFormat="1" ht="13">
      <c r="A705" s="5" t="s">
        <v>44</v>
      </c>
      <c r="B705" s="5" t="s">
        <v>44</v>
      </c>
      <c r="C705" s="5" t="s">
        <v>54</v>
      </c>
      <c r="D705" s="5" t="s">
        <v>21</v>
      </c>
      <c r="E705" s="5" t="s">
        <v>44</v>
      </c>
      <c r="F705" s="5" t="s">
        <v>46</v>
      </c>
      <c r="G705" s="5" t="s">
        <v>75</v>
      </c>
      <c r="H705" s="9" t="s">
        <v>147</v>
      </c>
      <c r="I705" s="10"/>
      <c r="J705" s="10">
        <v>44466</v>
      </c>
      <c r="K705" s="5" t="s">
        <v>57</v>
      </c>
      <c r="L705" s="5" t="s">
        <v>58</v>
      </c>
      <c r="M705" s="11">
        <v>0.12</v>
      </c>
      <c r="N705" s="5" t="e">
        <f>IF(AND(M705&gt;#REF!,Cartera!O705="Guaraníes"),"Rendimiento significativo",IF(AND(M705&gt;#REF!,Cartera!O705="Dólares americanos"),"Rendimiento significativo","Rendimiento no significativo"))</f>
        <v>#REF!</v>
      </c>
      <c r="O705" s="5" t="s">
        <v>41</v>
      </c>
      <c r="P705" s="12">
        <v>4487671.2328500003</v>
      </c>
      <c r="Q705" s="12">
        <f>IF(O705="Guaraníes",P705,P705*#REF!)</f>
        <v>4487671.2328500003</v>
      </c>
      <c r="R705" s="12" t="e">
        <f>IF(O705="Guaraníes",P705/#REF!,P705)</f>
        <v>#REF!</v>
      </c>
      <c r="S705" s="5" t="s">
        <v>52</v>
      </c>
      <c r="T705" s="5">
        <v>25</v>
      </c>
      <c r="W705" s="5" t="s">
        <v>192</v>
      </c>
      <c r="X705" s="5">
        <v>0</v>
      </c>
      <c r="Y705" s="5">
        <v>0</v>
      </c>
      <c r="Z705" s="5">
        <v>29917.808218999999</v>
      </c>
      <c r="AA705" s="5">
        <v>150</v>
      </c>
      <c r="AB705" s="5">
        <v>4487671.2328500003</v>
      </c>
      <c r="AC705" s="5" t="str">
        <f t="shared" si="37"/>
        <v>Bonos</v>
      </c>
      <c r="AD705" s="5" t="s">
        <v>43</v>
      </c>
      <c r="AE705" s="5">
        <f t="shared" si="35"/>
        <v>9</v>
      </c>
      <c r="AF705" s="5">
        <f t="shared" si="36"/>
        <v>2021</v>
      </c>
    </row>
    <row r="706" s="5" customFormat="1" ht="13">
      <c r="A706" s="5" t="s">
        <v>44</v>
      </c>
      <c r="B706" s="5" t="s">
        <v>44</v>
      </c>
      <c r="C706" s="5" t="s">
        <v>114</v>
      </c>
      <c r="D706" s="5" t="s">
        <v>21</v>
      </c>
      <c r="E706" s="5" t="s">
        <v>44</v>
      </c>
      <c r="F706" s="5" t="s">
        <v>68</v>
      </c>
      <c r="G706" s="5" t="s">
        <v>75</v>
      </c>
      <c r="H706" s="9" t="s">
        <v>237</v>
      </c>
      <c r="I706" s="10"/>
      <c r="J706" s="10">
        <v>44467</v>
      </c>
      <c r="K706" s="5" t="s">
        <v>77</v>
      </c>
      <c r="L706" s="5" t="s">
        <v>50</v>
      </c>
      <c r="M706" s="11">
        <v>0.13750000000000001</v>
      </c>
      <c r="N706" s="5" t="e">
        <f>IF(AND(M706&gt;#REF!,Cartera!O706="Guaraníes"),"Rendimiento significativo",IF(AND(M706&gt;#REF!,Cartera!O706="Dólares americanos"),"Rendimiento significativo","Rendimiento no significativo"))</f>
        <v>#REF!</v>
      </c>
      <c r="O706" s="5" t="s">
        <v>41</v>
      </c>
      <c r="P706" s="12">
        <v>685616.43836000003</v>
      </c>
      <c r="Q706" s="12">
        <f>IF(O706="Guaraníes",P706,P706*#REF!)</f>
        <v>685616.43836000003</v>
      </c>
      <c r="R706" s="12" t="e">
        <f>IF(O706="Guaraníes",P706/#REF!,P706)</f>
        <v>#REF!</v>
      </c>
      <c r="S706" s="5" t="s">
        <v>52</v>
      </c>
      <c r="T706" s="5">
        <v>25</v>
      </c>
      <c r="W706" s="5" t="s">
        <v>65</v>
      </c>
      <c r="X706" s="5">
        <v>0</v>
      </c>
      <c r="Y706" s="5">
        <v>0</v>
      </c>
      <c r="Z706" s="5">
        <v>34280.821918000001</v>
      </c>
      <c r="AA706" s="5">
        <v>20</v>
      </c>
      <c r="AB706" s="5">
        <v>685616.43836000003</v>
      </c>
      <c r="AC706" s="5" t="str">
        <f t="shared" si="37"/>
        <v>Bonos</v>
      </c>
      <c r="AD706" s="5" t="s">
        <v>43</v>
      </c>
      <c r="AE706" s="5">
        <f t="shared" si="35"/>
        <v>9</v>
      </c>
      <c r="AF706" s="5">
        <f t="shared" si="36"/>
        <v>2021</v>
      </c>
    </row>
    <row r="707" s="5" customFormat="1" ht="13">
      <c r="A707" s="5" t="s">
        <v>44</v>
      </c>
      <c r="B707" s="5" t="s">
        <v>44</v>
      </c>
      <c r="C707" s="5" t="s">
        <v>33</v>
      </c>
      <c r="D707" s="5" t="s">
        <v>21</v>
      </c>
      <c r="E707" s="5" t="s">
        <v>44</v>
      </c>
      <c r="F707" s="5" t="s">
        <v>35</v>
      </c>
      <c r="G707" s="5" t="s">
        <v>75</v>
      </c>
      <c r="H707" s="9" t="s">
        <v>257</v>
      </c>
      <c r="I707" s="10"/>
      <c r="J707" s="10">
        <v>44469</v>
      </c>
      <c r="K707" s="5" t="s">
        <v>39</v>
      </c>
      <c r="L707" s="5" t="s">
        <v>106</v>
      </c>
      <c r="M707" s="11">
        <v>0.0625</v>
      </c>
      <c r="N707" s="5" t="e">
        <f>IF(AND(M707&gt;#REF!,Cartera!O707="Guaraníes"),"Rendimiento significativo",IF(AND(M707&gt;#REF!,Cartera!O707="Dólares americanos"),"Rendimiento significativo","Rendimiento no significativo"))</f>
        <v>#REF!</v>
      </c>
      <c r="O707" s="5" t="s">
        <v>51</v>
      </c>
      <c r="P707" s="13">
        <v>623.28767999999991</v>
      </c>
      <c r="Q707" s="12" t="e">
        <f>IF(O707="Guaraníes",P707,P707*#REF!)</f>
        <v>#REF!</v>
      </c>
      <c r="R707" s="12">
        <f>IF(O707="Guaraníes",P707/#REF!,P707)</f>
        <v>623.28767999999991</v>
      </c>
      <c r="S707" s="5" t="s">
        <v>52</v>
      </c>
      <c r="T707" s="5">
        <v>25</v>
      </c>
      <c r="W707" s="5" t="s">
        <v>218</v>
      </c>
      <c r="X707" s="5">
        <v>0</v>
      </c>
      <c r="Y707" s="5">
        <v>0</v>
      </c>
      <c r="Z707" s="5">
        <v>15.582191999999999</v>
      </c>
      <c r="AA707" s="5">
        <v>40</v>
      </c>
      <c r="AB707" s="5">
        <v>623.28768000000002</v>
      </c>
      <c r="AC707" s="5" t="str">
        <f t="shared" si="37"/>
        <v>Bonos</v>
      </c>
      <c r="AD707" s="5" t="s">
        <v>43</v>
      </c>
      <c r="AE707" s="5">
        <f t="shared" si="35"/>
        <v>9</v>
      </c>
      <c r="AF707" s="5">
        <f t="shared" si="36"/>
        <v>2021</v>
      </c>
    </row>
    <row r="708" s="5" customFormat="1" ht="13">
      <c r="A708" s="5" t="s">
        <v>44</v>
      </c>
      <c r="B708" s="5" t="s">
        <v>44</v>
      </c>
      <c r="C708" s="5" t="s">
        <v>74</v>
      </c>
      <c r="D708" s="5" t="s">
        <v>21</v>
      </c>
      <c r="E708" s="5" t="s">
        <v>44</v>
      </c>
      <c r="F708" s="5" t="s">
        <v>68</v>
      </c>
      <c r="G708" s="5" t="s">
        <v>75</v>
      </c>
      <c r="H708" s="9" t="s">
        <v>76</v>
      </c>
      <c r="I708" s="10"/>
      <c r="J708" s="10">
        <v>44564</v>
      </c>
      <c r="K708" s="5" t="s">
        <v>77</v>
      </c>
      <c r="L708" s="5" t="s">
        <v>50</v>
      </c>
      <c r="M708" s="11">
        <v>0.055</v>
      </c>
      <c r="N708" s="5" t="e">
        <f>IF(AND(M708&gt;#REF!,Cartera!O708="Guaraníes"),"Rendimiento significativo",IF(AND(M708&gt;#REF!,Cartera!O708="Dólares americanos"),"Rendimiento significativo","Rendimiento no significativo"))</f>
        <v>#REF!</v>
      </c>
      <c r="O708" s="5" t="s">
        <v>51</v>
      </c>
      <c r="P708" s="13">
        <v>424.93151999999998</v>
      </c>
      <c r="Q708" s="12" t="e">
        <f>IF(O708="Guaraníes",P708,P708*#REF!)</f>
        <v>#REF!</v>
      </c>
      <c r="R708" s="12">
        <f>IF(O708="Guaraníes",P708/#REF!,P708)</f>
        <v>424.93151999999998</v>
      </c>
      <c r="S708" s="5" t="s">
        <v>52</v>
      </c>
      <c r="T708" s="5">
        <v>25</v>
      </c>
      <c r="W708" s="5" t="s">
        <v>65</v>
      </c>
      <c r="X708" s="5">
        <v>0</v>
      </c>
      <c r="Y708" s="5">
        <v>0</v>
      </c>
      <c r="Z708" s="5">
        <v>13.863014</v>
      </c>
      <c r="AA708" s="5">
        <v>30</v>
      </c>
      <c r="AB708" s="5">
        <v>415.88999999999999</v>
      </c>
      <c r="AC708" s="5" t="str">
        <f t="shared" si="37"/>
        <v>Bonos</v>
      </c>
      <c r="AD708" s="5" t="s">
        <v>43</v>
      </c>
      <c r="AE708" s="5">
        <f t="shared" si="35"/>
        <v>1</v>
      </c>
      <c r="AF708" s="5">
        <f t="shared" si="36"/>
        <v>2022</v>
      </c>
    </row>
    <row r="709" s="5" customFormat="1" ht="13">
      <c r="A709" s="5" t="s">
        <v>44</v>
      </c>
      <c r="B709" s="5" t="s">
        <v>44</v>
      </c>
      <c r="C709" s="5" t="s">
        <v>183</v>
      </c>
      <c r="D709" s="5" t="s">
        <v>20</v>
      </c>
      <c r="E709" s="5" t="s">
        <v>44</v>
      </c>
      <c r="F709" s="5" t="s">
        <v>184</v>
      </c>
      <c r="G709" s="5" t="s">
        <v>75</v>
      </c>
      <c r="H709" s="9" t="s">
        <v>251</v>
      </c>
      <c r="I709" s="10">
        <v>43385</v>
      </c>
      <c r="J709" s="10">
        <v>44477</v>
      </c>
      <c r="K709" s="5" t="s">
        <v>124</v>
      </c>
      <c r="L709" s="5" t="s">
        <v>106</v>
      </c>
      <c r="M709" s="11">
        <v>0.069199999999999998</v>
      </c>
      <c r="N709" s="5" t="e">
        <f>IF(AND(M709&gt;#REF!,Cartera!O709="Guaraníes"),"Rendimiento significativo",IF(AND(M709&gt;#REF!,Cartera!O709="Dólares americanos"),"Rendimiento significativo","Rendimiento no significativo"))</f>
        <v>#REF!</v>
      </c>
      <c r="O709" s="5" t="s">
        <v>41</v>
      </c>
      <c r="P709" s="12">
        <v>150000000</v>
      </c>
      <c r="Q709" s="12">
        <f>IF(O709="Guaraníes",P709,P709*#REF!)</f>
        <v>150000000</v>
      </c>
      <c r="R709" s="12" t="e">
        <f>IF(O709="Guaraníes",P709/#REF!,P709)</f>
        <v>#REF!</v>
      </c>
      <c r="S709" s="5" t="s">
        <v>52</v>
      </c>
      <c r="AC709" s="5" t="str">
        <f t="shared" si="37"/>
        <v>Bonos</v>
      </c>
      <c r="AD709" s="5" t="s">
        <v>43</v>
      </c>
      <c r="AE709" s="5">
        <f t="shared" si="35"/>
        <v>10</v>
      </c>
      <c r="AF709" s="5">
        <f t="shared" si="36"/>
        <v>2021</v>
      </c>
    </row>
    <row r="710" s="5" customFormat="1" ht="13">
      <c r="A710" s="5" t="s">
        <v>44</v>
      </c>
      <c r="B710" s="5" t="s">
        <v>44</v>
      </c>
      <c r="C710" s="5" t="s">
        <v>156</v>
      </c>
      <c r="D710" s="5" t="s">
        <v>21</v>
      </c>
      <c r="E710" s="5" t="s">
        <v>44</v>
      </c>
      <c r="F710" s="5" t="s">
        <v>68</v>
      </c>
      <c r="G710" s="5" t="s">
        <v>75</v>
      </c>
      <c r="H710" s="9" t="s">
        <v>157</v>
      </c>
      <c r="I710" s="10"/>
      <c r="J710" s="10">
        <v>44481</v>
      </c>
      <c r="K710" s="5" t="s">
        <v>158</v>
      </c>
      <c r="L710" s="5" t="s">
        <v>58</v>
      </c>
      <c r="M710" s="11">
        <v>0.16</v>
      </c>
      <c r="N710" s="5" t="e">
        <f>IF(AND(M710&gt;#REF!,Cartera!O710="Guaraníes"),"Rendimiento significativo",IF(AND(M710&gt;#REF!,Cartera!O710="Dólares americanos"),"Rendimiento significativo","Rendimiento no significativo"))</f>
        <v>#REF!</v>
      </c>
      <c r="O710" s="5" t="s">
        <v>41</v>
      </c>
      <c r="P710" s="12">
        <v>4188493.15068</v>
      </c>
      <c r="Q710" s="12">
        <f>IF(O710="Guaraníes",P710,P710*#REF!)</f>
        <v>4188493.15068</v>
      </c>
      <c r="R710" s="12" t="e">
        <f>IF(O710="Guaraníes",P710/#REF!,P710)</f>
        <v>#REF!</v>
      </c>
      <c r="S710" s="5" t="s">
        <v>52</v>
      </c>
      <c r="T710" s="5">
        <v>25</v>
      </c>
      <c r="W710" s="5" t="s">
        <v>53</v>
      </c>
      <c r="X710" s="5">
        <v>0</v>
      </c>
      <c r="Y710" s="5">
        <v>0</v>
      </c>
      <c r="Z710" s="5">
        <v>34904.109589</v>
      </c>
      <c r="AA710" s="5">
        <v>120</v>
      </c>
      <c r="AB710" s="5">
        <v>4188493.15068</v>
      </c>
      <c r="AC710" s="5" t="str">
        <f t="shared" si="37"/>
        <v>Bonos</v>
      </c>
      <c r="AD710" s="5" t="s">
        <v>43</v>
      </c>
      <c r="AE710" s="5">
        <f t="shared" si="35"/>
        <v>10</v>
      </c>
      <c r="AF710" s="5">
        <f t="shared" si="36"/>
        <v>2021</v>
      </c>
    </row>
    <row r="711" s="5" customFormat="1" ht="13">
      <c r="A711" s="5" t="s">
        <v>44</v>
      </c>
      <c r="B711" s="5" t="s">
        <v>44</v>
      </c>
      <c r="C711" s="5" t="s">
        <v>197</v>
      </c>
      <c r="D711" s="5" t="s">
        <v>21</v>
      </c>
      <c r="E711" s="5" t="s">
        <v>44</v>
      </c>
      <c r="F711" s="5" t="s">
        <v>68</v>
      </c>
      <c r="G711" s="5" t="s">
        <v>75</v>
      </c>
      <c r="H711" s="9" t="s">
        <v>198</v>
      </c>
      <c r="I711" s="10"/>
      <c r="J711" s="10">
        <v>44483</v>
      </c>
      <c r="K711" s="5" t="s">
        <v>199</v>
      </c>
      <c r="L711" s="5" t="s">
        <v>58</v>
      </c>
      <c r="M711" s="11">
        <v>0.10000000000000001</v>
      </c>
      <c r="N711" s="5" t="e">
        <f>IF(AND(M711&gt;#REF!,Cartera!O711="Guaraníes"),"Rendimiento significativo",IF(AND(M711&gt;#REF!,Cartera!O711="Dólares americanos"),"Rendimiento significativo","Rendimiento no significativo"))</f>
        <v>#REF!</v>
      </c>
      <c r="O711" s="5" t="s">
        <v>41</v>
      </c>
      <c r="P711" s="12">
        <v>1421095.8903930001</v>
      </c>
      <c r="Q711" s="12">
        <f>IF(O711="Guaraníes",P711,P711*#REF!)</f>
        <v>1421095.8903930001</v>
      </c>
      <c r="R711" s="12" t="e">
        <f>IF(O711="Guaraníes",P711/#REF!,P711)</f>
        <v>#REF!</v>
      </c>
      <c r="S711" s="5" t="s">
        <v>52</v>
      </c>
      <c r="T711" s="5">
        <v>25</v>
      </c>
      <c r="W711" s="5" t="s">
        <v>200</v>
      </c>
      <c r="X711" s="5">
        <v>0</v>
      </c>
      <c r="Y711" s="5">
        <v>0</v>
      </c>
      <c r="Z711" s="5">
        <v>24931.506849000001</v>
      </c>
      <c r="AA711" s="5">
        <v>57</v>
      </c>
      <c r="AB711" s="5">
        <v>1421095.8903930001</v>
      </c>
      <c r="AC711" s="5" t="str">
        <f t="shared" si="37"/>
        <v>Bonos</v>
      </c>
      <c r="AD711" s="5" t="s">
        <v>43</v>
      </c>
      <c r="AE711" s="5">
        <f t="shared" si="35"/>
        <v>10</v>
      </c>
      <c r="AF711" s="5">
        <f t="shared" si="36"/>
        <v>2021</v>
      </c>
    </row>
    <row r="712" s="5" customFormat="1" ht="13">
      <c r="A712" s="5" t="s">
        <v>44</v>
      </c>
      <c r="B712" s="5" t="s">
        <v>44</v>
      </c>
      <c r="C712" s="5" t="s">
        <v>239</v>
      </c>
      <c r="D712" s="5" t="s">
        <v>20</v>
      </c>
      <c r="E712" s="5" t="s">
        <v>44</v>
      </c>
      <c r="F712" s="5" t="s">
        <v>68</v>
      </c>
      <c r="G712" s="5" t="s">
        <v>75</v>
      </c>
      <c r="H712" s="9" t="s">
        <v>240</v>
      </c>
      <c r="I712" s="10">
        <v>43032</v>
      </c>
      <c r="J712" s="10">
        <v>44488</v>
      </c>
      <c r="K712" s="5" t="s">
        <v>49</v>
      </c>
      <c r="L712" s="5" t="s">
        <v>58</v>
      </c>
      <c r="M712" s="11">
        <v>0.13</v>
      </c>
      <c r="N712" s="5" t="e">
        <f>IF(AND(M712&gt;#REF!,Cartera!O712="Guaraníes"),"Rendimiento significativo",IF(AND(M712&gt;#REF!,Cartera!O712="Dólares americanos"),"Rendimiento significativo","Rendimiento no significativo"))</f>
        <v>#REF!</v>
      </c>
      <c r="O712" s="5" t="s">
        <v>41</v>
      </c>
      <c r="P712" s="12">
        <v>50000000</v>
      </c>
      <c r="Q712" s="12">
        <f>IF(O712="Guaraníes",P712,P712*#REF!)</f>
        <v>50000000</v>
      </c>
      <c r="R712" s="12" t="e">
        <f>IF(O712="Guaraníes",P712/#REF!,P712)</f>
        <v>#REF!</v>
      </c>
      <c r="S712" s="5" t="s">
        <v>52</v>
      </c>
      <c r="AC712" s="5" t="str">
        <f t="shared" si="37"/>
        <v>Bonos</v>
      </c>
      <c r="AD712" s="5" t="s">
        <v>43</v>
      </c>
      <c r="AE712" s="5">
        <f t="shared" si="35"/>
        <v>10</v>
      </c>
      <c r="AF712" s="5">
        <f t="shared" si="36"/>
        <v>2021</v>
      </c>
    </row>
    <row r="713" s="5" customFormat="1" ht="13">
      <c r="A713" s="5" t="s">
        <v>44</v>
      </c>
      <c r="B713" s="5" t="s">
        <v>44</v>
      </c>
      <c r="C713" s="5" t="s">
        <v>114</v>
      </c>
      <c r="D713" s="5" t="s">
        <v>21</v>
      </c>
      <c r="E713" s="5" t="s">
        <v>44</v>
      </c>
      <c r="F713" s="5" t="s">
        <v>68</v>
      </c>
      <c r="G713" s="5" t="s">
        <v>75</v>
      </c>
      <c r="H713" s="9" t="s">
        <v>234</v>
      </c>
      <c r="I713" s="10"/>
      <c r="J713" s="10">
        <v>44489</v>
      </c>
      <c r="K713" s="5" t="s">
        <v>77</v>
      </c>
      <c r="L713" s="5" t="s">
        <v>50</v>
      </c>
      <c r="M713" s="11">
        <v>0.12</v>
      </c>
      <c r="N713" s="5" t="e">
        <f>IF(AND(M713&gt;#REF!,Cartera!O713="Guaraníes"),"Rendimiento significativo",IF(AND(M713&gt;#REF!,Cartera!O713="Dólares americanos"),"Rendimiento significativo","Rendimiento no significativo"))</f>
        <v>#REF!</v>
      </c>
      <c r="O713" s="5" t="s">
        <v>51</v>
      </c>
      <c r="P713" s="13">
        <v>486.16437000000002</v>
      </c>
      <c r="Q713" s="12" t="e">
        <f>IF(O713="Guaraníes",P713,P713*#REF!)</f>
        <v>#REF!</v>
      </c>
      <c r="R713" s="12">
        <f>IF(O713="Guaraníes",P713/#REF!,P713)</f>
        <v>486.16437000000002</v>
      </c>
      <c r="S713" s="5" t="s">
        <v>52</v>
      </c>
      <c r="T713" s="5">
        <v>25</v>
      </c>
      <c r="W713" s="5" t="s">
        <v>65</v>
      </c>
      <c r="X713" s="5">
        <v>0</v>
      </c>
      <c r="Y713" s="5">
        <v>0</v>
      </c>
      <c r="Z713" s="5">
        <v>16.205479</v>
      </c>
      <c r="AA713" s="5">
        <v>30</v>
      </c>
      <c r="AB713" s="5">
        <v>486.16437000000002</v>
      </c>
      <c r="AC713" s="5" t="str">
        <f t="shared" si="37"/>
        <v>Bonos</v>
      </c>
      <c r="AD713" s="5" t="s">
        <v>43</v>
      </c>
      <c r="AE713" s="5">
        <f t="shared" si="35"/>
        <v>10</v>
      </c>
      <c r="AF713" s="5">
        <f t="shared" si="36"/>
        <v>2021</v>
      </c>
    </row>
    <row r="714" s="5" customFormat="1" ht="13">
      <c r="A714" s="5" t="s">
        <v>44</v>
      </c>
      <c r="B714" s="5" t="s">
        <v>44</v>
      </c>
      <c r="C714" s="5" t="s">
        <v>99</v>
      </c>
      <c r="D714" s="5" t="s">
        <v>21</v>
      </c>
      <c r="E714" s="5" t="s">
        <v>44</v>
      </c>
      <c r="F714" s="5" t="s">
        <v>100</v>
      </c>
      <c r="G714" s="5" t="s">
        <v>75</v>
      </c>
      <c r="H714" s="9" t="s">
        <v>217</v>
      </c>
      <c r="I714" s="10"/>
      <c r="J714" s="10">
        <v>44493</v>
      </c>
      <c r="K714" s="5" t="s">
        <v>102</v>
      </c>
      <c r="L714" s="5" t="s">
        <v>102</v>
      </c>
      <c r="M714" s="11">
        <v>0.080000000000000002</v>
      </c>
      <c r="N714" s="5" t="e">
        <f>IF(AND(M714&gt;#REF!,Cartera!O714="Guaraníes"),"Rendimiento significativo",IF(AND(M714&gt;#REF!,Cartera!O714="Dólares americanos"),"Rendimiento significativo","Rendimiento no significativo"))</f>
        <v>#REF!</v>
      </c>
      <c r="O714" s="5" t="s">
        <v>41</v>
      </c>
      <c r="P714" s="12">
        <v>5767000</v>
      </c>
      <c r="Q714" s="12">
        <f>IF(O714="Guaraníes",P714,P714*#REF!)</f>
        <v>5767000</v>
      </c>
      <c r="R714" s="12" t="e">
        <f>IF(O714="Guaraníes",P714/#REF!,P714)</f>
        <v>#REF!</v>
      </c>
      <c r="S714" s="5" t="s">
        <v>52</v>
      </c>
      <c r="T714" s="5">
        <v>25</v>
      </c>
      <c r="W714" s="5" t="e">
        <v>#REF!</v>
      </c>
      <c r="X714" s="5">
        <v>0</v>
      </c>
      <c r="Y714" s="5">
        <v>0</v>
      </c>
      <c r="Z714" s="5">
        <v>39500</v>
      </c>
      <c r="AA714" s="5">
        <v>146</v>
      </c>
      <c r="AB714" s="5">
        <v>5767000</v>
      </c>
      <c r="AC714" s="5" t="str">
        <f t="shared" si="37"/>
        <v>Bonos</v>
      </c>
      <c r="AD714" s="5" t="s">
        <v>43</v>
      </c>
      <c r="AE714" s="5">
        <f t="shared" si="35"/>
        <v>10</v>
      </c>
      <c r="AF714" s="5">
        <f t="shared" si="36"/>
        <v>2021</v>
      </c>
    </row>
    <row r="715" s="5" customFormat="1" ht="13">
      <c r="A715" s="5" t="s">
        <v>44</v>
      </c>
      <c r="B715" s="5" t="s">
        <v>44</v>
      </c>
      <c r="C715" s="5" t="s">
        <v>156</v>
      </c>
      <c r="D715" s="5" t="s">
        <v>21</v>
      </c>
      <c r="E715" s="5" t="s">
        <v>44</v>
      </c>
      <c r="F715" s="5" t="s">
        <v>68</v>
      </c>
      <c r="G715" s="5" t="s">
        <v>75</v>
      </c>
      <c r="H715" s="9" t="s">
        <v>246</v>
      </c>
      <c r="I715" s="10"/>
      <c r="J715" s="10">
        <v>44497</v>
      </c>
      <c r="K715" s="5" t="s">
        <v>158</v>
      </c>
      <c r="L715" s="5" t="s">
        <v>58</v>
      </c>
      <c r="M715" s="11">
        <v>0.125</v>
      </c>
      <c r="N715" s="5" t="e">
        <f>IF(AND(M715&gt;#REF!,Cartera!O715="Guaraníes"),"Rendimiento significativo",IF(AND(M715&gt;#REF!,Cartera!O715="Dólares americanos"),"Rendimiento significativo","Rendimiento no significativo"))</f>
        <v>#REF!</v>
      </c>
      <c r="O715" s="5" t="s">
        <v>41</v>
      </c>
      <c r="P715" s="12">
        <v>1495890.4109499999</v>
      </c>
      <c r="Q715" s="12">
        <f>IF(O715="Guaraníes",P715,P715*#REF!)</f>
        <v>1495890.4109499999</v>
      </c>
      <c r="R715" s="12" t="e">
        <f>IF(O715="Guaraníes",P715/#REF!,P715)</f>
        <v>#REF!</v>
      </c>
      <c r="S715" s="5" t="s">
        <v>52</v>
      </c>
      <c r="T715" s="5">
        <v>25</v>
      </c>
      <c r="W715" s="5" t="e">
        <v>#REF!</v>
      </c>
      <c r="X715" s="5">
        <v>0</v>
      </c>
      <c r="Y715" s="5">
        <v>0</v>
      </c>
      <c r="Z715" s="5">
        <v>29917.808218999999</v>
      </c>
      <c r="AA715" s="5">
        <v>50</v>
      </c>
      <c r="AB715" s="5">
        <v>1495890.4109499999</v>
      </c>
      <c r="AC715" s="5" t="str">
        <f t="shared" si="37"/>
        <v>Bonos</v>
      </c>
      <c r="AD715" s="5" t="s">
        <v>43</v>
      </c>
      <c r="AE715" s="5">
        <f t="shared" si="35"/>
        <v>10</v>
      </c>
      <c r="AF715" s="5">
        <f t="shared" si="36"/>
        <v>2021</v>
      </c>
    </row>
    <row r="716" s="5" customFormat="1" ht="13">
      <c r="A716" s="5" t="s">
        <v>44</v>
      </c>
      <c r="B716" s="5" t="s">
        <v>44</v>
      </c>
      <c r="C716" s="5" t="s">
        <v>114</v>
      </c>
      <c r="D716" s="5" t="s">
        <v>21</v>
      </c>
      <c r="E716" s="5" t="s">
        <v>44</v>
      </c>
      <c r="F716" s="5" t="s">
        <v>68</v>
      </c>
      <c r="G716" s="5" t="s">
        <v>75</v>
      </c>
      <c r="H716" s="9" t="s">
        <v>235</v>
      </c>
      <c r="I716" s="10"/>
      <c r="J716" s="10">
        <v>44497</v>
      </c>
      <c r="K716" s="5" t="s">
        <v>77</v>
      </c>
      <c r="L716" s="5" t="s">
        <v>50</v>
      </c>
      <c r="M716" s="11">
        <v>0.14249999999999999</v>
      </c>
      <c r="N716" s="5" t="e">
        <f>IF(AND(M716&gt;#REF!,Cartera!O716="Guaraníes"),"Rendimiento significativo",IF(AND(M716&gt;#REF!,Cartera!O716="Dólares americanos"),"Rendimiento significativo","Rendimiento no significativo"))</f>
        <v>#REF!</v>
      </c>
      <c r="O716" s="5" t="s">
        <v>41</v>
      </c>
      <c r="P716" s="12">
        <v>183869.86301500001</v>
      </c>
      <c r="Q716" s="12">
        <f>IF(O716="Guaraníes",P716,P716*#REF!)</f>
        <v>183869.86301500001</v>
      </c>
      <c r="R716" s="12" t="e">
        <f>IF(O716="Guaraníes",P716/#REF!,P716)</f>
        <v>#REF!</v>
      </c>
      <c r="S716" s="5" t="s">
        <v>52</v>
      </c>
      <c r="T716" s="5">
        <v>25</v>
      </c>
      <c r="W716" s="5" t="s">
        <v>65</v>
      </c>
      <c r="X716" s="5">
        <v>0</v>
      </c>
      <c r="Y716" s="5">
        <v>0</v>
      </c>
      <c r="Z716" s="5">
        <v>36773.972603000002</v>
      </c>
      <c r="AA716" s="5">
        <v>5</v>
      </c>
      <c r="AB716" s="5">
        <v>183869.86301500001</v>
      </c>
      <c r="AC716" s="5" t="str">
        <f t="shared" si="37"/>
        <v>Bonos</v>
      </c>
      <c r="AD716" s="5" t="s">
        <v>43</v>
      </c>
      <c r="AE716" s="5">
        <f t="shared" si="35"/>
        <v>10</v>
      </c>
      <c r="AF716" s="5">
        <f t="shared" si="36"/>
        <v>2021</v>
      </c>
    </row>
    <row r="717" s="5" customFormat="1" ht="13">
      <c r="A717" s="5" t="s">
        <v>44</v>
      </c>
      <c r="B717" s="5" t="s">
        <v>44</v>
      </c>
      <c r="C717" s="5" t="s">
        <v>114</v>
      </c>
      <c r="D717" s="5" t="s">
        <v>21</v>
      </c>
      <c r="E717" s="5" t="s">
        <v>44</v>
      </c>
      <c r="F717" s="5" t="s">
        <v>68</v>
      </c>
      <c r="G717" s="5" t="s">
        <v>75</v>
      </c>
      <c r="H717" s="9" t="s">
        <v>115</v>
      </c>
      <c r="I717" s="10"/>
      <c r="J717" s="10">
        <v>44497</v>
      </c>
      <c r="K717" s="5" t="s">
        <v>77</v>
      </c>
      <c r="L717" s="5" t="s">
        <v>50</v>
      </c>
      <c r="M717" s="11">
        <v>0.125</v>
      </c>
      <c r="N717" s="5" t="e">
        <f>IF(AND(M717&gt;#REF!,Cartera!O717="Guaraníes"),"Rendimiento significativo",IF(AND(M717&gt;#REF!,Cartera!O717="Dólares americanos"),"Rendimiento significativo","Rendimiento no significativo"))</f>
        <v>#REF!</v>
      </c>
      <c r="O717" s="5" t="s">
        <v>41</v>
      </c>
      <c r="P717" s="12">
        <v>897534.24656999996</v>
      </c>
      <c r="Q717" s="12">
        <f>IF(O717="Guaraníes",P717,P717*#REF!)</f>
        <v>897534.24656999996</v>
      </c>
      <c r="R717" s="12" t="e">
        <f>IF(O717="Guaraníes",P717/#REF!,P717)</f>
        <v>#REF!</v>
      </c>
      <c r="S717" s="5" t="s">
        <v>52</v>
      </c>
      <c r="T717" s="5">
        <v>25</v>
      </c>
      <c r="W717" s="5" t="s">
        <v>65</v>
      </c>
      <c r="X717" s="5">
        <v>0</v>
      </c>
      <c r="Y717" s="5">
        <v>0</v>
      </c>
      <c r="Z717" s="5">
        <v>29917.808218999999</v>
      </c>
      <c r="AA717" s="5">
        <v>30</v>
      </c>
      <c r="AB717" s="5">
        <v>897534.24656999996</v>
      </c>
      <c r="AC717" s="5" t="str">
        <f t="shared" si="37"/>
        <v>Bonos</v>
      </c>
      <c r="AD717" s="5" t="s">
        <v>43</v>
      </c>
      <c r="AE717" s="5">
        <f t="shared" si="35"/>
        <v>10</v>
      </c>
      <c r="AF717" s="5">
        <f t="shared" si="36"/>
        <v>2021</v>
      </c>
    </row>
    <row r="718" s="5" customFormat="1" ht="13">
      <c r="A718" s="5" t="s">
        <v>44</v>
      </c>
      <c r="B718" s="5" t="s">
        <v>44</v>
      </c>
      <c r="C718" s="5" t="s">
        <v>99</v>
      </c>
      <c r="D718" s="5" t="s">
        <v>20</v>
      </c>
      <c r="E718" s="5" t="s">
        <v>44</v>
      </c>
      <c r="F718" s="5" t="s">
        <v>100</v>
      </c>
      <c r="G718" s="5" t="s">
        <v>75</v>
      </c>
      <c r="H718" s="9" t="s">
        <v>248</v>
      </c>
      <c r="I718" s="10">
        <v>43138</v>
      </c>
      <c r="J718" s="10">
        <v>44509</v>
      </c>
      <c r="K718" s="5" t="s">
        <v>102</v>
      </c>
      <c r="L718" s="5" t="s">
        <v>102</v>
      </c>
      <c r="M718" s="11">
        <v>0.077499999999999999</v>
      </c>
      <c r="N718" s="5" t="e">
        <f>IF(AND(M718&gt;#REF!,Cartera!O718="Guaraníes"),"Rendimiento significativo",IF(AND(M718&gt;#REF!,Cartera!O718="Dólares americanos"),"Rendimiento significativo","Rendimiento no significativo"))</f>
        <v>#REF!</v>
      </c>
      <c r="O718" s="5" t="s">
        <v>41</v>
      </c>
      <c r="P718" s="12">
        <v>50000000</v>
      </c>
      <c r="Q718" s="12">
        <f>IF(O718="Guaraníes",P718,P718*#REF!)</f>
        <v>50000000</v>
      </c>
      <c r="R718" s="12" t="e">
        <f>IF(O718="Guaraníes",P718/#REF!,P718)</f>
        <v>#REF!</v>
      </c>
      <c r="S718" s="5" t="s">
        <v>52</v>
      </c>
      <c r="AC718" s="5" t="str">
        <f t="shared" si="37"/>
        <v>Bonos</v>
      </c>
      <c r="AD718" s="5" t="s">
        <v>43</v>
      </c>
      <c r="AE718" s="5">
        <f t="shared" si="35"/>
        <v>11</v>
      </c>
      <c r="AF718" s="5">
        <f t="shared" si="36"/>
        <v>2021</v>
      </c>
    </row>
    <row r="719" s="5" customFormat="1" ht="13">
      <c r="A719" s="5" t="s">
        <v>44</v>
      </c>
      <c r="B719" s="5" t="s">
        <v>44</v>
      </c>
      <c r="C719" s="5" t="s">
        <v>33</v>
      </c>
      <c r="D719" s="5" t="s">
        <v>21</v>
      </c>
      <c r="E719" s="5" t="s">
        <v>44</v>
      </c>
      <c r="F719" s="5" t="s">
        <v>35</v>
      </c>
      <c r="G719" s="5" t="s">
        <v>75</v>
      </c>
      <c r="H719" s="9" t="s">
        <v>168</v>
      </c>
      <c r="I719" s="10"/>
      <c r="J719" s="10">
        <v>44509</v>
      </c>
      <c r="K719" s="5" t="s">
        <v>39</v>
      </c>
      <c r="L719" s="5" t="s">
        <v>50</v>
      </c>
      <c r="M719" s="11">
        <v>0.070000000000000007</v>
      </c>
      <c r="N719" s="5" t="e">
        <f>IF(AND(M719&gt;#REF!,Cartera!O719="Guaraníes"),"Rendimiento significativo",IF(AND(M719&gt;#REF!,Cartera!O719="Dólares americanos"),"Rendimiento significativo","Rendimiento no significativo"))</f>
        <v>#REF!</v>
      </c>
      <c r="O719" s="5" t="s">
        <v>51</v>
      </c>
      <c r="P719" s="13">
        <v>1221.6438500000002</v>
      </c>
      <c r="Q719" s="12" t="e">
        <f>IF(O719="Guaraníes",P719,P719*#REF!)</f>
        <v>#REF!</v>
      </c>
      <c r="R719" s="12">
        <f>IF(O719="Guaraníes",P719/#REF!,P719)</f>
        <v>1221.6438500000002</v>
      </c>
      <c r="S719" s="5" t="s">
        <v>52</v>
      </c>
      <c r="T719" s="5">
        <v>25</v>
      </c>
      <c r="W719" s="5" t="s">
        <v>65</v>
      </c>
      <c r="X719" s="5">
        <v>0</v>
      </c>
      <c r="Y719" s="5">
        <v>0</v>
      </c>
      <c r="Z719" s="5">
        <v>17.452055000000001</v>
      </c>
      <c r="AA719" s="5">
        <v>70</v>
      </c>
      <c r="AB719" s="5">
        <v>1221.6438499999999</v>
      </c>
      <c r="AC719" s="5" t="str">
        <f t="shared" si="37"/>
        <v>Bonos</v>
      </c>
      <c r="AD719" s="5" t="s">
        <v>43</v>
      </c>
      <c r="AE719" s="5">
        <f t="shared" si="35"/>
        <v>11</v>
      </c>
      <c r="AF719" s="5">
        <f t="shared" si="36"/>
        <v>2021</v>
      </c>
    </row>
    <row r="720" s="5" customFormat="1" ht="13">
      <c r="A720" s="5" t="s">
        <v>44</v>
      </c>
      <c r="B720" s="5" t="s">
        <v>44</v>
      </c>
      <c r="C720" s="5" t="s">
        <v>242</v>
      </c>
      <c r="D720" s="5" t="s">
        <v>20</v>
      </c>
      <c r="E720" s="5" t="s">
        <v>44</v>
      </c>
      <c r="F720" s="5" t="s">
        <v>68</v>
      </c>
      <c r="G720" s="5" t="s">
        <v>75</v>
      </c>
      <c r="H720" s="9" t="s">
        <v>243</v>
      </c>
      <c r="I720" s="10">
        <v>43131</v>
      </c>
      <c r="J720" s="10">
        <v>44515</v>
      </c>
      <c r="K720" s="5" t="s">
        <v>244</v>
      </c>
      <c r="L720" s="5" t="s">
        <v>58</v>
      </c>
      <c r="M720" s="11">
        <v>0.13750000000000001</v>
      </c>
      <c r="N720" s="5" t="e">
        <f>IF(AND(M720&gt;#REF!,Cartera!O720="Guaraníes"),"Rendimiento significativo",IF(AND(M720&gt;#REF!,Cartera!O720="Dólares americanos"),"Rendimiento significativo","Rendimiento no significativo"))</f>
        <v>#REF!</v>
      </c>
      <c r="O720" s="5" t="s">
        <v>41</v>
      </c>
      <c r="P720" s="12">
        <v>30000000</v>
      </c>
      <c r="Q720" s="12">
        <f>IF(O720="Guaraníes",P720,P720*#REF!)</f>
        <v>30000000</v>
      </c>
      <c r="R720" s="12" t="e">
        <f>IF(O720="Guaraníes",P720/#REF!,P720)</f>
        <v>#REF!</v>
      </c>
      <c r="S720" s="5" t="s">
        <v>52</v>
      </c>
      <c r="AC720" s="5" t="str">
        <f t="shared" si="37"/>
        <v>Bonos</v>
      </c>
      <c r="AD720" s="5" t="s">
        <v>43</v>
      </c>
      <c r="AE720" s="5">
        <f t="shared" si="35"/>
        <v>11</v>
      </c>
      <c r="AF720" s="5">
        <f t="shared" si="36"/>
        <v>2021</v>
      </c>
    </row>
    <row r="721" s="5" customFormat="1" ht="13">
      <c r="A721" s="5" t="s">
        <v>44</v>
      </c>
      <c r="B721" s="5" t="s">
        <v>44</v>
      </c>
      <c r="C721" s="5" t="s">
        <v>242</v>
      </c>
      <c r="D721" s="5" t="s">
        <v>21</v>
      </c>
      <c r="E721" s="5" t="s">
        <v>44</v>
      </c>
      <c r="F721" s="5" t="s">
        <v>68</v>
      </c>
      <c r="G721" s="5" t="s">
        <v>75</v>
      </c>
      <c r="H721" s="9" t="s">
        <v>243</v>
      </c>
      <c r="I721" s="10"/>
      <c r="J721" s="10">
        <v>44515</v>
      </c>
      <c r="K721" s="5" t="s">
        <v>244</v>
      </c>
      <c r="L721" s="5" t="s">
        <v>58</v>
      </c>
      <c r="M721" s="11">
        <v>0.13750000000000001</v>
      </c>
      <c r="N721" s="5" t="e">
        <f>IF(AND(M721&gt;#REF!,Cartera!O721="Guaraníes"),"Rendimiento significativo",IF(AND(M721&gt;#REF!,Cartera!O721="Dólares americanos"),"Rendimiento significativo","Rendimiento no significativo"))</f>
        <v>#REF!</v>
      </c>
      <c r="O721" s="5" t="s">
        <v>41</v>
      </c>
      <c r="P721" s="12">
        <v>31028424.657540001</v>
      </c>
      <c r="Q721" s="12">
        <f>IF(O721="Guaraníes",P721,P721*#REF!)</f>
        <v>31028424.657540001</v>
      </c>
      <c r="R721" s="12" t="e">
        <f>IF(O721="Guaraníes",P721/#REF!,P721)</f>
        <v>#REF!</v>
      </c>
      <c r="S721" s="5" t="s">
        <v>52</v>
      </c>
      <c r="T721" s="5">
        <v>25</v>
      </c>
      <c r="U721" s="5">
        <v>30000000</v>
      </c>
      <c r="V721" s="5">
        <v>1029646.3013899997</v>
      </c>
      <c r="W721" s="5" t="s">
        <v>241</v>
      </c>
      <c r="X721" s="5">
        <v>100</v>
      </c>
      <c r="Y721" s="5">
        <v>1000000</v>
      </c>
      <c r="Z721" s="5">
        <v>1034280.821918</v>
      </c>
      <c r="AA721" s="5">
        <v>30</v>
      </c>
      <c r="AB721" s="5">
        <v>31028424.657540001</v>
      </c>
      <c r="AC721" s="5" t="str">
        <f t="shared" si="37"/>
        <v>Bonos</v>
      </c>
      <c r="AD721" s="5" t="s">
        <v>43</v>
      </c>
      <c r="AE721" s="5">
        <f t="shared" si="35"/>
        <v>11</v>
      </c>
      <c r="AF721" s="5">
        <f t="shared" si="36"/>
        <v>2021</v>
      </c>
    </row>
    <row r="722" s="5" customFormat="1" ht="13">
      <c r="A722" s="5" t="s">
        <v>44</v>
      </c>
      <c r="B722" s="5" t="s">
        <v>44</v>
      </c>
      <c r="C722" s="5" t="s">
        <v>114</v>
      </c>
      <c r="D722" s="5" t="s">
        <v>21</v>
      </c>
      <c r="E722" s="5" t="s">
        <v>44</v>
      </c>
      <c r="F722" s="5" t="s">
        <v>68</v>
      </c>
      <c r="G722" s="5" t="s">
        <v>75</v>
      </c>
      <c r="H722" s="9" t="s">
        <v>170</v>
      </c>
      <c r="I722" s="10"/>
      <c r="J722" s="10">
        <v>44516</v>
      </c>
      <c r="K722" s="5" t="s">
        <v>77</v>
      </c>
      <c r="L722" s="5" t="s">
        <v>50</v>
      </c>
      <c r="M722" s="11">
        <v>0.14000000000000001</v>
      </c>
      <c r="N722" s="5" t="e">
        <f>IF(AND(M722&gt;#REF!,Cartera!O722="Guaraníes"),"Rendimiento significativo",IF(AND(M722&gt;#REF!,Cartera!O722="Dólares americanos"),"Rendimiento significativo","Rendimiento no significativo"))</f>
        <v>#REF!</v>
      </c>
      <c r="O722" s="5" t="s">
        <v>41</v>
      </c>
      <c r="P722" s="12">
        <v>3490410.9589</v>
      </c>
      <c r="Q722" s="12">
        <f>IF(O722="Guaraníes",P722,P722*#REF!)</f>
        <v>3490410.9589</v>
      </c>
      <c r="R722" s="12" t="e">
        <f>IF(O722="Guaraníes",P722/#REF!,P722)</f>
        <v>#REF!</v>
      </c>
      <c r="S722" s="5" t="s">
        <v>52</v>
      </c>
      <c r="T722" s="5">
        <v>25</v>
      </c>
      <c r="W722" s="5" t="s">
        <v>65</v>
      </c>
      <c r="X722" s="5">
        <v>0</v>
      </c>
      <c r="Y722" s="5">
        <v>0</v>
      </c>
      <c r="Z722" s="5">
        <v>34904.109589</v>
      </c>
      <c r="AA722" s="5">
        <v>100</v>
      </c>
      <c r="AB722" s="5">
        <v>3490410.9589</v>
      </c>
      <c r="AC722" s="5" t="str">
        <f t="shared" si="37"/>
        <v>Bonos</v>
      </c>
      <c r="AD722" s="5" t="s">
        <v>43</v>
      </c>
      <c r="AE722" s="5">
        <f t="shared" si="35"/>
        <v>11</v>
      </c>
      <c r="AF722" s="5">
        <f t="shared" si="36"/>
        <v>2021</v>
      </c>
    </row>
    <row r="723" s="5" customFormat="1" ht="13">
      <c r="A723" s="5" t="s">
        <v>44</v>
      </c>
      <c r="B723" s="5" t="s">
        <v>44</v>
      </c>
      <c r="C723" s="5" t="s">
        <v>254</v>
      </c>
      <c r="D723" s="5" t="s">
        <v>21</v>
      </c>
      <c r="E723" s="5" t="s">
        <v>44</v>
      </c>
      <c r="F723" s="5" t="s">
        <v>68</v>
      </c>
      <c r="G723" s="5" t="s">
        <v>75</v>
      </c>
      <c r="H723" s="9" t="s">
        <v>255</v>
      </c>
      <c r="I723" s="10"/>
      <c r="J723" s="10">
        <v>44539</v>
      </c>
      <c r="K723" s="5" t="s">
        <v>256</v>
      </c>
      <c r="L723" s="5" t="s">
        <v>58</v>
      </c>
      <c r="M723" s="11">
        <v>0.057500000000000002</v>
      </c>
      <c r="N723" s="5" t="e">
        <f>IF(AND(M723&gt;#REF!,Cartera!O723="Guaraníes"),"Rendimiento significativo",IF(AND(M723&gt;#REF!,Cartera!O723="Dólares americanos"),"Rendimiento significativo","Rendimiento no significativo"))</f>
        <v>#REF!</v>
      </c>
      <c r="O723" s="5" t="s">
        <v>51</v>
      </c>
      <c r="P723" s="13">
        <v>860.13698999999997</v>
      </c>
      <c r="Q723" s="12" t="e">
        <f>IF(O723="Guaraníes",P723,P723*#REF!)</f>
        <v>#REF!</v>
      </c>
      <c r="R723" s="12">
        <f>IF(O723="Guaraníes",P723/#REF!,P723)</f>
        <v>860.13698999999997</v>
      </c>
      <c r="S723" s="5" t="s">
        <v>52</v>
      </c>
      <c r="T723" s="5">
        <v>25</v>
      </c>
      <c r="W723" s="5" t="s">
        <v>249</v>
      </c>
      <c r="X723" s="5">
        <v>0</v>
      </c>
      <c r="Y723" s="5">
        <v>0</v>
      </c>
      <c r="Z723" s="5">
        <v>28.671233000000001</v>
      </c>
      <c r="AA723" s="5">
        <v>30</v>
      </c>
      <c r="AB723" s="5">
        <v>860.13698999999997</v>
      </c>
      <c r="AC723" s="5" t="str">
        <f t="shared" si="37"/>
        <v>Bonos</v>
      </c>
      <c r="AD723" s="5" t="s">
        <v>43</v>
      </c>
      <c r="AE723" s="5">
        <f t="shared" si="35"/>
        <v>12</v>
      </c>
      <c r="AF723" s="5">
        <f t="shared" si="36"/>
        <v>2021</v>
      </c>
    </row>
    <row r="724" s="5" customFormat="1" ht="13">
      <c r="A724" s="5" t="s">
        <v>44</v>
      </c>
      <c r="B724" s="5" t="s">
        <v>44</v>
      </c>
      <c r="C724" s="5" t="s">
        <v>33</v>
      </c>
      <c r="D724" s="5" t="s">
        <v>21</v>
      </c>
      <c r="E724" s="5" t="s">
        <v>44</v>
      </c>
      <c r="F724" s="5" t="s">
        <v>35</v>
      </c>
      <c r="G724" s="5" t="s">
        <v>75</v>
      </c>
      <c r="H724" s="9" t="s">
        <v>186</v>
      </c>
      <c r="I724" s="10"/>
      <c r="J724" s="10">
        <v>44545</v>
      </c>
      <c r="K724" s="5" t="s">
        <v>39</v>
      </c>
      <c r="L724" s="5" t="s">
        <v>50</v>
      </c>
      <c r="M724" s="11">
        <v>0.044999999999999998</v>
      </c>
      <c r="N724" s="5" t="e">
        <f>IF(AND(M724&gt;#REF!,Cartera!O724="Guaraníes"),"Rendimiento significativo",IF(AND(M724&gt;#REF!,Cartera!O724="Dólares americanos"),"Rendimiento significativo","Rendimiento no significativo"))</f>
        <v>#REF!</v>
      </c>
      <c r="O724" s="5" t="s">
        <v>51</v>
      </c>
      <c r="P724" s="13">
        <v>336.57533999999998</v>
      </c>
      <c r="Q724" s="12" t="e">
        <f>IF(O724="Guaraníes",P724,P724*#REF!)</f>
        <v>#REF!</v>
      </c>
      <c r="R724" s="12">
        <f>IF(O724="Guaraníes",P724/#REF!,P724)</f>
        <v>336.57533999999998</v>
      </c>
      <c r="S724" s="5" t="s">
        <v>52</v>
      </c>
      <c r="T724" s="5">
        <v>25</v>
      </c>
      <c r="W724" s="5" t="s">
        <v>65</v>
      </c>
      <c r="X724" s="5">
        <v>0</v>
      </c>
      <c r="Y724" s="5">
        <v>0</v>
      </c>
      <c r="Z724" s="5">
        <v>11.219177999999999</v>
      </c>
      <c r="AA724" s="5">
        <v>30</v>
      </c>
      <c r="AB724" s="5">
        <v>336.57533999999998</v>
      </c>
      <c r="AC724" s="5" t="str">
        <f t="shared" si="37"/>
        <v>Bonos</v>
      </c>
      <c r="AD724" s="5" t="s">
        <v>43</v>
      </c>
      <c r="AE724" s="5">
        <f t="shared" si="35"/>
        <v>12</v>
      </c>
      <c r="AF724" s="5">
        <f t="shared" si="36"/>
        <v>2021</v>
      </c>
    </row>
    <row r="725" s="5" customFormat="1" ht="13">
      <c r="A725" s="5" t="s">
        <v>44</v>
      </c>
      <c r="B725" s="5" t="s">
        <v>44</v>
      </c>
      <c r="C725" s="5" t="s">
        <v>114</v>
      </c>
      <c r="D725" s="5" t="s">
        <v>20</v>
      </c>
      <c r="E725" s="5" t="s">
        <v>44</v>
      </c>
      <c r="F725" s="5" t="s">
        <v>68</v>
      </c>
      <c r="G725" s="5" t="s">
        <v>75</v>
      </c>
      <c r="H725" s="9" t="s">
        <v>226</v>
      </c>
      <c r="I725" s="10">
        <v>41638</v>
      </c>
      <c r="J725" s="10">
        <v>44546</v>
      </c>
      <c r="K725" s="5" t="s">
        <v>77</v>
      </c>
      <c r="L725" s="5" t="s">
        <v>50</v>
      </c>
      <c r="M725" s="11">
        <v>0.14000000000000001</v>
      </c>
      <c r="N725" s="5" t="e">
        <f>IF(AND(M725&gt;#REF!,Cartera!O725="Guaraníes"),"Rendimiento significativo",IF(AND(M725&gt;#REF!,Cartera!O725="Dólares americanos"),"Rendimiento significativo","Rendimiento no significativo"))</f>
        <v>#REF!</v>
      </c>
      <c r="O725" s="5" t="s">
        <v>41</v>
      </c>
      <c r="P725" s="12">
        <v>15000000</v>
      </c>
      <c r="Q725" s="12">
        <f>IF(O725="Guaraníes",P725,P725*#REF!)</f>
        <v>15000000</v>
      </c>
      <c r="R725" s="12" t="e">
        <f>IF(O725="Guaraníes",P725/#REF!,P725)</f>
        <v>#REF!</v>
      </c>
      <c r="S725" s="5" t="s">
        <v>52</v>
      </c>
      <c r="AC725" s="5" t="str">
        <f t="shared" si="37"/>
        <v>Bonos</v>
      </c>
      <c r="AD725" s="5" t="s">
        <v>43</v>
      </c>
      <c r="AE725" s="5">
        <f t="shared" si="35"/>
        <v>12</v>
      </c>
      <c r="AF725" s="5">
        <f t="shared" si="36"/>
        <v>2021</v>
      </c>
    </row>
    <row r="726" s="5" customFormat="1" ht="13">
      <c r="A726" s="5" t="s">
        <v>44</v>
      </c>
      <c r="B726" s="5" t="s">
        <v>44</v>
      </c>
      <c r="C726" s="5" t="s">
        <v>135</v>
      </c>
      <c r="D726" s="5" t="s">
        <v>21</v>
      </c>
      <c r="E726" s="5" t="s">
        <v>44</v>
      </c>
      <c r="F726" s="5" t="s">
        <v>68</v>
      </c>
      <c r="G726" s="5" t="s">
        <v>75</v>
      </c>
      <c r="H726" s="9" t="s">
        <v>136</v>
      </c>
      <c r="I726" s="10"/>
      <c r="J726" s="10">
        <v>44546</v>
      </c>
      <c r="K726" s="5" t="s">
        <v>124</v>
      </c>
      <c r="L726" s="5" t="s">
        <v>58</v>
      </c>
      <c r="M726" s="11">
        <v>0.060999999999999999</v>
      </c>
      <c r="N726" s="5" t="e">
        <f>IF(AND(M726&gt;#REF!,Cartera!O726="Guaraníes"),"Rendimiento significativo",IF(AND(M726&gt;#REF!,Cartera!O726="Dólares americanos"),"Rendimiento significativo","Rendimiento no significativo"))</f>
        <v>#REF!</v>
      </c>
      <c r="O726" s="5" t="s">
        <v>41</v>
      </c>
      <c r="P726" s="12">
        <v>6116712.3288000003</v>
      </c>
      <c r="Q726" s="12">
        <f>IF(O726="Guaraníes",P726,P726*#REF!)</f>
        <v>6116712.3288000003</v>
      </c>
      <c r="R726" s="12" t="e">
        <f>IF(O726="Guaraníes",P726/#REF!,P726)</f>
        <v>#REF!</v>
      </c>
      <c r="S726" s="5" t="s">
        <v>52</v>
      </c>
      <c r="T726" s="5">
        <v>25</v>
      </c>
      <c r="W726" s="5" t="s">
        <v>137</v>
      </c>
      <c r="X726" s="5">
        <v>0</v>
      </c>
      <c r="Y726" s="5">
        <v>0</v>
      </c>
      <c r="Z726" s="5">
        <v>30583.561644000001</v>
      </c>
      <c r="AA726" s="5">
        <v>200</v>
      </c>
      <c r="AB726" s="5">
        <v>6116712.3288000003</v>
      </c>
      <c r="AC726" s="5" t="str">
        <f t="shared" si="37"/>
        <v>Bonos</v>
      </c>
      <c r="AD726" s="5" t="s">
        <v>43</v>
      </c>
      <c r="AE726" s="5">
        <f t="shared" si="35"/>
        <v>12</v>
      </c>
      <c r="AF726" s="5">
        <f t="shared" si="36"/>
        <v>2021</v>
      </c>
    </row>
    <row r="727" s="5" customFormat="1" ht="13">
      <c r="A727" s="5" t="s">
        <v>44</v>
      </c>
      <c r="B727" s="5" t="s">
        <v>44</v>
      </c>
      <c r="C727" s="5" t="s">
        <v>114</v>
      </c>
      <c r="D727" s="5" t="s">
        <v>21</v>
      </c>
      <c r="E727" s="5" t="s">
        <v>44</v>
      </c>
      <c r="F727" s="5" t="s">
        <v>68</v>
      </c>
      <c r="G727" s="5" t="s">
        <v>75</v>
      </c>
      <c r="H727" s="9" t="s">
        <v>226</v>
      </c>
      <c r="I727" s="10"/>
      <c r="J727" s="10">
        <v>44546</v>
      </c>
      <c r="K727" s="5" t="s">
        <v>77</v>
      </c>
      <c r="L727" s="5" t="s">
        <v>58</v>
      </c>
      <c r="M727" s="11">
        <v>0.14000000000000001</v>
      </c>
      <c r="N727" s="5" t="e">
        <f>IF(AND(M727&gt;#REF!,Cartera!O727="Guaraníes"),"Rendimiento significativo",IF(AND(M727&gt;#REF!,Cartera!O727="Dólares americanos"),"Rendimiento significativo","Rendimiento no significativo"))</f>
        <v>#REF!</v>
      </c>
      <c r="O727" s="5" t="s">
        <v>41</v>
      </c>
      <c r="P727" s="12">
        <v>523561.643835</v>
      </c>
      <c r="Q727" s="12">
        <f>IF(O727="Guaraníes",P727,P727*#REF!)</f>
        <v>523561.643835</v>
      </c>
      <c r="R727" s="12" t="e">
        <f>IF(O727="Guaraníes",P727/#REF!,P727)</f>
        <v>#REF!</v>
      </c>
      <c r="S727" s="5" t="s">
        <v>52</v>
      </c>
      <c r="T727" s="5">
        <v>25</v>
      </c>
      <c r="U727" s="5">
        <v>15000000</v>
      </c>
      <c r="V727" s="5">
        <v>6640610.547975</v>
      </c>
      <c r="W727" s="5" t="s">
        <v>65</v>
      </c>
      <c r="X727" s="5">
        <v>100</v>
      </c>
      <c r="Y727" s="5">
        <v>1000000</v>
      </c>
      <c r="Z727" s="5">
        <v>1034904.109589</v>
      </c>
      <c r="AA727" s="5">
        <v>15</v>
      </c>
      <c r="AB727" s="5">
        <v>15523561.643835001</v>
      </c>
      <c r="AC727" s="5" t="str">
        <f t="shared" si="37"/>
        <v>Bonos</v>
      </c>
      <c r="AD727" s="5" t="s">
        <v>43</v>
      </c>
      <c r="AE727" s="5">
        <f t="shared" si="35"/>
        <v>12</v>
      </c>
      <c r="AF727" s="5">
        <f t="shared" si="36"/>
        <v>2021</v>
      </c>
    </row>
    <row r="728" s="5" customFormat="1" ht="13">
      <c r="A728" s="5" t="s">
        <v>44</v>
      </c>
      <c r="B728" s="5" t="s">
        <v>44</v>
      </c>
      <c r="C728" s="5" t="s">
        <v>114</v>
      </c>
      <c r="D728" s="5" t="s">
        <v>21</v>
      </c>
      <c r="E728" s="5" t="s">
        <v>44</v>
      </c>
      <c r="F728" s="5" t="s">
        <v>68</v>
      </c>
      <c r="G728" s="5" t="s">
        <v>75</v>
      </c>
      <c r="H728" s="9" t="s">
        <v>236</v>
      </c>
      <c r="I728" s="10"/>
      <c r="J728" s="10">
        <v>44546</v>
      </c>
      <c r="K728" s="5" t="s">
        <v>77</v>
      </c>
      <c r="L728" s="5" t="s">
        <v>50</v>
      </c>
      <c r="M728" s="11">
        <v>0.14749999999999999</v>
      </c>
      <c r="N728" s="5" t="e">
        <f>IF(AND(M728&gt;#REF!,Cartera!O728="Guaraníes"),"Rendimiento significativo",IF(AND(M728&gt;#REF!,Cartera!O728="Dólares americanos"),"Rendimiento significativo","Rendimiento no significativo"))</f>
        <v>#REF!</v>
      </c>
      <c r="O728" s="5" t="s">
        <v>41</v>
      </c>
      <c r="P728" s="12">
        <v>112191.780822</v>
      </c>
      <c r="Q728" s="12">
        <f>IF(O728="Guaraníes",P728,P728*#REF!)</f>
        <v>112191.780822</v>
      </c>
      <c r="R728" s="12" t="e">
        <f>IF(O728="Guaraníes",P728/#REF!,P728)</f>
        <v>#REF!</v>
      </c>
      <c r="S728" s="5" t="s">
        <v>52</v>
      </c>
      <c r="T728" s="5">
        <v>25</v>
      </c>
      <c r="W728" s="5" t="s">
        <v>65</v>
      </c>
      <c r="X728" s="5">
        <v>0</v>
      </c>
      <c r="Y728" s="5">
        <v>0</v>
      </c>
      <c r="Z728" s="5">
        <v>37397.260274</v>
      </c>
      <c r="AA728" s="5">
        <v>3</v>
      </c>
      <c r="AB728" s="5">
        <v>112191.780822</v>
      </c>
      <c r="AC728" s="5" t="str">
        <f t="shared" si="37"/>
        <v>Bonos</v>
      </c>
      <c r="AD728" s="5" t="s">
        <v>43</v>
      </c>
      <c r="AE728" s="5">
        <f t="shared" si="35"/>
        <v>12</v>
      </c>
      <c r="AF728" s="5">
        <f t="shared" si="36"/>
        <v>2021</v>
      </c>
    </row>
    <row r="729" s="5" customFormat="1" ht="13">
      <c r="A729" s="5" t="s">
        <v>44</v>
      </c>
      <c r="B729" s="5" t="s">
        <v>44</v>
      </c>
      <c r="C729" s="5" t="s">
        <v>135</v>
      </c>
      <c r="D729" s="5" t="s">
        <v>21</v>
      </c>
      <c r="E729" s="5" t="s">
        <v>44</v>
      </c>
      <c r="F729" s="5" t="s">
        <v>68</v>
      </c>
      <c r="G729" s="5" t="s">
        <v>75</v>
      </c>
      <c r="H729" s="9" t="s">
        <v>265</v>
      </c>
      <c r="I729" s="10"/>
      <c r="J729" s="10">
        <v>44551</v>
      </c>
      <c r="K729" s="5" t="s">
        <v>124</v>
      </c>
      <c r="L729" s="5" t="s">
        <v>58</v>
      </c>
      <c r="M729" s="11">
        <v>0.054000000000000006</v>
      </c>
      <c r="N729" s="5" t="e">
        <f>IF(AND(M729&gt;#REF!,Cartera!O729="Guaraníes"),"Rendimiento significativo",IF(AND(M729&gt;#REF!,Cartera!O729="Dólares americanos"),"Rendimiento significativo","Rendimiento no significativo"))</f>
        <v>#REF!</v>
      </c>
      <c r="O729" s="5" t="s">
        <v>41</v>
      </c>
      <c r="P729" s="12">
        <v>1346301</v>
      </c>
      <c r="Q729" s="12">
        <f>IF(O729="Guaraníes",P729,P729*#REF!)</f>
        <v>1346301</v>
      </c>
      <c r="R729" s="12" t="e">
        <f>IF(O729="Guaraníes",P729/#REF!,P729)</f>
        <v>#REF!</v>
      </c>
      <c r="S729" s="5" t="s">
        <v>52</v>
      </c>
      <c r="T729" s="5">
        <v>25</v>
      </c>
      <c r="W729" s="5" t="s">
        <v>137</v>
      </c>
      <c r="X729" s="5">
        <v>12.5</v>
      </c>
      <c r="Y729" s="5">
        <v>125000</v>
      </c>
      <c r="Z729" s="5">
        <v>151926.027397</v>
      </c>
      <c r="AA729" s="5">
        <v>50</v>
      </c>
      <c r="AB729" s="5">
        <v>7596301.3698500004</v>
      </c>
      <c r="AC729" s="5" t="str">
        <f t="shared" si="37"/>
        <v>Bonos</v>
      </c>
      <c r="AD729" s="5" t="s">
        <v>43</v>
      </c>
      <c r="AE729" s="5">
        <f t="shared" si="35"/>
        <v>12</v>
      </c>
      <c r="AF729" s="5">
        <f t="shared" si="36"/>
        <v>2021</v>
      </c>
    </row>
    <row r="730" s="5" customFormat="1" ht="13">
      <c r="A730" s="5" t="s">
        <v>44</v>
      </c>
      <c r="B730" s="5" t="s">
        <v>44</v>
      </c>
      <c r="C730" s="5" t="s">
        <v>54</v>
      </c>
      <c r="D730" s="5" t="s">
        <v>21</v>
      </c>
      <c r="E730" s="5" t="s">
        <v>44</v>
      </c>
      <c r="F730" s="5" t="s">
        <v>46</v>
      </c>
      <c r="G730" s="5" t="s">
        <v>75</v>
      </c>
      <c r="H730" s="9" t="s">
        <v>147</v>
      </c>
      <c r="I730" s="10"/>
      <c r="J730" s="10">
        <v>44557</v>
      </c>
      <c r="K730" s="5" t="s">
        <v>57</v>
      </c>
      <c r="L730" s="5" t="s">
        <v>58</v>
      </c>
      <c r="M730" s="11">
        <v>0.12</v>
      </c>
      <c r="N730" s="5" t="e">
        <f>IF(AND(M730&gt;#REF!,Cartera!O730="Guaraníes"),"Rendimiento significativo",IF(AND(M730&gt;#REF!,Cartera!O730="Dólares americanos"),"Rendimiento significativo","Rendimiento no significativo"))</f>
        <v>#REF!</v>
      </c>
      <c r="O730" s="5" t="s">
        <v>41</v>
      </c>
      <c r="P730" s="12">
        <v>4487671.2328500003</v>
      </c>
      <c r="Q730" s="12">
        <f>IF(O730="Guaraníes",P730,P730*#REF!)</f>
        <v>4487671.2328500003</v>
      </c>
      <c r="R730" s="12" t="e">
        <f>IF(O730="Guaraníes",P730/#REF!,P730)</f>
        <v>#REF!</v>
      </c>
      <c r="S730" s="5" t="s">
        <v>52</v>
      </c>
      <c r="T730" s="5">
        <v>25</v>
      </c>
      <c r="W730" s="5" t="s">
        <v>263</v>
      </c>
      <c r="X730" s="5">
        <v>0</v>
      </c>
      <c r="Y730" s="5">
        <v>0</v>
      </c>
      <c r="Z730" s="5">
        <v>29917.808218999999</v>
      </c>
      <c r="AA730" s="5">
        <v>150</v>
      </c>
      <c r="AB730" s="5">
        <v>4487671.2328500003</v>
      </c>
      <c r="AC730" s="5" t="str">
        <f t="shared" si="37"/>
        <v>Bonos</v>
      </c>
      <c r="AD730" s="5" t="s">
        <v>43</v>
      </c>
      <c r="AE730" s="5">
        <f t="shared" si="35"/>
        <v>12</v>
      </c>
      <c r="AF730" s="5">
        <f t="shared" si="36"/>
        <v>2021</v>
      </c>
    </row>
    <row r="731" s="5" customFormat="1" ht="13">
      <c r="A731" s="5" t="s">
        <v>44</v>
      </c>
      <c r="B731" s="5" t="s">
        <v>44</v>
      </c>
      <c r="C731" s="5" t="s">
        <v>114</v>
      </c>
      <c r="D731" s="5" t="s">
        <v>21</v>
      </c>
      <c r="E731" s="5" t="s">
        <v>44</v>
      </c>
      <c r="F731" s="5" t="s">
        <v>68</v>
      </c>
      <c r="G731" s="5" t="s">
        <v>75</v>
      </c>
      <c r="H731" s="9" t="s">
        <v>237</v>
      </c>
      <c r="I731" s="10"/>
      <c r="J731" s="10">
        <v>44558</v>
      </c>
      <c r="K731" s="5" t="s">
        <v>77</v>
      </c>
      <c r="L731" s="5" t="s">
        <v>50</v>
      </c>
      <c r="M731" s="11">
        <v>0.13750000000000001</v>
      </c>
      <c r="N731" s="5" t="e">
        <f>IF(AND(M731&gt;#REF!,Cartera!O731="Guaraníes"),"Rendimiento significativo",IF(AND(M731&gt;#REF!,Cartera!O731="Dólares americanos"),"Rendimiento significativo","Rendimiento no significativo"))</f>
        <v>#REF!</v>
      </c>
      <c r="O731" s="5" t="s">
        <v>41</v>
      </c>
      <c r="P731" s="12">
        <v>685616.43836000003</v>
      </c>
      <c r="Q731" s="12">
        <f>IF(O731="Guaraníes",P731,P731*#REF!)</f>
        <v>685616.43836000003</v>
      </c>
      <c r="R731" s="12" t="e">
        <f>IF(O731="Guaraníes",P731/#REF!,P731)</f>
        <v>#REF!</v>
      </c>
      <c r="S731" s="5" t="s">
        <v>52</v>
      </c>
      <c r="T731" s="5">
        <v>25</v>
      </c>
      <c r="W731" s="5" t="s">
        <v>65</v>
      </c>
      <c r="X731" s="5">
        <v>0</v>
      </c>
      <c r="Y731" s="5">
        <v>0</v>
      </c>
      <c r="Z731" s="5">
        <v>34280.821918000001</v>
      </c>
      <c r="AA731" s="5">
        <v>20</v>
      </c>
      <c r="AB731" s="5">
        <v>685616.43836000003</v>
      </c>
      <c r="AC731" s="5" t="str">
        <f t="shared" si="37"/>
        <v>Bonos</v>
      </c>
      <c r="AD731" s="5" t="s">
        <v>43</v>
      </c>
      <c r="AE731" s="5">
        <f t="shared" si="35"/>
        <v>12</v>
      </c>
      <c r="AF731" s="5">
        <f t="shared" si="36"/>
        <v>2021</v>
      </c>
    </row>
    <row r="732" s="5" customFormat="1" ht="13">
      <c r="A732" s="5" t="s">
        <v>44</v>
      </c>
      <c r="B732" s="5" t="s">
        <v>44</v>
      </c>
      <c r="C732" s="5" t="s">
        <v>33</v>
      </c>
      <c r="D732" s="5" t="s">
        <v>21</v>
      </c>
      <c r="E732" s="5" t="s">
        <v>44</v>
      </c>
      <c r="F732" s="5" t="s">
        <v>35</v>
      </c>
      <c r="G732" s="5" t="s">
        <v>75</v>
      </c>
      <c r="H732" s="9" t="s">
        <v>257</v>
      </c>
      <c r="I732" s="10"/>
      <c r="J732" s="10">
        <v>44560</v>
      </c>
      <c r="K732" s="5" t="s">
        <v>39</v>
      </c>
      <c r="L732" s="5" t="s">
        <v>106</v>
      </c>
      <c r="M732" s="11">
        <v>0.0625</v>
      </c>
      <c r="N732" s="5" t="e">
        <f>IF(AND(M732&gt;#REF!,Cartera!O732="Guaraníes"),"Rendimiento significativo",IF(AND(M732&gt;#REF!,Cartera!O732="Dólares americanos"),"Rendimiento significativo","Rendimiento no significativo"))</f>
        <v>#REF!</v>
      </c>
      <c r="O732" s="5" t="s">
        <v>51</v>
      </c>
      <c r="P732" s="13">
        <v>623.28767999999991</v>
      </c>
      <c r="Q732" s="12" t="e">
        <f>IF(O732="Guaraníes",P732,P732*#REF!)</f>
        <v>#REF!</v>
      </c>
      <c r="R732" s="12">
        <f>IF(O732="Guaraníes",P732/#REF!,P732)</f>
        <v>623.28767999999991</v>
      </c>
      <c r="S732" s="5" t="s">
        <v>52</v>
      </c>
      <c r="T732" s="5">
        <v>25</v>
      </c>
      <c r="W732" s="5" t="s">
        <v>218</v>
      </c>
      <c r="X732" s="5">
        <v>0</v>
      </c>
      <c r="Y732" s="5">
        <v>0</v>
      </c>
      <c r="Z732" s="5">
        <v>15.582191999999999</v>
      </c>
      <c r="AA732" s="5">
        <v>40</v>
      </c>
      <c r="AB732" s="5">
        <v>623.28768000000002</v>
      </c>
      <c r="AC732" s="5" t="str">
        <f t="shared" si="37"/>
        <v>Bonos</v>
      </c>
      <c r="AD732" s="5" t="s">
        <v>43</v>
      </c>
      <c r="AE732" s="5">
        <f t="shared" si="35"/>
        <v>12</v>
      </c>
      <c r="AF732" s="5">
        <f t="shared" si="36"/>
        <v>2021</v>
      </c>
    </row>
    <row r="733" s="5" customFormat="1" ht="13">
      <c r="A733" s="5" t="s">
        <v>44</v>
      </c>
      <c r="B733" s="5" t="s">
        <v>44</v>
      </c>
      <c r="C733" s="5" t="s">
        <v>74</v>
      </c>
      <c r="D733" s="5" t="s">
        <v>21</v>
      </c>
      <c r="E733" s="5" t="s">
        <v>44</v>
      </c>
      <c r="F733" s="5" t="s">
        <v>68</v>
      </c>
      <c r="G733" s="5" t="s">
        <v>75</v>
      </c>
      <c r="H733" s="9" t="s">
        <v>76</v>
      </c>
      <c r="I733" s="10"/>
      <c r="J733" s="10">
        <v>44652</v>
      </c>
      <c r="K733" s="5" t="s">
        <v>77</v>
      </c>
      <c r="L733" s="5" t="s">
        <v>50</v>
      </c>
      <c r="M733" s="11">
        <v>0.055</v>
      </c>
      <c r="N733" s="5" t="e">
        <f>IF(AND(M733&gt;#REF!,Cartera!O733="Guaraníes"),"Rendimiento significativo",IF(AND(M733&gt;#REF!,Cartera!O733="Dólares americanos"),"Rendimiento significativo","Rendimiento no significativo"))</f>
        <v>#REF!</v>
      </c>
      <c r="O733" s="5" t="s">
        <v>51</v>
      </c>
      <c r="P733" s="13">
        <v>397.80822000000001</v>
      </c>
      <c r="Q733" s="12" t="e">
        <f>IF(O733="Guaraníes",P733,P733*#REF!)</f>
        <v>#REF!</v>
      </c>
      <c r="R733" s="12">
        <f>IF(O733="Guaraníes",P733/#REF!,P733)</f>
        <v>397.80822000000001</v>
      </c>
      <c r="S733" s="5" t="s">
        <v>52</v>
      </c>
      <c r="T733" s="5">
        <v>25</v>
      </c>
      <c r="W733" s="5" t="s">
        <v>65</v>
      </c>
      <c r="X733" s="5">
        <v>0</v>
      </c>
      <c r="Y733" s="5">
        <v>0</v>
      </c>
      <c r="Z733" s="5">
        <v>14.164384</v>
      </c>
      <c r="AA733" s="5">
        <v>30</v>
      </c>
      <c r="AB733" s="5">
        <v>424.93000000000001</v>
      </c>
      <c r="AC733" s="5" t="str">
        <f t="shared" si="37"/>
        <v>Bonos</v>
      </c>
      <c r="AD733" s="5" t="s">
        <v>43</v>
      </c>
      <c r="AE733" s="5">
        <f t="shared" si="35"/>
        <v>4</v>
      </c>
      <c r="AF733" s="5">
        <f t="shared" si="36"/>
        <v>2022</v>
      </c>
    </row>
    <row r="734" s="5" customFormat="1" ht="13">
      <c r="A734" s="5" t="s">
        <v>44</v>
      </c>
      <c r="B734" s="5" t="s">
        <v>44</v>
      </c>
      <c r="C734" s="5" t="s">
        <v>156</v>
      </c>
      <c r="D734" s="5" t="s">
        <v>21</v>
      </c>
      <c r="E734" s="5" t="s">
        <v>44</v>
      </c>
      <c r="F734" s="5" t="s">
        <v>68</v>
      </c>
      <c r="G734" s="5" t="s">
        <v>75</v>
      </c>
      <c r="H734" s="9" t="s">
        <v>157</v>
      </c>
      <c r="I734" s="10"/>
      <c r="J734" s="10">
        <v>44572</v>
      </c>
      <c r="K734" s="5" t="s">
        <v>158</v>
      </c>
      <c r="L734" s="5" t="s">
        <v>58</v>
      </c>
      <c r="M734" s="11">
        <v>0.16</v>
      </c>
      <c r="N734" s="5" t="e">
        <f>IF(AND(M734&gt;#REF!,Cartera!O734="Guaraníes"),"Rendimiento significativo",IF(AND(M734&gt;#REF!,Cartera!O734="Dólares americanos"),"Rendimiento significativo","Rendimiento no significativo"))</f>
        <v>#REF!</v>
      </c>
      <c r="O734" s="5" t="s">
        <v>41</v>
      </c>
      <c r="P734" s="12">
        <v>4188493.15068</v>
      </c>
      <c r="Q734" s="12">
        <f>IF(O734="Guaraníes",P734,P734*#REF!)</f>
        <v>4188493.15068</v>
      </c>
      <c r="R734" s="12" t="e">
        <f>IF(O734="Guaraníes",P734/#REF!,P734)</f>
        <v>#REF!</v>
      </c>
      <c r="S734" s="5" t="s">
        <v>52</v>
      </c>
      <c r="T734" s="5">
        <v>25</v>
      </c>
      <c r="W734" s="5" t="e">
        <v>#REF!</v>
      </c>
      <c r="X734" s="5">
        <v>0</v>
      </c>
      <c r="Y734" s="5">
        <v>0</v>
      </c>
      <c r="Z734" s="5">
        <v>34904.109589</v>
      </c>
      <c r="AA734" s="5">
        <v>120</v>
      </c>
      <c r="AB734" s="5">
        <v>4188493.15068</v>
      </c>
      <c r="AC734" s="5" t="str">
        <f t="shared" si="37"/>
        <v>Bonos</v>
      </c>
      <c r="AD734" s="5" t="s">
        <v>43</v>
      </c>
      <c r="AE734" s="5">
        <f t="shared" si="35"/>
        <v>1</v>
      </c>
      <c r="AF734" s="5">
        <f t="shared" si="36"/>
        <v>2022</v>
      </c>
    </row>
    <row r="735" s="5" customFormat="1" ht="13">
      <c r="A735" s="5" t="s">
        <v>44</v>
      </c>
      <c r="B735" s="5" t="s">
        <v>44</v>
      </c>
      <c r="C735" s="5" t="s">
        <v>197</v>
      </c>
      <c r="D735" s="5" t="s">
        <v>21</v>
      </c>
      <c r="E735" s="5" t="s">
        <v>44</v>
      </c>
      <c r="F735" s="5" t="s">
        <v>68</v>
      </c>
      <c r="G735" s="5" t="s">
        <v>75</v>
      </c>
      <c r="H735" s="9" t="s">
        <v>198</v>
      </c>
      <c r="I735" s="10"/>
      <c r="J735" s="10">
        <v>44574</v>
      </c>
      <c r="K735" s="5" t="s">
        <v>199</v>
      </c>
      <c r="L735" s="5" t="s">
        <v>58</v>
      </c>
      <c r="M735" s="11">
        <v>0.10000000000000001</v>
      </c>
      <c r="N735" s="5" t="e">
        <f>IF(AND(M735&gt;#REF!,Cartera!O735="Guaraníes"),"Rendimiento significativo",IF(AND(M735&gt;#REF!,Cartera!O735="Dólares americanos"),"Rendimiento significativo","Rendimiento no significativo"))</f>
        <v>#REF!</v>
      </c>
      <c r="O735" s="5" t="s">
        <v>41</v>
      </c>
      <c r="P735" s="12">
        <v>1421095.8903930001</v>
      </c>
      <c r="Q735" s="12">
        <f>IF(O735="Guaraníes",P735,P735*#REF!)</f>
        <v>1421095.8903930001</v>
      </c>
      <c r="R735" s="12" t="e">
        <f>IF(O735="Guaraníes",P735/#REF!,P735)</f>
        <v>#REF!</v>
      </c>
      <c r="S735" s="5" t="s">
        <v>52</v>
      </c>
      <c r="T735" s="5">
        <v>25</v>
      </c>
      <c r="W735" s="5" t="e">
        <v>#REF!</v>
      </c>
      <c r="X735" s="5">
        <v>0</v>
      </c>
      <c r="Y735" s="5">
        <v>0</v>
      </c>
      <c r="Z735" s="5">
        <v>24931.506849000001</v>
      </c>
      <c r="AA735" s="5">
        <v>57</v>
      </c>
      <c r="AB735" s="5">
        <v>1421095.8903930001</v>
      </c>
      <c r="AC735" s="5" t="str">
        <f t="shared" si="37"/>
        <v>Bonos</v>
      </c>
      <c r="AD735" s="5" t="s">
        <v>43</v>
      </c>
      <c r="AE735" s="5">
        <f t="shared" ref="AE735:AE798" si="38">IFERROR((MONTH(J735)),0)</f>
        <v>1</v>
      </c>
      <c r="AF735" s="5">
        <f t="shared" ref="AF735:AF798" si="39">IFERROR((YEAR(J735)),0)</f>
        <v>2022</v>
      </c>
    </row>
    <row r="736" s="5" customFormat="1" ht="13">
      <c r="A736" s="5" t="s">
        <v>44</v>
      </c>
      <c r="B736" s="5" t="s">
        <v>44</v>
      </c>
      <c r="C736" s="5" t="s">
        <v>114</v>
      </c>
      <c r="D736" s="5" t="s">
        <v>21</v>
      </c>
      <c r="E736" s="5" t="s">
        <v>44</v>
      </c>
      <c r="F736" s="5" t="s">
        <v>68</v>
      </c>
      <c r="G736" s="5" t="s">
        <v>75</v>
      </c>
      <c r="H736" s="9" t="s">
        <v>234</v>
      </c>
      <c r="I736" s="10"/>
      <c r="J736" s="10">
        <v>44580</v>
      </c>
      <c r="K736" s="5" t="s">
        <v>77</v>
      </c>
      <c r="L736" s="5" t="s">
        <v>50</v>
      </c>
      <c r="M736" s="11">
        <v>0.12</v>
      </c>
      <c r="N736" s="5" t="e">
        <f>IF(AND(M736&gt;#REF!,Cartera!O736="Guaraníes"),"Rendimiento significativo",IF(AND(M736&gt;#REF!,Cartera!O736="Dólares americanos"),"Rendimiento significativo","Rendimiento no significativo"))</f>
        <v>#REF!</v>
      </c>
      <c r="O736" s="5" t="s">
        <v>51</v>
      </c>
      <c r="P736" s="13">
        <v>486.16437000000002</v>
      </c>
      <c r="Q736" s="12" t="e">
        <f>IF(O736="Guaraníes",P736,P736*#REF!)</f>
        <v>#REF!</v>
      </c>
      <c r="R736" s="12">
        <f>IF(O736="Guaraníes",P736/#REF!,P736)</f>
        <v>486.16437000000002</v>
      </c>
      <c r="S736" s="5" t="s">
        <v>52</v>
      </c>
      <c r="T736" s="5">
        <v>25</v>
      </c>
      <c r="W736" s="5" t="s">
        <v>65</v>
      </c>
      <c r="X736" s="5">
        <v>0</v>
      </c>
      <c r="Y736" s="5">
        <v>0</v>
      </c>
      <c r="Z736" s="5">
        <v>16.205479</v>
      </c>
      <c r="AA736" s="5">
        <v>30</v>
      </c>
      <c r="AB736" s="5">
        <v>486.16437000000002</v>
      </c>
      <c r="AC736" s="5" t="str">
        <f t="shared" si="37"/>
        <v>Bonos</v>
      </c>
      <c r="AD736" s="5" t="s">
        <v>43</v>
      </c>
      <c r="AE736" s="5">
        <f t="shared" si="38"/>
        <v>1</v>
      </c>
      <c r="AF736" s="5">
        <f t="shared" si="39"/>
        <v>2022</v>
      </c>
    </row>
    <row r="737" s="5" customFormat="1" ht="13">
      <c r="A737" s="5" t="s">
        <v>44</v>
      </c>
      <c r="B737" s="5" t="s">
        <v>44</v>
      </c>
      <c r="C737" s="5" t="s">
        <v>156</v>
      </c>
      <c r="D737" s="5" t="s">
        <v>21</v>
      </c>
      <c r="E737" s="5" t="s">
        <v>44</v>
      </c>
      <c r="F737" s="5" t="s">
        <v>68</v>
      </c>
      <c r="G737" s="5" t="s">
        <v>75</v>
      </c>
      <c r="H737" s="9" t="s">
        <v>246</v>
      </c>
      <c r="I737" s="10"/>
      <c r="J737" s="10">
        <v>44588</v>
      </c>
      <c r="K737" s="5" t="s">
        <v>158</v>
      </c>
      <c r="L737" s="5" t="s">
        <v>58</v>
      </c>
      <c r="M737" s="11">
        <v>0.125</v>
      </c>
      <c r="N737" s="5" t="e">
        <f>IF(AND(M737&gt;#REF!,Cartera!O737="Guaraníes"),"Rendimiento significativo",IF(AND(M737&gt;#REF!,Cartera!O737="Dólares americanos"),"Rendimiento significativo","Rendimiento no significativo"))</f>
        <v>#REF!</v>
      </c>
      <c r="O737" s="5" t="s">
        <v>41</v>
      </c>
      <c r="P737" s="12">
        <v>1495890.4109499999</v>
      </c>
      <c r="Q737" s="12">
        <f>IF(O737="Guaraníes",P737,P737*#REF!)</f>
        <v>1495890.4109499999</v>
      </c>
      <c r="R737" s="12" t="e">
        <f>IF(O737="Guaraníes",P737/#REF!,P737)</f>
        <v>#REF!</v>
      </c>
      <c r="S737" s="5" t="s">
        <v>52</v>
      </c>
      <c r="T737" s="5">
        <v>25</v>
      </c>
      <c r="W737" s="5" t="s">
        <v>247</v>
      </c>
      <c r="X737" s="5">
        <v>0</v>
      </c>
      <c r="Y737" s="5">
        <v>0</v>
      </c>
      <c r="Z737" s="5">
        <v>29917.808218999999</v>
      </c>
      <c r="AA737" s="5">
        <v>50</v>
      </c>
      <c r="AB737" s="5">
        <v>1495890.4109499999</v>
      </c>
      <c r="AC737" s="5" t="str">
        <f t="shared" si="37"/>
        <v>Bonos</v>
      </c>
      <c r="AD737" s="5" t="s">
        <v>43</v>
      </c>
      <c r="AE737" s="5">
        <f t="shared" si="38"/>
        <v>1</v>
      </c>
      <c r="AF737" s="5">
        <f t="shared" si="39"/>
        <v>2022</v>
      </c>
    </row>
    <row r="738" s="5" customFormat="1" ht="13">
      <c r="A738" s="5" t="s">
        <v>44</v>
      </c>
      <c r="B738" s="5" t="s">
        <v>44</v>
      </c>
      <c r="C738" s="5" t="s">
        <v>114</v>
      </c>
      <c r="D738" s="5" t="s">
        <v>21</v>
      </c>
      <c r="E738" s="5" t="s">
        <v>44</v>
      </c>
      <c r="F738" s="5" t="s">
        <v>68</v>
      </c>
      <c r="G738" s="5" t="s">
        <v>75</v>
      </c>
      <c r="H738" s="9" t="s">
        <v>235</v>
      </c>
      <c r="I738" s="10"/>
      <c r="J738" s="10">
        <v>44588</v>
      </c>
      <c r="K738" s="5" t="s">
        <v>77</v>
      </c>
      <c r="L738" s="5" t="s">
        <v>50</v>
      </c>
      <c r="M738" s="11">
        <v>0.14249999999999999</v>
      </c>
      <c r="N738" s="5" t="e">
        <f>IF(AND(M738&gt;#REF!,Cartera!O738="Guaraníes"),"Rendimiento significativo",IF(AND(M738&gt;#REF!,Cartera!O738="Dólares americanos"),"Rendimiento significativo","Rendimiento no significativo"))</f>
        <v>#REF!</v>
      </c>
      <c r="O738" s="5" t="s">
        <v>41</v>
      </c>
      <c r="P738" s="12">
        <v>183869.86301500001</v>
      </c>
      <c r="Q738" s="12">
        <f>IF(O738="Guaraníes",P738,P738*#REF!)</f>
        <v>183869.86301500001</v>
      </c>
      <c r="R738" s="12" t="e">
        <f>IF(O738="Guaraníes",P738/#REF!,P738)</f>
        <v>#REF!</v>
      </c>
      <c r="S738" s="5" t="s">
        <v>52</v>
      </c>
      <c r="T738" s="5">
        <v>25</v>
      </c>
      <c r="W738" s="5" t="s">
        <v>65</v>
      </c>
      <c r="X738" s="5">
        <v>0</v>
      </c>
      <c r="Y738" s="5">
        <v>0</v>
      </c>
      <c r="Z738" s="5">
        <v>36773.972603000002</v>
      </c>
      <c r="AA738" s="5">
        <v>5</v>
      </c>
      <c r="AB738" s="5">
        <v>183869.86301500001</v>
      </c>
      <c r="AC738" s="5" t="str">
        <f t="shared" si="37"/>
        <v>Bonos</v>
      </c>
      <c r="AD738" s="5" t="s">
        <v>43</v>
      </c>
      <c r="AE738" s="5">
        <f t="shared" si="38"/>
        <v>1</v>
      </c>
      <c r="AF738" s="5">
        <f t="shared" si="39"/>
        <v>2022</v>
      </c>
    </row>
    <row r="739" s="5" customFormat="1" ht="13">
      <c r="A739" s="5" t="s">
        <v>44</v>
      </c>
      <c r="B739" s="5" t="s">
        <v>44</v>
      </c>
      <c r="C739" s="5" t="s">
        <v>114</v>
      </c>
      <c r="D739" s="5" t="s">
        <v>21</v>
      </c>
      <c r="E739" s="5" t="s">
        <v>44</v>
      </c>
      <c r="F739" s="5" t="s">
        <v>68</v>
      </c>
      <c r="G739" s="5" t="s">
        <v>75</v>
      </c>
      <c r="H739" s="9" t="s">
        <v>115</v>
      </c>
      <c r="I739" s="10"/>
      <c r="J739" s="10">
        <v>44588</v>
      </c>
      <c r="K739" s="5" t="s">
        <v>77</v>
      </c>
      <c r="L739" s="5" t="s">
        <v>50</v>
      </c>
      <c r="M739" s="11">
        <v>0.125</v>
      </c>
      <c r="N739" s="5" t="e">
        <f>IF(AND(M739&gt;#REF!,Cartera!O739="Guaraníes"),"Rendimiento significativo",IF(AND(M739&gt;#REF!,Cartera!O739="Dólares americanos"),"Rendimiento significativo","Rendimiento no significativo"))</f>
        <v>#REF!</v>
      </c>
      <c r="O739" s="5" t="s">
        <v>41</v>
      </c>
      <c r="P739" s="12">
        <v>897534.24656999996</v>
      </c>
      <c r="Q739" s="12">
        <f>IF(O739="Guaraníes",P739,P739*#REF!)</f>
        <v>897534.24656999996</v>
      </c>
      <c r="R739" s="12" t="e">
        <f>IF(O739="Guaraníes",P739/#REF!,P739)</f>
        <v>#REF!</v>
      </c>
      <c r="S739" s="5" t="s">
        <v>52</v>
      </c>
      <c r="T739" s="5">
        <v>25</v>
      </c>
      <c r="W739" s="5" t="s">
        <v>65</v>
      </c>
      <c r="X739" s="5">
        <v>0</v>
      </c>
      <c r="Y739" s="5">
        <v>0</v>
      </c>
      <c r="Z739" s="5">
        <v>29917.808218999999</v>
      </c>
      <c r="AA739" s="5">
        <v>30</v>
      </c>
      <c r="AB739" s="5">
        <v>897534.24656999996</v>
      </c>
      <c r="AC739" s="5" t="str">
        <f t="shared" si="37"/>
        <v>Bonos</v>
      </c>
      <c r="AD739" s="5" t="s">
        <v>43</v>
      </c>
      <c r="AE739" s="5">
        <f t="shared" si="38"/>
        <v>1</v>
      </c>
      <c r="AF739" s="5">
        <f t="shared" si="39"/>
        <v>2022</v>
      </c>
    </row>
    <row r="740" s="5" customFormat="1" ht="13">
      <c r="A740" s="5" t="s">
        <v>44</v>
      </c>
      <c r="B740" s="5" t="s">
        <v>44</v>
      </c>
      <c r="C740" s="5" t="s">
        <v>33</v>
      </c>
      <c r="D740" s="5" t="s">
        <v>21</v>
      </c>
      <c r="E740" s="5" t="s">
        <v>44</v>
      </c>
      <c r="F740" s="5" t="s">
        <v>35</v>
      </c>
      <c r="G740" s="5" t="s">
        <v>75</v>
      </c>
      <c r="H740" s="9" t="s">
        <v>168</v>
      </c>
      <c r="I740" s="10"/>
      <c r="J740" s="10">
        <v>44600</v>
      </c>
      <c r="K740" s="5" t="s">
        <v>39</v>
      </c>
      <c r="L740" s="5" t="s">
        <v>50</v>
      </c>
      <c r="M740" s="11">
        <v>0.070000000000000007</v>
      </c>
      <c r="N740" s="5" t="e">
        <f>IF(AND(M740&gt;#REF!,Cartera!O740="Guaraníes"),"Rendimiento significativo",IF(AND(M740&gt;#REF!,Cartera!O740="Dólares americanos"),"Rendimiento significativo","Rendimiento no significativo"))</f>
        <v>#REF!</v>
      </c>
      <c r="O740" s="5" t="s">
        <v>51</v>
      </c>
      <c r="P740" s="13">
        <v>1221.6438500000002</v>
      </c>
      <c r="Q740" s="12" t="e">
        <f>IF(O740="Guaraníes",P740,P740*#REF!)</f>
        <v>#REF!</v>
      </c>
      <c r="R740" s="12">
        <f>IF(O740="Guaraníes",P740/#REF!,P740)</f>
        <v>1221.6438500000002</v>
      </c>
      <c r="S740" s="5" t="s">
        <v>52</v>
      </c>
      <c r="T740" s="5">
        <v>25</v>
      </c>
      <c r="W740" s="5" t="s">
        <v>65</v>
      </c>
      <c r="X740" s="5">
        <v>0</v>
      </c>
      <c r="Y740" s="5">
        <v>0</v>
      </c>
      <c r="Z740" s="5">
        <v>17.452055000000001</v>
      </c>
      <c r="AA740" s="5">
        <v>70</v>
      </c>
      <c r="AB740" s="5">
        <v>1221.6438499999999</v>
      </c>
      <c r="AC740" s="5" t="str">
        <f t="shared" si="37"/>
        <v>Bonos</v>
      </c>
      <c r="AD740" s="5" t="s">
        <v>43</v>
      </c>
      <c r="AE740" s="5">
        <f t="shared" si="38"/>
        <v>2</v>
      </c>
      <c r="AF740" s="5">
        <f t="shared" si="39"/>
        <v>2022</v>
      </c>
    </row>
    <row r="741" s="5" customFormat="1" ht="13">
      <c r="A741" s="5" t="s">
        <v>44</v>
      </c>
      <c r="B741" s="5" t="s">
        <v>44</v>
      </c>
      <c r="C741" s="5" t="s">
        <v>114</v>
      </c>
      <c r="D741" s="5" t="s">
        <v>21</v>
      </c>
      <c r="E741" s="5" t="s">
        <v>44</v>
      </c>
      <c r="F741" s="5" t="s">
        <v>68</v>
      </c>
      <c r="G741" s="5" t="s">
        <v>75</v>
      </c>
      <c r="H741" s="9" t="s">
        <v>170</v>
      </c>
      <c r="I741" s="10"/>
      <c r="J741" s="10">
        <v>44607</v>
      </c>
      <c r="K741" s="5" t="s">
        <v>77</v>
      </c>
      <c r="L741" s="5" t="s">
        <v>50</v>
      </c>
      <c r="M741" s="11">
        <v>0.14000000000000001</v>
      </c>
      <c r="N741" s="5" t="e">
        <f>IF(AND(M741&gt;#REF!,Cartera!O741="Guaraníes"),"Rendimiento significativo",IF(AND(M741&gt;#REF!,Cartera!O741="Dólares americanos"),"Rendimiento significativo","Rendimiento no significativo"))</f>
        <v>#REF!</v>
      </c>
      <c r="O741" s="5" t="s">
        <v>41</v>
      </c>
      <c r="P741" s="12">
        <v>3490410.9589</v>
      </c>
      <c r="Q741" s="12">
        <f>IF(O741="Guaraníes",P741,P741*#REF!)</f>
        <v>3490410.9589</v>
      </c>
      <c r="R741" s="12" t="e">
        <f>IF(O741="Guaraníes",P741/#REF!,P741)</f>
        <v>#REF!</v>
      </c>
      <c r="S741" s="5" t="s">
        <v>52</v>
      </c>
      <c r="T741" s="5">
        <v>25</v>
      </c>
      <c r="W741" s="5" t="s">
        <v>65</v>
      </c>
      <c r="X741" s="5">
        <v>0</v>
      </c>
      <c r="Y741" s="5">
        <v>0</v>
      </c>
      <c r="Z741" s="5">
        <v>34904.109589</v>
      </c>
      <c r="AA741" s="5">
        <v>100</v>
      </c>
      <c r="AB741" s="5">
        <v>3490410.9589</v>
      </c>
      <c r="AC741" s="5" t="str">
        <f t="shared" si="37"/>
        <v>Bonos</v>
      </c>
      <c r="AD741" s="5" t="s">
        <v>43</v>
      </c>
      <c r="AE741" s="5">
        <f t="shared" si="38"/>
        <v>2</v>
      </c>
      <c r="AF741" s="5">
        <f t="shared" si="39"/>
        <v>2022</v>
      </c>
    </row>
    <row r="742" s="5" customFormat="1" ht="13">
      <c r="A742" s="5" t="s">
        <v>44</v>
      </c>
      <c r="B742" s="5" t="s">
        <v>44</v>
      </c>
      <c r="C742" s="5" t="s">
        <v>99</v>
      </c>
      <c r="D742" s="5" t="s">
        <v>21</v>
      </c>
      <c r="E742" s="5" t="s">
        <v>44</v>
      </c>
      <c r="F742" s="5" t="s">
        <v>100</v>
      </c>
      <c r="G742" s="5" t="s">
        <v>75</v>
      </c>
      <c r="H742" s="9" t="s">
        <v>159</v>
      </c>
      <c r="I742" s="10"/>
      <c r="J742" s="10">
        <v>44623</v>
      </c>
      <c r="K742" s="5" t="s">
        <v>102</v>
      </c>
      <c r="L742" s="5" t="s">
        <v>102</v>
      </c>
      <c r="M742" s="11">
        <v>0.078</v>
      </c>
      <c r="N742" s="5" t="e">
        <f>IF(AND(M742&gt;#REF!,Cartera!O742="Guaraníes"),"Rendimiento significativo",IF(AND(M742&gt;#REF!,Cartera!O742="Dólares americanos"),"Rendimiento significativo","Rendimiento no significativo"))</f>
        <v>#REF!</v>
      </c>
      <c r="O742" s="5" t="s">
        <v>41</v>
      </c>
      <c r="P742" s="12">
        <v>31200000</v>
      </c>
      <c r="Q742" s="12">
        <f>IF(O742="Guaraníes",P742,P742*#REF!)</f>
        <v>31200000</v>
      </c>
      <c r="R742" s="12" t="e">
        <f>IF(O742="Guaraníes",P742/#REF!,P742)</f>
        <v>#REF!</v>
      </c>
      <c r="S742" s="5" t="s">
        <v>52</v>
      </c>
      <c r="T742" s="5">
        <v>25</v>
      </c>
      <c r="W742" s="5" t="s">
        <v>65</v>
      </c>
      <c r="X742" s="5">
        <v>0</v>
      </c>
      <c r="Y742" s="5">
        <v>0</v>
      </c>
      <c r="Z742" s="5">
        <v>39000</v>
      </c>
      <c r="AA742" s="5">
        <v>800</v>
      </c>
      <c r="AB742" s="5">
        <v>31200000</v>
      </c>
      <c r="AC742" s="5" t="str">
        <f t="shared" si="37"/>
        <v>Bonos</v>
      </c>
      <c r="AD742" s="5" t="s">
        <v>43</v>
      </c>
      <c r="AE742" s="5">
        <f t="shared" si="38"/>
        <v>3</v>
      </c>
      <c r="AF742" s="5">
        <f t="shared" si="39"/>
        <v>2022</v>
      </c>
    </row>
    <row r="743" s="5" customFormat="1" ht="13">
      <c r="A743" s="5" t="s">
        <v>44</v>
      </c>
      <c r="B743" s="5" t="s">
        <v>44</v>
      </c>
      <c r="C743" s="5" t="s">
        <v>33</v>
      </c>
      <c r="D743" s="5" t="s">
        <v>21</v>
      </c>
      <c r="E743" s="5" t="s">
        <v>44</v>
      </c>
      <c r="F743" s="5" t="s">
        <v>35</v>
      </c>
      <c r="G743" s="5" t="s">
        <v>75</v>
      </c>
      <c r="H743" s="9" t="s">
        <v>186</v>
      </c>
      <c r="I743" s="10"/>
      <c r="J743" s="10">
        <v>44636</v>
      </c>
      <c r="K743" s="5" t="s">
        <v>39</v>
      </c>
      <c r="L743" s="5" t="s">
        <v>50</v>
      </c>
      <c r="M743" s="11">
        <v>0.044999999999999998</v>
      </c>
      <c r="N743" s="5" t="e">
        <f>IF(AND(M743&gt;#REF!,Cartera!O743="Guaraníes"),"Rendimiento significativo",IF(AND(M743&gt;#REF!,Cartera!O743="Dólares americanos"),"Rendimiento significativo","Rendimiento no significativo"))</f>
        <v>#REF!</v>
      </c>
      <c r="O743" s="5" t="s">
        <v>51</v>
      </c>
      <c r="P743" s="13">
        <v>336.57533999999998</v>
      </c>
      <c r="Q743" s="12" t="e">
        <f>IF(O743="Guaraníes",P743,P743*#REF!)</f>
        <v>#REF!</v>
      </c>
      <c r="R743" s="12">
        <f>IF(O743="Guaraníes",P743/#REF!,P743)</f>
        <v>336.57533999999998</v>
      </c>
      <c r="S743" s="5" t="s">
        <v>52</v>
      </c>
      <c r="T743" s="5">
        <v>25</v>
      </c>
      <c r="W743" s="5" t="s">
        <v>65</v>
      </c>
      <c r="X743" s="5">
        <v>0</v>
      </c>
      <c r="Y743" s="5">
        <v>0</v>
      </c>
      <c r="Z743" s="5">
        <v>11.219177999999999</v>
      </c>
      <c r="AA743" s="5">
        <v>30</v>
      </c>
      <c r="AB743" s="5">
        <v>336.57533999999998</v>
      </c>
      <c r="AC743" s="5" t="str">
        <f t="shared" si="37"/>
        <v>Bonos</v>
      </c>
      <c r="AD743" s="5" t="s">
        <v>43</v>
      </c>
      <c r="AE743" s="5">
        <f t="shared" si="38"/>
        <v>3</v>
      </c>
      <c r="AF743" s="5">
        <f t="shared" si="39"/>
        <v>2022</v>
      </c>
    </row>
    <row r="744" s="5" customFormat="1" ht="13">
      <c r="A744" s="5" t="s">
        <v>44</v>
      </c>
      <c r="B744" s="5" t="s">
        <v>44</v>
      </c>
      <c r="C744" s="5" t="s">
        <v>114</v>
      </c>
      <c r="D744" s="5" t="s">
        <v>21</v>
      </c>
      <c r="E744" s="5" t="s">
        <v>44</v>
      </c>
      <c r="F744" s="5" t="s">
        <v>68</v>
      </c>
      <c r="G744" s="5" t="s">
        <v>75</v>
      </c>
      <c r="H744" s="9" t="s">
        <v>236</v>
      </c>
      <c r="I744" s="10"/>
      <c r="J744" s="10">
        <v>44637</v>
      </c>
      <c r="K744" s="5" t="s">
        <v>77</v>
      </c>
      <c r="L744" s="5" t="s">
        <v>50</v>
      </c>
      <c r="M744" s="11">
        <v>0.14749999999999999</v>
      </c>
      <c r="N744" s="5" t="e">
        <f>IF(AND(M744&gt;#REF!,Cartera!O744="Guaraníes"),"Rendimiento significativo",IF(AND(M744&gt;#REF!,Cartera!O744="Dólares americanos"),"Rendimiento significativo","Rendimiento no significativo"))</f>
        <v>#REF!</v>
      </c>
      <c r="O744" s="5" t="s">
        <v>41</v>
      </c>
      <c r="P744" s="12">
        <v>112191.780822</v>
      </c>
      <c r="Q744" s="12">
        <f>IF(O744="Guaraníes",P744,P744*#REF!)</f>
        <v>112191.780822</v>
      </c>
      <c r="R744" s="12" t="e">
        <f>IF(O744="Guaraníes",P744/#REF!,P744)</f>
        <v>#REF!</v>
      </c>
      <c r="S744" s="5" t="s">
        <v>52</v>
      </c>
      <c r="T744" s="5">
        <v>25</v>
      </c>
      <c r="W744" s="5" t="s">
        <v>65</v>
      </c>
      <c r="X744" s="5">
        <v>0</v>
      </c>
      <c r="Y744" s="5">
        <v>0</v>
      </c>
      <c r="Z744" s="5">
        <v>37397.260274</v>
      </c>
      <c r="AA744" s="5">
        <v>3</v>
      </c>
      <c r="AB744" s="5">
        <v>112191.780822</v>
      </c>
      <c r="AC744" s="5" t="str">
        <f t="shared" si="37"/>
        <v>Bonos</v>
      </c>
      <c r="AD744" s="5" t="s">
        <v>43</v>
      </c>
      <c r="AE744" s="5">
        <f t="shared" si="38"/>
        <v>3</v>
      </c>
      <c r="AF744" s="5">
        <f t="shared" si="39"/>
        <v>2022</v>
      </c>
    </row>
    <row r="745" s="5" customFormat="1" ht="13">
      <c r="A745" s="5" t="s">
        <v>44</v>
      </c>
      <c r="B745" s="5" t="s">
        <v>44</v>
      </c>
      <c r="C745" s="5" t="s">
        <v>54</v>
      </c>
      <c r="D745" s="5" t="s">
        <v>21</v>
      </c>
      <c r="E745" s="5" t="s">
        <v>44</v>
      </c>
      <c r="F745" s="5" t="s">
        <v>46</v>
      </c>
      <c r="G745" s="5" t="s">
        <v>75</v>
      </c>
      <c r="H745" s="9" t="s">
        <v>147</v>
      </c>
      <c r="I745" s="10"/>
      <c r="J745" s="10">
        <v>44648</v>
      </c>
      <c r="K745" s="5" t="s">
        <v>57</v>
      </c>
      <c r="L745" s="5" t="s">
        <v>58</v>
      </c>
      <c r="M745" s="11">
        <v>0.12</v>
      </c>
      <c r="N745" s="5" t="e">
        <f>IF(AND(M745&gt;#REF!,Cartera!O745="Guaraníes"),"Rendimiento significativo",IF(AND(M745&gt;#REF!,Cartera!O745="Dólares americanos"),"Rendimiento significativo","Rendimiento no significativo"))</f>
        <v>#REF!</v>
      </c>
      <c r="O745" s="5" t="s">
        <v>41</v>
      </c>
      <c r="P745" s="12">
        <v>4487671.2328500003</v>
      </c>
      <c r="Q745" s="12">
        <f>IF(O745="Guaraníes",P745,P745*#REF!)</f>
        <v>4487671.2328500003</v>
      </c>
      <c r="R745" s="12" t="e">
        <f>IF(O745="Guaraníes",P745/#REF!,P745)</f>
        <v>#REF!</v>
      </c>
      <c r="S745" s="5" t="s">
        <v>52</v>
      </c>
      <c r="T745" s="5">
        <v>25</v>
      </c>
      <c r="W745" s="5" t="s">
        <v>192</v>
      </c>
      <c r="X745" s="5">
        <v>0</v>
      </c>
      <c r="Y745" s="5">
        <v>0</v>
      </c>
      <c r="Z745" s="5">
        <v>29917.808218999999</v>
      </c>
      <c r="AA745" s="5">
        <v>150</v>
      </c>
      <c r="AB745" s="5">
        <v>4487671.2328500003</v>
      </c>
      <c r="AC745" s="5" t="str">
        <f t="shared" si="37"/>
        <v>Bonos</v>
      </c>
      <c r="AD745" s="5" t="s">
        <v>43</v>
      </c>
      <c r="AE745" s="5">
        <f t="shared" si="38"/>
        <v>3</v>
      </c>
      <c r="AF745" s="5">
        <f t="shared" si="39"/>
        <v>2022</v>
      </c>
    </row>
    <row r="746" s="5" customFormat="1" ht="13">
      <c r="A746" s="5" t="s">
        <v>44</v>
      </c>
      <c r="B746" s="5" t="s">
        <v>44</v>
      </c>
      <c r="C746" s="5" t="s">
        <v>114</v>
      </c>
      <c r="D746" s="5" t="s">
        <v>21</v>
      </c>
      <c r="E746" s="5" t="s">
        <v>44</v>
      </c>
      <c r="F746" s="5" t="s">
        <v>68</v>
      </c>
      <c r="G746" s="5" t="s">
        <v>75</v>
      </c>
      <c r="H746" s="9" t="s">
        <v>237</v>
      </c>
      <c r="I746" s="10"/>
      <c r="J746" s="10">
        <v>44649</v>
      </c>
      <c r="K746" s="5" t="s">
        <v>77</v>
      </c>
      <c r="L746" s="5" t="s">
        <v>50</v>
      </c>
      <c r="M746" s="11">
        <v>0.13750000000000001</v>
      </c>
      <c r="N746" s="5" t="e">
        <f>IF(AND(M746&gt;#REF!,Cartera!O746="Guaraníes"),"Rendimiento significativo",IF(AND(M746&gt;#REF!,Cartera!O746="Dólares americanos"),"Rendimiento significativo","Rendimiento no significativo"))</f>
        <v>#REF!</v>
      </c>
      <c r="O746" s="5" t="s">
        <v>41</v>
      </c>
      <c r="P746" s="12">
        <v>685616.43836000003</v>
      </c>
      <c r="Q746" s="12">
        <f>IF(O746="Guaraníes",P746,P746*#REF!)</f>
        <v>685616.43836000003</v>
      </c>
      <c r="R746" s="12" t="e">
        <f>IF(O746="Guaraníes",P746/#REF!,P746)</f>
        <v>#REF!</v>
      </c>
      <c r="S746" s="5" t="s">
        <v>52</v>
      </c>
      <c r="T746" s="5">
        <v>25</v>
      </c>
      <c r="W746" s="5" t="s">
        <v>65</v>
      </c>
      <c r="X746" s="5">
        <v>0</v>
      </c>
      <c r="Y746" s="5">
        <v>0</v>
      </c>
      <c r="Z746" s="5">
        <v>34280.821918000001</v>
      </c>
      <c r="AA746" s="5">
        <v>20</v>
      </c>
      <c r="AB746" s="5">
        <v>685616.43836000003</v>
      </c>
      <c r="AC746" s="5" t="str">
        <f t="shared" si="37"/>
        <v>Bonos</v>
      </c>
      <c r="AD746" s="5" t="s">
        <v>43</v>
      </c>
      <c r="AE746" s="5">
        <f t="shared" si="38"/>
        <v>3</v>
      </c>
      <c r="AF746" s="5">
        <f t="shared" si="39"/>
        <v>2022</v>
      </c>
    </row>
    <row r="747" s="5" customFormat="1" ht="13">
      <c r="A747" s="5" t="s">
        <v>44</v>
      </c>
      <c r="B747" s="5" t="s">
        <v>44</v>
      </c>
      <c r="C747" s="5" t="s">
        <v>33</v>
      </c>
      <c r="D747" s="5" t="s">
        <v>21</v>
      </c>
      <c r="E747" s="5" t="s">
        <v>44</v>
      </c>
      <c r="F747" s="5" t="s">
        <v>35</v>
      </c>
      <c r="G747" s="5" t="s">
        <v>75</v>
      </c>
      <c r="H747" s="9" t="s">
        <v>257</v>
      </c>
      <c r="I747" s="10"/>
      <c r="J747" s="10">
        <v>44651</v>
      </c>
      <c r="K747" s="5" t="s">
        <v>39</v>
      </c>
      <c r="L747" s="5" t="s">
        <v>106</v>
      </c>
      <c r="M747" s="11">
        <v>0.0625</v>
      </c>
      <c r="N747" s="5" t="e">
        <f>IF(AND(M747&gt;#REF!,Cartera!O747="Guaraníes"),"Rendimiento significativo",IF(AND(M747&gt;#REF!,Cartera!O747="Dólares americanos"),"Rendimiento significativo","Rendimiento no significativo"))</f>
        <v>#REF!</v>
      </c>
      <c r="O747" s="5" t="s">
        <v>51</v>
      </c>
      <c r="P747" s="13">
        <v>623.28767999999991</v>
      </c>
      <c r="Q747" s="12" t="e">
        <f>IF(O747="Guaraníes",P747,P747*#REF!)</f>
        <v>#REF!</v>
      </c>
      <c r="R747" s="12">
        <f>IF(O747="Guaraníes",P747/#REF!,P747)</f>
        <v>623.28767999999991</v>
      </c>
      <c r="S747" s="5" t="s">
        <v>52</v>
      </c>
      <c r="T747" s="5">
        <v>25</v>
      </c>
      <c r="W747" s="5" t="s">
        <v>218</v>
      </c>
      <c r="X747" s="5">
        <v>0</v>
      </c>
      <c r="Y747" s="5">
        <v>0</v>
      </c>
      <c r="Z747" s="5">
        <v>15.582191999999999</v>
      </c>
      <c r="AA747" s="5">
        <v>40</v>
      </c>
      <c r="AB747" s="5">
        <v>623.28768000000002</v>
      </c>
      <c r="AC747" s="5" t="str">
        <f t="shared" si="37"/>
        <v>Bonos</v>
      </c>
      <c r="AD747" s="5" t="s">
        <v>43</v>
      </c>
      <c r="AE747" s="5">
        <f t="shared" si="38"/>
        <v>3</v>
      </c>
      <c r="AF747" s="5">
        <f t="shared" si="39"/>
        <v>2022</v>
      </c>
    </row>
    <row r="748" s="5" customFormat="1" ht="13">
      <c r="A748" s="5" t="s">
        <v>44</v>
      </c>
      <c r="B748" s="5" t="s">
        <v>44</v>
      </c>
      <c r="C748" s="5" t="s">
        <v>74</v>
      </c>
      <c r="D748" s="5" t="s">
        <v>21</v>
      </c>
      <c r="E748" s="5" t="s">
        <v>44</v>
      </c>
      <c r="F748" s="5" t="s">
        <v>68</v>
      </c>
      <c r="G748" s="5" t="s">
        <v>75</v>
      </c>
      <c r="H748" s="9" t="s">
        <v>76</v>
      </c>
      <c r="I748" s="10"/>
      <c r="J748" s="10">
        <v>44743</v>
      </c>
      <c r="K748" s="5" t="s">
        <v>77</v>
      </c>
      <c r="L748" s="5" t="s">
        <v>50</v>
      </c>
      <c r="M748" s="11">
        <v>0.055</v>
      </c>
      <c r="N748" s="5" t="e">
        <f>IF(AND(M748&gt;#REF!,Cartera!O748="Guaraníes"),"Rendimiento significativo",IF(AND(M748&gt;#REF!,Cartera!O748="Dólares americanos"),"Rendimiento significativo","Rendimiento no significativo"))</f>
        <v>#REF!</v>
      </c>
      <c r="O748" s="5" t="s">
        <v>51</v>
      </c>
      <c r="P748" s="13">
        <v>411.36986999999999</v>
      </c>
      <c r="Q748" s="12" t="e">
        <f>IF(O748="Guaraníes",P748,P748*#REF!)</f>
        <v>#REF!</v>
      </c>
      <c r="R748" s="12">
        <f>IF(O748="Guaraníes",P748/#REF!,P748)</f>
        <v>411.36986999999999</v>
      </c>
      <c r="S748" s="5" t="s">
        <v>52</v>
      </c>
      <c r="T748" s="5">
        <v>25</v>
      </c>
      <c r="W748" s="5" t="s">
        <v>65</v>
      </c>
      <c r="X748" s="5">
        <v>0</v>
      </c>
      <c r="Y748" s="5">
        <v>0</v>
      </c>
      <c r="Z748" s="5">
        <v>13.260274000000001</v>
      </c>
      <c r="AA748" s="5">
        <v>30</v>
      </c>
      <c r="AB748" s="5">
        <v>397.81</v>
      </c>
      <c r="AC748" s="5" t="str">
        <f t="shared" si="37"/>
        <v>Bonos</v>
      </c>
      <c r="AD748" s="5" t="s">
        <v>43</v>
      </c>
      <c r="AE748" s="5">
        <f t="shared" si="38"/>
        <v>7</v>
      </c>
      <c r="AF748" s="5">
        <f t="shared" si="39"/>
        <v>2022</v>
      </c>
    </row>
    <row r="749" s="5" customFormat="1" ht="13">
      <c r="A749" s="5" t="s">
        <v>44</v>
      </c>
      <c r="B749" s="5" t="s">
        <v>44</v>
      </c>
      <c r="C749" s="5" t="s">
        <v>156</v>
      </c>
      <c r="D749" s="5" t="s">
        <v>21</v>
      </c>
      <c r="E749" s="5" t="s">
        <v>44</v>
      </c>
      <c r="F749" s="5" t="s">
        <v>68</v>
      </c>
      <c r="G749" s="5" t="s">
        <v>75</v>
      </c>
      <c r="H749" s="9" t="s">
        <v>157</v>
      </c>
      <c r="I749" s="10"/>
      <c r="J749" s="10">
        <v>44663</v>
      </c>
      <c r="K749" s="5" t="s">
        <v>158</v>
      </c>
      <c r="L749" s="5" t="s">
        <v>58</v>
      </c>
      <c r="M749" s="11">
        <v>0.16</v>
      </c>
      <c r="N749" s="5" t="e">
        <f>IF(AND(M749&gt;#REF!,Cartera!O749="Guaraníes"),"Rendimiento significativo",IF(AND(M749&gt;#REF!,Cartera!O749="Dólares americanos"),"Rendimiento significativo","Rendimiento no significativo"))</f>
        <v>#REF!</v>
      </c>
      <c r="O749" s="5" t="s">
        <v>41</v>
      </c>
      <c r="P749" s="12">
        <v>4188493.15068</v>
      </c>
      <c r="Q749" s="12">
        <f>IF(O749="Guaraníes",P749,P749*#REF!)</f>
        <v>4188493.15068</v>
      </c>
      <c r="R749" s="12" t="e">
        <f>IF(O749="Guaraníes",P749/#REF!,P749)</f>
        <v>#REF!</v>
      </c>
      <c r="S749" s="5" t="s">
        <v>52</v>
      </c>
      <c r="T749" s="5">
        <v>25</v>
      </c>
      <c r="W749" s="5" t="s">
        <v>53</v>
      </c>
      <c r="X749" s="5">
        <v>0</v>
      </c>
      <c r="Y749" s="5">
        <v>0</v>
      </c>
      <c r="Z749" s="5">
        <v>34904.109589</v>
      </c>
      <c r="AA749" s="5">
        <v>120</v>
      </c>
      <c r="AB749" s="5">
        <v>4188493.15068</v>
      </c>
      <c r="AC749" s="5" t="str">
        <f t="shared" si="37"/>
        <v>Bonos</v>
      </c>
      <c r="AD749" s="5" t="s">
        <v>43</v>
      </c>
      <c r="AE749" s="5">
        <f t="shared" si="38"/>
        <v>4</v>
      </c>
      <c r="AF749" s="5">
        <f t="shared" si="39"/>
        <v>2022</v>
      </c>
    </row>
    <row r="750" s="5" customFormat="1" ht="13">
      <c r="A750" s="5" t="s">
        <v>44</v>
      </c>
      <c r="B750" s="5" t="s">
        <v>44</v>
      </c>
      <c r="C750" s="5" t="s">
        <v>197</v>
      </c>
      <c r="D750" s="5" t="s">
        <v>21</v>
      </c>
      <c r="E750" s="5" t="s">
        <v>44</v>
      </c>
      <c r="F750" s="5" t="s">
        <v>68</v>
      </c>
      <c r="G750" s="5" t="s">
        <v>75</v>
      </c>
      <c r="H750" s="9" t="s">
        <v>198</v>
      </c>
      <c r="I750" s="10"/>
      <c r="J750" s="10">
        <v>44665</v>
      </c>
      <c r="K750" s="5" t="s">
        <v>199</v>
      </c>
      <c r="L750" s="5" t="s">
        <v>58</v>
      </c>
      <c r="M750" s="11">
        <v>0.10000000000000001</v>
      </c>
      <c r="N750" s="5" t="e">
        <f>IF(AND(M750&gt;#REF!,Cartera!O750="Guaraníes"),"Rendimiento significativo",IF(AND(M750&gt;#REF!,Cartera!O750="Dólares americanos"),"Rendimiento significativo","Rendimiento no significativo"))</f>
        <v>#REF!</v>
      </c>
      <c r="O750" s="5" t="s">
        <v>41</v>
      </c>
      <c r="P750" s="12">
        <v>1421095.8903930001</v>
      </c>
      <c r="Q750" s="12">
        <f>IF(O750="Guaraníes",P750,P750*#REF!)</f>
        <v>1421095.8903930001</v>
      </c>
      <c r="R750" s="12" t="e">
        <f>IF(O750="Guaraníes",P750/#REF!,P750)</f>
        <v>#REF!</v>
      </c>
      <c r="S750" s="5" t="s">
        <v>52</v>
      </c>
      <c r="T750" s="5">
        <v>25</v>
      </c>
      <c r="W750" s="5" t="s">
        <v>200</v>
      </c>
      <c r="X750" s="5">
        <v>0</v>
      </c>
      <c r="Y750" s="5">
        <v>0</v>
      </c>
      <c r="Z750" s="5">
        <v>24931.506849000001</v>
      </c>
      <c r="AA750" s="5">
        <v>57</v>
      </c>
      <c r="AB750" s="5">
        <v>1421095.8903930001</v>
      </c>
      <c r="AC750" s="5" t="str">
        <f t="shared" si="37"/>
        <v>Bonos</v>
      </c>
      <c r="AD750" s="5" t="s">
        <v>43</v>
      </c>
      <c r="AE750" s="5">
        <f t="shared" si="38"/>
        <v>4</v>
      </c>
      <c r="AF750" s="5">
        <f t="shared" si="39"/>
        <v>2022</v>
      </c>
    </row>
    <row r="751" s="5" customFormat="1" ht="13">
      <c r="A751" s="5" t="s">
        <v>44</v>
      </c>
      <c r="B751" s="5" t="s">
        <v>44</v>
      </c>
      <c r="C751" s="5" t="s">
        <v>114</v>
      </c>
      <c r="D751" s="5" t="s">
        <v>21</v>
      </c>
      <c r="E751" s="5" t="s">
        <v>44</v>
      </c>
      <c r="F751" s="5" t="s">
        <v>68</v>
      </c>
      <c r="G751" s="5" t="s">
        <v>75</v>
      </c>
      <c r="H751" s="9" t="s">
        <v>234</v>
      </c>
      <c r="I751" s="10"/>
      <c r="J751" s="10">
        <v>44671</v>
      </c>
      <c r="K751" s="5" t="s">
        <v>77</v>
      </c>
      <c r="L751" s="5" t="s">
        <v>50</v>
      </c>
      <c r="M751" s="11">
        <v>0.12</v>
      </c>
      <c r="N751" s="5" t="e">
        <f>IF(AND(M751&gt;#REF!,Cartera!O751="Guaraníes"),"Rendimiento significativo",IF(AND(M751&gt;#REF!,Cartera!O751="Dólares americanos"),"Rendimiento significativo","Rendimiento no significativo"))</f>
        <v>#REF!</v>
      </c>
      <c r="O751" s="5" t="s">
        <v>51</v>
      </c>
      <c r="P751" s="13">
        <v>486.16437000000002</v>
      </c>
      <c r="Q751" s="12" t="e">
        <f>IF(O751="Guaraníes",P751,P751*#REF!)</f>
        <v>#REF!</v>
      </c>
      <c r="R751" s="12">
        <f>IF(O751="Guaraníes",P751/#REF!,P751)</f>
        <v>486.16437000000002</v>
      </c>
      <c r="S751" s="5" t="s">
        <v>52</v>
      </c>
      <c r="T751" s="5">
        <v>25</v>
      </c>
      <c r="W751" s="5" t="s">
        <v>65</v>
      </c>
      <c r="X751" s="5">
        <v>0</v>
      </c>
      <c r="Y751" s="5">
        <v>0</v>
      </c>
      <c r="Z751" s="5">
        <v>16.205479</v>
      </c>
      <c r="AA751" s="5">
        <v>30</v>
      </c>
      <c r="AB751" s="5">
        <v>486.16437000000002</v>
      </c>
      <c r="AC751" s="5" t="str">
        <f t="shared" si="37"/>
        <v>Bonos</v>
      </c>
      <c r="AD751" s="5" t="s">
        <v>43</v>
      </c>
      <c r="AE751" s="5">
        <f t="shared" si="38"/>
        <v>4</v>
      </c>
      <c r="AF751" s="5">
        <f t="shared" si="39"/>
        <v>2022</v>
      </c>
    </row>
    <row r="752" s="5" customFormat="1" ht="13">
      <c r="A752" s="5" t="s">
        <v>44</v>
      </c>
      <c r="B752" s="5" t="s">
        <v>44</v>
      </c>
      <c r="C752" s="5" t="s">
        <v>99</v>
      </c>
      <c r="D752" s="5" t="s">
        <v>21</v>
      </c>
      <c r="E752" s="5" t="s">
        <v>44</v>
      </c>
      <c r="F752" s="5" t="s">
        <v>100</v>
      </c>
      <c r="G752" s="5" t="s">
        <v>75</v>
      </c>
      <c r="H752" s="9" t="s">
        <v>217</v>
      </c>
      <c r="I752" s="10"/>
      <c r="J752" s="10">
        <v>44675</v>
      </c>
      <c r="K752" s="5" t="s">
        <v>102</v>
      </c>
      <c r="L752" s="5" t="s">
        <v>102</v>
      </c>
      <c r="M752" s="11">
        <v>0.080000000000000002</v>
      </c>
      <c r="N752" s="5" t="e">
        <f>IF(AND(M752&gt;#REF!,Cartera!O752="Guaraníes"),"Rendimiento significativo",IF(AND(M752&gt;#REF!,Cartera!O752="Dólares americanos"),"Rendimiento significativo","Rendimiento no significativo"))</f>
        <v>#REF!</v>
      </c>
      <c r="O752" s="5" t="s">
        <v>41</v>
      </c>
      <c r="P752" s="12">
        <v>5767000</v>
      </c>
      <c r="Q752" s="12">
        <f>IF(O752="Guaraníes",P752,P752*#REF!)</f>
        <v>5767000</v>
      </c>
      <c r="R752" s="12" t="e">
        <f>IF(O752="Guaraníes",P752/#REF!,P752)</f>
        <v>#REF!</v>
      </c>
      <c r="S752" s="5" t="s">
        <v>52</v>
      </c>
      <c r="T752" s="5">
        <v>25</v>
      </c>
      <c r="W752" s="5" t="s">
        <v>218</v>
      </c>
      <c r="X752" s="5">
        <v>0</v>
      </c>
      <c r="Y752" s="5">
        <v>0</v>
      </c>
      <c r="Z752" s="5">
        <v>39500</v>
      </c>
      <c r="AA752" s="5">
        <v>146</v>
      </c>
      <c r="AB752" s="5">
        <v>5767000</v>
      </c>
      <c r="AC752" s="5" t="str">
        <f t="shared" si="37"/>
        <v>Bonos</v>
      </c>
      <c r="AD752" s="5" t="s">
        <v>43</v>
      </c>
      <c r="AE752" s="5">
        <f t="shared" si="38"/>
        <v>4</v>
      </c>
      <c r="AF752" s="5">
        <f t="shared" si="39"/>
        <v>2022</v>
      </c>
    </row>
    <row r="753" s="5" customFormat="1" ht="13">
      <c r="A753" s="5" t="s">
        <v>44</v>
      </c>
      <c r="B753" s="5" t="s">
        <v>44</v>
      </c>
      <c r="C753" s="5" t="s">
        <v>156</v>
      </c>
      <c r="D753" s="5" t="s">
        <v>21</v>
      </c>
      <c r="E753" s="5" t="s">
        <v>44</v>
      </c>
      <c r="F753" s="5" t="s">
        <v>68</v>
      </c>
      <c r="G753" s="5" t="s">
        <v>75</v>
      </c>
      <c r="H753" s="9" t="s">
        <v>246</v>
      </c>
      <c r="I753" s="10"/>
      <c r="J753" s="10">
        <v>44679</v>
      </c>
      <c r="K753" s="5" t="s">
        <v>158</v>
      </c>
      <c r="L753" s="5" t="s">
        <v>58</v>
      </c>
      <c r="M753" s="11">
        <v>0.125</v>
      </c>
      <c r="N753" s="5" t="e">
        <f>IF(AND(M753&gt;#REF!,Cartera!O753="Guaraníes"),"Rendimiento significativo",IF(AND(M753&gt;#REF!,Cartera!O753="Dólares americanos"),"Rendimiento significativo","Rendimiento no significativo"))</f>
        <v>#REF!</v>
      </c>
      <c r="O753" s="5" t="s">
        <v>41</v>
      </c>
      <c r="P753" s="12">
        <v>1495890.4109499999</v>
      </c>
      <c r="Q753" s="12">
        <f>IF(O753="Guaraníes",P753,P753*#REF!)</f>
        <v>1495890.4109499999</v>
      </c>
      <c r="R753" s="12" t="e">
        <f>IF(O753="Guaraníes",P753/#REF!,P753)</f>
        <v>#REF!</v>
      </c>
      <c r="S753" s="5" t="s">
        <v>52</v>
      </c>
      <c r="T753" s="5">
        <v>25</v>
      </c>
      <c r="W753" s="5" t="s">
        <v>261</v>
      </c>
      <c r="X753" s="5">
        <v>0</v>
      </c>
      <c r="Y753" s="5">
        <v>0</v>
      </c>
      <c r="Z753" s="5">
        <v>29917.808218999999</v>
      </c>
      <c r="AA753" s="5">
        <v>50</v>
      </c>
      <c r="AB753" s="5">
        <v>1495890.4109499999</v>
      </c>
      <c r="AC753" s="5" t="str">
        <f t="shared" si="37"/>
        <v>Bonos</v>
      </c>
      <c r="AD753" s="5" t="s">
        <v>43</v>
      </c>
      <c r="AE753" s="5">
        <f t="shared" si="38"/>
        <v>4</v>
      </c>
      <c r="AF753" s="5">
        <f t="shared" si="39"/>
        <v>2022</v>
      </c>
    </row>
    <row r="754" s="5" customFormat="1" ht="13">
      <c r="A754" s="5" t="s">
        <v>44</v>
      </c>
      <c r="B754" s="5" t="s">
        <v>44</v>
      </c>
      <c r="C754" s="5" t="s">
        <v>114</v>
      </c>
      <c r="D754" s="5" t="s">
        <v>21</v>
      </c>
      <c r="E754" s="5" t="s">
        <v>44</v>
      </c>
      <c r="F754" s="5" t="s">
        <v>68</v>
      </c>
      <c r="G754" s="5" t="s">
        <v>75</v>
      </c>
      <c r="H754" s="9" t="s">
        <v>235</v>
      </c>
      <c r="I754" s="10"/>
      <c r="J754" s="10">
        <v>44679</v>
      </c>
      <c r="K754" s="5" t="s">
        <v>77</v>
      </c>
      <c r="L754" s="5" t="s">
        <v>50</v>
      </c>
      <c r="M754" s="11">
        <v>0.14249999999999999</v>
      </c>
      <c r="N754" s="5" t="e">
        <f>IF(AND(M754&gt;#REF!,Cartera!O754="Guaraníes"),"Rendimiento significativo",IF(AND(M754&gt;#REF!,Cartera!O754="Dólares americanos"),"Rendimiento significativo","Rendimiento no significativo"))</f>
        <v>#REF!</v>
      </c>
      <c r="O754" s="5" t="s">
        <v>41</v>
      </c>
      <c r="P754" s="12">
        <v>183869.86301500001</v>
      </c>
      <c r="Q754" s="12">
        <f>IF(O754="Guaraníes",P754,P754*#REF!)</f>
        <v>183869.86301500001</v>
      </c>
      <c r="R754" s="12" t="e">
        <f>IF(O754="Guaraníes",P754/#REF!,P754)</f>
        <v>#REF!</v>
      </c>
      <c r="S754" s="5" t="s">
        <v>52</v>
      </c>
      <c r="T754" s="5">
        <v>25</v>
      </c>
      <c r="W754" s="5" t="s">
        <v>65</v>
      </c>
      <c r="X754" s="5">
        <v>0</v>
      </c>
      <c r="Y754" s="5">
        <v>0</v>
      </c>
      <c r="Z754" s="5">
        <v>36773.972603000002</v>
      </c>
      <c r="AA754" s="5">
        <v>5</v>
      </c>
      <c r="AB754" s="5">
        <v>183869.86301500001</v>
      </c>
      <c r="AC754" s="5" t="str">
        <f t="shared" si="37"/>
        <v>Bonos</v>
      </c>
      <c r="AD754" s="5" t="s">
        <v>43</v>
      </c>
      <c r="AE754" s="5">
        <f t="shared" si="38"/>
        <v>4</v>
      </c>
      <c r="AF754" s="5">
        <f t="shared" si="39"/>
        <v>2022</v>
      </c>
    </row>
    <row r="755" s="5" customFormat="1" ht="13">
      <c r="A755" s="5" t="s">
        <v>44</v>
      </c>
      <c r="B755" s="5" t="s">
        <v>44</v>
      </c>
      <c r="C755" s="5" t="s">
        <v>114</v>
      </c>
      <c r="D755" s="5" t="s">
        <v>21</v>
      </c>
      <c r="E755" s="5" t="s">
        <v>44</v>
      </c>
      <c r="F755" s="5" t="s">
        <v>68</v>
      </c>
      <c r="G755" s="5" t="s">
        <v>75</v>
      </c>
      <c r="H755" s="9" t="s">
        <v>115</v>
      </c>
      <c r="I755" s="10"/>
      <c r="J755" s="10">
        <v>44679</v>
      </c>
      <c r="K755" s="5" t="s">
        <v>77</v>
      </c>
      <c r="L755" s="5" t="s">
        <v>50</v>
      </c>
      <c r="M755" s="11">
        <v>0.125</v>
      </c>
      <c r="N755" s="5" t="e">
        <f>IF(AND(M755&gt;#REF!,Cartera!O755="Guaraníes"),"Rendimiento significativo",IF(AND(M755&gt;#REF!,Cartera!O755="Dólares americanos"),"Rendimiento significativo","Rendimiento no significativo"))</f>
        <v>#REF!</v>
      </c>
      <c r="O755" s="5" t="s">
        <v>41</v>
      </c>
      <c r="P755" s="12">
        <v>897534.24656999996</v>
      </c>
      <c r="Q755" s="12">
        <f>IF(O755="Guaraníes",P755,P755*#REF!)</f>
        <v>897534.24656999996</v>
      </c>
      <c r="R755" s="12" t="e">
        <f>IF(O755="Guaraníes",P755/#REF!,P755)</f>
        <v>#REF!</v>
      </c>
      <c r="S755" s="5" t="s">
        <v>52</v>
      </c>
      <c r="T755" s="5">
        <v>25</v>
      </c>
      <c r="W755" s="5" t="s">
        <v>65</v>
      </c>
      <c r="X755" s="5">
        <v>0</v>
      </c>
      <c r="Y755" s="5">
        <v>0</v>
      </c>
      <c r="Z755" s="5">
        <v>29917.808218999999</v>
      </c>
      <c r="AA755" s="5">
        <v>30</v>
      </c>
      <c r="AB755" s="5">
        <v>897534.24656999996</v>
      </c>
      <c r="AC755" s="5" t="str">
        <f t="shared" si="37"/>
        <v>Bonos</v>
      </c>
      <c r="AD755" s="5" t="s">
        <v>43</v>
      </c>
      <c r="AE755" s="5">
        <f t="shared" si="38"/>
        <v>4</v>
      </c>
      <c r="AF755" s="5">
        <f t="shared" si="39"/>
        <v>2022</v>
      </c>
    </row>
    <row r="756" s="5" customFormat="1" ht="13">
      <c r="A756" s="5" t="s">
        <v>44</v>
      </c>
      <c r="B756" s="5" t="s">
        <v>44</v>
      </c>
      <c r="C756" s="5" t="s">
        <v>33</v>
      </c>
      <c r="D756" s="5" t="s">
        <v>21</v>
      </c>
      <c r="E756" s="5" t="s">
        <v>44</v>
      </c>
      <c r="F756" s="5" t="s">
        <v>35</v>
      </c>
      <c r="G756" s="5" t="s">
        <v>75</v>
      </c>
      <c r="H756" s="9" t="s">
        <v>168</v>
      </c>
      <c r="I756" s="10"/>
      <c r="J756" s="10">
        <v>44691</v>
      </c>
      <c r="K756" s="5" t="s">
        <v>39</v>
      </c>
      <c r="L756" s="5" t="s">
        <v>50</v>
      </c>
      <c r="M756" s="11">
        <v>0.070000000000000007</v>
      </c>
      <c r="N756" s="5" t="e">
        <f>IF(AND(M756&gt;#REF!,Cartera!O756="Guaraníes"),"Rendimiento significativo",IF(AND(M756&gt;#REF!,Cartera!O756="Dólares americanos"),"Rendimiento significativo","Rendimiento no significativo"))</f>
        <v>#REF!</v>
      </c>
      <c r="O756" s="5" t="s">
        <v>51</v>
      </c>
      <c r="P756" s="13">
        <v>1221.6438500000002</v>
      </c>
      <c r="Q756" s="12" t="e">
        <f>IF(O756="Guaraníes",P756,P756*#REF!)</f>
        <v>#REF!</v>
      </c>
      <c r="R756" s="12">
        <f>IF(O756="Guaraníes",P756/#REF!,P756)</f>
        <v>1221.6438500000002</v>
      </c>
      <c r="S756" s="5" t="s">
        <v>52</v>
      </c>
      <c r="T756" s="5">
        <v>25</v>
      </c>
      <c r="W756" s="5" t="s">
        <v>65</v>
      </c>
      <c r="X756" s="5">
        <v>0</v>
      </c>
      <c r="Y756" s="5">
        <v>0</v>
      </c>
      <c r="Z756" s="5">
        <v>17.452055000000001</v>
      </c>
      <c r="AA756" s="5">
        <v>70</v>
      </c>
      <c r="AB756" s="5">
        <v>1221.6438499999999</v>
      </c>
      <c r="AC756" s="5" t="str">
        <f t="shared" si="37"/>
        <v>Bonos</v>
      </c>
      <c r="AD756" s="5" t="s">
        <v>43</v>
      </c>
      <c r="AE756" s="5">
        <f t="shared" si="38"/>
        <v>5</v>
      </c>
      <c r="AF756" s="5">
        <f t="shared" si="39"/>
        <v>2022</v>
      </c>
    </row>
    <row r="757" s="5" customFormat="1" ht="13">
      <c r="A757" s="5" t="s">
        <v>44</v>
      </c>
      <c r="B757" s="5" t="s">
        <v>44</v>
      </c>
      <c r="C757" s="5" t="s">
        <v>114</v>
      </c>
      <c r="D757" s="5" t="s">
        <v>21</v>
      </c>
      <c r="E757" s="5" t="s">
        <v>44</v>
      </c>
      <c r="F757" s="5" t="s">
        <v>68</v>
      </c>
      <c r="G757" s="5" t="s">
        <v>75</v>
      </c>
      <c r="H757" s="9" t="s">
        <v>170</v>
      </c>
      <c r="I757" s="10"/>
      <c r="J757" s="10">
        <v>44698</v>
      </c>
      <c r="K757" s="5" t="s">
        <v>77</v>
      </c>
      <c r="L757" s="5" t="s">
        <v>50</v>
      </c>
      <c r="M757" s="11">
        <v>0.14000000000000001</v>
      </c>
      <c r="N757" s="5" t="e">
        <f>IF(AND(M757&gt;#REF!,Cartera!O757="Guaraníes"),"Rendimiento significativo",IF(AND(M757&gt;#REF!,Cartera!O757="Dólares americanos"),"Rendimiento significativo","Rendimiento no significativo"))</f>
        <v>#REF!</v>
      </c>
      <c r="O757" s="5" t="s">
        <v>41</v>
      </c>
      <c r="P757" s="12">
        <v>3490410.9589</v>
      </c>
      <c r="Q757" s="12">
        <f>IF(O757="Guaraníes",P757,P757*#REF!)</f>
        <v>3490410.9589</v>
      </c>
      <c r="R757" s="12" t="e">
        <f>IF(O757="Guaraníes",P757/#REF!,P757)</f>
        <v>#REF!</v>
      </c>
      <c r="S757" s="5" t="s">
        <v>52</v>
      </c>
      <c r="T757" s="5">
        <v>25</v>
      </c>
      <c r="W757" s="5" t="s">
        <v>65</v>
      </c>
      <c r="X757" s="5">
        <v>0</v>
      </c>
      <c r="Y757" s="5">
        <v>0</v>
      </c>
      <c r="Z757" s="5">
        <v>34904.109589</v>
      </c>
      <c r="AA757" s="5">
        <v>100</v>
      </c>
      <c r="AB757" s="5">
        <v>3490410.9589</v>
      </c>
      <c r="AC757" s="5" t="str">
        <f t="shared" si="37"/>
        <v>Bonos</v>
      </c>
      <c r="AD757" s="5" t="s">
        <v>43</v>
      </c>
      <c r="AE757" s="5">
        <f t="shared" si="38"/>
        <v>5</v>
      </c>
      <c r="AF757" s="5">
        <f t="shared" si="39"/>
        <v>2022</v>
      </c>
    </row>
    <row r="758" s="5" customFormat="1" ht="13">
      <c r="A758" s="5" t="s">
        <v>44</v>
      </c>
      <c r="B758" s="5" t="s">
        <v>44</v>
      </c>
      <c r="C758" s="5" t="s">
        <v>254</v>
      </c>
      <c r="D758" s="5" t="s">
        <v>21</v>
      </c>
      <c r="E758" s="5" t="s">
        <v>44</v>
      </c>
      <c r="F758" s="5" t="s">
        <v>68</v>
      </c>
      <c r="G758" s="5" t="s">
        <v>75</v>
      </c>
      <c r="H758" s="9" t="s">
        <v>255</v>
      </c>
      <c r="I758" s="10"/>
      <c r="J758" s="10">
        <v>44721</v>
      </c>
      <c r="K758" s="5" t="s">
        <v>256</v>
      </c>
      <c r="L758" s="5" t="s">
        <v>58</v>
      </c>
      <c r="M758" s="11">
        <v>0.057500000000000002</v>
      </c>
      <c r="N758" s="5" t="e">
        <f>IF(AND(M758&gt;#REF!,Cartera!O758="Guaraníes"),"Rendimiento significativo",IF(AND(M758&gt;#REF!,Cartera!O758="Dólares americanos"),"Rendimiento significativo","Rendimiento no significativo"))</f>
        <v>#REF!</v>
      </c>
      <c r="O758" s="5" t="s">
        <v>51</v>
      </c>
      <c r="P758" s="13">
        <v>860.13698999999997</v>
      </c>
      <c r="Q758" s="12" t="e">
        <f>IF(O758="Guaraníes",P758,P758*#REF!)</f>
        <v>#REF!</v>
      </c>
      <c r="R758" s="12">
        <f>IF(O758="Guaraníes",P758/#REF!,P758)</f>
        <v>860.13698999999997</v>
      </c>
      <c r="S758" s="5" t="s">
        <v>52</v>
      </c>
      <c r="T758" s="5">
        <v>25</v>
      </c>
      <c r="W758" s="5" t="s">
        <v>249</v>
      </c>
      <c r="X758" s="5">
        <v>0</v>
      </c>
      <c r="Y758" s="5">
        <v>0</v>
      </c>
      <c r="Z758" s="5">
        <v>28.671233000000001</v>
      </c>
      <c r="AA758" s="5">
        <v>30</v>
      </c>
      <c r="AB758" s="5">
        <v>860.13698999999997</v>
      </c>
      <c r="AC758" s="5" t="str">
        <f t="shared" si="37"/>
        <v>Bonos</v>
      </c>
      <c r="AD758" s="5" t="s">
        <v>43</v>
      </c>
      <c r="AE758" s="5">
        <f t="shared" si="38"/>
        <v>6</v>
      </c>
      <c r="AF758" s="5">
        <f t="shared" si="39"/>
        <v>2022</v>
      </c>
    </row>
    <row r="759" s="5" customFormat="1" ht="13">
      <c r="A759" s="5" t="s">
        <v>44</v>
      </c>
      <c r="B759" s="5" t="s">
        <v>44</v>
      </c>
      <c r="C759" s="5" t="s">
        <v>33</v>
      </c>
      <c r="D759" s="5" t="s">
        <v>21</v>
      </c>
      <c r="E759" s="5" t="s">
        <v>44</v>
      </c>
      <c r="F759" s="5" t="s">
        <v>35</v>
      </c>
      <c r="G759" s="5" t="s">
        <v>75</v>
      </c>
      <c r="H759" s="9" t="s">
        <v>186</v>
      </c>
      <c r="I759" s="10"/>
      <c r="J759" s="10">
        <v>44727</v>
      </c>
      <c r="K759" s="5" t="s">
        <v>39</v>
      </c>
      <c r="L759" s="5" t="s">
        <v>50</v>
      </c>
      <c r="M759" s="11">
        <v>0.044999999999999998</v>
      </c>
      <c r="N759" s="5" t="e">
        <f>IF(AND(M759&gt;#REF!,Cartera!O759="Guaraníes"),"Rendimiento significativo",IF(AND(M759&gt;#REF!,Cartera!O759="Dólares americanos"),"Rendimiento significativo","Rendimiento no significativo"))</f>
        <v>#REF!</v>
      </c>
      <c r="O759" s="5" t="s">
        <v>51</v>
      </c>
      <c r="P759" s="13">
        <v>336.57533999999998</v>
      </c>
      <c r="Q759" s="12" t="e">
        <f>IF(O759="Guaraníes",P759,P759*#REF!)</f>
        <v>#REF!</v>
      </c>
      <c r="R759" s="12">
        <f>IF(O759="Guaraníes",P759/#REF!,P759)</f>
        <v>336.57533999999998</v>
      </c>
      <c r="S759" s="5" t="s">
        <v>52</v>
      </c>
      <c r="T759" s="5">
        <v>25</v>
      </c>
      <c r="W759" s="5" t="s">
        <v>65</v>
      </c>
      <c r="X759" s="5">
        <v>0</v>
      </c>
      <c r="Y759" s="5">
        <v>0</v>
      </c>
      <c r="Z759" s="5">
        <v>11.219177999999999</v>
      </c>
      <c r="AA759" s="5">
        <v>30</v>
      </c>
      <c r="AB759" s="5">
        <v>336.57533999999998</v>
      </c>
      <c r="AC759" s="5" t="str">
        <f t="shared" si="37"/>
        <v>Bonos</v>
      </c>
      <c r="AD759" s="5" t="s">
        <v>43</v>
      </c>
      <c r="AE759" s="5">
        <f t="shared" si="38"/>
        <v>6</v>
      </c>
      <c r="AF759" s="5">
        <f t="shared" si="39"/>
        <v>2022</v>
      </c>
    </row>
    <row r="760" s="5" customFormat="1" ht="13">
      <c r="A760" s="5" t="s">
        <v>44</v>
      </c>
      <c r="B760" s="5" t="s">
        <v>44</v>
      </c>
      <c r="C760" s="5" t="s">
        <v>135</v>
      </c>
      <c r="D760" s="5" t="s">
        <v>21</v>
      </c>
      <c r="E760" s="5" t="s">
        <v>44</v>
      </c>
      <c r="F760" s="5" t="s">
        <v>68</v>
      </c>
      <c r="G760" s="5" t="s">
        <v>75</v>
      </c>
      <c r="H760" s="9" t="s">
        <v>136</v>
      </c>
      <c r="I760" s="10"/>
      <c r="J760" s="10">
        <v>44728</v>
      </c>
      <c r="K760" s="5" t="s">
        <v>124</v>
      </c>
      <c r="L760" s="5" t="s">
        <v>58</v>
      </c>
      <c r="M760" s="11">
        <v>0.060999999999999999</v>
      </c>
      <c r="N760" s="5" t="e">
        <f>IF(AND(M760&gt;#REF!,Cartera!O760="Guaraníes"),"Rendimiento significativo",IF(AND(M760&gt;#REF!,Cartera!O760="Dólares americanos"),"Rendimiento significativo","Rendimiento no significativo"))</f>
        <v>#REF!</v>
      </c>
      <c r="O760" s="5" t="s">
        <v>41</v>
      </c>
      <c r="P760" s="12">
        <v>6083288</v>
      </c>
      <c r="Q760" s="12">
        <f>IF(O760="Guaraníes",P760,P760*#REF!)</f>
        <v>6083288</v>
      </c>
      <c r="R760" s="12" t="e">
        <f>IF(O760="Guaraníes",P760/#REF!,P760)</f>
        <v>#REF!</v>
      </c>
      <c r="S760" s="5" t="s">
        <v>52</v>
      </c>
      <c r="T760" s="5">
        <v>25</v>
      </c>
      <c r="W760" s="5" t="s">
        <v>137</v>
      </c>
      <c r="X760" s="5">
        <v>14.28571429</v>
      </c>
      <c r="Y760" s="5">
        <v>142857.14290000001</v>
      </c>
      <c r="Z760" s="5">
        <v>173273.581256</v>
      </c>
      <c r="AA760" s="5">
        <v>200</v>
      </c>
      <c r="AB760" s="5">
        <v>34654716.251199998</v>
      </c>
      <c r="AC760" s="5" t="str">
        <f t="shared" si="37"/>
        <v>Bonos</v>
      </c>
      <c r="AD760" s="5" t="s">
        <v>43</v>
      </c>
      <c r="AE760" s="5">
        <f t="shared" si="38"/>
        <v>6</v>
      </c>
      <c r="AF760" s="5">
        <f t="shared" si="39"/>
        <v>2022</v>
      </c>
    </row>
    <row r="761" s="5" customFormat="1" ht="13">
      <c r="A761" s="5" t="s">
        <v>44</v>
      </c>
      <c r="B761" s="5" t="s">
        <v>44</v>
      </c>
      <c r="C761" s="5" t="s">
        <v>114</v>
      </c>
      <c r="D761" s="5" t="s">
        <v>21</v>
      </c>
      <c r="E761" s="5" t="s">
        <v>44</v>
      </c>
      <c r="F761" s="5" t="s">
        <v>68</v>
      </c>
      <c r="G761" s="5" t="s">
        <v>75</v>
      </c>
      <c r="H761" s="9" t="s">
        <v>236</v>
      </c>
      <c r="I761" s="10"/>
      <c r="J761" s="10">
        <v>44728</v>
      </c>
      <c r="K761" s="5" t="s">
        <v>77</v>
      </c>
      <c r="L761" s="5" t="s">
        <v>50</v>
      </c>
      <c r="M761" s="11">
        <v>0.14749999999999999</v>
      </c>
      <c r="N761" s="5" t="e">
        <f>IF(AND(M761&gt;#REF!,Cartera!O761="Guaraníes"),"Rendimiento significativo",IF(AND(M761&gt;#REF!,Cartera!O761="Dólares americanos"),"Rendimiento significativo","Rendimiento no significativo"))</f>
        <v>#REF!</v>
      </c>
      <c r="O761" s="5" t="s">
        <v>41</v>
      </c>
      <c r="P761" s="12">
        <v>112191.780822</v>
      </c>
      <c r="Q761" s="12">
        <f>IF(O761="Guaraníes",P761,P761*#REF!)</f>
        <v>112191.780822</v>
      </c>
      <c r="R761" s="12" t="e">
        <f>IF(O761="Guaraníes",P761/#REF!,P761)</f>
        <v>#REF!</v>
      </c>
      <c r="S761" s="5" t="s">
        <v>52</v>
      </c>
      <c r="T761" s="5">
        <v>25</v>
      </c>
      <c r="W761" s="5" t="s">
        <v>65</v>
      </c>
      <c r="X761" s="5">
        <v>0</v>
      </c>
      <c r="Y761" s="5">
        <v>0</v>
      </c>
      <c r="Z761" s="5">
        <v>37397.260274</v>
      </c>
      <c r="AA761" s="5">
        <v>3</v>
      </c>
      <c r="AB761" s="5">
        <v>112191.780822</v>
      </c>
      <c r="AC761" s="5" t="str">
        <f t="shared" si="37"/>
        <v>Bonos</v>
      </c>
      <c r="AD761" s="5" t="s">
        <v>43</v>
      </c>
      <c r="AE761" s="5">
        <f t="shared" si="38"/>
        <v>6</v>
      </c>
      <c r="AF761" s="5">
        <f t="shared" si="39"/>
        <v>2022</v>
      </c>
    </row>
    <row r="762" s="5" customFormat="1" ht="13">
      <c r="A762" s="5" t="s">
        <v>44</v>
      </c>
      <c r="B762" s="5" t="s">
        <v>44</v>
      </c>
      <c r="C762" s="5" t="s">
        <v>135</v>
      </c>
      <c r="D762" s="5" t="s">
        <v>21</v>
      </c>
      <c r="E762" s="5" t="s">
        <v>44</v>
      </c>
      <c r="F762" s="5" t="s">
        <v>68</v>
      </c>
      <c r="G762" s="5" t="s">
        <v>75</v>
      </c>
      <c r="H762" s="9" t="s">
        <v>265</v>
      </c>
      <c r="I762" s="10"/>
      <c r="J762" s="10">
        <v>44733</v>
      </c>
      <c r="K762" s="5" t="s">
        <v>124</v>
      </c>
      <c r="L762" s="5" t="s">
        <v>58</v>
      </c>
      <c r="M762" s="11">
        <v>0.054000000000000006</v>
      </c>
      <c r="N762" s="5" t="e">
        <f>IF(AND(M762&gt;#REF!,Cartera!O762="Guaraníes"),"Rendimiento significativo",IF(AND(M762&gt;#REF!,Cartera!O762="Dólares americanos"),"Rendimiento significativo","Rendimiento no significativo"))</f>
        <v>#REF!</v>
      </c>
      <c r="O762" s="5" t="s">
        <v>41</v>
      </c>
      <c r="P762" s="12">
        <v>1178014</v>
      </c>
      <c r="Q762" s="12">
        <f>IF(O762="Guaraníes",P762,P762*#REF!)</f>
        <v>1178014</v>
      </c>
      <c r="R762" s="12" t="e">
        <f>IF(O762="Guaraníes",P762/#REF!,P762)</f>
        <v>#REF!</v>
      </c>
      <c r="S762" s="5" t="s">
        <v>52</v>
      </c>
      <c r="T762" s="5">
        <v>25</v>
      </c>
      <c r="W762" s="5" t="s">
        <v>137</v>
      </c>
      <c r="X762" s="5">
        <v>12.5</v>
      </c>
      <c r="Y762" s="5">
        <v>125000</v>
      </c>
      <c r="Z762" s="5">
        <v>148560.273973</v>
      </c>
      <c r="AA762" s="5">
        <v>50</v>
      </c>
      <c r="AB762" s="5">
        <v>7428013.6986499997</v>
      </c>
      <c r="AC762" s="5" t="str">
        <f t="shared" si="37"/>
        <v>Bonos</v>
      </c>
      <c r="AD762" s="5" t="s">
        <v>43</v>
      </c>
      <c r="AE762" s="5">
        <f t="shared" si="38"/>
        <v>6</v>
      </c>
      <c r="AF762" s="5">
        <f t="shared" si="39"/>
        <v>2022</v>
      </c>
    </row>
    <row r="763" s="5" customFormat="1" ht="13">
      <c r="A763" s="5" t="s">
        <v>44</v>
      </c>
      <c r="B763" s="5" t="s">
        <v>44</v>
      </c>
      <c r="C763" s="5" t="s">
        <v>54</v>
      </c>
      <c r="D763" s="5" t="s">
        <v>21</v>
      </c>
      <c r="E763" s="5" t="s">
        <v>44</v>
      </c>
      <c r="F763" s="5" t="s">
        <v>46</v>
      </c>
      <c r="G763" s="5" t="s">
        <v>75</v>
      </c>
      <c r="H763" s="9" t="s">
        <v>147</v>
      </c>
      <c r="I763" s="10"/>
      <c r="J763" s="10">
        <v>44739</v>
      </c>
      <c r="K763" s="5" t="s">
        <v>57</v>
      </c>
      <c r="L763" s="5" t="s">
        <v>58</v>
      </c>
      <c r="M763" s="11">
        <v>0.12</v>
      </c>
      <c r="N763" s="5" t="e">
        <f>IF(AND(M763&gt;#REF!,Cartera!O763="Guaraníes"),"Rendimiento significativo",IF(AND(M763&gt;#REF!,Cartera!O763="Dólares americanos"),"Rendimiento significativo","Rendimiento no significativo"))</f>
        <v>#REF!</v>
      </c>
      <c r="O763" s="5" t="s">
        <v>41</v>
      </c>
      <c r="P763" s="12">
        <v>4487671.2328500003</v>
      </c>
      <c r="Q763" s="12">
        <f>IF(O763="Guaraníes",P763,P763*#REF!)</f>
        <v>4487671.2328500003</v>
      </c>
      <c r="R763" s="12" t="e">
        <f>IF(O763="Guaraníes",P763/#REF!,P763)</f>
        <v>#REF!</v>
      </c>
      <c r="S763" s="5" t="s">
        <v>52</v>
      </c>
      <c r="T763" s="5">
        <v>25</v>
      </c>
      <c r="W763" s="5" t="s">
        <v>263</v>
      </c>
      <c r="X763" s="5">
        <v>0</v>
      </c>
      <c r="Y763" s="5">
        <v>0</v>
      </c>
      <c r="Z763" s="5">
        <v>29917.808218999999</v>
      </c>
      <c r="AA763" s="5">
        <v>150</v>
      </c>
      <c r="AB763" s="5">
        <v>4487671.2328500003</v>
      </c>
      <c r="AC763" s="5" t="str">
        <f t="shared" si="37"/>
        <v>Bonos</v>
      </c>
      <c r="AD763" s="5" t="s">
        <v>43</v>
      </c>
      <c r="AE763" s="5">
        <f t="shared" si="38"/>
        <v>6</v>
      </c>
      <c r="AF763" s="5">
        <f t="shared" si="39"/>
        <v>2022</v>
      </c>
    </row>
    <row r="764" s="5" customFormat="1" ht="13">
      <c r="A764" s="5" t="s">
        <v>44</v>
      </c>
      <c r="B764" s="5" t="s">
        <v>44</v>
      </c>
      <c r="C764" s="5" t="s">
        <v>114</v>
      </c>
      <c r="D764" s="5" t="s">
        <v>21</v>
      </c>
      <c r="E764" s="5" t="s">
        <v>44</v>
      </c>
      <c r="F764" s="5" t="s">
        <v>68</v>
      </c>
      <c r="G764" s="5" t="s">
        <v>75</v>
      </c>
      <c r="H764" s="9" t="s">
        <v>237</v>
      </c>
      <c r="I764" s="10"/>
      <c r="J764" s="10">
        <v>44740</v>
      </c>
      <c r="K764" s="5" t="s">
        <v>77</v>
      </c>
      <c r="L764" s="5" t="s">
        <v>50</v>
      </c>
      <c r="M764" s="11">
        <v>0.13750000000000001</v>
      </c>
      <c r="N764" s="5" t="e">
        <f>IF(AND(M764&gt;#REF!,Cartera!O764="Guaraníes"),"Rendimiento significativo",IF(AND(M764&gt;#REF!,Cartera!O764="Dólares americanos"),"Rendimiento significativo","Rendimiento no significativo"))</f>
        <v>#REF!</v>
      </c>
      <c r="O764" s="5" t="s">
        <v>41</v>
      </c>
      <c r="P764" s="12">
        <v>685616.43836000003</v>
      </c>
      <c r="Q764" s="12">
        <f>IF(O764="Guaraníes",P764,P764*#REF!)</f>
        <v>685616.43836000003</v>
      </c>
      <c r="R764" s="12" t="e">
        <f>IF(O764="Guaraníes",P764/#REF!,P764)</f>
        <v>#REF!</v>
      </c>
      <c r="S764" s="5" t="s">
        <v>52</v>
      </c>
      <c r="T764" s="5">
        <v>25</v>
      </c>
      <c r="W764" s="5" t="s">
        <v>65</v>
      </c>
      <c r="X764" s="5">
        <v>0</v>
      </c>
      <c r="Y764" s="5">
        <v>0</v>
      </c>
      <c r="Z764" s="5">
        <v>34280.821918000001</v>
      </c>
      <c r="AA764" s="5">
        <v>20</v>
      </c>
      <c r="AB764" s="5">
        <v>685616.43836000003</v>
      </c>
      <c r="AC764" s="5" t="str">
        <f t="shared" si="37"/>
        <v>Bonos</v>
      </c>
      <c r="AD764" s="5" t="s">
        <v>43</v>
      </c>
      <c r="AE764" s="5">
        <f t="shared" si="38"/>
        <v>6</v>
      </c>
      <c r="AF764" s="5">
        <f t="shared" si="39"/>
        <v>2022</v>
      </c>
    </row>
    <row r="765" s="5" customFormat="1" ht="13">
      <c r="A765" s="5" t="s">
        <v>44</v>
      </c>
      <c r="B765" s="5" t="s">
        <v>44</v>
      </c>
      <c r="C765" s="5" t="s">
        <v>33</v>
      </c>
      <c r="D765" s="5" t="s">
        <v>21</v>
      </c>
      <c r="E765" s="5" t="s">
        <v>44</v>
      </c>
      <c r="F765" s="5" t="s">
        <v>35</v>
      </c>
      <c r="G765" s="5" t="s">
        <v>75</v>
      </c>
      <c r="H765" s="9" t="s">
        <v>257</v>
      </c>
      <c r="I765" s="10"/>
      <c r="J765" s="10">
        <v>44742</v>
      </c>
      <c r="K765" s="5" t="s">
        <v>39</v>
      </c>
      <c r="L765" s="5" t="s">
        <v>106</v>
      </c>
      <c r="M765" s="11">
        <v>0.0625</v>
      </c>
      <c r="N765" s="5" t="e">
        <f>IF(AND(M765&gt;#REF!,Cartera!O765="Guaraníes"),"Rendimiento significativo",IF(AND(M765&gt;#REF!,Cartera!O765="Dólares americanos"),"Rendimiento significativo","Rendimiento no significativo"))</f>
        <v>#REF!</v>
      </c>
      <c r="O765" s="5" t="s">
        <v>51</v>
      </c>
      <c r="P765" s="13">
        <v>623.28767999999991</v>
      </c>
      <c r="Q765" s="12" t="e">
        <f>IF(O765="Guaraníes",P765,P765*#REF!)</f>
        <v>#REF!</v>
      </c>
      <c r="R765" s="12">
        <f>IF(O765="Guaraníes",P765/#REF!,P765)</f>
        <v>623.28767999999991</v>
      </c>
      <c r="S765" s="5" t="s">
        <v>52</v>
      </c>
      <c r="T765" s="5">
        <v>25</v>
      </c>
      <c r="W765" s="5" t="s">
        <v>218</v>
      </c>
      <c r="X765" s="5">
        <v>0</v>
      </c>
      <c r="Y765" s="5">
        <v>0</v>
      </c>
      <c r="Z765" s="5">
        <v>15.582191999999999</v>
      </c>
      <c r="AA765" s="5">
        <v>40</v>
      </c>
      <c r="AB765" s="5">
        <v>623.28768000000002</v>
      </c>
      <c r="AC765" s="5" t="str">
        <f t="shared" si="37"/>
        <v>Bonos</v>
      </c>
      <c r="AD765" s="5" t="s">
        <v>43</v>
      </c>
      <c r="AE765" s="5">
        <f t="shared" si="38"/>
        <v>6</v>
      </c>
      <c r="AF765" s="5">
        <f t="shared" si="39"/>
        <v>2022</v>
      </c>
    </row>
    <row r="766" s="5" customFormat="1" ht="13">
      <c r="A766" s="5" t="s">
        <v>44</v>
      </c>
      <c r="B766" s="5" t="s">
        <v>44</v>
      </c>
      <c r="C766" s="5" t="s">
        <v>114</v>
      </c>
      <c r="D766" s="5" t="s">
        <v>21</v>
      </c>
      <c r="E766" s="5" t="s">
        <v>44</v>
      </c>
      <c r="F766" s="5" t="s">
        <v>68</v>
      </c>
      <c r="G766" s="5" t="s">
        <v>75</v>
      </c>
      <c r="H766" s="9" t="s">
        <v>234</v>
      </c>
      <c r="I766" s="10"/>
      <c r="J766" s="10">
        <v>44762</v>
      </c>
      <c r="K766" s="5" t="s">
        <v>77</v>
      </c>
      <c r="L766" s="5" t="s">
        <v>50</v>
      </c>
      <c r="M766" s="11">
        <v>0.12</v>
      </c>
      <c r="N766" s="5" t="e">
        <f>IF(AND(M766&gt;#REF!,Cartera!O766="Guaraníes"),"Rendimiento significativo",IF(AND(M766&gt;#REF!,Cartera!O766="Dólares americanos"),"Rendimiento significativo","Rendimiento no significativo"))</f>
        <v>#REF!</v>
      </c>
      <c r="O766" s="5" t="s">
        <v>51</v>
      </c>
      <c r="P766" s="13">
        <v>486.16437000000002</v>
      </c>
      <c r="Q766" s="12" t="e">
        <f>IF(O766="Guaraníes",P766,P766*#REF!)</f>
        <v>#REF!</v>
      </c>
      <c r="R766" s="12">
        <f>IF(O766="Guaraníes",P766/#REF!,P766)</f>
        <v>486.16437000000002</v>
      </c>
      <c r="S766" s="5" t="s">
        <v>52</v>
      </c>
      <c r="T766" s="5">
        <v>25</v>
      </c>
      <c r="W766" s="5" t="s">
        <v>65</v>
      </c>
      <c r="X766" s="5">
        <v>0</v>
      </c>
      <c r="Y766" s="5">
        <v>0</v>
      </c>
      <c r="Z766" s="5">
        <v>16.205479</v>
      </c>
      <c r="AA766" s="5">
        <v>30</v>
      </c>
      <c r="AB766" s="5">
        <v>486.16437000000002</v>
      </c>
      <c r="AC766" s="5" t="str">
        <f t="shared" si="37"/>
        <v>Bonos</v>
      </c>
      <c r="AD766" s="5" t="s">
        <v>43</v>
      </c>
      <c r="AE766" s="5">
        <f t="shared" si="38"/>
        <v>7</v>
      </c>
      <c r="AF766" s="5">
        <f t="shared" si="39"/>
        <v>2022</v>
      </c>
    </row>
    <row r="767" s="5" customFormat="1" ht="13">
      <c r="A767" s="5" t="s">
        <v>44</v>
      </c>
      <c r="B767" s="5" t="s">
        <v>44</v>
      </c>
      <c r="C767" s="5" t="s">
        <v>156</v>
      </c>
      <c r="D767" s="5" t="s">
        <v>21</v>
      </c>
      <c r="E767" s="5" t="s">
        <v>44</v>
      </c>
      <c r="F767" s="5" t="s">
        <v>68</v>
      </c>
      <c r="G767" s="5" t="s">
        <v>75</v>
      </c>
      <c r="H767" s="9" t="s">
        <v>246</v>
      </c>
      <c r="I767" s="10"/>
      <c r="J767" s="10">
        <v>44770</v>
      </c>
      <c r="K767" s="5" t="s">
        <v>158</v>
      </c>
      <c r="L767" s="5" t="s">
        <v>58</v>
      </c>
      <c r="M767" s="11">
        <v>0.125</v>
      </c>
      <c r="N767" s="5" t="e">
        <f>IF(AND(M767&gt;#REF!,Cartera!O767="Guaraníes"),"Rendimiento significativo",IF(AND(M767&gt;#REF!,Cartera!O767="Dólares americanos"),"Rendimiento significativo","Rendimiento no significativo"))</f>
        <v>#REF!</v>
      </c>
      <c r="O767" s="5" t="s">
        <v>41</v>
      </c>
      <c r="P767" s="12">
        <v>1495890.4109499999</v>
      </c>
      <c r="Q767" s="12">
        <f>IF(O767="Guaraníes",P767,P767*#REF!)</f>
        <v>1495890.4109499999</v>
      </c>
      <c r="R767" s="12" t="e">
        <f>IF(O767="Guaraníes",P767/#REF!,P767)</f>
        <v>#REF!</v>
      </c>
      <c r="S767" s="5" t="s">
        <v>52</v>
      </c>
      <c r="T767" s="5">
        <v>25</v>
      </c>
      <c r="W767" s="5" t="s">
        <v>247</v>
      </c>
      <c r="X767" s="5">
        <v>0</v>
      </c>
      <c r="Y767" s="5">
        <v>0</v>
      </c>
      <c r="Z767" s="5">
        <v>29917.808218999999</v>
      </c>
      <c r="AA767" s="5">
        <v>50</v>
      </c>
      <c r="AB767" s="5">
        <v>1495890.4109499999</v>
      </c>
      <c r="AC767" s="5" t="str">
        <f t="shared" si="37"/>
        <v>Bonos</v>
      </c>
      <c r="AD767" s="5" t="s">
        <v>43</v>
      </c>
      <c r="AE767" s="5">
        <f t="shared" si="38"/>
        <v>7</v>
      </c>
      <c r="AF767" s="5">
        <f t="shared" si="39"/>
        <v>2022</v>
      </c>
    </row>
    <row r="768" s="5" customFormat="1" ht="13">
      <c r="A768" s="5" t="s">
        <v>44</v>
      </c>
      <c r="B768" s="5" t="s">
        <v>44</v>
      </c>
      <c r="C768" s="5" t="s">
        <v>114</v>
      </c>
      <c r="D768" s="5" t="s">
        <v>21</v>
      </c>
      <c r="E768" s="5" t="s">
        <v>44</v>
      </c>
      <c r="F768" s="5" t="s">
        <v>68</v>
      </c>
      <c r="G768" s="5" t="s">
        <v>75</v>
      </c>
      <c r="H768" s="9" t="s">
        <v>235</v>
      </c>
      <c r="I768" s="10"/>
      <c r="J768" s="10">
        <v>44770</v>
      </c>
      <c r="K768" s="5" t="s">
        <v>77</v>
      </c>
      <c r="L768" s="5" t="s">
        <v>50</v>
      </c>
      <c r="M768" s="11">
        <v>0.14249999999999999</v>
      </c>
      <c r="N768" s="5" t="e">
        <f>IF(AND(M768&gt;#REF!,Cartera!O768="Guaraníes"),"Rendimiento significativo",IF(AND(M768&gt;#REF!,Cartera!O768="Dólares americanos"),"Rendimiento significativo","Rendimiento no significativo"))</f>
        <v>#REF!</v>
      </c>
      <c r="O768" s="5" t="s">
        <v>41</v>
      </c>
      <c r="P768" s="12">
        <v>183869.86301500001</v>
      </c>
      <c r="Q768" s="12">
        <f>IF(O768="Guaraníes",P768,P768*#REF!)</f>
        <v>183869.86301500001</v>
      </c>
      <c r="R768" s="12" t="e">
        <f>IF(O768="Guaraníes",P768/#REF!,P768)</f>
        <v>#REF!</v>
      </c>
      <c r="S768" s="5" t="s">
        <v>52</v>
      </c>
      <c r="T768" s="5">
        <v>25</v>
      </c>
      <c r="W768" s="5" t="s">
        <v>65</v>
      </c>
      <c r="X768" s="5">
        <v>0</v>
      </c>
      <c r="Y768" s="5">
        <v>0</v>
      </c>
      <c r="Z768" s="5">
        <v>36773.972603000002</v>
      </c>
      <c r="AA768" s="5">
        <v>5</v>
      </c>
      <c r="AB768" s="5">
        <v>183869.86301500001</v>
      </c>
      <c r="AC768" s="5" t="str">
        <f t="shared" ref="AC768:AC831" si="40">IF(ISNUMBER(SEARCH("Acciones",L768)),"Acciones",IF(ISNUMBER(SEARCH("Bono",L768)),"Bonos",IF(ISNUMBER(SEARCH("CDA",L768)),"CDA",IF(ISNUMBER(SEARCH("Fondo",L768)),"Fondo",0))))</f>
        <v>Bonos</v>
      </c>
      <c r="AD768" s="5" t="s">
        <v>43</v>
      </c>
      <c r="AE768" s="5">
        <f t="shared" si="38"/>
        <v>7</v>
      </c>
      <c r="AF768" s="5">
        <f t="shared" si="39"/>
        <v>2022</v>
      </c>
    </row>
    <row r="769" s="5" customFormat="1" ht="13">
      <c r="A769" s="5" t="s">
        <v>44</v>
      </c>
      <c r="B769" s="5" t="s">
        <v>44</v>
      </c>
      <c r="C769" s="5" t="s">
        <v>114</v>
      </c>
      <c r="D769" s="5" t="s">
        <v>21</v>
      </c>
      <c r="E769" s="5" t="s">
        <v>44</v>
      </c>
      <c r="F769" s="5" t="s">
        <v>68</v>
      </c>
      <c r="G769" s="5" t="s">
        <v>75</v>
      </c>
      <c r="H769" s="9" t="s">
        <v>115</v>
      </c>
      <c r="I769" s="10"/>
      <c r="J769" s="10">
        <v>44770</v>
      </c>
      <c r="K769" s="5" t="s">
        <v>77</v>
      </c>
      <c r="L769" s="5" t="s">
        <v>50</v>
      </c>
      <c r="M769" s="11">
        <v>0.125</v>
      </c>
      <c r="N769" s="5" t="e">
        <f>IF(AND(M769&gt;#REF!,Cartera!O769="Guaraníes"),"Rendimiento significativo",IF(AND(M769&gt;#REF!,Cartera!O769="Dólares americanos"),"Rendimiento significativo","Rendimiento no significativo"))</f>
        <v>#REF!</v>
      </c>
      <c r="O769" s="5" t="s">
        <v>41</v>
      </c>
      <c r="P769" s="12">
        <v>897534.24656999996</v>
      </c>
      <c r="Q769" s="12">
        <f>IF(O769="Guaraníes",P769,P769*#REF!)</f>
        <v>897534.24656999996</v>
      </c>
      <c r="R769" s="12" t="e">
        <f>IF(O769="Guaraníes",P769/#REF!,P769)</f>
        <v>#REF!</v>
      </c>
      <c r="S769" s="5" t="s">
        <v>52</v>
      </c>
      <c r="T769" s="5">
        <v>25</v>
      </c>
      <c r="W769" s="5" t="s">
        <v>65</v>
      </c>
      <c r="X769" s="5">
        <v>0</v>
      </c>
      <c r="Y769" s="5">
        <v>0</v>
      </c>
      <c r="Z769" s="5">
        <v>29917.808218999999</v>
      </c>
      <c r="AA769" s="5">
        <v>30</v>
      </c>
      <c r="AB769" s="5">
        <v>897534.24656999996</v>
      </c>
      <c r="AC769" s="5" t="str">
        <f t="shared" si="40"/>
        <v>Bonos</v>
      </c>
      <c r="AD769" s="5" t="s">
        <v>43</v>
      </c>
      <c r="AE769" s="5">
        <f t="shared" si="38"/>
        <v>7</v>
      </c>
      <c r="AF769" s="5">
        <f t="shared" si="39"/>
        <v>2022</v>
      </c>
    </row>
    <row r="770" s="5" customFormat="1" ht="13">
      <c r="A770" s="5" t="s">
        <v>44</v>
      </c>
      <c r="B770" s="5" t="s">
        <v>44</v>
      </c>
      <c r="C770" s="5" t="s">
        <v>171</v>
      </c>
      <c r="D770" s="5" t="s">
        <v>21</v>
      </c>
      <c r="E770" s="5" t="s">
        <v>44</v>
      </c>
      <c r="F770" s="5" t="s">
        <v>100</v>
      </c>
      <c r="G770" s="5" t="s">
        <v>69</v>
      </c>
      <c r="H770" s="9" t="s">
        <v>172</v>
      </c>
      <c r="I770" s="10"/>
      <c r="J770" s="10">
        <v>44757</v>
      </c>
      <c r="K770" s="5" t="s">
        <v>173</v>
      </c>
      <c r="L770" s="5" t="s">
        <v>58</v>
      </c>
      <c r="M770" s="11">
        <v>0.14999999999999999</v>
      </c>
      <c r="N770" s="5" t="e">
        <f>IF(AND(M770&gt;#REF!,Cartera!O770="Guaraníes"),"Rendimiento significativo",IF(AND(M770&gt;#REF!,Cartera!O770="Dólares americanos"),"Rendimiento significativo","Rendimiento no significativo"))</f>
        <v>#REF!</v>
      </c>
      <c r="O770" s="5" t="s">
        <v>41</v>
      </c>
      <c r="P770" s="12">
        <v>673150.684932</v>
      </c>
      <c r="Q770" s="12">
        <f>IF(O770="Guaraníes",P770,P770*#REF!)</f>
        <v>673150.684932</v>
      </c>
      <c r="R770" s="12" t="e">
        <f>IF(O770="Guaraníes",P770/#REF!,P770)</f>
        <v>#REF!</v>
      </c>
      <c r="S770" s="5" t="s">
        <v>52</v>
      </c>
      <c r="T770" s="5">
        <v>593</v>
      </c>
      <c r="W770" s="5" t="s">
        <v>137</v>
      </c>
      <c r="X770" s="5">
        <v>0</v>
      </c>
      <c r="Y770" s="5">
        <v>0</v>
      </c>
      <c r="Z770" s="5">
        <v>74794.520548</v>
      </c>
      <c r="AA770" s="5">
        <v>9</v>
      </c>
      <c r="AB770" s="5">
        <v>673150.684932</v>
      </c>
      <c r="AC770" s="5" t="str">
        <f t="shared" si="40"/>
        <v>Bonos</v>
      </c>
      <c r="AD770" s="5" t="s">
        <v>43</v>
      </c>
      <c r="AE770" s="5">
        <f t="shared" si="38"/>
        <v>7</v>
      </c>
      <c r="AF770" s="5">
        <f t="shared" si="39"/>
        <v>2022</v>
      </c>
    </row>
    <row r="771" s="5" customFormat="1" ht="13">
      <c r="A771" s="5" t="s">
        <v>44</v>
      </c>
      <c r="B771" s="5" t="s">
        <v>44</v>
      </c>
      <c r="C771" s="5" t="s">
        <v>143</v>
      </c>
      <c r="D771" s="5" t="s">
        <v>21</v>
      </c>
      <c r="E771" s="5" t="s">
        <v>44</v>
      </c>
      <c r="F771" s="5" t="s">
        <v>144</v>
      </c>
      <c r="G771" s="5" t="s">
        <v>145</v>
      </c>
      <c r="H771" s="9" t="s">
        <v>272</v>
      </c>
      <c r="I771" s="10">
        <v>43532</v>
      </c>
      <c r="J771" s="10">
        <v>44771</v>
      </c>
      <c r="K771" s="5" t="s">
        <v>49</v>
      </c>
      <c r="L771" s="5" t="s">
        <v>106</v>
      </c>
      <c r="M771" s="11">
        <v>0.057500000000000002</v>
      </c>
      <c r="N771" s="5" t="e">
        <f>IF(AND(M771&gt;#REF!,Cartera!O771="Guaraníes"),"Rendimiento significativo",IF(AND(M771&gt;#REF!,Cartera!O771="Dólares americanos"),"Rendimiento significativo","Rendimiento no significativo"))</f>
        <v>#REF!</v>
      </c>
      <c r="O771" s="5" t="s">
        <v>51</v>
      </c>
      <c r="P771" s="13">
        <v>45.684930000000001</v>
      </c>
      <c r="Q771" s="12" t="e">
        <f>IF(O771="Guaraníes",P771,P771*#REF!)</f>
        <v>#REF!</v>
      </c>
      <c r="R771" s="12">
        <f>IF(O771="Guaraníes",P771/#REF!,P771)</f>
        <v>45.684930000000001</v>
      </c>
      <c r="S771" s="5" t="s">
        <v>52</v>
      </c>
      <c r="T771" s="5">
        <v>1057</v>
      </c>
      <c r="W771" s="5" t="s">
        <v>65</v>
      </c>
      <c r="X771" s="5">
        <v>0</v>
      </c>
      <c r="Y771" s="5">
        <v>0</v>
      </c>
      <c r="Z771" s="5">
        <v>4.5684930000000001</v>
      </c>
      <c r="AA771" s="5">
        <v>10</v>
      </c>
      <c r="AB771" s="5">
        <v>45.684930000000001</v>
      </c>
      <c r="AC771" s="5" t="str">
        <f t="shared" si="40"/>
        <v>Bonos</v>
      </c>
      <c r="AD771" s="5" t="s">
        <v>43</v>
      </c>
      <c r="AE771" s="5">
        <f t="shared" si="38"/>
        <v>7</v>
      </c>
      <c r="AF771" s="5">
        <f t="shared" si="39"/>
        <v>2022</v>
      </c>
    </row>
    <row r="772" s="5" customFormat="1" ht="13">
      <c r="A772" s="5" t="s">
        <v>44</v>
      </c>
      <c r="B772" s="5" t="s">
        <v>44</v>
      </c>
      <c r="C772" s="5" t="s">
        <v>143</v>
      </c>
      <c r="D772" s="5" t="s">
        <v>21</v>
      </c>
      <c r="E772" s="5" t="s">
        <v>44</v>
      </c>
      <c r="F772" s="5" t="s">
        <v>144</v>
      </c>
      <c r="G772" s="5" t="s">
        <v>145</v>
      </c>
      <c r="H772" s="9" t="s">
        <v>146</v>
      </c>
      <c r="I772" s="10"/>
      <c r="J772" s="10">
        <v>44771</v>
      </c>
      <c r="K772" s="5" t="s">
        <v>49</v>
      </c>
      <c r="L772" s="5" t="s">
        <v>106</v>
      </c>
      <c r="M772" s="11">
        <v>0.060999999999999999</v>
      </c>
      <c r="N772" s="5" t="e">
        <f>IF(AND(M772&gt;#REF!,Cartera!O772="Guaraníes"),"Rendimiento significativo",IF(AND(M772&gt;#REF!,Cartera!O772="Dólares americanos"),"Rendimiento significativo","Rendimiento no significativo"))</f>
        <v>#REF!</v>
      </c>
      <c r="O772" s="5" t="s">
        <v>51</v>
      </c>
      <c r="P772" s="13">
        <v>193.863</v>
      </c>
      <c r="Q772" s="12" t="e">
        <f>IF(O772="Guaraníes",P772,P772*#REF!)</f>
        <v>#REF!</v>
      </c>
      <c r="R772" s="12">
        <f>IF(O772="Guaraníes",P772/#REF!,P772)</f>
        <v>193.863</v>
      </c>
      <c r="S772" s="5" t="s">
        <v>52</v>
      </c>
      <c r="T772" s="5">
        <v>1057</v>
      </c>
      <c r="W772" s="5" t="s">
        <v>65</v>
      </c>
      <c r="X772" s="5">
        <v>0</v>
      </c>
      <c r="Y772" s="5">
        <v>0</v>
      </c>
      <c r="Z772" s="5">
        <v>4.8465749999999996</v>
      </c>
      <c r="AA772" s="5">
        <v>40</v>
      </c>
      <c r="AB772" s="5">
        <v>193.863</v>
      </c>
      <c r="AC772" s="5" t="str">
        <f t="shared" si="40"/>
        <v>Bonos</v>
      </c>
      <c r="AD772" s="5" t="s">
        <v>43</v>
      </c>
      <c r="AE772" s="5">
        <f t="shared" si="38"/>
        <v>7</v>
      </c>
      <c r="AF772" s="5">
        <f t="shared" si="39"/>
        <v>2022</v>
      </c>
    </row>
    <row r="773" s="5" customFormat="1" ht="13">
      <c r="A773" s="5" t="s">
        <v>44</v>
      </c>
      <c r="B773" s="5" t="s">
        <v>44</v>
      </c>
      <c r="C773" s="5" t="s">
        <v>33</v>
      </c>
      <c r="D773" s="5" t="s">
        <v>21</v>
      </c>
      <c r="E773" s="5" t="s">
        <v>44</v>
      </c>
      <c r="F773" s="5" t="s">
        <v>35</v>
      </c>
      <c r="G773" s="5" t="s">
        <v>75</v>
      </c>
      <c r="H773" s="9" t="s">
        <v>168</v>
      </c>
      <c r="I773" s="10"/>
      <c r="J773" s="10">
        <v>44782</v>
      </c>
      <c r="K773" s="5" t="s">
        <v>39</v>
      </c>
      <c r="L773" s="5" t="s">
        <v>50</v>
      </c>
      <c r="M773" s="11">
        <v>0.070000000000000007</v>
      </c>
      <c r="N773" s="5" t="e">
        <f>IF(AND(M773&gt;#REF!,Cartera!O773="Guaraníes"),"Rendimiento significativo",IF(AND(M773&gt;#REF!,Cartera!O773="Dólares americanos"),"Rendimiento significativo","Rendimiento no significativo"))</f>
        <v>#REF!</v>
      </c>
      <c r="O773" s="5" t="s">
        <v>51</v>
      </c>
      <c r="P773" s="13">
        <v>1221.6438500000002</v>
      </c>
      <c r="Q773" s="12" t="e">
        <f>IF(O773="Guaraníes",P773,P773*#REF!)</f>
        <v>#REF!</v>
      </c>
      <c r="R773" s="12">
        <f>IF(O773="Guaraníes",P773/#REF!,P773)</f>
        <v>1221.6438500000002</v>
      </c>
      <c r="S773" s="5" t="s">
        <v>52</v>
      </c>
      <c r="T773" s="5">
        <v>25</v>
      </c>
      <c r="W773" s="5" t="s">
        <v>65</v>
      </c>
      <c r="X773" s="5">
        <v>0</v>
      </c>
      <c r="Y773" s="5">
        <v>0</v>
      </c>
      <c r="Z773" s="5">
        <v>17.452055000000001</v>
      </c>
      <c r="AA773" s="5">
        <v>70</v>
      </c>
      <c r="AB773" s="5">
        <v>1221.6438499999999</v>
      </c>
      <c r="AC773" s="5" t="str">
        <f t="shared" si="40"/>
        <v>Bonos</v>
      </c>
      <c r="AD773" s="5" t="s">
        <v>43</v>
      </c>
      <c r="AE773" s="5">
        <f t="shared" si="38"/>
        <v>8</v>
      </c>
      <c r="AF773" s="5">
        <f t="shared" si="39"/>
        <v>2022</v>
      </c>
    </row>
    <row r="774" s="5" customFormat="1" ht="13">
      <c r="A774" s="5" t="s">
        <v>44</v>
      </c>
      <c r="B774" s="5" t="s">
        <v>44</v>
      </c>
      <c r="C774" s="5" t="s">
        <v>114</v>
      </c>
      <c r="D774" s="5" t="s">
        <v>21</v>
      </c>
      <c r="E774" s="5" t="s">
        <v>44</v>
      </c>
      <c r="F774" s="5" t="s">
        <v>68</v>
      </c>
      <c r="G774" s="5" t="s">
        <v>75</v>
      </c>
      <c r="H774" s="9" t="s">
        <v>170</v>
      </c>
      <c r="I774" s="10"/>
      <c r="J774" s="10">
        <v>44789</v>
      </c>
      <c r="K774" s="5" t="s">
        <v>77</v>
      </c>
      <c r="L774" s="5" t="s">
        <v>50</v>
      </c>
      <c r="M774" s="11">
        <v>0.14000000000000001</v>
      </c>
      <c r="N774" s="5" t="e">
        <f>IF(AND(M774&gt;#REF!,Cartera!O774="Guaraníes"),"Rendimiento significativo",IF(AND(M774&gt;#REF!,Cartera!O774="Dólares americanos"),"Rendimiento significativo","Rendimiento no significativo"))</f>
        <v>#REF!</v>
      </c>
      <c r="O774" s="5" t="s">
        <v>41</v>
      </c>
      <c r="P774" s="12">
        <v>3490410.9589</v>
      </c>
      <c r="Q774" s="12">
        <f>IF(O774="Guaraníes",P774,P774*#REF!)</f>
        <v>3490410.9589</v>
      </c>
      <c r="R774" s="12" t="e">
        <f>IF(O774="Guaraníes",P774/#REF!,P774)</f>
        <v>#REF!</v>
      </c>
      <c r="S774" s="5" t="s">
        <v>52</v>
      </c>
      <c r="T774" s="5">
        <v>25</v>
      </c>
      <c r="W774" s="5" t="s">
        <v>65</v>
      </c>
      <c r="X774" s="5">
        <v>0</v>
      </c>
      <c r="Y774" s="5">
        <v>0</v>
      </c>
      <c r="Z774" s="5">
        <v>34904.109589</v>
      </c>
      <c r="AA774" s="5">
        <v>100</v>
      </c>
      <c r="AB774" s="5">
        <v>3490410.9589</v>
      </c>
      <c r="AC774" s="5" t="str">
        <f t="shared" si="40"/>
        <v>Bonos</v>
      </c>
      <c r="AD774" s="5" t="s">
        <v>43</v>
      </c>
      <c r="AE774" s="5">
        <f t="shared" si="38"/>
        <v>8</v>
      </c>
      <c r="AF774" s="5">
        <f t="shared" si="39"/>
        <v>2022</v>
      </c>
    </row>
    <row r="775" s="5" customFormat="1" ht="13">
      <c r="A775" s="5" t="s">
        <v>44</v>
      </c>
      <c r="B775" s="5" t="s">
        <v>44</v>
      </c>
      <c r="C775" s="5" t="s">
        <v>99</v>
      </c>
      <c r="D775" s="5" t="s">
        <v>21</v>
      </c>
      <c r="E775" s="5" t="s">
        <v>44</v>
      </c>
      <c r="F775" s="5" t="s">
        <v>100</v>
      </c>
      <c r="G775" s="5" t="s">
        <v>75</v>
      </c>
      <c r="H775" s="9" t="s">
        <v>159</v>
      </c>
      <c r="I775" s="10"/>
      <c r="J775" s="10">
        <v>44807</v>
      </c>
      <c r="K775" s="5" t="s">
        <v>102</v>
      </c>
      <c r="L775" s="5" t="s">
        <v>102</v>
      </c>
      <c r="M775" s="11">
        <v>0.078</v>
      </c>
      <c r="N775" s="5" t="e">
        <f>IF(AND(M775&gt;#REF!,Cartera!O775="Guaraníes"),"Rendimiento significativo",IF(AND(M775&gt;#REF!,Cartera!O775="Dólares americanos"),"Rendimiento significativo","Rendimiento no significativo"))</f>
        <v>#REF!</v>
      </c>
      <c r="O775" s="5" t="s">
        <v>41</v>
      </c>
      <c r="P775" s="12">
        <v>31200000</v>
      </c>
      <c r="Q775" s="12">
        <f>IF(O775="Guaraníes",P775,P775*#REF!)</f>
        <v>31200000</v>
      </c>
      <c r="R775" s="12" t="e">
        <f>IF(O775="Guaraníes",P775/#REF!,P775)</f>
        <v>#REF!</v>
      </c>
      <c r="S775" s="5" t="s">
        <v>52</v>
      </c>
      <c r="T775" s="5">
        <v>25</v>
      </c>
      <c r="W775" s="5" t="s">
        <v>65</v>
      </c>
      <c r="X775" s="5">
        <v>0</v>
      </c>
      <c r="Y775" s="5">
        <v>0</v>
      </c>
      <c r="Z775" s="5">
        <v>39000</v>
      </c>
      <c r="AA775" s="5">
        <v>800</v>
      </c>
      <c r="AB775" s="5">
        <v>31200000</v>
      </c>
      <c r="AC775" s="5" t="str">
        <f t="shared" si="40"/>
        <v>Bonos</v>
      </c>
      <c r="AD775" s="5" t="s">
        <v>43</v>
      </c>
      <c r="AE775" s="5">
        <f t="shared" si="38"/>
        <v>9</v>
      </c>
      <c r="AF775" s="5">
        <f t="shared" si="39"/>
        <v>2022</v>
      </c>
    </row>
    <row r="776" s="5" customFormat="1" ht="13">
      <c r="A776" s="5" t="s">
        <v>44</v>
      </c>
      <c r="B776" s="5" t="s">
        <v>44</v>
      </c>
      <c r="C776" s="5" t="s">
        <v>33</v>
      </c>
      <c r="D776" s="5" t="s">
        <v>21</v>
      </c>
      <c r="E776" s="5" t="s">
        <v>44</v>
      </c>
      <c r="F776" s="5" t="s">
        <v>35</v>
      </c>
      <c r="G776" s="5" t="s">
        <v>75</v>
      </c>
      <c r="H776" s="9" t="s">
        <v>186</v>
      </c>
      <c r="I776" s="10"/>
      <c r="J776" s="10">
        <v>44818</v>
      </c>
      <c r="K776" s="5" t="s">
        <v>39</v>
      </c>
      <c r="L776" s="5" t="s">
        <v>50</v>
      </c>
      <c r="M776" s="11">
        <v>0.044999999999999998</v>
      </c>
      <c r="N776" s="5" t="e">
        <f>IF(AND(M776&gt;#REF!,Cartera!O776="Guaraníes"),"Rendimiento significativo",IF(AND(M776&gt;#REF!,Cartera!O776="Dólares americanos"),"Rendimiento significativo","Rendimiento no significativo"))</f>
        <v>#REF!</v>
      </c>
      <c r="O776" s="5" t="s">
        <v>51</v>
      </c>
      <c r="P776" s="13">
        <v>336.57533999999998</v>
      </c>
      <c r="Q776" s="12" t="e">
        <f>IF(O776="Guaraníes",P776,P776*#REF!)</f>
        <v>#REF!</v>
      </c>
      <c r="R776" s="12">
        <f>IF(O776="Guaraníes",P776/#REF!,P776)</f>
        <v>336.57533999999998</v>
      </c>
      <c r="S776" s="5" t="s">
        <v>52</v>
      </c>
      <c r="T776" s="5">
        <v>25</v>
      </c>
      <c r="W776" s="5" t="s">
        <v>65</v>
      </c>
      <c r="X776" s="5">
        <v>0</v>
      </c>
      <c r="Y776" s="5">
        <v>0</v>
      </c>
      <c r="Z776" s="5">
        <v>11.219177999999999</v>
      </c>
      <c r="AA776" s="5">
        <v>30</v>
      </c>
      <c r="AB776" s="5">
        <v>336.57533999999998</v>
      </c>
      <c r="AC776" s="5" t="str">
        <f t="shared" si="40"/>
        <v>Bonos</v>
      </c>
      <c r="AD776" s="5" t="s">
        <v>43</v>
      </c>
      <c r="AE776" s="5">
        <f t="shared" si="38"/>
        <v>9</v>
      </c>
      <c r="AF776" s="5">
        <f t="shared" si="39"/>
        <v>2022</v>
      </c>
    </row>
    <row r="777" s="5" customFormat="1" ht="13">
      <c r="A777" s="5" t="s">
        <v>44</v>
      </c>
      <c r="B777" s="5" t="s">
        <v>44</v>
      </c>
      <c r="C777" s="5" t="s">
        <v>114</v>
      </c>
      <c r="D777" s="5" t="s">
        <v>21</v>
      </c>
      <c r="E777" s="5" t="s">
        <v>44</v>
      </c>
      <c r="F777" s="5" t="s">
        <v>68</v>
      </c>
      <c r="G777" s="5" t="s">
        <v>75</v>
      </c>
      <c r="H777" s="9" t="s">
        <v>236</v>
      </c>
      <c r="I777" s="10"/>
      <c r="J777" s="10">
        <v>44819</v>
      </c>
      <c r="K777" s="5" t="s">
        <v>77</v>
      </c>
      <c r="L777" s="5" t="s">
        <v>50</v>
      </c>
      <c r="M777" s="11">
        <v>0.14749999999999999</v>
      </c>
      <c r="N777" s="5" t="e">
        <f>IF(AND(M777&gt;#REF!,Cartera!O777="Guaraníes"),"Rendimiento significativo",IF(AND(M777&gt;#REF!,Cartera!O777="Dólares americanos"),"Rendimiento significativo","Rendimiento no significativo"))</f>
        <v>#REF!</v>
      </c>
      <c r="O777" s="5" t="s">
        <v>41</v>
      </c>
      <c r="P777" s="12">
        <v>112191.780822</v>
      </c>
      <c r="Q777" s="12">
        <f>IF(O777="Guaraníes",P777,P777*#REF!)</f>
        <v>112191.780822</v>
      </c>
      <c r="R777" s="12" t="e">
        <f>IF(O777="Guaraníes",P777/#REF!,P777)</f>
        <v>#REF!</v>
      </c>
      <c r="S777" s="5" t="s">
        <v>52</v>
      </c>
      <c r="T777" s="5">
        <v>25</v>
      </c>
      <c r="W777" s="5" t="s">
        <v>65</v>
      </c>
      <c r="X777" s="5">
        <v>0</v>
      </c>
      <c r="Y777" s="5">
        <v>0</v>
      </c>
      <c r="Z777" s="5">
        <v>37397.260274</v>
      </c>
      <c r="AA777" s="5">
        <v>3</v>
      </c>
      <c r="AB777" s="5">
        <v>112191.780822</v>
      </c>
      <c r="AC777" s="5" t="str">
        <f t="shared" si="40"/>
        <v>Bonos</v>
      </c>
      <c r="AD777" s="5" t="s">
        <v>43</v>
      </c>
      <c r="AE777" s="5">
        <f t="shared" si="38"/>
        <v>9</v>
      </c>
      <c r="AF777" s="5">
        <f t="shared" si="39"/>
        <v>2022</v>
      </c>
    </row>
    <row r="778" s="5" customFormat="1" ht="13">
      <c r="A778" s="5" t="s">
        <v>44</v>
      </c>
      <c r="B778" s="5" t="s">
        <v>44</v>
      </c>
      <c r="C778" s="5" t="s">
        <v>54</v>
      </c>
      <c r="D778" s="5" t="s">
        <v>21</v>
      </c>
      <c r="E778" s="5" t="s">
        <v>44</v>
      </c>
      <c r="F778" s="5" t="s">
        <v>46</v>
      </c>
      <c r="G778" s="5" t="s">
        <v>75</v>
      </c>
      <c r="H778" s="9" t="s">
        <v>147</v>
      </c>
      <c r="I778" s="10"/>
      <c r="J778" s="10">
        <v>44830</v>
      </c>
      <c r="K778" s="5" t="s">
        <v>57</v>
      </c>
      <c r="L778" s="5" t="s">
        <v>58</v>
      </c>
      <c r="M778" s="11">
        <v>0.12</v>
      </c>
      <c r="N778" s="5" t="e">
        <f>IF(AND(M778&gt;#REF!,Cartera!O778="Guaraníes"),"Rendimiento significativo",IF(AND(M778&gt;#REF!,Cartera!O778="Dólares americanos"),"Rendimiento significativo","Rendimiento no significativo"))</f>
        <v>#REF!</v>
      </c>
      <c r="O778" s="5" t="s">
        <v>41</v>
      </c>
      <c r="P778" s="12">
        <v>4487671.2328500003</v>
      </c>
      <c r="Q778" s="12">
        <f>IF(O778="Guaraníes",P778,P778*#REF!)</f>
        <v>4487671.2328500003</v>
      </c>
      <c r="R778" s="12" t="e">
        <f>IF(O778="Guaraníes",P778/#REF!,P778)</f>
        <v>#REF!</v>
      </c>
      <c r="S778" s="5" t="s">
        <v>52</v>
      </c>
      <c r="T778" s="5">
        <v>25</v>
      </c>
      <c r="W778" s="5" t="s">
        <v>192</v>
      </c>
      <c r="X778" s="5">
        <v>0</v>
      </c>
      <c r="Y778" s="5">
        <v>0</v>
      </c>
      <c r="Z778" s="5">
        <v>29917.808218999999</v>
      </c>
      <c r="AA778" s="5">
        <v>150</v>
      </c>
      <c r="AB778" s="5">
        <v>4487671.2328500003</v>
      </c>
      <c r="AC778" s="5" t="str">
        <f t="shared" si="40"/>
        <v>Bonos</v>
      </c>
      <c r="AD778" s="5" t="s">
        <v>43</v>
      </c>
      <c r="AE778" s="5">
        <f t="shared" si="38"/>
        <v>9</v>
      </c>
      <c r="AF778" s="5">
        <f t="shared" si="39"/>
        <v>2022</v>
      </c>
    </row>
    <row r="779" s="5" customFormat="1" ht="13">
      <c r="A779" s="5" t="s">
        <v>44</v>
      </c>
      <c r="B779" s="5" t="s">
        <v>44</v>
      </c>
      <c r="C779" s="5" t="s">
        <v>114</v>
      </c>
      <c r="D779" s="5" t="s">
        <v>21</v>
      </c>
      <c r="E779" s="5" t="s">
        <v>44</v>
      </c>
      <c r="F779" s="5" t="s">
        <v>68</v>
      </c>
      <c r="G779" s="5" t="s">
        <v>75</v>
      </c>
      <c r="H779" s="9" t="s">
        <v>237</v>
      </c>
      <c r="I779" s="10"/>
      <c r="J779" s="10">
        <v>44831</v>
      </c>
      <c r="K779" s="5" t="s">
        <v>77</v>
      </c>
      <c r="L779" s="5" t="s">
        <v>50</v>
      </c>
      <c r="M779" s="11">
        <v>0.13750000000000001</v>
      </c>
      <c r="N779" s="5" t="e">
        <f>IF(AND(M779&gt;#REF!,Cartera!O779="Guaraníes"),"Rendimiento significativo",IF(AND(M779&gt;#REF!,Cartera!O779="Dólares americanos"),"Rendimiento significativo","Rendimiento no significativo"))</f>
        <v>#REF!</v>
      </c>
      <c r="O779" s="5" t="s">
        <v>41</v>
      </c>
      <c r="P779" s="12">
        <v>685616.43836000003</v>
      </c>
      <c r="Q779" s="12">
        <f>IF(O779="Guaraníes",P779,P779*#REF!)</f>
        <v>685616.43836000003</v>
      </c>
      <c r="R779" s="12" t="e">
        <f>IF(O779="Guaraníes",P779/#REF!,P779)</f>
        <v>#REF!</v>
      </c>
      <c r="S779" s="5" t="s">
        <v>52</v>
      </c>
      <c r="T779" s="5">
        <v>25</v>
      </c>
      <c r="W779" s="5" t="s">
        <v>65</v>
      </c>
      <c r="X779" s="5">
        <v>0</v>
      </c>
      <c r="Y779" s="5">
        <v>0</v>
      </c>
      <c r="Z779" s="5">
        <v>34280.821918000001</v>
      </c>
      <c r="AA779" s="5">
        <v>20</v>
      </c>
      <c r="AB779" s="5">
        <v>685616.43836000003</v>
      </c>
      <c r="AC779" s="5" t="str">
        <f t="shared" si="40"/>
        <v>Bonos</v>
      </c>
      <c r="AD779" s="5" t="s">
        <v>43</v>
      </c>
      <c r="AE779" s="5">
        <f t="shared" si="38"/>
        <v>9</v>
      </c>
      <c r="AF779" s="5">
        <f t="shared" si="39"/>
        <v>2022</v>
      </c>
    </row>
    <row r="780" s="5" customFormat="1" ht="13">
      <c r="A780" s="5" t="s">
        <v>44</v>
      </c>
      <c r="B780" s="5" t="s">
        <v>44</v>
      </c>
      <c r="C780" s="5" t="s">
        <v>33</v>
      </c>
      <c r="D780" s="5" t="s">
        <v>21</v>
      </c>
      <c r="E780" s="5" t="s">
        <v>44</v>
      </c>
      <c r="F780" s="5" t="s">
        <v>35</v>
      </c>
      <c r="G780" s="5" t="s">
        <v>75</v>
      </c>
      <c r="H780" s="9" t="s">
        <v>257</v>
      </c>
      <c r="I780" s="10"/>
      <c r="J780" s="10">
        <v>44833</v>
      </c>
      <c r="K780" s="5" t="s">
        <v>39</v>
      </c>
      <c r="L780" s="5" t="s">
        <v>106</v>
      </c>
      <c r="M780" s="11">
        <v>0.0625</v>
      </c>
      <c r="N780" s="5" t="e">
        <f>IF(AND(M780&gt;#REF!,Cartera!O780="Guaraníes"),"Rendimiento significativo",IF(AND(M780&gt;#REF!,Cartera!O780="Dólares americanos"),"Rendimiento significativo","Rendimiento no significativo"))</f>
        <v>#REF!</v>
      </c>
      <c r="O780" s="5" t="s">
        <v>51</v>
      </c>
      <c r="P780" s="13">
        <v>623.28767999999991</v>
      </c>
      <c r="Q780" s="12" t="e">
        <f>IF(O780="Guaraníes",P780,P780*#REF!)</f>
        <v>#REF!</v>
      </c>
      <c r="R780" s="12">
        <f>IF(O780="Guaraníes",P780/#REF!,P780)</f>
        <v>623.28767999999991</v>
      </c>
      <c r="S780" s="5" t="s">
        <v>52</v>
      </c>
      <c r="T780" s="5">
        <v>25</v>
      </c>
      <c r="W780" s="5" t="s">
        <v>218</v>
      </c>
      <c r="X780" s="5">
        <v>0</v>
      </c>
      <c r="Y780" s="5">
        <v>0</v>
      </c>
      <c r="Z780" s="5">
        <v>15.582191999999999</v>
      </c>
      <c r="AA780" s="5">
        <v>40</v>
      </c>
      <c r="AB780" s="5">
        <v>623.28768000000002</v>
      </c>
      <c r="AC780" s="5" t="str">
        <f t="shared" si="40"/>
        <v>Bonos</v>
      </c>
      <c r="AD780" s="5" t="s">
        <v>43</v>
      </c>
      <c r="AE780" s="5">
        <f t="shared" si="38"/>
        <v>9</v>
      </c>
      <c r="AF780" s="5">
        <f t="shared" si="39"/>
        <v>2022</v>
      </c>
    </row>
    <row r="781" s="5" customFormat="1" ht="13">
      <c r="A781" s="5" t="s">
        <v>44</v>
      </c>
      <c r="B781" s="5" t="s">
        <v>44</v>
      </c>
      <c r="C781" s="5" t="s">
        <v>74</v>
      </c>
      <c r="D781" s="5" t="s">
        <v>21</v>
      </c>
      <c r="E781" s="5" t="s">
        <v>44</v>
      </c>
      <c r="F781" s="5" t="s">
        <v>68</v>
      </c>
      <c r="G781" s="5" t="s">
        <v>75</v>
      </c>
      <c r="H781" s="9" t="s">
        <v>76</v>
      </c>
      <c r="I781" s="10"/>
      <c r="J781" s="10">
        <v>44837</v>
      </c>
      <c r="K781" s="5" t="s">
        <v>77</v>
      </c>
      <c r="L781" s="5" t="s">
        <v>50</v>
      </c>
      <c r="M781" s="11">
        <v>0.055</v>
      </c>
      <c r="N781" s="5" t="e">
        <f>IF(AND(M781&gt;#REF!,Cartera!O781="Guaraníes"),"Rendimiento significativo",IF(AND(M781&gt;#REF!,Cartera!O781="Dólares americanos"),"Rendimiento significativo","Rendimiento no significativo"))</f>
        <v>#REF!</v>
      </c>
      <c r="O781" s="5" t="s">
        <v>51</v>
      </c>
      <c r="P781" s="13">
        <v>424.93151999999998</v>
      </c>
      <c r="Q781" s="12" t="e">
        <f>IF(O781="Guaraníes",P781,P781*#REF!)</f>
        <v>#REF!</v>
      </c>
      <c r="R781" s="12">
        <f>IF(O781="Guaraníes",P781/#REF!,P781)</f>
        <v>424.93151999999998</v>
      </c>
      <c r="S781" s="5" t="s">
        <v>52</v>
      </c>
      <c r="T781" s="5">
        <v>25</v>
      </c>
      <c r="W781" s="5" t="s">
        <v>65</v>
      </c>
      <c r="X781" s="5">
        <v>0</v>
      </c>
      <c r="Y781" s="5">
        <v>0</v>
      </c>
      <c r="Z781" s="5">
        <v>14.164384</v>
      </c>
      <c r="AA781" s="5">
        <v>30</v>
      </c>
      <c r="AB781" s="5">
        <v>424.93000000000001</v>
      </c>
      <c r="AC781" s="5" t="str">
        <f t="shared" si="40"/>
        <v>Bonos</v>
      </c>
      <c r="AD781" s="5" t="s">
        <v>43</v>
      </c>
      <c r="AE781" s="5">
        <f t="shared" si="38"/>
        <v>10</v>
      </c>
      <c r="AF781" s="5">
        <f t="shared" si="39"/>
        <v>2022</v>
      </c>
    </row>
    <row r="782" s="5" customFormat="1" ht="13">
      <c r="A782" s="5" t="s">
        <v>44</v>
      </c>
      <c r="B782" s="5" t="s">
        <v>44</v>
      </c>
      <c r="C782" s="5" t="s">
        <v>156</v>
      </c>
      <c r="D782" s="5" t="s">
        <v>21</v>
      </c>
      <c r="E782" s="5" t="s">
        <v>44</v>
      </c>
      <c r="F782" s="5" t="s">
        <v>68</v>
      </c>
      <c r="G782" s="5" t="s">
        <v>75</v>
      </c>
      <c r="H782" s="9" t="s">
        <v>157</v>
      </c>
      <c r="I782" s="10"/>
      <c r="J782" s="10">
        <v>44845</v>
      </c>
      <c r="K782" s="5" t="s">
        <v>158</v>
      </c>
      <c r="L782" s="5" t="s">
        <v>58</v>
      </c>
      <c r="M782" s="11">
        <v>0.16</v>
      </c>
      <c r="N782" s="5" t="e">
        <f>IF(AND(M782&gt;#REF!,Cartera!O782="Guaraníes"),"Rendimiento significativo",IF(AND(M782&gt;#REF!,Cartera!O782="Dólares americanos"),"Rendimiento significativo","Rendimiento no significativo"))</f>
        <v>#REF!</v>
      </c>
      <c r="O782" s="5" t="s">
        <v>41</v>
      </c>
      <c r="P782" s="12">
        <v>4188493.15068</v>
      </c>
      <c r="Q782" s="12">
        <f>IF(O782="Guaraníes",P782,P782*#REF!)</f>
        <v>4188493.15068</v>
      </c>
      <c r="R782" s="12" t="e">
        <f>IF(O782="Guaraníes",P782/#REF!,P782)</f>
        <v>#REF!</v>
      </c>
      <c r="S782" s="5" t="s">
        <v>52</v>
      </c>
      <c r="T782" s="5">
        <v>25</v>
      </c>
      <c r="W782" s="5" t="s">
        <v>53</v>
      </c>
      <c r="X782" s="5">
        <v>0</v>
      </c>
      <c r="Y782" s="5">
        <v>0</v>
      </c>
      <c r="Z782" s="5">
        <v>34904.109589</v>
      </c>
      <c r="AA782" s="5">
        <v>120</v>
      </c>
      <c r="AB782" s="5">
        <v>4188493.15068</v>
      </c>
      <c r="AC782" s="5" t="str">
        <f t="shared" si="40"/>
        <v>Bonos</v>
      </c>
      <c r="AD782" s="5" t="s">
        <v>43</v>
      </c>
      <c r="AE782" s="5">
        <f t="shared" si="38"/>
        <v>10</v>
      </c>
      <c r="AF782" s="5">
        <f t="shared" si="39"/>
        <v>2022</v>
      </c>
    </row>
    <row r="783" s="5" customFormat="1" ht="13">
      <c r="A783" s="5" t="s">
        <v>44</v>
      </c>
      <c r="B783" s="5" t="s">
        <v>44</v>
      </c>
      <c r="C783" s="5" t="s">
        <v>197</v>
      </c>
      <c r="D783" s="5" t="s">
        <v>21</v>
      </c>
      <c r="E783" s="5" t="s">
        <v>44</v>
      </c>
      <c r="F783" s="5" t="s">
        <v>68</v>
      </c>
      <c r="G783" s="5" t="s">
        <v>75</v>
      </c>
      <c r="H783" s="9" t="s">
        <v>198</v>
      </c>
      <c r="I783" s="10"/>
      <c r="J783" s="10">
        <v>44847</v>
      </c>
      <c r="K783" s="5" t="s">
        <v>199</v>
      </c>
      <c r="L783" s="5" t="s">
        <v>58</v>
      </c>
      <c r="M783" s="11">
        <v>0.10000000000000001</v>
      </c>
      <c r="N783" s="5" t="e">
        <f>IF(AND(M783&gt;#REF!,Cartera!O783="Guaraníes"),"Rendimiento significativo",IF(AND(M783&gt;#REF!,Cartera!O783="Dólares americanos"),"Rendimiento significativo","Rendimiento no significativo"))</f>
        <v>#REF!</v>
      </c>
      <c r="O783" s="5" t="s">
        <v>41</v>
      </c>
      <c r="P783" s="12">
        <v>1421095.8903930001</v>
      </c>
      <c r="Q783" s="12">
        <f>IF(O783="Guaraníes",P783,P783*#REF!)</f>
        <v>1421095.8903930001</v>
      </c>
      <c r="R783" s="12" t="e">
        <f>IF(O783="Guaraníes",P783/#REF!,P783)</f>
        <v>#REF!</v>
      </c>
      <c r="S783" s="5" t="s">
        <v>52</v>
      </c>
      <c r="T783" s="5">
        <v>25</v>
      </c>
      <c r="W783" s="5" t="s">
        <v>200</v>
      </c>
      <c r="X783" s="5">
        <v>0</v>
      </c>
      <c r="Y783" s="5">
        <v>0</v>
      </c>
      <c r="Z783" s="5">
        <v>24931.506849000001</v>
      </c>
      <c r="AA783" s="5">
        <v>57</v>
      </c>
      <c r="AB783" s="5">
        <v>1421095.8903930001</v>
      </c>
      <c r="AC783" s="5" t="str">
        <f t="shared" si="40"/>
        <v>Bonos</v>
      </c>
      <c r="AD783" s="5" t="s">
        <v>43</v>
      </c>
      <c r="AE783" s="5">
        <f t="shared" si="38"/>
        <v>10</v>
      </c>
      <c r="AF783" s="5">
        <f t="shared" si="39"/>
        <v>2022</v>
      </c>
    </row>
    <row r="784" s="5" customFormat="1" ht="13">
      <c r="A784" s="5" t="s">
        <v>44</v>
      </c>
      <c r="B784" s="5" t="s">
        <v>44</v>
      </c>
      <c r="C784" s="5" t="s">
        <v>114</v>
      </c>
      <c r="D784" s="5" t="s">
        <v>21</v>
      </c>
      <c r="E784" s="5" t="s">
        <v>44</v>
      </c>
      <c r="F784" s="5" t="s">
        <v>68</v>
      </c>
      <c r="G784" s="5" t="s">
        <v>75</v>
      </c>
      <c r="H784" s="9" t="s">
        <v>234</v>
      </c>
      <c r="I784" s="10"/>
      <c r="J784" s="10">
        <v>44853</v>
      </c>
      <c r="K784" s="5" t="s">
        <v>77</v>
      </c>
      <c r="L784" s="5" t="s">
        <v>50</v>
      </c>
      <c r="M784" s="11">
        <v>0.12</v>
      </c>
      <c r="N784" s="5" t="e">
        <f>IF(AND(M784&gt;#REF!,Cartera!O784="Guaraníes"),"Rendimiento significativo",IF(AND(M784&gt;#REF!,Cartera!O784="Dólares americanos"),"Rendimiento significativo","Rendimiento no significativo"))</f>
        <v>#REF!</v>
      </c>
      <c r="O784" s="5" t="s">
        <v>51</v>
      </c>
      <c r="P784" s="13">
        <v>486.16437000000002</v>
      </c>
      <c r="Q784" s="12" t="e">
        <f>IF(O784="Guaraníes",P784,P784*#REF!)</f>
        <v>#REF!</v>
      </c>
      <c r="R784" s="12">
        <f>IF(O784="Guaraníes",P784/#REF!,P784)</f>
        <v>486.16437000000002</v>
      </c>
      <c r="S784" s="5" t="s">
        <v>52</v>
      </c>
      <c r="T784" s="5">
        <v>25</v>
      </c>
      <c r="W784" s="5" t="s">
        <v>65</v>
      </c>
      <c r="X784" s="5">
        <v>0</v>
      </c>
      <c r="Y784" s="5">
        <v>0</v>
      </c>
      <c r="Z784" s="5">
        <v>16.205479</v>
      </c>
      <c r="AA784" s="5">
        <v>30</v>
      </c>
      <c r="AB784" s="5">
        <v>486.16437000000002</v>
      </c>
      <c r="AC784" s="5" t="str">
        <f t="shared" si="40"/>
        <v>Bonos</v>
      </c>
      <c r="AD784" s="5" t="s">
        <v>43</v>
      </c>
      <c r="AE784" s="5">
        <f t="shared" si="38"/>
        <v>10</v>
      </c>
      <c r="AF784" s="5">
        <f t="shared" si="39"/>
        <v>2022</v>
      </c>
    </row>
    <row r="785" s="5" customFormat="1" ht="13">
      <c r="A785" s="5" t="s">
        <v>44</v>
      </c>
      <c r="B785" s="5" t="s">
        <v>44</v>
      </c>
      <c r="C785" s="5" t="s">
        <v>99</v>
      </c>
      <c r="D785" s="5" t="s">
        <v>21</v>
      </c>
      <c r="E785" s="5" t="s">
        <v>44</v>
      </c>
      <c r="F785" s="5" t="s">
        <v>100</v>
      </c>
      <c r="G785" s="5" t="s">
        <v>75</v>
      </c>
      <c r="H785" s="9" t="s">
        <v>217</v>
      </c>
      <c r="I785" s="10"/>
      <c r="J785" s="10">
        <v>44858</v>
      </c>
      <c r="K785" s="5" t="s">
        <v>102</v>
      </c>
      <c r="L785" s="5" t="s">
        <v>102</v>
      </c>
      <c r="M785" s="11">
        <v>0.080000000000000002</v>
      </c>
      <c r="N785" s="5" t="e">
        <f>IF(AND(M785&gt;#REF!,Cartera!O785="Guaraníes"),"Rendimiento significativo",IF(AND(M785&gt;#REF!,Cartera!O785="Dólares americanos"),"Rendimiento significativo","Rendimiento no significativo"))</f>
        <v>#REF!</v>
      </c>
      <c r="O785" s="5" t="s">
        <v>41</v>
      </c>
      <c r="P785" s="12">
        <v>5767000</v>
      </c>
      <c r="Q785" s="12">
        <f>IF(O785="Guaraníes",P785,P785*#REF!)</f>
        <v>5767000</v>
      </c>
      <c r="R785" s="12" t="e">
        <f>IF(O785="Guaraníes",P785/#REF!,P785)</f>
        <v>#REF!</v>
      </c>
      <c r="S785" s="5" t="s">
        <v>52</v>
      </c>
      <c r="T785" s="5">
        <v>25</v>
      </c>
      <c r="W785" s="5" t="s">
        <v>218</v>
      </c>
      <c r="X785" s="5">
        <v>0</v>
      </c>
      <c r="Y785" s="5">
        <v>0</v>
      </c>
      <c r="Z785" s="5">
        <v>39500</v>
      </c>
      <c r="AA785" s="5">
        <v>146</v>
      </c>
      <c r="AB785" s="5">
        <v>5767000</v>
      </c>
      <c r="AC785" s="5" t="str">
        <f t="shared" si="40"/>
        <v>Bonos</v>
      </c>
      <c r="AD785" s="5" t="s">
        <v>43</v>
      </c>
      <c r="AE785" s="5">
        <f t="shared" si="38"/>
        <v>10</v>
      </c>
      <c r="AF785" s="5">
        <f t="shared" si="39"/>
        <v>2022</v>
      </c>
    </row>
    <row r="786" s="5" customFormat="1" ht="13">
      <c r="A786" s="5" t="s">
        <v>44</v>
      </c>
      <c r="B786" s="5" t="s">
        <v>44</v>
      </c>
      <c r="C786" s="5" t="s">
        <v>156</v>
      </c>
      <c r="D786" s="5" t="s">
        <v>21</v>
      </c>
      <c r="E786" s="5" t="s">
        <v>44</v>
      </c>
      <c r="F786" s="5" t="s">
        <v>68</v>
      </c>
      <c r="G786" s="5" t="s">
        <v>75</v>
      </c>
      <c r="H786" s="9" t="s">
        <v>246</v>
      </c>
      <c r="I786" s="10"/>
      <c r="J786" s="10">
        <v>44861</v>
      </c>
      <c r="K786" s="5" t="s">
        <v>158</v>
      </c>
      <c r="L786" s="5" t="s">
        <v>58</v>
      </c>
      <c r="M786" s="11">
        <v>0.125</v>
      </c>
      <c r="N786" s="5" t="e">
        <f>IF(AND(M786&gt;#REF!,Cartera!O786="Guaraníes"),"Rendimiento significativo",IF(AND(M786&gt;#REF!,Cartera!O786="Dólares americanos"),"Rendimiento significativo","Rendimiento no significativo"))</f>
        <v>#REF!</v>
      </c>
      <c r="O786" s="5" t="s">
        <v>41</v>
      </c>
      <c r="P786" s="12">
        <v>1495890.4109499999</v>
      </c>
      <c r="Q786" s="12">
        <f>IF(O786="Guaraníes",P786,P786*#REF!)</f>
        <v>1495890.4109499999</v>
      </c>
      <c r="R786" s="12" t="e">
        <f>IF(O786="Guaraníes",P786/#REF!,P786)</f>
        <v>#REF!</v>
      </c>
      <c r="S786" s="5" t="s">
        <v>52</v>
      </c>
      <c r="T786" s="5">
        <v>25</v>
      </c>
      <c r="W786" s="5" t="s">
        <v>261</v>
      </c>
      <c r="X786" s="5">
        <v>0</v>
      </c>
      <c r="Y786" s="5">
        <v>0</v>
      </c>
      <c r="Z786" s="5">
        <v>29917.808218999999</v>
      </c>
      <c r="AA786" s="5">
        <v>50</v>
      </c>
      <c r="AB786" s="5">
        <v>1495890.4109499999</v>
      </c>
      <c r="AC786" s="5" t="str">
        <f t="shared" si="40"/>
        <v>Bonos</v>
      </c>
      <c r="AD786" s="5" t="s">
        <v>43</v>
      </c>
      <c r="AE786" s="5">
        <f t="shared" si="38"/>
        <v>10</v>
      </c>
      <c r="AF786" s="5">
        <f t="shared" si="39"/>
        <v>2022</v>
      </c>
    </row>
    <row r="787" s="5" customFormat="1" ht="13">
      <c r="A787" s="5" t="s">
        <v>44</v>
      </c>
      <c r="B787" s="5" t="s">
        <v>44</v>
      </c>
      <c r="C787" s="5" t="s">
        <v>114</v>
      </c>
      <c r="D787" s="5" t="s">
        <v>21</v>
      </c>
      <c r="E787" s="5" t="s">
        <v>44</v>
      </c>
      <c r="F787" s="5" t="s">
        <v>68</v>
      </c>
      <c r="G787" s="5" t="s">
        <v>75</v>
      </c>
      <c r="H787" s="9" t="s">
        <v>235</v>
      </c>
      <c r="I787" s="10"/>
      <c r="J787" s="10">
        <v>44861</v>
      </c>
      <c r="K787" s="5" t="s">
        <v>77</v>
      </c>
      <c r="L787" s="5" t="s">
        <v>50</v>
      </c>
      <c r="M787" s="11">
        <v>0.14249999999999999</v>
      </c>
      <c r="N787" s="5" t="e">
        <f>IF(AND(M787&gt;#REF!,Cartera!O787="Guaraníes"),"Rendimiento significativo",IF(AND(M787&gt;#REF!,Cartera!O787="Dólares americanos"),"Rendimiento significativo","Rendimiento no significativo"))</f>
        <v>#REF!</v>
      </c>
      <c r="O787" s="5" t="s">
        <v>41</v>
      </c>
      <c r="P787" s="12">
        <v>183869.86301500001</v>
      </c>
      <c r="Q787" s="12">
        <f>IF(O787="Guaraníes",P787,P787*#REF!)</f>
        <v>183869.86301500001</v>
      </c>
      <c r="R787" s="12" t="e">
        <f>IF(O787="Guaraníes",P787/#REF!,P787)</f>
        <v>#REF!</v>
      </c>
      <c r="S787" s="5" t="s">
        <v>52</v>
      </c>
      <c r="T787" s="5">
        <v>25</v>
      </c>
      <c r="W787" s="5" t="s">
        <v>65</v>
      </c>
      <c r="X787" s="5">
        <v>0</v>
      </c>
      <c r="Y787" s="5">
        <v>0</v>
      </c>
      <c r="Z787" s="5">
        <v>36773.972603000002</v>
      </c>
      <c r="AA787" s="5">
        <v>5</v>
      </c>
      <c r="AB787" s="5">
        <v>183869.86301500001</v>
      </c>
      <c r="AC787" s="5" t="str">
        <f t="shared" si="40"/>
        <v>Bonos</v>
      </c>
      <c r="AD787" s="5" t="s">
        <v>43</v>
      </c>
      <c r="AE787" s="5">
        <f t="shared" si="38"/>
        <v>10</v>
      </c>
      <c r="AF787" s="5">
        <f t="shared" si="39"/>
        <v>2022</v>
      </c>
    </row>
    <row r="788" s="5" customFormat="1" ht="13">
      <c r="A788" s="5" t="s">
        <v>44</v>
      </c>
      <c r="B788" s="5" t="s">
        <v>44</v>
      </c>
      <c r="C788" s="5" t="s">
        <v>114</v>
      </c>
      <c r="D788" s="5" t="s">
        <v>21</v>
      </c>
      <c r="E788" s="5" t="s">
        <v>44</v>
      </c>
      <c r="F788" s="5" t="s">
        <v>68</v>
      </c>
      <c r="G788" s="5" t="s">
        <v>75</v>
      </c>
      <c r="H788" s="9" t="s">
        <v>115</v>
      </c>
      <c r="I788" s="10"/>
      <c r="J788" s="10">
        <v>44861</v>
      </c>
      <c r="K788" s="5" t="s">
        <v>77</v>
      </c>
      <c r="L788" s="5" t="s">
        <v>50</v>
      </c>
      <c r="M788" s="11">
        <v>0.125</v>
      </c>
      <c r="N788" s="5" t="e">
        <f>IF(AND(M788&gt;#REF!,Cartera!O788="Guaraníes"),"Rendimiento significativo",IF(AND(M788&gt;#REF!,Cartera!O788="Dólares americanos"),"Rendimiento significativo","Rendimiento no significativo"))</f>
        <v>#REF!</v>
      </c>
      <c r="O788" s="5" t="s">
        <v>41</v>
      </c>
      <c r="P788" s="12">
        <v>897534.24656999996</v>
      </c>
      <c r="Q788" s="12">
        <f>IF(O788="Guaraníes",P788,P788*#REF!)</f>
        <v>897534.24656999996</v>
      </c>
      <c r="R788" s="12" t="e">
        <f>IF(O788="Guaraníes",P788/#REF!,P788)</f>
        <v>#REF!</v>
      </c>
      <c r="S788" s="5" t="s">
        <v>52</v>
      </c>
      <c r="T788" s="5">
        <v>25</v>
      </c>
      <c r="W788" s="5" t="s">
        <v>65</v>
      </c>
      <c r="X788" s="5">
        <v>0</v>
      </c>
      <c r="Y788" s="5">
        <v>0</v>
      </c>
      <c r="Z788" s="5">
        <v>29917.808218999999</v>
      </c>
      <c r="AA788" s="5">
        <v>30</v>
      </c>
      <c r="AB788" s="5">
        <v>897534.24656999996</v>
      </c>
      <c r="AC788" s="5" t="str">
        <f t="shared" si="40"/>
        <v>Bonos</v>
      </c>
      <c r="AD788" s="5" t="s">
        <v>43</v>
      </c>
      <c r="AE788" s="5">
        <f t="shared" si="38"/>
        <v>10</v>
      </c>
      <c r="AF788" s="5">
        <f t="shared" si="39"/>
        <v>2022</v>
      </c>
    </row>
    <row r="789" s="5" customFormat="1" ht="13">
      <c r="A789" s="5" t="s">
        <v>44</v>
      </c>
      <c r="B789" s="5" t="s">
        <v>44</v>
      </c>
      <c r="C789" s="5" t="s">
        <v>33</v>
      </c>
      <c r="D789" s="5" t="s">
        <v>21</v>
      </c>
      <c r="E789" s="5" t="s">
        <v>44</v>
      </c>
      <c r="F789" s="5" t="s">
        <v>35</v>
      </c>
      <c r="G789" s="5" t="s">
        <v>75</v>
      </c>
      <c r="H789" s="9" t="s">
        <v>168</v>
      </c>
      <c r="I789" s="10"/>
      <c r="J789" s="10">
        <v>44873</v>
      </c>
      <c r="K789" s="5" t="s">
        <v>39</v>
      </c>
      <c r="L789" s="5" t="s">
        <v>50</v>
      </c>
      <c r="M789" s="11">
        <v>0.070000000000000007</v>
      </c>
      <c r="N789" s="5" t="e">
        <f>IF(AND(M789&gt;#REF!,Cartera!O789="Guaraníes"),"Rendimiento significativo",IF(AND(M789&gt;#REF!,Cartera!O789="Dólares americanos"),"Rendimiento significativo","Rendimiento no significativo"))</f>
        <v>#REF!</v>
      </c>
      <c r="O789" s="5" t="s">
        <v>51</v>
      </c>
      <c r="P789" s="13">
        <v>1221.6438500000002</v>
      </c>
      <c r="Q789" s="12" t="e">
        <f>IF(O789="Guaraníes",P789,P789*#REF!)</f>
        <v>#REF!</v>
      </c>
      <c r="R789" s="12">
        <f>IF(O789="Guaraníes",P789/#REF!,P789)</f>
        <v>1221.6438500000002</v>
      </c>
      <c r="S789" s="5" t="s">
        <v>52</v>
      </c>
      <c r="T789" s="5">
        <v>25</v>
      </c>
      <c r="W789" s="5" t="s">
        <v>65</v>
      </c>
      <c r="X789" s="5">
        <v>0</v>
      </c>
      <c r="Y789" s="5">
        <v>0</v>
      </c>
      <c r="Z789" s="5">
        <v>17.452055000000001</v>
      </c>
      <c r="AA789" s="5">
        <v>70</v>
      </c>
      <c r="AB789" s="5">
        <v>1221.6438499999999</v>
      </c>
      <c r="AC789" s="5" t="str">
        <f t="shared" si="40"/>
        <v>Bonos</v>
      </c>
      <c r="AD789" s="5" t="s">
        <v>43</v>
      </c>
      <c r="AE789" s="5">
        <f t="shared" si="38"/>
        <v>11</v>
      </c>
      <c r="AF789" s="5">
        <f t="shared" si="39"/>
        <v>2022</v>
      </c>
    </row>
    <row r="790" s="5" customFormat="1" ht="13">
      <c r="A790" s="5" t="s">
        <v>44</v>
      </c>
      <c r="B790" s="5" t="s">
        <v>44</v>
      </c>
      <c r="C790" s="5" t="s">
        <v>114</v>
      </c>
      <c r="D790" s="5" t="s">
        <v>21</v>
      </c>
      <c r="E790" s="5" t="s">
        <v>44</v>
      </c>
      <c r="F790" s="5" t="s">
        <v>68</v>
      </c>
      <c r="G790" s="5" t="s">
        <v>75</v>
      </c>
      <c r="H790" s="9" t="s">
        <v>170</v>
      </c>
      <c r="I790" s="10"/>
      <c r="J790" s="10">
        <v>44880</v>
      </c>
      <c r="K790" s="5" t="s">
        <v>77</v>
      </c>
      <c r="L790" s="5" t="s">
        <v>50</v>
      </c>
      <c r="M790" s="11">
        <v>0.14000000000000001</v>
      </c>
      <c r="N790" s="5" t="e">
        <f>IF(AND(M790&gt;#REF!,Cartera!O790="Guaraníes"),"Rendimiento significativo",IF(AND(M790&gt;#REF!,Cartera!O790="Dólares americanos"),"Rendimiento significativo","Rendimiento no significativo"))</f>
        <v>#REF!</v>
      </c>
      <c r="O790" s="5" t="s">
        <v>41</v>
      </c>
      <c r="P790" s="12">
        <v>3490410.9589</v>
      </c>
      <c r="Q790" s="12">
        <f>IF(O790="Guaraníes",P790,P790*#REF!)</f>
        <v>3490410.9589</v>
      </c>
      <c r="R790" s="12" t="e">
        <f>IF(O790="Guaraníes",P790/#REF!,P790)</f>
        <v>#REF!</v>
      </c>
      <c r="S790" s="5" t="s">
        <v>52</v>
      </c>
      <c r="T790" s="5">
        <v>25</v>
      </c>
      <c r="W790" s="5" t="s">
        <v>65</v>
      </c>
      <c r="X790" s="5">
        <v>0</v>
      </c>
      <c r="Y790" s="5">
        <v>0</v>
      </c>
      <c r="Z790" s="5">
        <v>34904.109589</v>
      </c>
      <c r="AA790" s="5">
        <v>100</v>
      </c>
      <c r="AB790" s="5">
        <v>3490410.9589</v>
      </c>
      <c r="AC790" s="5" t="str">
        <f t="shared" si="40"/>
        <v>Bonos</v>
      </c>
      <c r="AD790" s="5" t="s">
        <v>43</v>
      </c>
      <c r="AE790" s="5">
        <f t="shared" si="38"/>
        <v>11</v>
      </c>
      <c r="AF790" s="5">
        <f t="shared" si="39"/>
        <v>2022</v>
      </c>
    </row>
    <row r="791" s="5" customFormat="1" ht="13">
      <c r="A791" s="5" t="s">
        <v>44</v>
      </c>
      <c r="B791" s="5" t="s">
        <v>44</v>
      </c>
      <c r="C791" s="5" t="s">
        <v>254</v>
      </c>
      <c r="D791" s="5" t="s">
        <v>20</v>
      </c>
      <c r="E791" s="5" t="s">
        <v>44</v>
      </c>
      <c r="F791" s="5" t="s">
        <v>68</v>
      </c>
      <c r="G791" s="5" t="s">
        <v>75</v>
      </c>
      <c r="H791" s="9" t="s">
        <v>255</v>
      </c>
      <c r="I791" s="10">
        <v>43447</v>
      </c>
      <c r="J791" s="10">
        <v>44907</v>
      </c>
      <c r="K791" s="5" t="s">
        <v>256</v>
      </c>
      <c r="L791" s="5" t="s">
        <v>58</v>
      </c>
      <c r="M791" s="11">
        <v>0.057500000000000002</v>
      </c>
      <c r="N791" s="5" t="e">
        <f>IF(AND(M791&gt;#REF!,Cartera!O791="Guaraníes"),"Rendimiento significativo",IF(AND(M791&gt;#REF!,Cartera!O791="Dólares americanos"),"Rendimiento significativo","Rendimiento no significativo"))</f>
        <v>#REF!</v>
      </c>
      <c r="O791" s="5" t="s">
        <v>51</v>
      </c>
      <c r="P791" s="13">
        <v>30000</v>
      </c>
      <c r="Q791" s="12" t="e">
        <f>IF(O791="Guaraníes",P791,P791*#REF!)</f>
        <v>#REF!</v>
      </c>
      <c r="R791" s="12">
        <f>IF(O791="Guaraníes",P791/#REF!,P791)</f>
        <v>30000</v>
      </c>
      <c r="S791" s="5" t="s">
        <v>52</v>
      </c>
      <c r="AC791" s="5" t="str">
        <f t="shared" si="40"/>
        <v>Bonos</v>
      </c>
      <c r="AD791" s="5" t="s">
        <v>43</v>
      </c>
      <c r="AE791" s="5">
        <f t="shared" si="38"/>
        <v>12</v>
      </c>
      <c r="AF791" s="5">
        <f t="shared" si="39"/>
        <v>2022</v>
      </c>
    </row>
    <row r="792" s="5" customFormat="1" ht="13">
      <c r="A792" s="5" t="s">
        <v>44</v>
      </c>
      <c r="B792" s="5" t="s">
        <v>44</v>
      </c>
      <c r="C792" s="5" t="s">
        <v>254</v>
      </c>
      <c r="D792" s="5" t="s">
        <v>21</v>
      </c>
      <c r="E792" s="5" t="s">
        <v>44</v>
      </c>
      <c r="F792" s="5" t="s">
        <v>68</v>
      </c>
      <c r="G792" s="5" t="s">
        <v>75</v>
      </c>
      <c r="H792" s="9" t="s">
        <v>255</v>
      </c>
      <c r="I792" s="10"/>
      <c r="J792" s="10">
        <v>44907</v>
      </c>
      <c r="K792" s="5" t="s">
        <v>256</v>
      </c>
      <c r="L792" s="5" t="s">
        <v>58</v>
      </c>
      <c r="M792" s="11">
        <v>0.057500000000000002</v>
      </c>
      <c r="N792" s="5" t="e">
        <f>IF(AND(M792&gt;#REF!,Cartera!O792="Guaraníes"),"Rendimiento significativo",IF(AND(M792&gt;#REF!,Cartera!O792="Dólares americanos"),"Rendimiento significativo","Rendimiento no significativo"))</f>
        <v>#REF!</v>
      </c>
      <c r="O792" s="5" t="s">
        <v>51</v>
      </c>
      <c r="P792" s="13">
        <v>30879.041099999999</v>
      </c>
      <c r="Q792" s="12" t="e">
        <f>IF(O792="Guaraníes",P792,P792*#REF!)</f>
        <v>#REF!</v>
      </c>
      <c r="R792" s="12">
        <f>IF(O792="Guaraníes",P792/#REF!,P792)</f>
        <v>30879.041099999999</v>
      </c>
      <c r="S792" s="5" t="s">
        <v>52</v>
      </c>
      <c r="T792" s="5">
        <v>25</v>
      </c>
      <c r="U792" s="5">
        <v>30000</v>
      </c>
      <c r="V792" s="5">
        <v>3492511.6438500001</v>
      </c>
      <c r="W792" s="5" t="s">
        <v>249</v>
      </c>
      <c r="X792" s="5">
        <v>100</v>
      </c>
      <c r="Y792" s="5">
        <v>1000</v>
      </c>
      <c r="Z792" s="5">
        <v>1029.3013699999999</v>
      </c>
      <c r="AA792" s="5">
        <v>30</v>
      </c>
      <c r="AB792" s="5">
        <v>30879.041099999999</v>
      </c>
      <c r="AC792" s="5" t="str">
        <f t="shared" si="40"/>
        <v>Bonos</v>
      </c>
      <c r="AD792" s="5" t="s">
        <v>43</v>
      </c>
      <c r="AE792" s="5">
        <f t="shared" si="38"/>
        <v>12</v>
      </c>
      <c r="AF792" s="5">
        <f t="shared" si="39"/>
        <v>2022</v>
      </c>
    </row>
    <row r="793" s="5" customFormat="1" ht="13">
      <c r="A793" s="5" t="s">
        <v>44</v>
      </c>
      <c r="B793" s="5" t="s">
        <v>44</v>
      </c>
      <c r="C793" s="5" t="s">
        <v>33</v>
      </c>
      <c r="D793" s="5" t="s">
        <v>21</v>
      </c>
      <c r="E793" s="5" t="s">
        <v>44</v>
      </c>
      <c r="F793" s="5" t="s">
        <v>35</v>
      </c>
      <c r="G793" s="5" t="s">
        <v>75</v>
      </c>
      <c r="H793" s="9" t="s">
        <v>186</v>
      </c>
      <c r="I793" s="10"/>
      <c r="J793" s="10">
        <v>44909</v>
      </c>
      <c r="K793" s="5" t="s">
        <v>39</v>
      </c>
      <c r="L793" s="5" t="s">
        <v>50</v>
      </c>
      <c r="M793" s="11">
        <v>0.044999999999999998</v>
      </c>
      <c r="N793" s="5" t="e">
        <f>IF(AND(M793&gt;#REF!,Cartera!O793="Guaraníes"),"Rendimiento significativo",IF(AND(M793&gt;#REF!,Cartera!O793="Dólares americanos"),"Rendimiento significativo","Rendimiento no significativo"))</f>
        <v>#REF!</v>
      </c>
      <c r="O793" s="5" t="s">
        <v>51</v>
      </c>
      <c r="P793" s="13">
        <v>336.57533999999998</v>
      </c>
      <c r="Q793" s="12" t="e">
        <f>IF(O793="Guaraníes",P793,P793*#REF!)</f>
        <v>#REF!</v>
      </c>
      <c r="R793" s="12">
        <f>IF(O793="Guaraníes",P793/#REF!,P793)</f>
        <v>336.57533999999998</v>
      </c>
      <c r="S793" s="5" t="s">
        <v>52</v>
      </c>
      <c r="T793" s="5">
        <v>25</v>
      </c>
      <c r="W793" s="5" t="s">
        <v>65</v>
      </c>
      <c r="X793" s="5">
        <v>0</v>
      </c>
      <c r="Y793" s="5">
        <v>0</v>
      </c>
      <c r="Z793" s="5">
        <v>11.219177999999999</v>
      </c>
      <c r="AA793" s="5">
        <v>30</v>
      </c>
      <c r="AB793" s="5">
        <v>336.57533999999998</v>
      </c>
      <c r="AC793" s="5" t="str">
        <f t="shared" si="40"/>
        <v>Bonos</v>
      </c>
      <c r="AD793" s="5" t="s">
        <v>43</v>
      </c>
      <c r="AE793" s="5">
        <f t="shared" si="38"/>
        <v>12</v>
      </c>
      <c r="AF793" s="5">
        <f t="shared" si="39"/>
        <v>2022</v>
      </c>
    </row>
    <row r="794" s="5" customFormat="1" ht="13">
      <c r="A794" s="5" t="s">
        <v>44</v>
      </c>
      <c r="B794" s="5" t="s">
        <v>44</v>
      </c>
      <c r="C794" s="5" t="s">
        <v>114</v>
      </c>
      <c r="D794" s="5" t="s">
        <v>21</v>
      </c>
      <c r="E794" s="5" t="s">
        <v>44</v>
      </c>
      <c r="F794" s="5" t="s">
        <v>68</v>
      </c>
      <c r="G794" s="5" t="s">
        <v>75</v>
      </c>
      <c r="H794" s="9" t="s">
        <v>236</v>
      </c>
      <c r="I794" s="10"/>
      <c r="J794" s="10">
        <v>44910</v>
      </c>
      <c r="K794" s="5" t="s">
        <v>77</v>
      </c>
      <c r="L794" s="5" t="s">
        <v>50</v>
      </c>
      <c r="M794" s="11">
        <v>0.14749999999999999</v>
      </c>
      <c r="N794" s="5" t="e">
        <f>IF(AND(M794&gt;#REF!,Cartera!O794="Guaraníes"),"Rendimiento significativo",IF(AND(M794&gt;#REF!,Cartera!O794="Dólares americanos"),"Rendimiento significativo","Rendimiento no significativo"))</f>
        <v>#REF!</v>
      </c>
      <c r="O794" s="5" t="s">
        <v>41</v>
      </c>
      <c r="P794" s="12">
        <v>112191.780822</v>
      </c>
      <c r="Q794" s="12">
        <f>IF(O794="Guaraníes",P794,P794*#REF!)</f>
        <v>112191.780822</v>
      </c>
      <c r="R794" s="12" t="e">
        <f>IF(O794="Guaraníes",P794/#REF!,P794)</f>
        <v>#REF!</v>
      </c>
      <c r="S794" s="5" t="s">
        <v>52</v>
      </c>
      <c r="T794" s="5">
        <v>25</v>
      </c>
      <c r="W794" s="5" t="s">
        <v>65</v>
      </c>
      <c r="X794" s="5">
        <v>0</v>
      </c>
      <c r="Y794" s="5">
        <v>0</v>
      </c>
      <c r="Z794" s="5">
        <v>37397.260274</v>
      </c>
      <c r="AA794" s="5">
        <v>3</v>
      </c>
      <c r="AB794" s="5">
        <v>112191.780822</v>
      </c>
      <c r="AC794" s="5" t="str">
        <f t="shared" si="40"/>
        <v>Bonos</v>
      </c>
      <c r="AD794" s="5" t="s">
        <v>43</v>
      </c>
      <c r="AE794" s="5">
        <f t="shared" si="38"/>
        <v>12</v>
      </c>
      <c r="AF794" s="5">
        <f t="shared" si="39"/>
        <v>2022</v>
      </c>
    </row>
    <row r="795" s="5" customFormat="1" ht="13">
      <c r="A795" s="5" t="s">
        <v>44</v>
      </c>
      <c r="B795" s="5" t="s">
        <v>44</v>
      </c>
      <c r="C795" s="5" t="s">
        <v>135</v>
      </c>
      <c r="D795" s="5" t="s">
        <v>21</v>
      </c>
      <c r="E795" s="5" t="s">
        <v>44</v>
      </c>
      <c r="F795" s="5" t="s">
        <v>68</v>
      </c>
      <c r="G795" s="5" t="s">
        <v>75</v>
      </c>
      <c r="H795" s="9" t="s">
        <v>136</v>
      </c>
      <c r="I795" s="10"/>
      <c r="J795" s="10">
        <v>44911</v>
      </c>
      <c r="K795" s="5" t="s">
        <v>124</v>
      </c>
      <c r="L795" s="5" t="s">
        <v>58</v>
      </c>
      <c r="M795" s="11">
        <v>0.060999999999999999</v>
      </c>
      <c r="N795" s="5" t="e">
        <f>IF(AND(M795&gt;#REF!,Cartera!O795="Guaraníes"),"Rendimiento significativo",IF(AND(M795&gt;#REF!,Cartera!O795="Dólares americanos"),"Rendimiento significativo","Rendimiento no significativo"))</f>
        <v>#REF!</v>
      </c>
      <c r="O795" s="5" t="s">
        <v>41</v>
      </c>
      <c r="P795" s="12">
        <v>5242896</v>
      </c>
      <c r="Q795" s="12">
        <f>IF(O795="Guaraníes",P795,P795*#REF!)</f>
        <v>5242896</v>
      </c>
      <c r="R795" s="12" t="e">
        <f>IF(O795="Guaraníes",P795/#REF!,P795)</f>
        <v>#REF!</v>
      </c>
      <c r="S795" s="5" t="s">
        <v>52</v>
      </c>
      <c r="T795" s="5">
        <v>25</v>
      </c>
      <c r="W795" s="5" t="s">
        <v>137</v>
      </c>
      <c r="X795" s="5">
        <v>14.28571429</v>
      </c>
      <c r="Y795" s="5">
        <v>142857.14290000001</v>
      </c>
      <c r="Z795" s="5">
        <v>169071.624308</v>
      </c>
      <c r="AA795" s="5">
        <v>200</v>
      </c>
      <c r="AB795" s="5">
        <v>33814324.861599997</v>
      </c>
      <c r="AC795" s="5" t="str">
        <f t="shared" si="40"/>
        <v>Bonos</v>
      </c>
      <c r="AD795" s="5" t="s">
        <v>43</v>
      </c>
      <c r="AE795" s="5">
        <f t="shared" si="38"/>
        <v>12</v>
      </c>
      <c r="AF795" s="5">
        <f t="shared" si="39"/>
        <v>2022</v>
      </c>
    </row>
    <row r="796" s="5" customFormat="1" ht="13">
      <c r="A796" s="5" t="s">
        <v>44</v>
      </c>
      <c r="B796" s="5" t="s">
        <v>44</v>
      </c>
      <c r="C796" s="5" t="s">
        <v>135</v>
      </c>
      <c r="D796" s="5" t="s">
        <v>21</v>
      </c>
      <c r="E796" s="5" t="s">
        <v>44</v>
      </c>
      <c r="F796" s="5" t="s">
        <v>68</v>
      </c>
      <c r="G796" s="5" t="s">
        <v>75</v>
      </c>
      <c r="H796" s="9" t="s">
        <v>265</v>
      </c>
      <c r="I796" s="10"/>
      <c r="J796" s="10">
        <v>44915</v>
      </c>
      <c r="K796" s="5" t="s">
        <v>124</v>
      </c>
      <c r="L796" s="5" t="s">
        <v>58</v>
      </c>
      <c r="M796" s="11">
        <v>0.054000000000000006</v>
      </c>
      <c r="N796" s="5" t="e">
        <f>IF(AND(M796&gt;#REF!,Cartera!O796="Guaraníes"),"Rendimiento significativo",IF(AND(M796&gt;#REF!,Cartera!O796="Dólares americanos"),"Rendimiento significativo","Rendimiento no significativo"))</f>
        <v>#REF!</v>
      </c>
      <c r="O796" s="5" t="s">
        <v>41</v>
      </c>
      <c r="P796" s="12">
        <v>1009726</v>
      </c>
      <c r="Q796" s="12">
        <f>IF(O796="Guaraníes",P796,P796*#REF!)</f>
        <v>1009726</v>
      </c>
      <c r="R796" s="12" t="e">
        <f>IF(O796="Guaraníes",P796/#REF!,P796)</f>
        <v>#REF!</v>
      </c>
      <c r="S796" s="5" t="s">
        <v>52</v>
      </c>
      <c r="T796" s="5">
        <v>25</v>
      </c>
      <c r="W796" s="5" t="s">
        <v>271</v>
      </c>
      <c r="X796" s="5">
        <v>12.5</v>
      </c>
      <c r="Y796" s="5">
        <v>125000</v>
      </c>
      <c r="Z796" s="5">
        <v>145194.520548</v>
      </c>
      <c r="AA796" s="5">
        <v>50</v>
      </c>
      <c r="AB796" s="5">
        <v>7259726.0274</v>
      </c>
      <c r="AC796" s="5" t="str">
        <f t="shared" si="40"/>
        <v>Bonos</v>
      </c>
      <c r="AD796" s="5" t="s">
        <v>43</v>
      </c>
      <c r="AE796" s="5">
        <f t="shared" si="38"/>
        <v>12</v>
      </c>
      <c r="AF796" s="5">
        <f t="shared" si="39"/>
        <v>2022</v>
      </c>
    </row>
    <row r="797" s="5" customFormat="1" ht="13">
      <c r="A797" s="5" t="s">
        <v>44</v>
      </c>
      <c r="B797" s="5" t="s">
        <v>44</v>
      </c>
      <c r="C797" s="5" t="s">
        <v>54</v>
      </c>
      <c r="D797" s="5" t="s">
        <v>21</v>
      </c>
      <c r="E797" s="5" t="s">
        <v>44</v>
      </c>
      <c r="F797" s="5" t="s">
        <v>46</v>
      </c>
      <c r="G797" s="5" t="s">
        <v>75</v>
      </c>
      <c r="H797" s="9" t="s">
        <v>147</v>
      </c>
      <c r="I797" s="10"/>
      <c r="J797" s="10">
        <v>44921</v>
      </c>
      <c r="K797" s="5" t="s">
        <v>57</v>
      </c>
      <c r="L797" s="5" t="s">
        <v>58</v>
      </c>
      <c r="M797" s="11">
        <v>0.12</v>
      </c>
      <c r="N797" s="5" t="e">
        <f>IF(AND(M797&gt;#REF!,Cartera!O797="Guaraníes"),"Rendimiento significativo",IF(AND(M797&gt;#REF!,Cartera!O797="Dólares americanos"),"Rendimiento significativo","Rendimiento no significativo"))</f>
        <v>#REF!</v>
      </c>
      <c r="O797" s="5" t="s">
        <v>41</v>
      </c>
      <c r="P797" s="12">
        <v>4487671.2328500003</v>
      </c>
      <c r="Q797" s="12">
        <f>IF(O797="Guaraníes",P797,P797*#REF!)</f>
        <v>4487671.2328500003</v>
      </c>
      <c r="R797" s="12" t="e">
        <f>IF(O797="Guaraníes",P797/#REF!,P797)</f>
        <v>#REF!</v>
      </c>
      <c r="S797" s="5" t="s">
        <v>52</v>
      </c>
      <c r="T797" s="5">
        <v>25</v>
      </c>
      <c r="W797" s="5" t="s">
        <v>273</v>
      </c>
      <c r="X797" s="5">
        <v>0</v>
      </c>
      <c r="Y797" s="5">
        <v>0</v>
      </c>
      <c r="Z797" s="5">
        <v>29917.808218999999</v>
      </c>
      <c r="AA797" s="5">
        <v>150</v>
      </c>
      <c r="AB797" s="5">
        <v>4487671.2328500003</v>
      </c>
      <c r="AC797" s="5" t="str">
        <f t="shared" si="40"/>
        <v>Bonos</v>
      </c>
      <c r="AD797" s="5" t="s">
        <v>43</v>
      </c>
      <c r="AE797" s="5">
        <f t="shared" si="38"/>
        <v>12</v>
      </c>
      <c r="AF797" s="5">
        <f t="shared" si="39"/>
        <v>2022</v>
      </c>
    </row>
    <row r="798" s="5" customFormat="1" ht="13">
      <c r="A798" s="5" t="s">
        <v>44</v>
      </c>
      <c r="B798" s="5" t="s">
        <v>44</v>
      </c>
      <c r="C798" s="5" t="s">
        <v>114</v>
      </c>
      <c r="D798" s="5" t="s">
        <v>21</v>
      </c>
      <c r="E798" s="5" t="s">
        <v>44</v>
      </c>
      <c r="F798" s="5" t="s">
        <v>68</v>
      </c>
      <c r="G798" s="5" t="s">
        <v>75</v>
      </c>
      <c r="H798" s="9" t="s">
        <v>237</v>
      </c>
      <c r="I798" s="10"/>
      <c r="J798" s="10">
        <v>44922</v>
      </c>
      <c r="K798" s="5" t="s">
        <v>77</v>
      </c>
      <c r="L798" s="5" t="s">
        <v>50</v>
      </c>
      <c r="M798" s="11">
        <v>0.13750000000000001</v>
      </c>
      <c r="N798" s="5" t="e">
        <f>IF(AND(M798&gt;#REF!,Cartera!O798="Guaraníes"),"Rendimiento significativo",IF(AND(M798&gt;#REF!,Cartera!O798="Dólares americanos"),"Rendimiento significativo","Rendimiento no significativo"))</f>
        <v>#REF!</v>
      </c>
      <c r="O798" s="5" t="s">
        <v>41</v>
      </c>
      <c r="P798" s="12">
        <v>685616.43836000003</v>
      </c>
      <c r="Q798" s="12">
        <f>IF(O798="Guaraníes",P798,P798*#REF!)</f>
        <v>685616.43836000003</v>
      </c>
      <c r="R798" s="12" t="e">
        <f>IF(O798="Guaraníes",P798/#REF!,P798)</f>
        <v>#REF!</v>
      </c>
      <c r="S798" s="5" t="s">
        <v>52</v>
      </c>
      <c r="T798" s="5">
        <v>25</v>
      </c>
      <c r="W798" s="5" t="s">
        <v>65</v>
      </c>
      <c r="X798" s="5">
        <v>0</v>
      </c>
      <c r="Y798" s="5">
        <v>0</v>
      </c>
      <c r="Z798" s="5">
        <v>34280.821918000001</v>
      </c>
      <c r="AA798" s="5">
        <v>20</v>
      </c>
      <c r="AB798" s="5">
        <v>685616.43836000003</v>
      </c>
      <c r="AC798" s="5" t="str">
        <f t="shared" si="40"/>
        <v>Bonos</v>
      </c>
      <c r="AD798" s="5" t="s">
        <v>43</v>
      </c>
      <c r="AE798" s="5">
        <f t="shared" si="38"/>
        <v>12</v>
      </c>
      <c r="AF798" s="5">
        <f t="shared" si="39"/>
        <v>2022</v>
      </c>
    </row>
    <row r="799" s="5" customFormat="1" ht="13">
      <c r="A799" s="5" t="s">
        <v>44</v>
      </c>
      <c r="B799" s="5" t="s">
        <v>44</v>
      </c>
      <c r="C799" s="5" t="s">
        <v>33</v>
      </c>
      <c r="D799" s="5" t="s">
        <v>21</v>
      </c>
      <c r="E799" s="5" t="s">
        <v>44</v>
      </c>
      <c r="F799" s="5" t="s">
        <v>35</v>
      </c>
      <c r="G799" s="5" t="s">
        <v>75</v>
      </c>
      <c r="H799" s="9" t="s">
        <v>257</v>
      </c>
      <c r="I799" s="10"/>
      <c r="J799" s="10">
        <v>44924</v>
      </c>
      <c r="K799" s="5" t="s">
        <v>39</v>
      </c>
      <c r="L799" s="5" t="s">
        <v>106</v>
      </c>
      <c r="M799" s="11">
        <v>0.0625</v>
      </c>
      <c r="N799" s="5" t="e">
        <f>IF(AND(M799&gt;#REF!,Cartera!O799="Guaraníes"),"Rendimiento significativo",IF(AND(M799&gt;#REF!,Cartera!O799="Dólares americanos"),"Rendimiento significativo","Rendimiento no significativo"))</f>
        <v>#REF!</v>
      </c>
      <c r="O799" s="5" t="s">
        <v>51</v>
      </c>
      <c r="P799" s="13">
        <v>623.28767999999991</v>
      </c>
      <c r="Q799" s="12" t="e">
        <f>IF(O799="Guaraníes",P799,P799*#REF!)</f>
        <v>#REF!</v>
      </c>
      <c r="R799" s="12">
        <f>IF(O799="Guaraníes",P799/#REF!,P799)</f>
        <v>623.28767999999991</v>
      </c>
      <c r="S799" s="5" t="s">
        <v>52</v>
      </c>
      <c r="T799" s="5">
        <v>25</v>
      </c>
      <c r="W799" s="5" t="s">
        <v>218</v>
      </c>
      <c r="X799" s="5">
        <v>0</v>
      </c>
      <c r="Y799" s="5">
        <v>0</v>
      </c>
      <c r="Z799" s="5">
        <v>15.582191999999999</v>
      </c>
      <c r="AA799" s="5">
        <v>40</v>
      </c>
      <c r="AB799" s="5">
        <v>623.28768000000002</v>
      </c>
      <c r="AC799" s="5" t="str">
        <f t="shared" si="40"/>
        <v>Bonos</v>
      </c>
      <c r="AD799" s="5" t="s">
        <v>43</v>
      </c>
      <c r="AE799" s="5">
        <f t="shared" ref="AE799:AE862" si="41">IFERROR((MONTH(J799)),0)</f>
        <v>12</v>
      </c>
      <c r="AF799" s="5">
        <f t="shared" ref="AF799:AF862" si="42">IFERROR((YEAR(J799)),0)</f>
        <v>2022</v>
      </c>
    </row>
    <row r="800" s="5" customFormat="1" ht="13">
      <c r="A800" s="5" t="s">
        <v>44</v>
      </c>
      <c r="B800" s="5" t="s">
        <v>44</v>
      </c>
      <c r="C800" s="5" t="s">
        <v>74</v>
      </c>
      <c r="D800" s="5" t="s">
        <v>21</v>
      </c>
      <c r="E800" s="5" t="s">
        <v>44</v>
      </c>
      <c r="F800" s="5" t="s">
        <v>68</v>
      </c>
      <c r="G800" s="5" t="s">
        <v>75</v>
      </c>
      <c r="H800" s="9" t="s">
        <v>76</v>
      </c>
      <c r="I800" s="10"/>
      <c r="J800" s="10">
        <v>44928</v>
      </c>
      <c r="K800" s="5" t="s">
        <v>77</v>
      </c>
      <c r="L800" s="5" t="s">
        <v>50</v>
      </c>
      <c r="M800" s="11">
        <v>0.055</v>
      </c>
      <c r="N800" s="5" t="e">
        <f>IF(AND(M800&gt;#REF!,Cartera!O800="Guaraníes"),"Rendimiento significativo",IF(AND(M800&gt;#REF!,Cartera!O800="Dólares americanos"),"Rendimiento significativo","Rendimiento no significativo"))</f>
        <v>#REF!</v>
      </c>
      <c r="O800" s="5" t="s">
        <v>51</v>
      </c>
      <c r="P800" s="13">
        <v>411.36986999999999</v>
      </c>
      <c r="Q800" s="12" t="e">
        <f>IF(O800="Guaraníes",P800,P800*#REF!)</f>
        <v>#REF!</v>
      </c>
      <c r="R800" s="12">
        <f>IF(O800="Guaraníes",P800/#REF!,P800)</f>
        <v>411.36986999999999</v>
      </c>
      <c r="S800" s="5" t="s">
        <v>52</v>
      </c>
      <c r="T800" s="5">
        <v>25</v>
      </c>
      <c r="W800" s="5" t="s">
        <v>65</v>
      </c>
      <c r="X800" s="5">
        <v>0</v>
      </c>
      <c r="Y800" s="5">
        <v>0</v>
      </c>
      <c r="Z800" s="5">
        <v>13.712329</v>
      </c>
      <c r="AA800" s="5">
        <v>30</v>
      </c>
      <c r="AB800" s="5">
        <v>411.37</v>
      </c>
      <c r="AC800" s="5" t="str">
        <f t="shared" si="40"/>
        <v>Bonos</v>
      </c>
      <c r="AD800" s="5" t="s">
        <v>43</v>
      </c>
      <c r="AE800" s="5">
        <f t="shared" si="41"/>
        <v>1</v>
      </c>
      <c r="AF800" s="5">
        <f t="shared" si="42"/>
        <v>2023</v>
      </c>
    </row>
    <row r="801" s="5" customFormat="1" ht="13">
      <c r="A801" s="5" t="s">
        <v>44</v>
      </c>
      <c r="B801" s="5" t="s">
        <v>44</v>
      </c>
      <c r="C801" s="5" t="s">
        <v>156</v>
      </c>
      <c r="D801" s="5" t="s">
        <v>21</v>
      </c>
      <c r="E801" s="5" t="s">
        <v>44</v>
      </c>
      <c r="F801" s="5" t="s">
        <v>68</v>
      </c>
      <c r="G801" s="5" t="s">
        <v>75</v>
      </c>
      <c r="H801" s="9" t="s">
        <v>157</v>
      </c>
      <c r="I801" s="10"/>
      <c r="J801" s="10">
        <v>44936</v>
      </c>
      <c r="K801" s="5" t="s">
        <v>158</v>
      </c>
      <c r="L801" s="5" t="s">
        <v>58</v>
      </c>
      <c r="M801" s="11">
        <v>0.16</v>
      </c>
      <c r="N801" s="5" t="e">
        <f>IF(AND(M801&gt;#REF!,Cartera!O801="Guaraníes"),"Rendimiento significativo",IF(AND(M801&gt;#REF!,Cartera!O801="Dólares americanos"),"Rendimiento significativo","Rendimiento no significativo"))</f>
        <v>#REF!</v>
      </c>
      <c r="O801" s="5" t="s">
        <v>41</v>
      </c>
      <c r="P801" s="12">
        <v>4188493.15068</v>
      </c>
      <c r="Q801" s="12">
        <f>IF(O801="Guaraníes",P801,P801*#REF!)</f>
        <v>4188493.15068</v>
      </c>
      <c r="R801" s="12" t="e">
        <f>IF(O801="Guaraníes",P801/#REF!,P801)</f>
        <v>#REF!</v>
      </c>
      <c r="S801" s="5" t="s">
        <v>52</v>
      </c>
      <c r="T801" s="5">
        <v>25</v>
      </c>
      <c r="W801" s="5" t="s">
        <v>53</v>
      </c>
      <c r="X801" s="5">
        <v>0</v>
      </c>
      <c r="Y801" s="5">
        <v>0</v>
      </c>
      <c r="Z801" s="5">
        <v>34904.109589</v>
      </c>
      <c r="AA801" s="5">
        <v>120</v>
      </c>
      <c r="AB801" s="5">
        <v>4188493.15068</v>
      </c>
      <c r="AC801" s="5" t="str">
        <f t="shared" si="40"/>
        <v>Bonos</v>
      </c>
      <c r="AD801" s="5" t="s">
        <v>43</v>
      </c>
      <c r="AE801" s="5">
        <f t="shared" si="41"/>
        <v>1</v>
      </c>
      <c r="AF801" s="5">
        <f t="shared" si="42"/>
        <v>2023</v>
      </c>
    </row>
    <row r="802" s="5" customFormat="1" ht="13">
      <c r="A802" s="5" t="s">
        <v>44</v>
      </c>
      <c r="B802" s="5" t="s">
        <v>44</v>
      </c>
      <c r="C802" s="5" t="s">
        <v>197</v>
      </c>
      <c r="D802" s="5" t="s">
        <v>21</v>
      </c>
      <c r="E802" s="5" t="s">
        <v>44</v>
      </c>
      <c r="F802" s="5" t="s">
        <v>68</v>
      </c>
      <c r="G802" s="5" t="s">
        <v>75</v>
      </c>
      <c r="H802" s="9" t="s">
        <v>198</v>
      </c>
      <c r="I802" s="10"/>
      <c r="J802" s="10">
        <v>44938</v>
      </c>
      <c r="K802" s="5" t="s">
        <v>199</v>
      </c>
      <c r="L802" s="5" t="s">
        <v>58</v>
      </c>
      <c r="M802" s="11">
        <v>0.10000000000000001</v>
      </c>
      <c r="N802" s="5" t="e">
        <f>IF(AND(M802&gt;#REF!,Cartera!O802="Guaraníes"),"Rendimiento significativo",IF(AND(M802&gt;#REF!,Cartera!O802="Dólares americanos"),"Rendimiento significativo","Rendimiento no significativo"))</f>
        <v>#REF!</v>
      </c>
      <c r="O802" s="5" t="s">
        <v>41</v>
      </c>
      <c r="P802" s="12">
        <v>1421095.8903930001</v>
      </c>
      <c r="Q802" s="12">
        <f>IF(O802="Guaraníes",P802,P802*#REF!)</f>
        <v>1421095.8903930001</v>
      </c>
      <c r="R802" s="12" t="e">
        <f>IF(O802="Guaraníes",P802/#REF!,P802)</f>
        <v>#REF!</v>
      </c>
      <c r="S802" s="5" t="s">
        <v>52</v>
      </c>
      <c r="T802" s="5">
        <v>25</v>
      </c>
      <c r="W802" s="5" t="s">
        <v>200</v>
      </c>
      <c r="X802" s="5">
        <v>0</v>
      </c>
      <c r="Y802" s="5">
        <v>0</v>
      </c>
      <c r="Z802" s="5">
        <v>24931.506849000001</v>
      </c>
      <c r="AA802" s="5">
        <v>57</v>
      </c>
      <c r="AB802" s="5">
        <v>1421095.8903930001</v>
      </c>
      <c r="AC802" s="5" t="str">
        <f t="shared" si="40"/>
        <v>Bonos</v>
      </c>
      <c r="AD802" s="5" t="s">
        <v>43</v>
      </c>
      <c r="AE802" s="5">
        <f t="shared" si="41"/>
        <v>1</v>
      </c>
      <c r="AF802" s="5">
        <f t="shared" si="42"/>
        <v>2023</v>
      </c>
    </row>
    <row r="803" s="5" customFormat="1" ht="13">
      <c r="A803" s="5" t="s">
        <v>44</v>
      </c>
      <c r="B803" s="5" t="s">
        <v>44</v>
      </c>
      <c r="C803" s="5" t="s">
        <v>114</v>
      </c>
      <c r="D803" s="5" t="s">
        <v>21</v>
      </c>
      <c r="E803" s="5" t="s">
        <v>44</v>
      </c>
      <c r="F803" s="5" t="s">
        <v>68</v>
      </c>
      <c r="G803" s="5" t="s">
        <v>75</v>
      </c>
      <c r="H803" s="9" t="s">
        <v>234</v>
      </c>
      <c r="I803" s="10"/>
      <c r="J803" s="10">
        <v>44944</v>
      </c>
      <c r="K803" s="5" t="s">
        <v>77</v>
      </c>
      <c r="L803" s="5" t="s">
        <v>50</v>
      </c>
      <c r="M803" s="11">
        <v>0.12</v>
      </c>
      <c r="N803" s="5" t="e">
        <f>IF(AND(M803&gt;#REF!,Cartera!O803="Guaraníes"),"Rendimiento significativo",IF(AND(M803&gt;#REF!,Cartera!O803="Dólares americanos"),"Rendimiento significativo","Rendimiento no significativo"))</f>
        <v>#REF!</v>
      </c>
      <c r="O803" s="5" t="s">
        <v>51</v>
      </c>
      <c r="P803" s="13">
        <v>486.16437000000002</v>
      </c>
      <c r="Q803" s="12" t="e">
        <f>IF(O803="Guaraníes",P803,P803*#REF!)</f>
        <v>#REF!</v>
      </c>
      <c r="R803" s="12">
        <f>IF(O803="Guaraníes",P803/#REF!,P803)</f>
        <v>486.16437000000002</v>
      </c>
      <c r="S803" s="5" t="s">
        <v>52</v>
      </c>
      <c r="T803" s="5">
        <v>25</v>
      </c>
      <c r="W803" s="5" t="s">
        <v>65</v>
      </c>
      <c r="X803" s="5">
        <v>0</v>
      </c>
      <c r="Y803" s="5">
        <v>0</v>
      </c>
      <c r="Z803" s="5">
        <v>16.205479</v>
      </c>
      <c r="AA803" s="5">
        <v>30</v>
      </c>
      <c r="AB803" s="5">
        <v>486.16437000000002</v>
      </c>
      <c r="AC803" s="5" t="str">
        <f t="shared" si="40"/>
        <v>Bonos</v>
      </c>
      <c r="AD803" s="5" t="s">
        <v>43</v>
      </c>
      <c r="AE803" s="5">
        <f t="shared" si="41"/>
        <v>1</v>
      </c>
      <c r="AF803" s="5">
        <f t="shared" si="42"/>
        <v>2023</v>
      </c>
    </row>
    <row r="804" s="5" customFormat="1" ht="13">
      <c r="A804" s="5" t="s">
        <v>44</v>
      </c>
      <c r="B804" s="5" t="s">
        <v>44</v>
      </c>
      <c r="C804" s="5" t="s">
        <v>156</v>
      </c>
      <c r="D804" s="5" t="s">
        <v>21</v>
      </c>
      <c r="E804" s="5" t="s">
        <v>44</v>
      </c>
      <c r="F804" s="5" t="s">
        <v>68</v>
      </c>
      <c r="G804" s="5" t="s">
        <v>75</v>
      </c>
      <c r="H804" s="9" t="s">
        <v>246</v>
      </c>
      <c r="I804" s="10"/>
      <c r="J804" s="10">
        <v>44952</v>
      </c>
      <c r="K804" s="5" t="s">
        <v>158</v>
      </c>
      <c r="L804" s="5" t="s">
        <v>58</v>
      </c>
      <c r="M804" s="11">
        <v>0.125</v>
      </c>
      <c r="N804" s="5" t="e">
        <f>IF(AND(M804&gt;#REF!,Cartera!O804="Guaraníes"),"Rendimiento significativo",IF(AND(M804&gt;#REF!,Cartera!O804="Dólares americanos"),"Rendimiento significativo","Rendimiento no significativo"))</f>
        <v>#REF!</v>
      </c>
      <c r="O804" s="5" t="s">
        <v>41</v>
      </c>
      <c r="P804" s="12">
        <v>1495890.4109499999</v>
      </c>
      <c r="Q804" s="12">
        <f>IF(O804="Guaraníes",P804,P804*#REF!)</f>
        <v>1495890.4109499999</v>
      </c>
      <c r="R804" s="12" t="e">
        <f>IF(O804="Guaraníes",P804/#REF!,P804)</f>
        <v>#REF!</v>
      </c>
      <c r="S804" s="5" t="s">
        <v>52</v>
      </c>
      <c r="T804" s="5">
        <v>25</v>
      </c>
      <c r="W804" s="5" t="s">
        <v>247</v>
      </c>
      <c r="X804" s="5">
        <v>0</v>
      </c>
      <c r="Y804" s="5">
        <v>0</v>
      </c>
      <c r="Z804" s="5">
        <v>29917.808218999999</v>
      </c>
      <c r="AA804" s="5">
        <v>50</v>
      </c>
      <c r="AB804" s="5">
        <v>1495890.4109499999</v>
      </c>
      <c r="AC804" s="5" t="str">
        <f t="shared" si="40"/>
        <v>Bonos</v>
      </c>
      <c r="AD804" s="5" t="s">
        <v>43</v>
      </c>
      <c r="AE804" s="5">
        <f t="shared" si="41"/>
        <v>1</v>
      </c>
      <c r="AF804" s="5">
        <f t="shared" si="42"/>
        <v>2023</v>
      </c>
    </row>
    <row r="805" s="5" customFormat="1" ht="13">
      <c r="A805" s="5" t="s">
        <v>44</v>
      </c>
      <c r="B805" s="5" t="s">
        <v>44</v>
      </c>
      <c r="C805" s="5" t="s">
        <v>114</v>
      </c>
      <c r="D805" s="5" t="s">
        <v>21</v>
      </c>
      <c r="E805" s="5" t="s">
        <v>44</v>
      </c>
      <c r="F805" s="5" t="s">
        <v>68</v>
      </c>
      <c r="G805" s="5" t="s">
        <v>75</v>
      </c>
      <c r="H805" s="9" t="s">
        <v>235</v>
      </c>
      <c r="I805" s="10"/>
      <c r="J805" s="10">
        <v>44952</v>
      </c>
      <c r="K805" s="5" t="s">
        <v>77</v>
      </c>
      <c r="L805" s="5" t="s">
        <v>50</v>
      </c>
      <c r="M805" s="11">
        <v>0.14249999999999999</v>
      </c>
      <c r="N805" s="5" t="e">
        <f>IF(AND(M805&gt;#REF!,Cartera!O805="Guaraníes"),"Rendimiento significativo",IF(AND(M805&gt;#REF!,Cartera!O805="Dólares americanos"),"Rendimiento significativo","Rendimiento no significativo"))</f>
        <v>#REF!</v>
      </c>
      <c r="O805" s="5" t="s">
        <v>41</v>
      </c>
      <c r="P805" s="12">
        <v>183869.86301500001</v>
      </c>
      <c r="Q805" s="12">
        <f>IF(O805="Guaraníes",P805,P805*#REF!)</f>
        <v>183869.86301500001</v>
      </c>
      <c r="R805" s="12" t="e">
        <f>IF(O805="Guaraníes",P805/#REF!,P805)</f>
        <v>#REF!</v>
      </c>
      <c r="S805" s="5" t="s">
        <v>52</v>
      </c>
      <c r="T805" s="5">
        <v>25</v>
      </c>
      <c r="W805" s="5" t="s">
        <v>65</v>
      </c>
      <c r="X805" s="5">
        <v>0</v>
      </c>
      <c r="Y805" s="5">
        <v>0</v>
      </c>
      <c r="Z805" s="5">
        <v>36773.972603000002</v>
      </c>
      <c r="AA805" s="5">
        <v>5</v>
      </c>
      <c r="AB805" s="5">
        <v>183869.86301500001</v>
      </c>
      <c r="AC805" s="5" t="str">
        <f t="shared" si="40"/>
        <v>Bonos</v>
      </c>
      <c r="AD805" s="5" t="s">
        <v>43</v>
      </c>
      <c r="AE805" s="5">
        <f t="shared" si="41"/>
        <v>1</v>
      </c>
      <c r="AF805" s="5">
        <f t="shared" si="42"/>
        <v>2023</v>
      </c>
    </row>
    <row r="806" s="5" customFormat="1" ht="13">
      <c r="A806" s="5" t="s">
        <v>44</v>
      </c>
      <c r="B806" s="5" t="s">
        <v>44</v>
      </c>
      <c r="C806" s="5" t="s">
        <v>114</v>
      </c>
      <c r="D806" s="5" t="s">
        <v>21</v>
      </c>
      <c r="E806" s="5" t="s">
        <v>44</v>
      </c>
      <c r="F806" s="5" t="s">
        <v>68</v>
      </c>
      <c r="G806" s="5" t="s">
        <v>75</v>
      </c>
      <c r="H806" s="9" t="s">
        <v>115</v>
      </c>
      <c r="I806" s="10"/>
      <c r="J806" s="10">
        <v>44952</v>
      </c>
      <c r="K806" s="5" t="s">
        <v>77</v>
      </c>
      <c r="L806" s="5" t="s">
        <v>50</v>
      </c>
      <c r="M806" s="11">
        <v>0.125</v>
      </c>
      <c r="N806" s="5" t="e">
        <f>IF(AND(M806&gt;#REF!,Cartera!O806="Guaraníes"),"Rendimiento significativo",IF(AND(M806&gt;#REF!,Cartera!O806="Dólares americanos"),"Rendimiento significativo","Rendimiento no significativo"))</f>
        <v>#REF!</v>
      </c>
      <c r="O806" s="5" t="s">
        <v>41</v>
      </c>
      <c r="P806" s="12">
        <v>897534.24656999996</v>
      </c>
      <c r="Q806" s="12">
        <f>IF(O806="Guaraníes",P806,P806*#REF!)</f>
        <v>897534.24656999996</v>
      </c>
      <c r="R806" s="12" t="e">
        <f>IF(O806="Guaraníes",P806/#REF!,P806)</f>
        <v>#REF!</v>
      </c>
      <c r="S806" s="5" t="s">
        <v>52</v>
      </c>
      <c r="T806" s="5">
        <v>25</v>
      </c>
      <c r="W806" s="5" t="s">
        <v>65</v>
      </c>
      <c r="X806" s="5">
        <v>0</v>
      </c>
      <c r="Y806" s="5">
        <v>0</v>
      </c>
      <c r="Z806" s="5">
        <v>29917.808218999999</v>
      </c>
      <c r="AA806" s="5">
        <v>30</v>
      </c>
      <c r="AB806" s="5">
        <v>897534.24656999996</v>
      </c>
      <c r="AC806" s="5" t="str">
        <f t="shared" si="40"/>
        <v>Bonos</v>
      </c>
      <c r="AD806" s="5" t="s">
        <v>43</v>
      </c>
      <c r="AE806" s="5">
        <f t="shared" si="41"/>
        <v>1</v>
      </c>
      <c r="AF806" s="5">
        <f t="shared" si="42"/>
        <v>2023</v>
      </c>
    </row>
    <row r="807" s="5" customFormat="1" ht="13">
      <c r="A807" s="5" t="s">
        <v>44</v>
      </c>
      <c r="B807" s="5" t="s">
        <v>44</v>
      </c>
      <c r="C807" s="5" t="s">
        <v>33</v>
      </c>
      <c r="D807" s="5" t="s">
        <v>21</v>
      </c>
      <c r="E807" s="5" t="s">
        <v>44</v>
      </c>
      <c r="F807" s="5" t="s">
        <v>35</v>
      </c>
      <c r="G807" s="5" t="s">
        <v>75</v>
      </c>
      <c r="H807" s="9" t="s">
        <v>168</v>
      </c>
      <c r="I807" s="10"/>
      <c r="J807" s="10">
        <v>44964</v>
      </c>
      <c r="K807" s="5" t="s">
        <v>39</v>
      </c>
      <c r="L807" s="5" t="s">
        <v>50</v>
      </c>
      <c r="M807" s="11">
        <v>0.070000000000000007</v>
      </c>
      <c r="N807" s="5" t="e">
        <f>IF(AND(M807&gt;#REF!,Cartera!O807="Guaraníes"),"Rendimiento significativo",IF(AND(M807&gt;#REF!,Cartera!O807="Dólares americanos"),"Rendimiento significativo","Rendimiento no significativo"))</f>
        <v>#REF!</v>
      </c>
      <c r="O807" s="5" t="s">
        <v>51</v>
      </c>
      <c r="P807" s="13">
        <v>1221.6438500000002</v>
      </c>
      <c r="Q807" s="12" t="e">
        <f>IF(O807="Guaraníes",P807,P807*#REF!)</f>
        <v>#REF!</v>
      </c>
      <c r="R807" s="12">
        <f>IF(O807="Guaraníes",P807/#REF!,P807)</f>
        <v>1221.6438500000002</v>
      </c>
      <c r="S807" s="5" t="s">
        <v>52</v>
      </c>
      <c r="T807" s="5">
        <v>25</v>
      </c>
      <c r="W807" s="5" t="s">
        <v>65</v>
      </c>
      <c r="X807" s="5">
        <v>0</v>
      </c>
      <c r="Y807" s="5">
        <v>0</v>
      </c>
      <c r="Z807" s="5">
        <v>17.452055000000001</v>
      </c>
      <c r="AA807" s="5">
        <v>70</v>
      </c>
      <c r="AB807" s="5">
        <v>1221.6438499999999</v>
      </c>
      <c r="AC807" s="5" t="str">
        <f t="shared" si="40"/>
        <v>Bonos</v>
      </c>
      <c r="AD807" s="5" t="s">
        <v>43</v>
      </c>
      <c r="AE807" s="5">
        <f t="shared" si="41"/>
        <v>2</v>
      </c>
      <c r="AF807" s="5">
        <f t="shared" si="42"/>
        <v>2023</v>
      </c>
    </row>
    <row r="808" s="5" customFormat="1" ht="13">
      <c r="A808" s="5" t="s">
        <v>44</v>
      </c>
      <c r="B808" s="5" t="s">
        <v>44</v>
      </c>
      <c r="C808" s="5" t="s">
        <v>114</v>
      </c>
      <c r="D808" s="5" t="s">
        <v>21</v>
      </c>
      <c r="E808" s="5" t="s">
        <v>44</v>
      </c>
      <c r="F808" s="5" t="s">
        <v>68</v>
      </c>
      <c r="G808" s="5" t="s">
        <v>75</v>
      </c>
      <c r="H808" s="9" t="s">
        <v>170</v>
      </c>
      <c r="I808" s="10"/>
      <c r="J808" s="10">
        <v>44971</v>
      </c>
      <c r="K808" s="5" t="s">
        <v>77</v>
      </c>
      <c r="L808" s="5" t="s">
        <v>50</v>
      </c>
      <c r="M808" s="11">
        <v>0.14000000000000001</v>
      </c>
      <c r="N808" s="5" t="e">
        <f>IF(AND(M808&gt;#REF!,Cartera!O808="Guaraníes"),"Rendimiento significativo",IF(AND(M808&gt;#REF!,Cartera!O808="Dólares americanos"),"Rendimiento significativo","Rendimiento no significativo"))</f>
        <v>#REF!</v>
      </c>
      <c r="O808" s="5" t="s">
        <v>41</v>
      </c>
      <c r="P808" s="12">
        <v>3490410.9589</v>
      </c>
      <c r="Q808" s="12">
        <f>IF(O808="Guaraníes",P808,P808*#REF!)</f>
        <v>3490410.9589</v>
      </c>
      <c r="R808" s="12" t="e">
        <f>IF(O808="Guaraníes",P808/#REF!,P808)</f>
        <v>#REF!</v>
      </c>
      <c r="S808" s="5" t="s">
        <v>52</v>
      </c>
      <c r="T808" s="5">
        <v>25</v>
      </c>
      <c r="W808" s="5" t="s">
        <v>65</v>
      </c>
      <c r="X808" s="5">
        <v>0</v>
      </c>
      <c r="Y808" s="5">
        <v>0</v>
      </c>
      <c r="Z808" s="5">
        <v>34904.109589</v>
      </c>
      <c r="AA808" s="5">
        <v>100</v>
      </c>
      <c r="AB808" s="5">
        <v>3490410.9589</v>
      </c>
      <c r="AC808" s="5" t="str">
        <f t="shared" si="40"/>
        <v>Bonos</v>
      </c>
      <c r="AD808" s="5" t="s">
        <v>43</v>
      </c>
      <c r="AE808" s="5">
        <f t="shared" si="41"/>
        <v>2</v>
      </c>
      <c r="AF808" s="5">
        <f t="shared" si="42"/>
        <v>2023</v>
      </c>
    </row>
    <row r="809" s="5" customFormat="1" ht="13">
      <c r="A809" s="5" t="s">
        <v>44</v>
      </c>
      <c r="B809" s="5" t="s">
        <v>44</v>
      </c>
      <c r="C809" s="5" t="s">
        <v>99</v>
      </c>
      <c r="D809" s="5" t="s">
        <v>21</v>
      </c>
      <c r="E809" s="5" t="s">
        <v>44</v>
      </c>
      <c r="F809" s="5" t="s">
        <v>100</v>
      </c>
      <c r="G809" s="5" t="s">
        <v>75</v>
      </c>
      <c r="H809" s="9" t="s">
        <v>159</v>
      </c>
      <c r="I809" s="10"/>
      <c r="J809" s="10">
        <v>44988</v>
      </c>
      <c r="K809" s="5" t="s">
        <v>102</v>
      </c>
      <c r="L809" s="5" t="s">
        <v>102</v>
      </c>
      <c r="M809" s="11">
        <v>0.078</v>
      </c>
      <c r="N809" s="5" t="e">
        <f>IF(AND(M809&gt;#REF!,Cartera!O809="Guaraníes"),"Rendimiento significativo",IF(AND(M809&gt;#REF!,Cartera!O809="Dólares americanos"),"Rendimiento significativo","Rendimiento no significativo"))</f>
        <v>#REF!</v>
      </c>
      <c r="O809" s="5" t="s">
        <v>41</v>
      </c>
      <c r="P809" s="12">
        <v>31200000</v>
      </c>
      <c r="Q809" s="12">
        <f>IF(O809="Guaraníes",P809,P809*#REF!)</f>
        <v>31200000</v>
      </c>
      <c r="R809" s="12" t="e">
        <f>IF(O809="Guaraníes",P809/#REF!,P809)</f>
        <v>#REF!</v>
      </c>
      <c r="S809" s="5" t="s">
        <v>52</v>
      </c>
      <c r="T809" s="5">
        <v>25</v>
      </c>
      <c r="W809" s="5" t="s">
        <v>65</v>
      </c>
      <c r="X809" s="5">
        <v>0</v>
      </c>
      <c r="Y809" s="5">
        <v>0</v>
      </c>
      <c r="Z809" s="5">
        <v>39000</v>
      </c>
      <c r="AA809" s="5">
        <v>800</v>
      </c>
      <c r="AB809" s="5">
        <v>31200000</v>
      </c>
      <c r="AC809" s="5" t="str">
        <f t="shared" si="40"/>
        <v>Bonos</v>
      </c>
      <c r="AD809" s="5" t="s">
        <v>43</v>
      </c>
      <c r="AE809" s="5">
        <f t="shared" si="41"/>
        <v>3</v>
      </c>
      <c r="AF809" s="5">
        <f t="shared" si="42"/>
        <v>2023</v>
      </c>
    </row>
    <row r="810" s="5" customFormat="1" ht="13">
      <c r="A810" s="5" t="s">
        <v>44</v>
      </c>
      <c r="B810" s="5" t="s">
        <v>44</v>
      </c>
      <c r="C810" s="5" t="s">
        <v>33</v>
      </c>
      <c r="D810" s="5" t="s">
        <v>21</v>
      </c>
      <c r="E810" s="5" t="s">
        <v>44</v>
      </c>
      <c r="F810" s="5" t="s">
        <v>35</v>
      </c>
      <c r="G810" s="5" t="s">
        <v>75</v>
      </c>
      <c r="H810" s="9" t="s">
        <v>186</v>
      </c>
      <c r="I810" s="10"/>
      <c r="J810" s="10">
        <v>45000</v>
      </c>
      <c r="K810" s="5" t="s">
        <v>39</v>
      </c>
      <c r="L810" s="5" t="s">
        <v>50</v>
      </c>
      <c r="M810" s="11">
        <v>0.044999999999999998</v>
      </c>
      <c r="N810" s="5" t="e">
        <f>IF(AND(M810&gt;#REF!,Cartera!O810="Guaraníes"),"Rendimiento significativo",IF(AND(M810&gt;#REF!,Cartera!O810="Dólares americanos"),"Rendimiento significativo","Rendimiento no significativo"))</f>
        <v>#REF!</v>
      </c>
      <c r="O810" s="5" t="s">
        <v>51</v>
      </c>
      <c r="P810" s="13">
        <v>336.57533999999998</v>
      </c>
      <c r="Q810" s="12" t="e">
        <f>IF(O810="Guaraníes",P810,P810*#REF!)</f>
        <v>#REF!</v>
      </c>
      <c r="R810" s="12">
        <f>IF(O810="Guaraníes",P810/#REF!,P810)</f>
        <v>336.57533999999998</v>
      </c>
      <c r="S810" s="5" t="s">
        <v>52</v>
      </c>
      <c r="T810" s="5">
        <v>25</v>
      </c>
      <c r="W810" s="5" t="s">
        <v>65</v>
      </c>
      <c r="X810" s="5">
        <v>0</v>
      </c>
      <c r="Y810" s="5">
        <v>0</v>
      </c>
      <c r="Z810" s="5">
        <v>11.219177999999999</v>
      </c>
      <c r="AA810" s="5">
        <v>30</v>
      </c>
      <c r="AB810" s="5">
        <v>336.57533999999998</v>
      </c>
      <c r="AC810" s="5" t="str">
        <f t="shared" si="40"/>
        <v>Bonos</v>
      </c>
      <c r="AD810" s="5" t="s">
        <v>43</v>
      </c>
      <c r="AE810" s="5">
        <f t="shared" si="41"/>
        <v>3</v>
      </c>
      <c r="AF810" s="5">
        <f t="shared" si="42"/>
        <v>2023</v>
      </c>
    </row>
    <row r="811" s="5" customFormat="1" ht="13">
      <c r="A811" s="5" t="s">
        <v>44</v>
      </c>
      <c r="B811" s="5" t="s">
        <v>44</v>
      </c>
      <c r="C811" s="5" t="s">
        <v>114</v>
      </c>
      <c r="D811" s="5" t="s">
        <v>21</v>
      </c>
      <c r="E811" s="5" t="s">
        <v>44</v>
      </c>
      <c r="F811" s="5" t="s">
        <v>68</v>
      </c>
      <c r="G811" s="5" t="s">
        <v>75</v>
      </c>
      <c r="H811" s="9" t="s">
        <v>236</v>
      </c>
      <c r="I811" s="10"/>
      <c r="J811" s="10">
        <v>45001</v>
      </c>
      <c r="K811" s="5" t="s">
        <v>77</v>
      </c>
      <c r="L811" s="5" t="s">
        <v>50</v>
      </c>
      <c r="M811" s="11">
        <v>0.14749999999999999</v>
      </c>
      <c r="N811" s="5" t="e">
        <f>IF(AND(M811&gt;#REF!,Cartera!O811="Guaraníes"),"Rendimiento significativo",IF(AND(M811&gt;#REF!,Cartera!O811="Dólares americanos"),"Rendimiento significativo","Rendimiento no significativo"))</f>
        <v>#REF!</v>
      </c>
      <c r="O811" s="5" t="s">
        <v>41</v>
      </c>
      <c r="P811" s="12">
        <v>112191.780822</v>
      </c>
      <c r="Q811" s="12">
        <f>IF(O811="Guaraníes",P811,P811*#REF!)</f>
        <v>112191.780822</v>
      </c>
      <c r="R811" s="12" t="e">
        <f>IF(O811="Guaraníes",P811/#REF!,P811)</f>
        <v>#REF!</v>
      </c>
      <c r="S811" s="5" t="s">
        <v>52</v>
      </c>
      <c r="T811" s="5">
        <v>25</v>
      </c>
      <c r="W811" s="5" t="s">
        <v>65</v>
      </c>
      <c r="X811" s="5">
        <v>0</v>
      </c>
      <c r="Y811" s="5">
        <v>0</v>
      </c>
      <c r="Z811" s="5">
        <v>37397.260274</v>
      </c>
      <c r="AA811" s="5">
        <v>3</v>
      </c>
      <c r="AB811" s="5">
        <v>112191.780822</v>
      </c>
      <c r="AC811" s="5" t="str">
        <f t="shared" si="40"/>
        <v>Bonos</v>
      </c>
      <c r="AD811" s="5" t="s">
        <v>43</v>
      </c>
      <c r="AE811" s="5">
        <f t="shared" si="41"/>
        <v>3</v>
      </c>
      <c r="AF811" s="5">
        <f t="shared" si="42"/>
        <v>2023</v>
      </c>
    </row>
    <row r="812" s="5" customFormat="1" ht="13">
      <c r="A812" s="5" t="s">
        <v>44</v>
      </c>
      <c r="B812" s="5" t="s">
        <v>44</v>
      </c>
      <c r="C812" s="5" t="s">
        <v>54</v>
      </c>
      <c r="D812" s="5" t="s">
        <v>21</v>
      </c>
      <c r="E812" s="5" t="s">
        <v>44</v>
      </c>
      <c r="F812" s="5" t="s">
        <v>46</v>
      </c>
      <c r="G812" s="5" t="s">
        <v>75</v>
      </c>
      <c r="H812" s="9" t="s">
        <v>147</v>
      </c>
      <c r="I812" s="10"/>
      <c r="J812" s="10">
        <v>45012</v>
      </c>
      <c r="K812" s="5" t="s">
        <v>57</v>
      </c>
      <c r="L812" s="5" t="s">
        <v>58</v>
      </c>
      <c r="M812" s="11">
        <v>0.12</v>
      </c>
      <c r="N812" s="5" t="e">
        <f>IF(AND(M812&gt;#REF!,Cartera!O812="Guaraníes"),"Rendimiento significativo",IF(AND(M812&gt;#REF!,Cartera!O812="Dólares americanos"),"Rendimiento significativo","Rendimiento no significativo"))</f>
        <v>#REF!</v>
      </c>
      <c r="O812" s="5" t="s">
        <v>41</v>
      </c>
      <c r="P812" s="12">
        <v>4487671.2328500003</v>
      </c>
      <c r="Q812" s="12">
        <f>IF(O812="Guaraníes",P812,P812*#REF!)</f>
        <v>4487671.2328500003</v>
      </c>
      <c r="R812" s="12" t="e">
        <f>IF(O812="Guaraníes",P812/#REF!,P812)</f>
        <v>#REF!</v>
      </c>
      <c r="S812" s="5" t="s">
        <v>52</v>
      </c>
      <c r="T812" s="5">
        <v>25</v>
      </c>
      <c r="W812" s="5" t="s">
        <v>192</v>
      </c>
      <c r="X812" s="5">
        <v>0</v>
      </c>
      <c r="Y812" s="5">
        <v>0</v>
      </c>
      <c r="Z812" s="5">
        <v>29917.808218999999</v>
      </c>
      <c r="AA812" s="5">
        <v>150</v>
      </c>
      <c r="AB812" s="5">
        <v>4487671.2328500003</v>
      </c>
      <c r="AC812" s="5" t="str">
        <f t="shared" si="40"/>
        <v>Bonos</v>
      </c>
      <c r="AD812" s="5" t="s">
        <v>43</v>
      </c>
      <c r="AE812" s="5">
        <f t="shared" si="41"/>
        <v>3</v>
      </c>
      <c r="AF812" s="5">
        <f t="shared" si="42"/>
        <v>2023</v>
      </c>
    </row>
    <row r="813" s="5" customFormat="1" ht="13">
      <c r="A813" s="5" t="s">
        <v>44</v>
      </c>
      <c r="B813" s="5" t="s">
        <v>44</v>
      </c>
      <c r="C813" s="5" t="s">
        <v>114</v>
      </c>
      <c r="D813" s="5" t="s">
        <v>21</v>
      </c>
      <c r="E813" s="5" t="s">
        <v>44</v>
      </c>
      <c r="F813" s="5" t="s">
        <v>68</v>
      </c>
      <c r="G813" s="5" t="s">
        <v>75</v>
      </c>
      <c r="H813" s="9" t="s">
        <v>237</v>
      </c>
      <c r="I813" s="10"/>
      <c r="J813" s="10">
        <v>45013</v>
      </c>
      <c r="K813" s="5" t="s">
        <v>77</v>
      </c>
      <c r="L813" s="5" t="s">
        <v>50</v>
      </c>
      <c r="M813" s="11">
        <v>0.13750000000000001</v>
      </c>
      <c r="N813" s="5" t="e">
        <f>IF(AND(M813&gt;#REF!,Cartera!O813="Guaraníes"),"Rendimiento significativo",IF(AND(M813&gt;#REF!,Cartera!O813="Dólares americanos"),"Rendimiento significativo","Rendimiento no significativo"))</f>
        <v>#REF!</v>
      </c>
      <c r="O813" s="5" t="s">
        <v>41</v>
      </c>
      <c r="P813" s="12">
        <v>685616.43836000003</v>
      </c>
      <c r="Q813" s="12">
        <f>IF(O813="Guaraníes",P813,P813*#REF!)</f>
        <v>685616.43836000003</v>
      </c>
      <c r="R813" s="12" t="e">
        <f>IF(O813="Guaraníes",P813/#REF!,P813)</f>
        <v>#REF!</v>
      </c>
      <c r="S813" s="5" t="s">
        <v>52</v>
      </c>
      <c r="T813" s="5">
        <v>25</v>
      </c>
      <c r="W813" s="5" t="s">
        <v>65</v>
      </c>
      <c r="X813" s="5">
        <v>0</v>
      </c>
      <c r="Y813" s="5">
        <v>0</v>
      </c>
      <c r="Z813" s="5">
        <v>34280.821918000001</v>
      </c>
      <c r="AA813" s="5">
        <v>20</v>
      </c>
      <c r="AB813" s="5">
        <v>685616.43836000003</v>
      </c>
      <c r="AC813" s="5" t="str">
        <f t="shared" si="40"/>
        <v>Bonos</v>
      </c>
      <c r="AD813" s="5" t="s">
        <v>43</v>
      </c>
      <c r="AE813" s="5">
        <f t="shared" si="41"/>
        <v>3</v>
      </c>
      <c r="AF813" s="5">
        <f t="shared" si="42"/>
        <v>2023</v>
      </c>
    </row>
    <row r="814" s="5" customFormat="1" ht="13">
      <c r="A814" s="5" t="s">
        <v>44</v>
      </c>
      <c r="B814" s="5" t="s">
        <v>44</v>
      </c>
      <c r="C814" s="5" t="s">
        <v>33</v>
      </c>
      <c r="D814" s="5" t="s">
        <v>21</v>
      </c>
      <c r="E814" s="5" t="s">
        <v>44</v>
      </c>
      <c r="F814" s="5" t="s">
        <v>35</v>
      </c>
      <c r="G814" s="5" t="s">
        <v>75</v>
      </c>
      <c r="H814" s="9" t="s">
        <v>257</v>
      </c>
      <c r="I814" s="10"/>
      <c r="J814" s="10">
        <v>45015</v>
      </c>
      <c r="K814" s="5" t="s">
        <v>39</v>
      </c>
      <c r="L814" s="5" t="s">
        <v>106</v>
      </c>
      <c r="M814" s="11">
        <v>0.0625</v>
      </c>
      <c r="N814" s="5" t="e">
        <f>IF(AND(M814&gt;#REF!,Cartera!O814="Guaraníes"),"Rendimiento significativo",IF(AND(M814&gt;#REF!,Cartera!O814="Dólares americanos"),"Rendimiento significativo","Rendimiento no significativo"))</f>
        <v>#REF!</v>
      </c>
      <c r="O814" s="5" t="s">
        <v>51</v>
      </c>
      <c r="P814" s="13">
        <v>623.28767999999991</v>
      </c>
      <c r="Q814" s="12" t="e">
        <f>IF(O814="Guaraníes",P814,P814*#REF!)</f>
        <v>#REF!</v>
      </c>
      <c r="R814" s="12">
        <f>IF(O814="Guaraníes",P814/#REF!,P814)</f>
        <v>623.28767999999991</v>
      </c>
      <c r="S814" s="5" t="s">
        <v>52</v>
      </c>
      <c r="T814" s="5">
        <v>25</v>
      </c>
      <c r="W814" s="5" t="s">
        <v>218</v>
      </c>
      <c r="X814" s="5">
        <v>0</v>
      </c>
      <c r="Y814" s="5">
        <v>0</v>
      </c>
      <c r="Z814" s="5">
        <v>15.582191999999999</v>
      </c>
      <c r="AA814" s="5">
        <v>40</v>
      </c>
      <c r="AB814" s="5">
        <v>623.28768000000002</v>
      </c>
      <c r="AC814" s="5" t="str">
        <f t="shared" si="40"/>
        <v>Bonos</v>
      </c>
      <c r="AD814" s="5" t="s">
        <v>43</v>
      </c>
      <c r="AE814" s="5">
        <f t="shared" si="41"/>
        <v>3</v>
      </c>
      <c r="AF814" s="5">
        <f t="shared" si="42"/>
        <v>2023</v>
      </c>
    </row>
    <row r="815" s="5" customFormat="1" ht="13">
      <c r="A815" s="5" t="s">
        <v>44</v>
      </c>
      <c r="B815" s="5" t="s">
        <v>44</v>
      </c>
      <c r="C815" s="5" t="s">
        <v>74</v>
      </c>
      <c r="D815" s="5" t="s">
        <v>21</v>
      </c>
      <c r="E815" s="5" t="s">
        <v>44</v>
      </c>
      <c r="F815" s="5" t="s">
        <v>68</v>
      </c>
      <c r="G815" s="5" t="s">
        <v>75</v>
      </c>
      <c r="H815" s="9" t="s">
        <v>76</v>
      </c>
      <c r="I815" s="10"/>
      <c r="J815" s="10">
        <v>45019</v>
      </c>
      <c r="K815" s="5" t="s">
        <v>77</v>
      </c>
      <c r="L815" s="5" t="s">
        <v>50</v>
      </c>
      <c r="M815" s="11">
        <v>0.055</v>
      </c>
      <c r="N815" s="5" t="e">
        <f>IF(AND(M815&gt;#REF!,Cartera!O815="Guaraníes"),"Rendimiento significativo",IF(AND(M815&gt;#REF!,Cartera!O815="Dólares americanos"),"Rendimiento significativo","Rendimiento no significativo"))</f>
        <v>#REF!</v>
      </c>
      <c r="O815" s="5" t="s">
        <v>51</v>
      </c>
      <c r="P815" s="13">
        <v>411.36986999999999</v>
      </c>
      <c r="Q815" s="12" t="e">
        <f>IF(O815="Guaraníes",P815,P815*#REF!)</f>
        <v>#REF!</v>
      </c>
      <c r="R815" s="12">
        <f>IF(O815="Guaraníes",P815/#REF!,P815)</f>
        <v>411.36986999999999</v>
      </c>
      <c r="S815" s="5" t="s">
        <v>52</v>
      </c>
      <c r="T815" s="5">
        <v>25</v>
      </c>
      <c r="W815" s="5" t="s">
        <v>65</v>
      </c>
      <c r="X815" s="5">
        <v>0</v>
      </c>
      <c r="Y815" s="5">
        <v>0</v>
      </c>
      <c r="Z815" s="5">
        <v>13.712329</v>
      </c>
      <c r="AA815" s="5">
        <v>30</v>
      </c>
      <c r="AB815" s="5">
        <v>411.37</v>
      </c>
      <c r="AC815" s="5" t="str">
        <f t="shared" si="40"/>
        <v>Bonos</v>
      </c>
      <c r="AD815" s="5" t="s">
        <v>43</v>
      </c>
      <c r="AE815" s="5">
        <f t="shared" si="41"/>
        <v>4</v>
      </c>
      <c r="AF815" s="5">
        <f t="shared" si="42"/>
        <v>2023</v>
      </c>
    </row>
    <row r="816" s="5" customFormat="1" ht="13">
      <c r="A816" s="5" t="s">
        <v>44</v>
      </c>
      <c r="B816" s="5" t="s">
        <v>44</v>
      </c>
      <c r="C816" s="5" t="s">
        <v>156</v>
      </c>
      <c r="D816" s="5" t="s">
        <v>21</v>
      </c>
      <c r="E816" s="5" t="s">
        <v>44</v>
      </c>
      <c r="F816" s="5" t="s">
        <v>68</v>
      </c>
      <c r="G816" s="5" t="s">
        <v>75</v>
      </c>
      <c r="H816" s="9" t="s">
        <v>157</v>
      </c>
      <c r="I816" s="10"/>
      <c r="J816" s="10">
        <v>45027</v>
      </c>
      <c r="K816" s="5" t="s">
        <v>158</v>
      </c>
      <c r="L816" s="5" t="s">
        <v>58</v>
      </c>
      <c r="M816" s="11">
        <v>0.16</v>
      </c>
      <c r="N816" s="5" t="e">
        <f>IF(AND(M816&gt;#REF!,Cartera!O816="Guaraníes"),"Rendimiento significativo",IF(AND(M816&gt;#REF!,Cartera!O816="Dólares americanos"),"Rendimiento significativo","Rendimiento no significativo"))</f>
        <v>#REF!</v>
      </c>
      <c r="O816" s="5" t="s">
        <v>41</v>
      </c>
      <c r="P816" s="12">
        <v>4188493.15068</v>
      </c>
      <c r="Q816" s="12">
        <f>IF(O816="Guaraníes",P816,P816*#REF!)</f>
        <v>4188493.15068</v>
      </c>
      <c r="R816" s="12" t="e">
        <f>IF(O816="Guaraníes",P816/#REF!,P816)</f>
        <v>#REF!</v>
      </c>
      <c r="S816" s="5" t="s">
        <v>52</v>
      </c>
      <c r="T816" s="5">
        <v>25</v>
      </c>
      <c r="W816" s="5" t="s">
        <v>53</v>
      </c>
      <c r="X816" s="5">
        <v>0</v>
      </c>
      <c r="Y816" s="5">
        <v>0</v>
      </c>
      <c r="Z816" s="5">
        <v>34904.109589</v>
      </c>
      <c r="AA816" s="5">
        <v>120</v>
      </c>
      <c r="AB816" s="5">
        <v>4188493.15068</v>
      </c>
      <c r="AC816" s="5" t="str">
        <f t="shared" si="40"/>
        <v>Bonos</v>
      </c>
      <c r="AD816" s="5" t="s">
        <v>43</v>
      </c>
      <c r="AE816" s="5">
        <f t="shared" si="41"/>
        <v>4</v>
      </c>
      <c r="AF816" s="5">
        <f t="shared" si="42"/>
        <v>2023</v>
      </c>
    </row>
    <row r="817" s="5" customFormat="1" ht="13">
      <c r="A817" s="5" t="s">
        <v>44</v>
      </c>
      <c r="B817" s="5" t="s">
        <v>44</v>
      </c>
      <c r="C817" s="5" t="s">
        <v>197</v>
      </c>
      <c r="D817" s="5" t="s">
        <v>21</v>
      </c>
      <c r="E817" s="5" t="s">
        <v>44</v>
      </c>
      <c r="F817" s="5" t="s">
        <v>68</v>
      </c>
      <c r="G817" s="5" t="s">
        <v>75</v>
      </c>
      <c r="H817" s="9" t="s">
        <v>198</v>
      </c>
      <c r="I817" s="10"/>
      <c r="J817" s="10">
        <v>45029</v>
      </c>
      <c r="K817" s="5" t="s">
        <v>199</v>
      </c>
      <c r="L817" s="5" t="s">
        <v>58</v>
      </c>
      <c r="M817" s="11">
        <v>0.10000000000000001</v>
      </c>
      <c r="N817" s="5" t="e">
        <f>IF(AND(M817&gt;#REF!,Cartera!O817="Guaraníes"),"Rendimiento significativo",IF(AND(M817&gt;#REF!,Cartera!O817="Dólares americanos"),"Rendimiento significativo","Rendimiento no significativo"))</f>
        <v>#REF!</v>
      </c>
      <c r="O817" s="5" t="s">
        <v>41</v>
      </c>
      <c r="P817" s="12">
        <v>1421095.8903930001</v>
      </c>
      <c r="Q817" s="12">
        <f>IF(O817="Guaraníes",P817,P817*#REF!)</f>
        <v>1421095.8903930001</v>
      </c>
      <c r="R817" s="12" t="e">
        <f>IF(O817="Guaraníes",P817/#REF!,P817)</f>
        <v>#REF!</v>
      </c>
      <c r="S817" s="5" t="s">
        <v>52</v>
      </c>
      <c r="T817" s="5">
        <v>25</v>
      </c>
      <c r="W817" s="5" t="s">
        <v>200</v>
      </c>
      <c r="X817" s="5">
        <v>0</v>
      </c>
      <c r="Y817" s="5">
        <v>0</v>
      </c>
      <c r="Z817" s="5">
        <v>24931.506849000001</v>
      </c>
      <c r="AA817" s="5">
        <v>57</v>
      </c>
      <c r="AB817" s="5">
        <v>1421095.8903930001</v>
      </c>
      <c r="AC817" s="5" t="str">
        <f t="shared" si="40"/>
        <v>Bonos</v>
      </c>
      <c r="AD817" s="5" t="s">
        <v>43</v>
      </c>
      <c r="AE817" s="5">
        <f t="shared" si="41"/>
        <v>4</v>
      </c>
      <c r="AF817" s="5">
        <f t="shared" si="42"/>
        <v>2023</v>
      </c>
    </row>
    <row r="818" s="5" customFormat="1" ht="13">
      <c r="A818" s="5" t="s">
        <v>44</v>
      </c>
      <c r="B818" s="5" t="s">
        <v>44</v>
      </c>
      <c r="C818" s="5" t="s">
        <v>114</v>
      </c>
      <c r="D818" s="5" t="s">
        <v>20</v>
      </c>
      <c r="E818" s="5" t="s">
        <v>44</v>
      </c>
      <c r="F818" s="5" t="s">
        <v>68</v>
      </c>
      <c r="G818" s="5" t="s">
        <v>75</v>
      </c>
      <c r="H818" s="9" t="s">
        <v>234</v>
      </c>
      <c r="I818" s="10">
        <v>42349</v>
      </c>
      <c r="J818" s="10">
        <v>45035</v>
      </c>
      <c r="K818" s="5" t="s">
        <v>77</v>
      </c>
      <c r="L818" s="5" t="s">
        <v>50</v>
      </c>
      <c r="M818" s="11">
        <v>0.12</v>
      </c>
      <c r="N818" s="5" t="e">
        <f>IF(AND(M818&gt;#REF!,Cartera!O818="Guaraníes"),"Rendimiento significativo",IF(AND(M818&gt;#REF!,Cartera!O818="Dólares americanos"),"Rendimiento significativo","Rendimiento no significativo"))</f>
        <v>#REF!</v>
      </c>
      <c r="O818" s="5" t="s">
        <v>51</v>
      </c>
      <c r="P818" s="13">
        <v>30000</v>
      </c>
      <c r="Q818" s="12" t="e">
        <f>IF(O818="Guaraníes",P818,P818*#REF!)</f>
        <v>#REF!</v>
      </c>
      <c r="R818" s="12">
        <f>IF(O818="Guaraníes",P818/#REF!,P818)</f>
        <v>30000</v>
      </c>
      <c r="S818" s="5" t="s">
        <v>52</v>
      </c>
      <c r="AC818" s="5" t="str">
        <f t="shared" si="40"/>
        <v>Bonos</v>
      </c>
      <c r="AD818" s="5" t="s">
        <v>43</v>
      </c>
      <c r="AE818" s="5">
        <f t="shared" si="41"/>
        <v>4</v>
      </c>
      <c r="AF818" s="5">
        <f t="shared" si="42"/>
        <v>2023</v>
      </c>
    </row>
    <row r="819" s="5" customFormat="1" ht="13">
      <c r="A819" s="5" t="s">
        <v>44</v>
      </c>
      <c r="B819" s="5" t="s">
        <v>44</v>
      </c>
      <c r="C819" s="5" t="s">
        <v>114</v>
      </c>
      <c r="D819" s="5" t="s">
        <v>21</v>
      </c>
      <c r="E819" s="5" t="s">
        <v>44</v>
      </c>
      <c r="F819" s="5" t="s">
        <v>68</v>
      </c>
      <c r="G819" s="5" t="s">
        <v>75</v>
      </c>
      <c r="H819" s="9" t="s">
        <v>234</v>
      </c>
      <c r="I819" s="10"/>
      <c r="J819" s="10">
        <v>45035</v>
      </c>
      <c r="K819" s="5" t="s">
        <v>77</v>
      </c>
      <c r="L819" s="5" t="s">
        <v>50</v>
      </c>
      <c r="M819" s="11">
        <v>0.12</v>
      </c>
      <c r="N819" s="5" t="e">
        <f>IF(AND(M819&gt;#REF!,Cartera!O819="Guaraníes"),"Rendimiento significativo",IF(AND(M819&gt;#REF!,Cartera!O819="Dólares americanos"),"Rendimiento significativo","Rendimiento no significativo"))</f>
        <v>#REF!</v>
      </c>
      <c r="O819" s="5" t="s">
        <v>51</v>
      </c>
      <c r="P819" s="13">
        <v>486.16000000000003</v>
      </c>
      <c r="Q819" s="12" t="e">
        <f>IF(O819="Guaraníes",P819,P819*#REF!)</f>
        <v>#REF!</v>
      </c>
      <c r="R819" s="12">
        <f>IF(O819="Guaraníes",P819/#REF!,P819)</f>
        <v>486.16000000000003</v>
      </c>
      <c r="S819" s="5" t="s">
        <v>52</v>
      </c>
      <c r="T819" s="5">
        <v>25</v>
      </c>
      <c r="U819" s="5">
        <v>30000</v>
      </c>
      <c r="V819" s="5">
        <v>10896925.890495002</v>
      </c>
      <c r="W819" s="5" t="s">
        <v>65</v>
      </c>
      <c r="X819" s="5">
        <v>100</v>
      </c>
      <c r="Y819" s="5">
        <v>1000</v>
      </c>
      <c r="Z819" s="5">
        <v>1016.205479</v>
      </c>
      <c r="AA819" s="5">
        <v>30</v>
      </c>
      <c r="AB819" s="5">
        <v>30486.164369999999</v>
      </c>
      <c r="AC819" s="5" t="str">
        <f t="shared" si="40"/>
        <v>Bonos</v>
      </c>
      <c r="AD819" s="5" t="s">
        <v>43</v>
      </c>
      <c r="AE819" s="5">
        <f t="shared" si="41"/>
        <v>4</v>
      </c>
      <c r="AF819" s="5">
        <f t="shared" si="42"/>
        <v>2023</v>
      </c>
    </row>
    <row r="820" s="5" customFormat="1" ht="13">
      <c r="A820" s="5" t="s">
        <v>44</v>
      </c>
      <c r="B820" s="5" t="s">
        <v>44</v>
      </c>
      <c r="C820" s="5" t="s">
        <v>99</v>
      </c>
      <c r="D820" s="5" t="s">
        <v>21</v>
      </c>
      <c r="E820" s="5" t="s">
        <v>44</v>
      </c>
      <c r="F820" s="5" t="s">
        <v>100</v>
      </c>
      <c r="G820" s="5" t="s">
        <v>75</v>
      </c>
      <c r="H820" s="9" t="s">
        <v>217</v>
      </c>
      <c r="I820" s="10"/>
      <c r="J820" s="10">
        <v>45040</v>
      </c>
      <c r="K820" s="5" t="s">
        <v>102</v>
      </c>
      <c r="L820" s="5" t="s">
        <v>102</v>
      </c>
      <c r="M820" s="11">
        <v>0.080000000000000002</v>
      </c>
      <c r="N820" s="5" t="e">
        <f>IF(AND(M820&gt;#REF!,Cartera!O820="Guaraníes"),"Rendimiento significativo",IF(AND(M820&gt;#REF!,Cartera!O820="Dólares americanos"),"Rendimiento significativo","Rendimiento no significativo"))</f>
        <v>#REF!</v>
      </c>
      <c r="O820" s="5" t="s">
        <v>41</v>
      </c>
      <c r="P820" s="12">
        <v>5767000</v>
      </c>
      <c r="Q820" s="12">
        <f>IF(O820="Guaraníes",P820,P820*#REF!)</f>
        <v>5767000</v>
      </c>
      <c r="R820" s="12" t="e">
        <f>IF(O820="Guaraníes",P820/#REF!,P820)</f>
        <v>#REF!</v>
      </c>
      <c r="S820" s="5" t="s">
        <v>52</v>
      </c>
      <c r="T820" s="5">
        <v>25</v>
      </c>
      <c r="W820" s="5" t="s">
        <v>218</v>
      </c>
      <c r="X820" s="5">
        <v>0</v>
      </c>
      <c r="Y820" s="5">
        <v>0</v>
      </c>
      <c r="Z820" s="5">
        <v>39500</v>
      </c>
      <c r="AA820" s="5">
        <v>146</v>
      </c>
      <c r="AB820" s="5">
        <v>5767000</v>
      </c>
      <c r="AC820" s="5" t="str">
        <f t="shared" si="40"/>
        <v>Bonos</v>
      </c>
      <c r="AD820" s="5" t="s">
        <v>43</v>
      </c>
      <c r="AE820" s="5">
        <f t="shared" si="41"/>
        <v>4</v>
      </c>
      <c r="AF820" s="5">
        <f t="shared" si="42"/>
        <v>2023</v>
      </c>
    </row>
    <row r="821" s="5" customFormat="1" ht="13">
      <c r="A821" s="5" t="s">
        <v>44</v>
      </c>
      <c r="B821" s="5" t="s">
        <v>44</v>
      </c>
      <c r="C821" s="5" t="s">
        <v>156</v>
      </c>
      <c r="D821" s="5" t="s">
        <v>21</v>
      </c>
      <c r="E821" s="5" t="s">
        <v>44</v>
      </c>
      <c r="F821" s="5" t="s">
        <v>68</v>
      </c>
      <c r="G821" s="5" t="s">
        <v>75</v>
      </c>
      <c r="H821" s="9" t="s">
        <v>246</v>
      </c>
      <c r="I821" s="10"/>
      <c r="J821" s="10">
        <v>45043</v>
      </c>
      <c r="K821" s="5" t="s">
        <v>158</v>
      </c>
      <c r="L821" s="5" t="s">
        <v>58</v>
      </c>
      <c r="M821" s="11">
        <v>0.125</v>
      </c>
      <c r="N821" s="5" t="e">
        <f>IF(AND(M821&gt;#REF!,Cartera!O821="Guaraníes"),"Rendimiento significativo",IF(AND(M821&gt;#REF!,Cartera!O821="Dólares americanos"),"Rendimiento significativo","Rendimiento no significativo"))</f>
        <v>#REF!</v>
      </c>
      <c r="O821" s="5" t="s">
        <v>41</v>
      </c>
      <c r="P821" s="12">
        <v>1495890.4109499999</v>
      </c>
      <c r="Q821" s="12">
        <f>IF(O821="Guaraníes",P821,P821*#REF!)</f>
        <v>1495890.4109499999</v>
      </c>
      <c r="R821" s="12" t="e">
        <f>IF(O821="Guaraníes",P821/#REF!,P821)</f>
        <v>#REF!</v>
      </c>
      <c r="S821" s="5" t="s">
        <v>52</v>
      </c>
      <c r="T821" s="5">
        <v>25</v>
      </c>
      <c r="W821" s="5" t="s">
        <v>261</v>
      </c>
      <c r="X821" s="5">
        <v>0</v>
      </c>
      <c r="Y821" s="5">
        <v>0</v>
      </c>
      <c r="Z821" s="5">
        <v>29917.808218999999</v>
      </c>
      <c r="AA821" s="5">
        <v>50</v>
      </c>
      <c r="AB821" s="5">
        <v>1495890.4109499999</v>
      </c>
      <c r="AC821" s="5" t="str">
        <f t="shared" si="40"/>
        <v>Bonos</v>
      </c>
      <c r="AD821" s="5" t="s">
        <v>43</v>
      </c>
      <c r="AE821" s="5">
        <f t="shared" si="41"/>
        <v>4</v>
      </c>
      <c r="AF821" s="5">
        <f t="shared" si="42"/>
        <v>2023</v>
      </c>
    </row>
    <row r="822" s="5" customFormat="1" ht="13">
      <c r="A822" s="5" t="s">
        <v>44</v>
      </c>
      <c r="B822" s="5" t="s">
        <v>44</v>
      </c>
      <c r="C822" s="5" t="s">
        <v>114</v>
      </c>
      <c r="D822" s="5" t="s">
        <v>21</v>
      </c>
      <c r="E822" s="5" t="s">
        <v>44</v>
      </c>
      <c r="F822" s="5" t="s">
        <v>68</v>
      </c>
      <c r="G822" s="5" t="s">
        <v>75</v>
      </c>
      <c r="H822" s="9" t="s">
        <v>235</v>
      </c>
      <c r="I822" s="10"/>
      <c r="J822" s="10">
        <v>45043</v>
      </c>
      <c r="K822" s="5" t="s">
        <v>77</v>
      </c>
      <c r="L822" s="5" t="s">
        <v>50</v>
      </c>
      <c r="M822" s="11">
        <v>0.14249999999999999</v>
      </c>
      <c r="N822" s="5" t="e">
        <f>IF(AND(M822&gt;#REF!,Cartera!O822="Guaraníes"),"Rendimiento significativo",IF(AND(M822&gt;#REF!,Cartera!O822="Dólares americanos"),"Rendimiento significativo","Rendimiento no significativo"))</f>
        <v>#REF!</v>
      </c>
      <c r="O822" s="5" t="s">
        <v>41</v>
      </c>
      <c r="P822" s="12">
        <v>183869.86301500001</v>
      </c>
      <c r="Q822" s="12">
        <f>IF(O822="Guaraníes",P822,P822*#REF!)</f>
        <v>183869.86301500001</v>
      </c>
      <c r="R822" s="12" t="e">
        <f>IF(O822="Guaraníes",P822/#REF!,P822)</f>
        <v>#REF!</v>
      </c>
      <c r="S822" s="5" t="s">
        <v>52</v>
      </c>
      <c r="T822" s="5">
        <v>25</v>
      </c>
      <c r="W822" s="5" t="s">
        <v>65</v>
      </c>
      <c r="X822" s="5">
        <v>0</v>
      </c>
      <c r="Y822" s="5">
        <v>0</v>
      </c>
      <c r="Z822" s="5">
        <v>36773.972603000002</v>
      </c>
      <c r="AA822" s="5">
        <v>5</v>
      </c>
      <c r="AB822" s="5">
        <v>183869.86301500001</v>
      </c>
      <c r="AC822" s="5" t="str">
        <f t="shared" si="40"/>
        <v>Bonos</v>
      </c>
      <c r="AD822" s="5" t="s">
        <v>43</v>
      </c>
      <c r="AE822" s="5">
        <f t="shared" si="41"/>
        <v>4</v>
      </c>
      <c r="AF822" s="5">
        <f t="shared" si="42"/>
        <v>2023</v>
      </c>
    </row>
    <row r="823" s="5" customFormat="1" ht="13">
      <c r="A823" s="5" t="s">
        <v>44</v>
      </c>
      <c r="B823" s="5" t="s">
        <v>44</v>
      </c>
      <c r="C823" s="5" t="s">
        <v>114</v>
      </c>
      <c r="D823" s="5" t="s">
        <v>21</v>
      </c>
      <c r="E823" s="5" t="s">
        <v>44</v>
      </c>
      <c r="F823" s="5" t="s">
        <v>68</v>
      </c>
      <c r="G823" s="5" t="s">
        <v>75</v>
      </c>
      <c r="H823" s="9" t="s">
        <v>115</v>
      </c>
      <c r="I823" s="10"/>
      <c r="J823" s="10">
        <v>45043</v>
      </c>
      <c r="K823" s="5" t="s">
        <v>77</v>
      </c>
      <c r="L823" s="5" t="s">
        <v>50</v>
      </c>
      <c r="M823" s="11">
        <v>0.125</v>
      </c>
      <c r="N823" s="5" t="e">
        <f>IF(AND(M823&gt;#REF!,Cartera!O823="Guaraníes"),"Rendimiento significativo",IF(AND(M823&gt;#REF!,Cartera!O823="Dólares americanos"),"Rendimiento significativo","Rendimiento no significativo"))</f>
        <v>#REF!</v>
      </c>
      <c r="O823" s="5" t="s">
        <v>41</v>
      </c>
      <c r="P823" s="12">
        <v>897534.24656999996</v>
      </c>
      <c r="Q823" s="12">
        <f>IF(O823="Guaraníes",P823,P823*#REF!)</f>
        <v>897534.24656999996</v>
      </c>
      <c r="R823" s="12" t="e">
        <f>IF(O823="Guaraníes",P823/#REF!,P823)</f>
        <v>#REF!</v>
      </c>
      <c r="S823" s="5" t="s">
        <v>52</v>
      </c>
      <c r="T823" s="5">
        <v>25</v>
      </c>
      <c r="W823" s="5" t="s">
        <v>65</v>
      </c>
      <c r="X823" s="5">
        <v>0</v>
      </c>
      <c r="Y823" s="5">
        <v>0</v>
      </c>
      <c r="Z823" s="5">
        <v>29917.808218999999</v>
      </c>
      <c r="AA823" s="5">
        <v>30</v>
      </c>
      <c r="AB823" s="5">
        <v>897534.24656999996</v>
      </c>
      <c r="AC823" s="5" t="str">
        <f t="shared" si="40"/>
        <v>Bonos</v>
      </c>
      <c r="AD823" s="5" t="s">
        <v>43</v>
      </c>
      <c r="AE823" s="5">
        <f t="shared" si="41"/>
        <v>4</v>
      </c>
      <c r="AF823" s="5">
        <f t="shared" si="42"/>
        <v>2023</v>
      </c>
    </row>
    <row r="824" s="5" customFormat="1" ht="13">
      <c r="A824" s="5" t="s">
        <v>44</v>
      </c>
      <c r="B824" s="5" t="s">
        <v>44</v>
      </c>
      <c r="C824" s="5" t="s">
        <v>33</v>
      </c>
      <c r="D824" s="5" t="s">
        <v>21</v>
      </c>
      <c r="E824" s="5" t="s">
        <v>44</v>
      </c>
      <c r="F824" s="5" t="s">
        <v>35</v>
      </c>
      <c r="G824" s="5" t="s">
        <v>75</v>
      </c>
      <c r="H824" s="9" t="s">
        <v>168</v>
      </c>
      <c r="I824" s="10"/>
      <c r="J824" s="10">
        <v>45055</v>
      </c>
      <c r="K824" s="5" t="s">
        <v>39</v>
      </c>
      <c r="L824" s="5" t="s">
        <v>50</v>
      </c>
      <c r="M824" s="11">
        <v>0.070000000000000007</v>
      </c>
      <c r="N824" s="5" t="e">
        <f>IF(AND(M824&gt;#REF!,Cartera!O824="Guaraníes"),"Rendimiento significativo",IF(AND(M824&gt;#REF!,Cartera!O824="Dólares americanos"),"Rendimiento significativo","Rendimiento no significativo"))</f>
        <v>#REF!</v>
      </c>
      <c r="O824" s="5" t="s">
        <v>51</v>
      </c>
      <c r="P824" s="13">
        <v>1221.6438500000002</v>
      </c>
      <c r="Q824" s="12" t="e">
        <f>IF(O824="Guaraníes",P824,P824*#REF!)</f>
        <v>#REF!</v>
      </c>
      <c r="R824" s="12">
        <f>IF(O824="Guaraníes",P824/#REF!,P824)</f>
        <v>1221.6438500000002</v>
      </c>
      <c r="S824" s="5" t="s">
        <v>52</v>
      </c>
      <c r="T824" s="5">
        <v>25</v>
      </c>
      <c r="W824" s="5" t="s">
        <v>65</v>
      </c>
      <c r="X824" s="5">
        <v>0</v>
      </c>
      <c r="Y824" s="5">
        <v>0</v>
      </c>
      <c r="Z824" s="5">
        <v>17.452055000000001</v>
      </c>
      <c r="AA824" s="5">
        <v>70</v>
      </c>
      <c r="AB824" s="5">
        <v>1221.6438499999999</v>
      </c>
      <c r="AC824" s="5" t="str">
        <f t="shared" si="40"/>
        <v>Bonos</v>
      </c>
      <c r="AD824" s="5" t="s">
        <v>43</v>
      </c>
      <c r="AE824" s="5">
        <f t="shared" si="41"/>
        <v>5</v>
      </c>
      <c r="AF824" s="5">
        <f t="shared" si="42"/>
        <v>2023</v>
      </c>
    </row>
    <row r="825" s="5" customFormat="1" ht="13">
      <c r="A825" s="5" t="s">
        <v>44</v>
      </c>
      <c r="B825" s="5" t="s">
        <v>44</v>
      </c>
      <c r="C825" s="5" t="s">
        <v>114</v>
      </c>
      <c r="D825" s="5" t="s">
        <v>21</v>
      </c>
      <c r="E825" s="5" t="s">
        <v>44</v>
      </c>
      <c r="F825" s="5" t="s">
        <v>68</v>
      </c>
      <c r="G825" s="5" t="s">
        <v>75</v>
      </c>
      <c r="H825" s="9" t="s">
        <v>170</v>
      </c>
      <c r="I825" s="10"/>
      <c r="J825" s="10">
        <v>45062</v>
      </c>
      <c r="K825" s="5" t="s">
        <v>77</v>
      </c>
      <c r="L825" s="5" t="s">
        <v>50</v>
      </c>
      <c r="M825" s="11">
        <v>0.14000000000000001</v>
      </c>
      <c r="N825" s="5" t="e">
        <f>IF(AND(M825&gt;#REF!,Cartera!O825="Guaraníes"),"Rendimiento significativo",IF(AND(M825&gt;#REF!,Cartera!O825="Dólares americanos"),"Rendimiento significativo","Rendimiento no significativo"))</f>
        <v>#REF!</v>
      </c>
      <c r="O825" s="5" t="s">
        <v>41</v>
      </c>
      <c r="P825" s="12">
        <v>3490410.9589</v>
      </c>
      <c r="Q825" s="12">
        <f>IF(O825="Guaraníes",P825,P825*#REF!)</f>
        <v>3490410.9589</v>
      </c>
      <c r="R825" s="12" t="e">
        <f>IF(O825="Guaraníes",P825/#REF!,P825)</f>
        <v>#REF!</v>
      </c>
      <c r="S825" s="5" t="s">
        <v>52</v>
      </c>
      <c r="T825" s="5">
        <v>25</v>
      </c>
      <c r="W825" s="5" t="s">
        <v>65</v>
      </c>
      <c r="X825" s="5">
        <v>0</v>
      </c>
      <c r="Y825" s="5">
        <v>0</v>
      </c>
      <c r="Z825" s="5">
        <v>34904.109589</v>
      </c>
      <c r="AA825" s="5">
        <v>100</v>
      </c>
      <c r="AB825" s="5">
        <v>3490410.9589</v>
      </c>
      <c r="AC825" s="5" t="str">
        <f t="shared" si="40"/>
        <v>Bonos</v>
      </c>
      <c r="AD825" s="5" t="s">
        <v>43</v>
      </c>
      <c r="AE825" s="5">
        <f t="shared" si="41"/>
        <v>5</v>
      </c>
      <c r="AF825" s="5">
        <f t="shared" si="42"/>
        <v>2023</v>
      </c>
    </row>
    <row r="826" s="5" customFormat="1" ht="13">
      <c r="A826" s="5" t="s">
        <v>44</v>
      </c>
      <c r="B826" s="5" t="s">
        <v>44</v>
      </c>
      <c r="C826" s="5" t="s">
        <v>156</v>
      </c>
      <c r="D826" s="5" t="s">
        <v>20</v>
      </c>
      <c r="E826" s="5" t="s">
        <v>44</v>
      </c>
      <c r="F826" s="5" t="s">
        <v>68</v>
      </c>
      <c r="G826" s="5" t="s">
        <v>75</v>
      </c>
      <c r="H826" s="9" t="s">
        <v>157</v>
      </c>
      <c r="I826" s="10">
        <v>42934</v>
      </c>
      <c r="J826" s="10">
        <v>45090</v>
      </c>
      <c r="K826" s="5" t="s">
        <v>158</v>
      </c>
      <c r="L826" s="5" t="s">
        <v>58</v>
      </c>
      <c r="M826" s="11">
        <v>0.16</v>
      </c>
      <c r="N826" s="5" t="e">
        <f>IF(AND(M826&gt;#REF!,Cartera!O826="Guaraníes"),"Rendimiento significativo",IF(AND(M826&gt;#REF!,Cartera!O826="Dólares americanos"),"Rendimiento significativo","Rendimiento no significativo"))</f>
        <v>#REF!</v>
      </c>
      <c r="O826" s="5" t="s">
        <v>41</v>
      </c>
      <c r="P826" s="12">
        <v>120000000</v>
      </c>
      <c r="Q826" s="12">
        <f>IF(O826="Guaraníes",P826,P826*#REF!)</f>
        <v>120000000</v>
      </c>
      <c r="R826" s="12" t="e">
        <f>IF(O826="Guaraníes",P826/#REF!,P826)</f>
        <v>#REF!</v>
      </c>
      <c r="S826" s="5" t="s">
        <v>52</v>
      </c>
      <c r="T826" s="5">
        <v>25</v>
      </c>
      <c r="AC826" s="5" t="str">
        <f t="shared" si="40"/>
        <v>Bonos</v>
      </c>
      <c r="AD826" s="5" t="s">
        <v>43</v>
      </c>
      <c r="AE826" s="5">
        <f t="shared" si="41"/>
        <v>6</v>
      </c>
      <c r="AF826" s="5">
        <f t="shared" si="42"/>
        <v>2023</v>
      </c>
    </row>
    <row r="827" s="5" customFormat="1" ht="13">
      <c r="A827" s="5" t="s">
        <v>44</v>
      </c>
      <c r="B827" s="5" t="s">
        <v>44</v>
      </c>
      <c r="C827" s="5" t="s">
        <v>33</v>
      </c>
      <c r="D827" s="5" t="s">
        <v>21</v>
      </c>
      <c r="E827" s="5" t="s">
        <v>44</v>
      </c>
      <c r="F827" s="5" t="s">
        <v>35</v>
      </c>
      <c r="G827" s="5" t="s">
        <v>75</v>
      </c>
      <c r="H827" s="9" t="s">
        <v>186</v>
      </c>
      <c r="I827" s="10"/>
      <c r="J827" s="10">
        <v>45091</v>
      </c>
      <c r="K827" s="5" t="s">
        <v>39</v>
      </c>
      <c r="L827" s="5" t="s">
        <v>50</v>
      </c>
      <c r="M827" s="11">
        <v>0.044999999999999998</v>
      </c>
      <c r="N827" s="5" t="e">
        <f>IF(AND(M827&gt;#REF!,Cartera!O827="Guaraníes"),"Rendimiento significativo",IF(AND(M827&gt;#REF!,Cartera!O827="Dólares americanos"),"Rendimiento significativo","Rendimiento no significativo"))</f>
        <v>#REF!</v>
      </c>
      <c r="O827" s="5" t="s">
        <v>51</v>
      </c>
      <c r="P827" s="13">
        <v>336.57533999999998</v>
      </c>
      <c r="Q827" s="12" t="e">
        <f>IF(O827="Guaraníes",P827,P827*#REF!)</f>
        <v>#REF!</v>
      </c>
      <c r="R827" s="12">
        <f>IF(O827="Guaraníes",P827/#REF!,P827)</f>
        <v>336.57533999999998</v>
      </c>
      <c r="S827" s="5" t="s">
        <v>52</v>
      </c>
      <c r="T827" s="5">
        <v>25</v>
      </c>
      <c r="W827" s="5" t="s">
        <v>65</v>
      </c>
      <c r="X827" s="5">
        <v>0</v>
      </c>
      <c r="Y827" s="5">
        <v>0</v>
      </c>
      <c r="Z827" s="5">
        <v>11.219177999999999</v>
      </c>
      <c r="AA827" s="5">
        <v>30</v>
      </c>
      <c r="AB827" s="5">
        <v>336.57533999999998</v>
      </c>
      <c r="AC827" s="5" t="str">
        <f t="shared" si="40"/>
        <v>Bonos</v>
      </c>
      <c r="AD827" s="5" t="s">
        <v>43</v>
      </c>
      <c r="AE827" s="5">
        <f t="shared" si="41"/>
        <v>6</v>
      </c>
      <c r="AF827" s="5">
        <f t="shared" si="42"/>
        <v>2023</v>
      </c>
    </row>
    <row r="828" s="5" customFormat="1" ht="13">
      <c r="A828" s="5" t="s">
        <v>44</v>
      </c>
      <c r="B828" s="5" t="s">
        <v>44</v>
      </c>
      <c r="C828" s="5" t="s">
        <v>114</v>
      </c>
      <c r="D828" s="5" t="s">
        <v>21</v>
      </c>
      <c r="E828" s="5" t="s">
        <v>44</v>
      </c>
      <c r="F828" s="5" t="s">
        <v>68</v>
      </c>
      <c r="G828" s="5" t="s">
        <v>75</v>
      </c>
      <c r="H828" s="9" t="s">
        <v>236</v>
      </c>
      <c r="I828" s="10"/>
      <c r="J828" s="10">
        <v>45092</v>
      </c>
      <c r="K828" s="5" t="s">
        <v>77</v>
      </c>
      <c r="L828" s="5" t="s">
        <v>50</v>
      </c>
      <c r="M828" s="11">
        <v>0.14749999999999999</v>
      </c>
      <c r="N828" s="5" t="e">
        <f>IF(AND(M828&gt;#REF!,Cartera!O828="Guaraníes"),"Rendimiento significativo",IF(AND(M828&gt;#REF!,Cartera!O828="Dólares americanos"),"Rendimiento significativo","Rendimiento no significativo"))</f>
        <v>#REF!</v>
      </c>
      <c r="O828" s="5" t="s">
        <v>41</v>
      </c>
      <c r="P828" s="12">
        <v>112191.780822</v>
      </c>
      <c r="Q828" s="12">
        <f>IF(O828="Guaraníes",P828,P828*#REF!)</f>
        <v>112191.780822</v>
      </c>
      <c r="R828" s="12" t="e">
        <f>IF(O828="Guaraníes",P828/#REF!,P828)</f>
        <v>#REF!</v>
      </c>
      <c r="S828" s="5" t="s">
        <v>52</v>
      </c>
      <c r="T828" s="5">
        <v>25</v>
      </c>
      <c r="W828" s="5" t="s">
        <v>65</v>
      </c>
      <c r="X828" s="5">
        <v>0</v>
      </c>
      <c r="Y828" s="5">
        <v>0</v>
      </c>
      <c r="Z828" s="5">
        <v>37397.260274</v>
      </c>
      <c r="AA828" s="5">
        <v>3</v>
      </c>
      <c r="AB828" s="5">
        <v>112191.780822</v>
      </c>
      <c r="AC828" s="5" t="str">
        <f t="shared" si="40"/>
        <v>Bonos</v>
      </c>
      <c r="AD828" s="5" t="s">
        <v>43</v>
      </c>
      <c r="AE828" s="5">
        <f t="shared" si="41"/>
        <v>6</v>
      </c>
      <c r="AF828" s="5">
        <f t="shared" si="42"/>
        <v>2023</v>
      </c>
    </row>
    <row r="829" s="5" customFormat="1" ht="13">
      <c r="A829" s="5" t="s">
        <v>44</v>
      </c>
      <c r="B829" s="5" t="s">
        <v>44</v>
      </c>
      <c r="C829" s="5" t="s">
        <v>135</v>
      </c>
      <c r="D829" s="5" t="s">
        <v>21</v>
      </c>
      <c r="E829" s="5" t="s">
        <v>44</v>
      </c>
      <c r="F829" s="5" t="s">
        <v>68</v>
      </c>
      <c r="G829" s="5" t="s">
        <v>75</v>
      </c>
      <c r="H829" s="9" t="s">
        <v>136</v>
      </c>
      <c r="I829" s="10"/>
      <c r="J829" s="10">
        <v>45093</v>
      </c>
      <c r="K829" s="5" t="s">
        <v>124</v>
      </c>
      <c r="L829" s="5" t="s">
        <v>58</v>
      </c>
      <c r="M829" s="11">
        <v>0.060999999999999999</v>
      </c>
      <c r="N829" s="5" t="e">
        <f>IF(AND(M829&gt;#REF!,Cartera!O829="Guaraníes"),"Rendimiento significativo",IF(AND(M829&gt;#REF!,Cartera!O829="Dólares americanos"),"Rendimiento significativo","Rendimiento no significativo"))</f>
        <v>#REF!</v>
      </c>
      <c r="O829" s="5" t="s">
        <v>41</v>
      </c>
      <c r="P829" s="12">
        <v>4345205</v>
      </c>
      <c r="Q829" s="12">
        <f>IF(O829="Guaraníes",P829,P829*#REF!)</f>
        <v>4345205</v>
      </c>
      <c r="R829" s="12" t="e">
        <f>IF(O829="Guaraníes",P829/#REF!,P829)</f>
        <v>#REF!</v>
      </c>
      <c r="S829" s="5" t="s">
        <v>52</v>
      </c>
      <c r="T829" s="5">
        <v>25</v>
      </c>
      <c r="W829" s="5" t="s">
        <v>137</v>
      </c>
      <c r="X829" s="5">
        <v>14.28571429</v>
      </c>
      <c r="Y829" s="5">
        <v>142857.14290000001</v>
      </c>
      <c r="Z829" s="5">
        <v>164583.17029499999</v>
      </c>
      <c r="AA829" s="5">
        <v>200</v>
      </c>
      <c r="AB829" s="5">
        <v>32916634.059</v>
      </c>
      <c r="AC829" s="5" t="str">
        <f t="shared" si="40"/>
        <v>Bonos</v>
      </c>
      <c r="AD829" s="5" t="s">
        <v>43</v>
      </c>
      <c r="AE829" s="5">
        <f t="shared" si="41"/>
        <v>6</v>
      </c>
      <c r="AF829" s="5">
        <f t="shared" si="42"/>
        <v>2023</v>
      </c>
    </row>
    <row r="830" s="5" customFormat="1" ht="13">
      <c r="A830" s="5" t="s">
        <v>44</v>
      </c>
      <c r="B830" s="5" t="s">
        <v>44</v>
      </c>
      <c r="C830" s="5" t="s">
        <v>135</v>
      </c>
      <c r="D830" s="5" t="s">
        <v>21</v>
      </c>
      <c r="E830" s="5" t="s">
        <v>44</v>
      </c>
      <c r="F830" s="5" t="s">
        <v>68</v>
      </c>
      <c r="G830" s="5" t="s">
        <v>75</v>
      </c>
      <c r="H830" s="9" t="s">
        <v>265</v>
      </c>
      <c r="I830" s="10"/>
      <c r="J830" s="10">
        <v>45097</v>
      </c>
      <c r="K830" s="5" t="s">
        <v>124</v>
      </c>
      <c r="L830" s="5" t="s">
        <v>58</v>
      </c>
      <c r="M830" s="11">
        <v>0.054000000000000006</v>
      </c>
      <c r="N830" s="5" t="e">
        <f>IF(AND(M830&gt;#REF!,Cartera!O830="Guaraníes"),"Rendimiento significativo",IF(AND(M830&gt;#REF!,Cartera!O830="Dólares americanos"),"Rendimiento significativo","Rendimiento no significativo"))</f>
        <v>#REF!</v>
      </c>
      <c r="O830" s="5" t="s">
        <v>41</v>
      </c>
      <c r="P830" s="12">
        <v>841438</v>
      </c>
      <c r="Q830" s="12">
        <f>IF(O830="Guaraníes",P830,P830*#REF!)</f>
        <v>841438</v>
      </c>
      <c r="R830" s="12" t="e">
        <f>IF(O830="Guaraníes",P830/#REF!,P830)</f>
        <v>#REF!</v>
      </c>
      <c r="S830" s="5" t="s">
        <v>52</v>
      </c>
      <c r="T830" s="5">
        <v>25</v>
      </c>
      <c r="W830" s="5" t="s">
        <v>271</v>
      </c>
      <c r="X830" s="5">
        <v>12.5</v>
      </c>
      <c r="Y830" s="5">
        <v>125000</v>
      </c>
      <c r="Z830" s="5">
        <v>141828.767123</v>
      </c>
      <c r="AA830" s="5">
        <v>50</v>
      </c>
      <c r="AB830" s="5">
        <v>7091438.3561500004</v>
      </c>
      <c r="AC830" s="5" t="str">
        <f t="shared" si="40"/>
        <v>Bonos</v>
      </c>
      <c r="AD830" s="5" t="s">
        <v>43</v>
      </c>
      <c r="AE830" s="5">
        <f t="shared" si="41"/>
        <v>6</v>
      </c>
      <c r="AF830" s="5">
        <f t="shared" si="42"/>
        <v>2023</v>
      </c>
    </row>
    <row r="831" s="5" customFormat="1" ht="13">
      <c r="A831" s="5" t="s">
        <v>44</v>
      </c>
      <c r="B831" s="5" t="s">
        <v>44</v>
      </c>
      <c r="C831" s="5" t="s">
        <v>54</v>
      </c>
      <c r="D831" s="5" t="s">
        <v>21</v>
      </c>
      <c r="E831" s="5" t="s">
        <v>44</v>
      </c>
      <c r="F831" s="5" t="s">
        <v>46</v>
      </c>
      <c r="G831" s="5" t="s">
        <v>75</v>
      </c>
      <c r="H831" s="9" t="s">
        <v>147</v>
      </c>
      <c r="I831" s="10"/>
      <c r="J831" s="10">
        <v>45103</v>
      </c>
      <c r="K831" s="5" t="s">
        <v>57</v>
      </c>
      <c r="L831" s="5" t="s">
        <v>58</v>
      </c>
      <c r="M831" s="11">
        <v>0.12</v>
      </c>
      <c r="N831" s="5" t="e">
        <f>IF(AND(M831&gt;#REF!,Cartera!O831="Guaraníes"),"Rendimiento significativo",IF(AND(M831&gt;#REF!,Cartera!O831="Dólares americanos"),"Rendimiento significativo","Rendimiento no significativo"))</f>
        <v>#REF!</v>
      </c>
      <c r="O831" s="5" t="s">
        <v>41</v>
      </c>
      <c r="P831" s="12">
        <v>4487671.2328500003</v>
      </c>
      <c r="Q831" s="12">
        <f>IF(O831="Guaraníes",P831,P831*#REF!)</f>
        <v>4487671.2328500003</v>
      </c>
      <c r="R831" s="12" t="e">
        <f>IF(O831="Guaraníes",P831/#REF!,P831)</f>
        <v>#REF!</v>
      </c>
      <c r="S831" s="5" t="s">
        <v>52</v>
      </c>
      <c r="T831" s="5">
        <v>25</v>
      </c>
      <c r="W831" s="5" t="e">
        <v>#REF!</v>
      </c>
      <c r="X831" s="5">
        <v>0</v>
      </c>
      <c r="Y831" s="5">
        <v>0</v>
      </c>
      <c r="Z831" s="5">
        <v>29917.808218999999</v>
      </c>
      <c r="AA831" s="5">
        <v>150</v>
      </c>
      <c r="AB831" s="5">
        <v>4487671.2328500003</v>
      </c>
      <c r="AC831" s="5" t="str">
        <f t="shared" si="40"/>
        <v>Bonos</v>
      </c>
      <c r="AD831" s="5" t="s">
        <v>43</v>
      </c>
      <c r="AE831" s="5">
        <f t="shared" si="41"/>
        <v>6</v>
      </c>
      <c r="AF831" s="5">
        <f t="shared" si="42"/>
        <v>2023</v>
      </c>
    </row>
    <row r="832" s="5" customFormat="1" ht="13">
      <c r="A832" s="5" t="s">
        <v>44</v>
      </c>
      <c r="B832" s="5" t="s">
        <v>44</v>
      </c>
      <c r="C832" s="5" t="s">
        <v>114</v>
      </c>
      <c r="D832" s="5" t="s">
        <v>21</v>
      </c>
      <c r="E832" s="5" t="s">
        <v>44</v>
      </c>
      <c r="F832" s="5" t="s">
        <v>68</v>
      </c>
      <c r="G832" s="5" t="s">
        <v>75</v>
      </c>
      <c r="H832" s="9" t="s">
        <v>237</v>
      </c>
      <c r="I832" s="10"/>
      <c r="J832" s="10">
        <v>45104</v>
      </c>
      <c r="K832" s="5" t="s">
        <v>77</v>
      </c>
      <c r="L832" s="5" t="s">
        <v>50</v>
      </c>
      <c r="M832" s="11">
        <v>0.13750000000000001</v>
      </c>
      <c r="N832" s="5" t="e">
        <f>IF(AND(M832&gt;#REF!,Cartera!O832="Guaraníes"),"Rendimiento significativo",IF(AND(M832&gt;#REF!,Cartera!O832="Dólares americanos"),"Rendimiento significativo","Rendimiento no significativo"))</f>
        <v>#REF!</v>
      </c>
      <c r="O832" s="5" t="s">
        <v>41</v>
      </c>
      <c r="P832" s="12">
        <v>685616.43836000003</v>
      </c>
      <c r="Q832" s="12">
        <f>IF(O832="Guaraníes",P832,P832*#REF!)</f>
        <v>685616.43836000003</v>
      </c>
      <c r="R832" s="12" t="e">
        <f>IF(O832="Guaraníes",P832/#REF!,P832)</f>
        <v>#REF!</v>
      </c>
      <c r="S832" s="5" t="s">
        <v>52</v>
      </c>
      <c r="T832" s="5">
        <v>25</v>
      </c>
      <c r="W832" s="5" t="s">
        <v>65</v>
      </c>
      <c r="X832" s="5">
        <v>0</v>
      </c>
      <c r="Y832" s="5">
        <v>0</v>
      </c>
      <c r="Z832" s="5">
        <v>34280.821918000001</v>
      </c>
      <c r="AA832" s="5">
        <v>20</v>
      </c>
      <c r="AB832" s="5">
        <v>685616.43836000003</v>
      </c>
      <c r="AC832" s="5" t="str">
        <f t="shared" ref="AC832:AC895" si="43">IF(ISNUMBER(SEARCH("Acciones",L832)),"Acciones",IF(ISNUMBER(SEARCH("Bono",L832)),"Bonos",IF(ISNUMBER(SEARCH("CDA",L832)),"CDA",IF(ISNUMBER(SEARCH("Fondo",L832)),"Fondo",0))))</f>
        <v>Bonos</v>
      </c>
      <c r="AD832" s="5" t="s">
        <v>43</v>
      </c>
      <c r="AE832" s="5">
        <f t="shared" si="41"/>
        <v>6</v>
      </c>
      <c r="AF832" s="5">
        <f t="shared" si="42"/>
        <v>2023</v>
      </c>
    </row>
    <row r="833" s="5" customFormat="1" ht="13">
      <c r="A833" s="5" t="s">
        <v>44</v>
      </c>
      <c r="B833" s="5" t="s">
        <v>44</v>
      </c>
      <c r="C833" s="5" t="s">
        <v>33</v>
      </c>
      <c r="D833" s="5" t="s">
        <v>21</v>
      </c>
      <c r="E833" s="5" t="s">
        <v>44</v>
      </c>
      <c r="F833" s="5" t="s">
        <v>35</v>
      </c>
      <c r="G833" s="5" t="s">
        <v>75</v>
      </c>
      <c r="H833" s="9" t="s">
        <v>257</v>
      </c>
      <c r="I833" s="10"/>
      <c r="J833" s="10">
        <v>45106</v>
      </c>
      <c r="K833" s="5" t="s">
        <v>39</v>
      </c>
      <c r="L833" s="5" t="s">
        <v>106</v>
      </c>
      <c r="M833" s="11">
        <v>0.0625</v>
      </c>
      <c r="N833" s="5" t="e">
        <f>IF(AND(M833&gt;#REF!,Cartera!O833="Guaraníes"),"Rendimiento significativo",IF(AND(M833&gt;#REF!,Cartera!O833="Dólares americanos"),"Rendimiento significativo","Rendimiento no significativo"))</f>
        <v>#REF!</v>
      </c>
      <c r="O833" s="5" t="s">
        <v>51</v>
      </c>
      <c r="P833" s="13">
        <v>623.28767999999991</v>
      </c>
      <c r="Q833" s="12" t="e">
        <f>IF(O833="Guaraníes",P833,P833*#REF!)</f>
        <v>#REF!</v>
      </c>
      <c r="R833" s="12">
        <f>IF(O833="Guaraníes",P833/#REF!,P833)</f>
        <v>623.28767999999991</v>
      </c>
      <c r="S833" s="5" t="s">
        <v>52</v>
      </c>
      <c r="T833" s="5">
        <v>25</v>
      </c>
      <c r="W833" s="5" t="s">
        <v>218</v>
      </c>
      <c r="X833" s="5">
        <v>0</v>
      </c>
      <c r="Y833" s="5">
        <v>0</v>
      </c>
      <c r="Z833" s="5">
        <v>15.582191999999999</v>
      </c>
      <c r="AA833" s="5">
        <v>40</v>
      </c>
      <c r="AB833" s="5">
        <v>623.28768000000002</v>
      </c>
      <c r="AC833" s="5" t="str">
        <f t="shared" si="43"/>
        <v>Bonos</v>
      </c>
      <c r="AD833" s="5" t="s">
        <v>43</v>
      </c>
      <c r="AE833" s="5">
        <f t="shared" si="41"/>
        <v>6</v>
      </c>
      <c r="AF833" s="5">
        <f t="shared" si="42"/>
        <v>2023</v>
      </c>
    </row>
    <row r="834" s="5" customFormat="1" ht="13">
      <c r="A834" s="5" t="s">
        <v>44</v>
      </c>
      <c r="B834" s="5" t="s">
        <v>44</v>
      </c>
      <c r="C834" s="5" t="s">
        <v>74</v>
      </c>
      <c r="D834" s="5" t="s">
        <v>21</v>
      </c>
      <c r="E834" s="5" t="s">
        <v>44</v>
      </c>
      <c r="F834" s="5" t="s">
        <v>68</v>
      </c>
      <c r="G834" s="5" t="s">
        <v>75</v>
      </c>
      <c r="H834" s="9" t="s">
        <v>76</v>
      </c>
      <c r="I834" s="10"/>
      <c r="J834" s="10">
        <v>45110</v>
      </c>
      <c r="K834" s="5" t="s">
        <v>77</v>
      </c>
      <c r="L834" s="5" t="s">
        <v>50</v>
      </c>
      <c r="M834" s="11">
        <v>0.055</v>
      </c>
      <c r="N834" s="5" t="e">
        <f>IF(AND(M834&gt;#REF!,Cartera!O834="Guaraníes"),"Rendimiento significativo",IF(AND(M834&gt;#REF!,Cartera!O834="Dólares americanos"),"Rendimiento significativo","Rendimiento no significativo"))</f>
        <v>#REF!</v>
      </c>
      <c r="O834" s="5" t="s">
        <v>51</v>
      </c>
      <c r="P834" s="13">
        <v>411.36986999999999</v>
      </c>
      <c r="Q834" s="12" t="e">
        <f>IF(O834="Guaraníes",P834,P834*#REF!)</f>
        <v>#REF!</v>
      </c>
      <c r="R834" s="12">
        <f>IF(O834="Guaraníes",P834/#REF!,P834)</f>
        <v>411.36986999999999</v>
      </c>
      <c r="S834" s="5" t="s">
        <v>52</v>
      </c>
      <c r="T834" s="5">
        <v>25</v>
      </c>
      <c r="W834" s="5" t="s">
        <v>65</v>
      </c>
      <c r="X834" s="5">
        <v>0</v>
      </c>
      <c r="Y834" s="5">
        <v>0</v>
      </c>
      <c r="Z834" s="5">
        <v>13.712329</v>
      </c>
      <c r="AA834" s="5">
        <v>30</v>
      </c>
      <c r="AB834" s="5">
        <v>411.37</v>
      </c>
      <c r="AC834" s="5" t="str">
        <f t="shared" si="43"/>
        <v>Bonos</v>
      </c>
      <c r="AD834" s="5" t="s">
        <v>43</v>
      </c>
      <c r="AE834" s="5">
        <f t="shared" si="41"/>
        <v>7</v>
      </c>
      <c r="AF834" s="5">
        <f t="shared" si="42"/>
        <v>2023</v>
      </c>
    </row>
    <row r="835" s="5" customFormat="1" ht="13">
      <c r="A835" s="5" t="s">
        <v>44</v>
      </c>
      <c r="B835" s="5" t="s">
        <v>44</v>
      </c>
      <c r="C835" s="5" t="s">
        <v>197</v>
      </c>
      <c r="D835" s="5" t="s">
        <v>20</v>
      </c>
      <c r="E835" s="5" t="s">
        <v>44</v>
      </c>
      <c r="F835" s="5" t="s">
        <v>68</v>
      </c>
      <c r="G835" s="5" t="s">
        <v>75</v>
      </c>
      <c r="H835" s="9" t="s">
        <v>198</v>
      </c>
      <c r="I835" s="10">
        <v>44027</v>
      </c>
      <c r="J835" s="10">
        <v>45120</v>
      </c>
      <c r="K835" s="5" t="s">
        <v>199</v>
      </c>
      <c r="L835" s="5" t="s">
        <v>58</v>
      </c>
      <c r="M835" s="11">
        <v>0.10000000000000001</v>
      </c>
      <c r="N835" s="5" t="e">
        <f>IF(AND(M835&gt;#REF!,Cartera!O835="Guaraníes"),"Rendimiento significativo",IF(AND(M835&gt;#REF!,Cartera!O835="Dólares americanos"),"Rendimiento significativo","Rendimiento no significativo"))</f>
        <v>#REF!</v>
      </c>
      <c r="O835" s="5" t="s">
        <v>41</v>
      </c>
      <c r="P835" s="12">
        <v>57000000</v>
      </c>
      <c r="Q835" s="12">
        <f>IF(O835="Guaraníes",P835,P835*#REF!)</f>
        <v>57000000</v>
      </c>
      <c r="R835" s="12" t="e">
        <f>IF(O835="Guaraníes",P835/#REF!,P835)</f>
        <v>#REF!</v>
      </c>
      <c r="S835" s="5" t="s">
        <v>52</v>
      </c>
      <c r="T835" s="5">
        <v>25</v>
      </c>
      <c r="AC835" s="5" t="str">
        <f t="shared" si="43"/>
        <v>Bonos</v>
      </c>
      <c r="AD835" s="5" t="s">
        <v>43</v>
      </c>
      <c r="AE835" s="5">
        <f t="shared" si="41"/>
        <v>7</v>
      </c>
      <c r="AF835" s="5">
        <f t="shared" si="42"/>
        <v>2023</v>
      </c>
    </row>
    <row r="836" s="5" customFormat="1" ht="13">
      <c r="A836" s="5" t="s">
        <v>44</v>
      </c>
      <c r="B836" s="5" t="s">
        <v>44</v>
      </c>
      <c r="C836" s="5" t="s">
        <v>156</v>
      </c>
      <c r="D836" s="5" t="s">
        <v>21</v>
      </c>
      <c r="E836" s="5" t="s">
        <v>44</v>
      </c>
      <c r="F836" s="5" t="s">
        <v>68</v>
      </c>
      <c r="G836" s="5" t="s">
        <v>75</v>
      </c>
      <c r="H836" s="9" t="s">
        <v>246</v>
      </c>
      <c r="I836" s="10"/>
      <c r="J836" s="10">
        <v>45134</v>
      </c>
      <c r="K836" s="5" t="s">
        <v>158</v>
      </c>
      <c r="L836" s="5" t="s">
        <v>58</v>
      </c>
      <c r="M836" s="11">
        <v>0.125</v>
      </c>
      <c r="N836" s="5" t="e">
        <f>IF(AND(M836&gt;#REF!,Cartera!O836="Guaraníes"),"Rendimiento significativo",IF(AND(M836&gt;#REF!,Cartera!O836="Dólares americanos"),"Rendimiento significativo","Rendimiento no significativo"))</f>
        <v>#REF!</v>
      </c>
      <c r="O836" s="5" t="s">
        <v>41</v>
      </c>
      <c r="P836" s="12">
        <v>1495890.4109499999</v>
      </c>
      <c r="Q836" s="12">
        <f>IF(O836="Guaraníes",P836,P836*#REF!)</f>
        <v>1495890.4109499999</v>
      </c>
      <c r="R836" s="12" t="e">
        <f>IF(O836="Guaraníes",P836/#REF!,P836)</f>
        <v>#REF!</v>
      </c>
      <c r="S836" s="5" t="s">
        <v>52</v>
      </c>
      <c r="T836" s="5">
        <v>25</v>
      </c>
      <c r="W836" s="5" t="e">
        <v>#REF!</v>
      </c>
      <c r="X836" s="5">
        <v>0</v>
      </c>
      <c r="Y836" s="5">
        <v>0</v>
      </c>
      <c r="Z836" s="5">
        <v>29917.808218999999</v>
      </c>
      <c r="AA836" s="5">
        <v>50</v>
      </c>
      <c r="AB836" s="5">
        <v>1495890.4109499999</v>
      </c>
      <c r="AC836" s="5" t="str">
        <f t="shared" si="43"/>
        <v>Bonos</v>
      </c>
      <c r="AD836" s="5" t="s">
        <v>43</v>
      </c>
      <c r="AE836" s="5">
        <f t="shared" si="41"/>
        <v>7</v>
      </c>
      <c r="AF836" s="5">
        <f t="shared" si="42"/>
        <v>2023</v>
      </c>
    </row>
    <row r="837" s="5" customFormat="1" ht="13">
      <c r="A837" s="5" t="s">
        <v>44</v>
      </c>
      <c r="B837" s="5" t="s">
        <v>44</v>
      </c>
      <c r="C837" s="5" t="s">
        <v>114</v>
      </c>
      <c r="D837" s="5" t="s">
        <v>21</v>
      </c>
      <c r="E837" s="5" t="s">
        <v>44</v>
      </c>
      <c r="F837" s="5" t="s">
        <v>68</v>
      </c>
      <c r="G837" s="5" t="s">
        <v>75</v>
      </c>
      <c r="H837" s="9" t="s">
        <v>235</v>
      </c>
      <c r="I837" s="10"/>
      <c r="J837" s="10">
        <v>45134</v>
      </c>
      <c r="K837" s="5" t="s">
        <v>77</v>
      </c>
      <c r="L837" s="5" t="s">
        <v>50</v>
      </c>
      <c r="M837" s="11">
        <v>0.14249999999999999</v>
      </c>
      <c r="N837" s="5" t="e">
        <f>IF(AND(M837&gt;#REF!,Cartera!O837="Guaraníes"),"Rendimiento significativo",IF(AND(M837&gt;#REF!,Cartera!O837="Dólares americanos"),"Rendimiento significativo","Rendimiento no significativo"))</f>
        <v>#REF!</v>
      </c>
      <c r="O837" s="5" t="s">
        <v>41</v>
      </c>
      <c r="P837" s="12">
        <v>183869.86301500001</v>
      </c>
      <c r="Q837" s="12">
        <f>IF(O837="Guaraníes",P837,P837*#REF!)</f>
        <v>183869.86301500001</v>
      </c>
      <c r="R837" s="12" t="e">
        <f>IF(O837="Guaraníes",P837/#REF!,P837)</f>
        <v>#REF!</v>
      </c>
      <c r="S837" s="5" t="s">
        <v>52</v>
      </c>
      <c r="T837" s="5">
        <v>25</v>
      </c>
      <c r="W837" s="5" t="s">
        <v>65</v>
      </c>
      <c r="X837" s="5">
        <v>0</v>
      </c>
      <c r="Y837" s="5">
        <v>0</v>
      </c>
      <c r="Z837" s="5">
        <v>36773.972603000002</v>
      </c>
      <c r="AA837" s="5">
        <v>5</v>
      </c>
      <c r="AB837" s="5">
        <v>183869.86301500001</v>
      </c>
      <c r="AC837" s="5" t="str">
        <f t="shared" si="43"/>
        <v>Bonos</v>
      </c>
      <c r="AD837" s="5" t="s">
        <v>43</v>
      </c>
      <c r="AE837" s="5">
        <f t="shared" si="41"/>
        <v>7</v>
      </c>
      <c r="AF837" s="5">
        <f t="shared" si="42"/>
        <v>2023</v>
      </c>
    </row>
    <row r="838" s="5" customFormat="1" ht="13">
      <c r="A838" s="5" t="s">
        <v>44</v>
      </c>
      <c r="B838" s="5" t="s">
        <v>44</v>
      </c>
      <c r="C838" s="5" t="s">
        <v>114</v>
      </c>
      <c r="D838" s="5" t="s">
        <v>21</v>
      </c>
      <c r="E838" s="5" t="s">
        <v>44</v>
      </c>
      <c r="F838" s="5" t="s">
        <v>68</v>
      </c>
      <c r="G838" s="5" t="s">
        <v>75</v>
      </c>
      <c r="H838" s="9" t="s">
        <v>115</v>
      </c>
      <c r="I838" s="10"/>
      <c r="J838" s="10">
        <v>45134</v>
      </c>
      <c r="K838" s="5" t="s">
        <v>77</v>
      </c>
      <c r="L838" s="5" t="s">
        <v>50</v>
      </c>
      <c r="M838" s="11">
        <v>0.125</v>
      </c>
      <c r="N838" s="5" t="e">
        <f>IF(AND(M838&gt;#REF!,Cartera!O838="Guaraníes"),"Rendimiento significativo",IF(AND(M838&gt;#REF!,Cartera!O838="Dólares americanos"),"Rendimiento significativo","Rendimiento no significativo"))</f>
        <v>#REF!</v>
      </c>
      <c r="O838" s="5" t="s">
        <v>41</v>
      </c>
      <c r="P838" s="12">
        <v>897534.24656999996</v>
      </c>
      <c r="Q838" s="12">
        <f>IF(O838="Guaraníes",P838,P838*#REF!)</f>
        <v>897534.24656999996</v>
      </c>
      <c r="R838" s="12" t="e">
        <f>IF(O838="Guaraníes",P838/#REF!,P838)</f>
        <v>#REF!</v>
      </c>
      <c r="S838" s="5" t="s">
        <v>52</v>
      </c>
      <c r="T838" s="5">
        <v>25</v>
      </c>
      <c r="W838" s="5" t="s">
        <v>65</v>
      </c>
      <c r="X838" s="5">
        <v>0</v>
      </c>
      <c r="Y838" s="5">
        <v>0</v>
      </c>
      <c r="Z838" s="5">
        <v>29917.808218999999</v>
      </c>
      <c r="AA838" s="5">
        <v>30</v>
      </c>
      <c r="AB838" s="5">
        <v>897534.24656999996</v>
      </c>
      <c r="AC838" s="5" t="str">
        <f t="shared" si="43"/>
        <v>Bonos</v>
      </c>
      <c r="AD838" s="5" t="s">
        <v>43</v>
      </c>
      <c r="AE838" s="5">
        <f t="shared" si="41"/>
        <v>7</v>
      </c>
      <c r="AF838" s="5">
        <f t="shared" si="42"/>
        <v>2023</v>
      </c>
    </row>
    <row r="839" s="5" customFormat="1" ht="13">
      <c r="A839" s="5" t="s">
        <v>44</v>
      </c>
      <c r="B839" s="5" t="s">
        <v>44</v>
      </c>
      <c r="C839" s="5" t="s">
        <v>33</v>
      </c>
      <c r="D839" s="5" t="s">
        <v>21</v>
      </c>
      <c r="E839" s="5" t="s">
        <v>44</v>
      </c>
      <c r="F839" s="5" t="s">
        <v>35</v>
      </c>
      <c r="G839" s="5" t="s">
        <v>75</v>
      </c>
      <c r="H839" s="9" t="s">
        <v>168</v>
      </c>
      <c r="I839" s="10"/>
      <c r="J839" s="10">
        <v>45146</v>
      </c>
      <c r="K839" s="5" t="s">
        <v>39</v>
      </c>
      <c r="L839" s="5" t="s">
        <v>50</v>
      </c>
      <c r="M839" s="11">
        <v>0.070000000000000007</v>
      </c>
      <c r="N839" s="5" t="e">
        <f>IF(AND(M839&gt;#REF!,Cartera!O839="Guaraníes"),"Rendimiento significativo",IF(AND(M839&gt;#REF!,Cartera!O839="Dólares americanos"),"Rendimiento significativo","Rendimiento no significativo"))</f>
        <v>#REF!</v>
      </c>
      <c r="O839" s="5" t="s">
        <v>51</v>
      </c>
      <c r="P839" s="13">
        <v>1221.6438500000002</v>
      </c>
      <c r="Q839" s="12" t="e">
        <f>IF(O839="Guaraníes",P839,P839*#REF!)</f>
        <v>#REF!</v>
      </c>
      <c r="R839" s="12">
        <f>IF(O839="Guaraníes",P839/#REF!,P839)</f>
        <v>1221.6438500000002</v>
      </c>
      <c r="S839" s="5" t="s">
        <v>52</v>
      </c>
      <c r="T839" s="5">
        <v>25</v>
      </c>
      <c r="W839" s="5" t="s">
        <v>65</v>
      </c>
      <c r="X839" s="5">
        <v>0</v>
      </c>
      <c r="Y839" s="5">
        <v>0</v>
      </c>
      <c r="Z839" s="5">
        <v>17.452055000000001</v>
      </c>
      <c r="AA839" s="5">
        <v>70</v>
      </c>
      <c r="AB839" s="5">
        <v>1221.6438499999999</v>
      </c>
      <c r="AC839" s="5" t="str">
        <f t="shared" si="43"/>
        <v>Bonos</v>
      </c>
      <c r="AD839" s="5" t="s">
        <v>43</v>
      </c>
      <c r="AE839" s="5">
        <f t="shared" si="41"/>
        <v>8</v>
      </c>
      <c r="AF839" s="5">
        <f t="shared" si="42"/>
        <v>2023</v>
      </c>
    </row>
    <row r="840" s="5" customFormat="1" ht="13">
      <c r="A840" s="5" t="s">
        <v>44</v>
      </c>
      <c r="B840" s="5" t="s">
        <v>44</v>
      </c>
      <c r="C840" s="5" t="s">
        <v>114</v>
      </c>
      <c r="D840" s="5" t="s">
        <v>21</v>
      </c>
      <c r="E840" s="5" t="s">
        <v>44</v>
      </c>
      <c r="F840" s="5" t="s">
        <v>68</v>
      </c>
      <c r="G840" s="5" t="s">
        <v>75</v>
      </c>
      <c r="H840" s="9" t="s">
        <v>170</v>
      </c>
      <c r="I840" s="10"/>
      <c r="J840" s="10">
        <v>45154</v>
      </c>
      <c r="K840" s="5" t="s">
        <v>77</v>
      </c>
      <c r="L840" s="5" t="s">
        <v>50</v>
      </c>
      <c r="M840" s="11">
        <v>0.14000000000000001</v>
      </c>
      <c r="N840" s="5" t="e">
        <f>IF(AND(M840&gt;#REF!,Cartera!O840="Guaraníes"),"Rendimiento significativo",IF(AND(M840&gt;#REF!,Cartera!O840="Dólares americanos"),"Rendimiento significativo","Rendimiento no significativo"))</f>
        <v>#REF!</v>
      </c>
      <c r="O840" s="5" t="s">
        <v>41</v>
      </c>
      <c r="P840" s="12">
        <v>3528767.1233000001</v>
      </c>
      <c r="Q840" s="12">
        <f>IF(O840="Guaraníes",P840,P840*#REF!)</f>
        <v>3528767.1233000001</v>
      </c>
      <c r="R840" s="12" t="e">
        <f>IF(O840="Guaraníes",P840/#REF!,P840)</f>
        <v>#REF!</v>
      </c>
      <c r="S840" s="5" t="s">
        <v>52</v>
      </c>
      <c r="T840" s="5">
        <v>25</v>
      </c>
      <c r="W840" s="5" t="s">
        <v>65</v>
      </c>
      <c r="X840" s="5">
        <v>0</v>
      </c>
      <c r="Y840" s="5">
        <v>0</v>
      </c>
      <c r="Z840" s="5">
        <v>35287.671233000001</v>
      </c>
      <c r="AA840" s="5">
        <v>100</v>
      </c>
      <c r="AB840" s="5">
        <v>3528767.1233000001</v>
      </c>
      <c r="AC840" s="5" t="str">
        <f t="shared" si="43"/>
        <v>Bonos</v>
      </c>
      <c r="AD840" s="5" t="s">
        <v>43</v>
      </c>
      <c r="AE840" s="5">
        <f t="shared" si="41"/>
        <v>8</v>
      </c>
      <c r="AF840" s="5">
        <f t="shared" si="42"/>
        <v>2023</v>
      </c>
    </row>
    <row r="841" s="5" customFormat="1" ht="13">
      <c r="A841" s="5" t="s">
        <v>44</v>
      </c>
      <c r="B841" s="5" t="s">
        <v>44</v>
      </c>
      <c r="C841" s="5" t="s">
        <v>99</v>
      </c>
      <c r="D841" s="5" t="s">
        <v>21</v>
      </c>
      <c r="E841" s="5" t="s">
        <v>44</v>
      </c>
      <c r="F841" s="5" t="s">
        <v>100</v>
      </c>
      <c r="G841" s="5" t="s">
        <v>75</v>
      </c>
      <c r="H841" s="9" t="s">
        <v>159</v>
      </c>
      <c r="I841" s="10"/>
      <c r="J841" s="10">
        <v>45172</v>
      </c>
      <c r="K841" s="5" t="s">
        <v>102</v>
      </c>
      <c r="L841" s="5" t="s">
        <v>102</v>
      </c>
      <c r="M841" s="11">
        <v>0.078</v>
      </c>
      <c r="N841" s="5" t="e">
        <f>IF(AND(M841&gt;#REF!,Cartera!O841="Guaraníes"),"Rendimiento significativo",IF(AND(M841&gt;#REF!,Cartera!O841="Dólares americanos"),"Rendimiento significativo","Rendimiento no significativo"))</f>
        <v>#REF!</v>
      </c>
      <c r="O841" s="5" t="s">
        <v>41</v>
      </c>
      <c r="P841" s="12">
        <v>31200000</v>
      </c>
      <c r="Q841" s="12">
        <f>IF(O841="Guaraníes",P841,P841*#REF!)</f>
        <v>31200000</v>
      </c>
      <c r="R841" s="12" t="e">
        <f>IF(O841="Guaraníes",P841/#REF!,P841)</f>
        <v>#REF!</v>
      </c>
      <c r="S841" s="5" t="s">
        <v>52</v>
      </c>
      <c r="T841" s="5">
        <v>25</v>
      </c>
      <c r="W841" s="5" t="s">
        <v>65</v>
      </c>
      <c r="X841" s="5">
        <v>0</v>
      </c>
      <c r="Y841" s="5">
        <v>0</v>
      </c>
      <c r="Z841" s="5">
        <v>39000</v>
      </c>
      <c r="AA841" s="5">
        <v>800</v>
      </c>
      <c r="AB841" s="5">
        <v>31200000</v>
      </c>
      <c r="AC841" s="5" t="str">
        <f t="shared" si="43"/>
        <v>Bonos</v>
      </c>
      <c r="AD841" s="5" t="s">
        <v>43</v>
      </c>
      <c r="AE841" s="5">
        <f t="shared" si="41"/>
        <v>9</v>
      </c>
      <c r="AF841" s="5">
        <f t="shared" si="42"/>
        <v>2023</v>
      </c>
    </row>
    <row r="842" s="5" customFormat="1" ht="13">
      <c r="A842" s="5" t="s">
        <v>44</v>
      </c>
      <c r="B842" s="5" t="s">
        <v>44</v>
      </c>
      <c r="C842" s="5" t="s">
        <v>33</v>
      </c>
      <c r="D842" s="5" t="s">
        <v>21</v>
      </c>
      <c r="E842" s="5" t="s">
        <v>44</v>
      </c>
      <c r="F842" s="5" t="s">
        <v>35</v>
      </c>
      <c r="G842" s="5" t="s">
        <v>75</v>
      </c>
      <c r="H842" s="9" t="s">
        <v>186</v>
      </c>
      <c r="I842" s="10"/>
      <c r="J842" s="10">
        <v>45182</v>
      </c>
      <c r="K842" s="5" t="s">
        <v>39</v>
      </c>
      <c r="L842" s="5" t="s">
        <v>50</v>
      </c>
      <c r="M842" s="11">
        <v>0.044999999999999998</v>
      </c>
      <c r="N842" s="5" t="e">
        <f>IF(AND(M842&gt;#REF!,Cartera!O842="Guaraníes"),"Rendimiento significativo",IF(AND(M842&gt;#REF!,Cartera!O842="Dólares americanos"),"Rendimiento significativo","Rendimiento no significativo"))</f>
        <v>#REF!</v>
      </c>
      <c r="O842" s="5" t="s">
        <v>51</v>
      </c>
      <c r="P842" s="13">
        <v>336.57533999999998</v>
      </c>
      <c r="Q842" s="12" t="e">
        <f>IF(O842="Guaraníes",P842,P842*#REF!)</f>
        <v>#REF!</v>
      </c>
      <c r="R842" s="12">
        <f>IF(O842="Guaraníes",P842/#REF!,P842)</f>
        <v>336.57533999999998</v>
      </c>
      <c r="S842" s="5" t="s">
        <v>52</v>
      </c>
      <c r="T842" s="5">
        <v>25</v>
      </c>
      <c r="W842" s="5" t="s">
        <v>65</v>
      </c>
      <c r="X842" s="5">
        <v>0</v>
      </c>
      <c r="Y842" s="5">
        <v>0</v>
      </c>
      <c r="Z842" s="5">
        <v>11.219177999999999</v>
      </c>
      <c r="AA842" s="5">
        <v>30</v>
      </c>
      <c r="AB842" s="5">
        <v>336.57533999999998</v>
      </c>
      <c r="AC842" s="5" t="str">
        <f t="shared" si="43"/>
        <v>Bonos</v>
      </c>
      <c r="AD842" s="5" t="s">
        <v>43</v>
      </c>
      <c r="AE842" s="5">
        <f t="shared" si="41"/>
        <v>9</v>
      </c>
      <c r="AF842" s="5">
        <f t="shared" si="42"/>
        <v>2023</v>
      </c>
    </row>
    <row r="843" s="5" customFormat="1" ht="13">
      <c r="A843" s="5" t="s">
        <v>44</v>
      </c>
      <c r="B843" s="5" t="s">
        <v>44</v>
      </c>
      <c r="C843" s="5" t="s">
        <v>114</v>
      </c>
      <c r="D843" s="5" t="s">
        <v>21</v>
      </c>
      <c r="E843" s="5" t="s">
        <v>44</v>
      </c>
      <c r="F843" s="5" t="s">
        <v>68</v>
      </c>
      <c r="G843" s="5" t="s">
        <v>75</v>
      </c>
      <c r="H843" s="9" t="s">
        <v>236</v>
      </c>
      <c r="I843" s="10"/>
      <c r="J843" s="10">
        <v>45183</v>
      </c>
      <c r="K843" s="5" t="s">
        <v>77</v>
      </c>
      <c r="L843" s="5" t="s">
        <v>50</v>
      </c>
      <c r="M843" s="11">
        <v>0.14749999999999999</v>
      </c>
      <c r="N843" s="5" t="e">
        <f>IF(AND(M843&gt;#REF!,Cartera!O843="Guaraníes"),"Rendimiento significativo",IF(AND(M843&gt;#REF!,Cartera!O843="Dólares americanos"),"Rendimiento significativo","Rendimiento no significativo"))</f>
        <v>#REF!</v>
      </c>
      <c r="O843" s="5" t="s">
        <v>41</v>
      </c>
      <c r="P843" s="12">
        <v>112191.780822</v>
      </c>
      <c r="Q843" s="12">
        <f>IF(O843="Guaraníes",P843,P843*#REF!)</f>
        <v>112191.780822</v>
      </c>
      <c r="R843" s="12" t="e">
        <f>IF(O843="Guaraníes",P843/#REF!,P843)</f>
        <v>#REF!</v>
      </c>
      <c r="S843" s="5" t="s">
        <v>52</v>
      </c>
      <c r="T843" s="5">
        <v>25</v>
      </c>
      <c r="W843" s="5" t="s">
        <v>65</v>
      </c>
      <c r="X843" s="5">
        <v>0</v>
      </c>
      <c r="Y843" s="5">
        <v>0</v>
      </c>
      <c r="Z843" s="5">
        <v>37397.260274</v>
      </c>
      <c r="AA843" s="5">
        <v>3</v>
      </c>
      <c r="AB843" s="5">
        <v>112191.780822</v>
      </c>
      <c r="AC843" s="5" t="str">
        <f t="shared" si="43"/>
        <v>Bonos</v>
      </c>
      <c r="AD843" s="5" t="s">
        <v>43</v>
      </c>
      <c r="AE843" s="5">
        <f t="shared" si="41"/>
        <v>9</v>
      </c>
      <c r="AF843" s="5">
        <f t="shared" si="42"/>
        <v>2023</v>
      </c>
    </row>
    <row r="844" s="5" customFormat="1" ht="13">
      <c r="A844" s="5" t="s">
        <v>44</v>
      </c>
      <c r="B844" s="5" t="s">
        <v>44</v>
      </c>
      <c r="C844" s="5" t="s">
        <v>54</v>
      </c>
      <c r="D844" s="5" t="s">
        <v>21</v>
      </c>
      <c r="E844" s="5" t="s">
        <v>44</v>
      </c>
      <c r="F844" s="5" t="s">
        <v>46</v>
      </c>
      <c r="G844" s="5" t="s">
        <v>75</v>
      </c>
      <c r="H844" s="9" t="s">
        <v>147</v>
      </c>
      <c r="I844" s="10"/>
      <c r="J844" s="10">
        <v>45194</v>
      </c>
      <c r="K844" s="5" t="s">
        <v>57</v>
      </c>
      <c r="L844" s="5" t="s">
        <v>58</v>
      </c>
      <c r="M844" s="11">
        <v>0.12</v>
      </c>
      <c r="N844" s="5" t="e">
        <f>IF(AND(M844&gt;#REF!,Cartera!O844="Guaraníes"),"Rendimiento significativo",IF(AND(M844&gt;#REF!,Cartera!O844="Dólares americanos"),"Rendimiento significativo","Rendimiento no significativo"))</f>
        <v>#REF!</v>
      </c>
      <c r="O844" s="5" t="s">
        <v>41</v>
      </c>
      <c r="P844" s="12">
        <v>4487671.2328500003</v>
      </c>
      <c r="Q844" s="12">
        <f>IF(O844="Guaraníes",P844,P844*#REF!)</f>
        <v>4487671.2328500003</v>
      </c>
      <c r="R844" s="12" t="e">
        <f>IF(O844="Guaraníes",P844/#REF!,P844)</f>
        <v>#REF!</v>
      </c>
      <c r="S844" s="5" t="s">
        <v>52</v>
      </c>
      <c r="T844" s="5">
        <v>25</v>
      </c>
      <c r="W844" s="5" t="s">
        <v>192</v>
      </c>
      <c r="X844" s="5">
        <v>0</v>
      </c>
      <c r="Y844" s="5">
        <v>0</v>
      </c>
      <c r="Z844" s="5">
        <v>29917.808218999999</v>
      </c>
      <c r="AA844" s="5">
        <v>150</v>
      </c>
      <c r="AB844" s="5">
        <v>4487671.2328500003</v>
      </c>
      <c r="AC844" s="5" t="str">
        <f t="shared" si="43"/>
        <v>Bonos</v>
      </c>
      <c r="AD844" s="5" t="s">
        <v>43</v>
      </c>
      <c r="AE844" s="5">
        <f t="shared" si="41"/>
        <v>9</v>
      </c>
      <c r="AF844" s="5">
        <f t="shared" si="42"/>
        <v>2023</v>
      </c>
    </row>
    <row r="845" s="5" customFormat="1" ht="13">
      <c r="A845" s="5" t="s">
        <v>44</v>
      </c>
      <c r="B845" s="5" t="s">
        <v>44</v>
      </c>
      <c r="C845" s="5" t="s">
        <v>114</v>
      </c>
      <c r="D845" s="5" t="s">
        <v>21</v>
      </c>
      <c r="E845" s="5" t="s">
        <v>44</v>
      </c>
      <c r="F845" s="5" t="s">
        <v>68</v>
      </c>
      <c r="G845" s="5" t="s">
        <v>75</v>
      </c>
      <c r="H845" s="9" t="s">
        <v>237</v>
      </c>
      <c r="I845" s="10"/>
      <c r="J845" s="10">
        <v>45195</v>
      </c>
      <c r="K845" s="5" t="s">
        <v>77</v>
      </c>
      <c r="L845" s="5" t="s">
        <v>50</v>
      </c>
      <c r="M845" s="11">
        <v>0.13750000000000001</v>
      </c>
      <c r="N845" s="5" t="e">
        <f>IF(AND(M845&gt;#REF!,Cartera!O845="Guaraníes"),"Rendimiento significativo",IF(AND(M845&gt;#REF!,Cartera!O845="Dólares americanos"),"Rendimiento significativo","Rendimiento no significativo"))</f>
        <v>#REF!</v>
      </c>
      <c r="O845" s="5" t="s">
        <v>41</v>
      </c>
      <c r="P845" s="12">
        <v>685616.43836000003</v>
      </c>
      <c r="Q845" s="12">
        <f>IF(O845="Guaraníes",P845,P845*#REF!)</f>
        <v>685616.43836000003</v>
      </c>
      <c r="R845" s="12" t="e">
        <f>IF(O845="Guaraníes",P845/#REF!,P845)</f>
        <v>#REF!</v>
      </c>
      <c r="S845" s="5" t="s">
        <v>52</v>
      </c>
      <c r="T845" s="5">
        <v>25</v>
      </c>
      <c r="W845" s="5" t="s">
        <v>65</v>
      </c>
      <c r="X845" s="5">
        <v>0</v>
      </c>
      <c r="Y845" s="5">
        <v>0</v>
      </c>
      <c r="Z845" s="5">
        <v>34280.821918000001</v>
      </c>
      <c r="AA845" s="5">
        <v>20</v>
      </c>
      <c r="AB845" s="5">
        <v>685616.43836000003</v>
      </c>
      <c r="AC845" s="5" t="str">
        <f t="shared" si="43"/>
        <v>Bonos</v>
      </c>
      <c r="AD845" s="5" t="s">
        <v>43</v>
      </c>
      <c r="AE845" s="5">
        <f t="shared" si="41"/>
        <v>9</v>
      </c>
      <c r="AF845" s="5">
        <f t="shared" si="42"/>
        <v>2023</v>
      </c>
    </row>
    <row r="846" s="5" customFormat="1" ht="13">
      <c r="A846" s="5" t="s">
        <v>44</v>
      </c>
      <c r="B846" s="5" t="s">
        <v>44</v>
      </c>
      <c r="C846" s="5" t="s">
        <v>33</v>
      </c>
      <c r="D846" s="5" t="s">
        <v>21</v>
      </c>
      <c r="E846" s="5" t="s">
        <v>44</v>
      </c>
      <c r="F846" s="5" t="s">
        <v>35</v>
      </c>
      <c r="G846" s="5" t="s">
        <v>75</v>
      </c>
      <c r="H846" s="9" t="s">
        <v>257</v>
      </c>
      <c r="I846" s="10"/>
      <c r="J846" s="10">
        <v>45197</v>
      </c>
      <c r="K846" s="5" t="s">
        <v>39</v>
      </c>
      <c r="L846" s="5" t="s">
        <v>106</v>
      </c>
      <c r="M846" s="11">
        <v>0.0625</v>
      </c>
      <c r="N846" s="5" t="e">
        <f>IF(AND(M846&gt;#REF!,Cartera!O846="Guaraníes"),"Rendimiento significativo",IF(AND(M846&gt;#REF!,Cartera!O846="Dólares americanos"),"Rendimiento significativo","Rendimiento no significativo"))</f>
        <v>#REF!</v>
      </c>
      <c r="O846" s="5" t="s">
        <v>51</v>
      </c>
      <c r="P846" s="13">
        <v>623.28767999999991</v>
      </c>
      <c r="Q846" s="12" t="e">
        <f>IF(O846="Guaraníes",P846,P846*#REF!)</f>
        <v>#REF!</v>
      </c>
      <c r="R846" s="12">
        <f>IF(O846="Guaraníes",P846/#REF!,P846)</f>
        <v>623.28767999999991</v>
      </c>
      <c r="S846" s="5" t="s">
        <v>52</v>
      </c>
      <c r="T846" s="5">
        <v>25</v>
      </c>
      <c r="W846" s="5" t="s">
        <v>218</v>
      </c>
      <c r="X846" s="5">
        <v>0</v>
      </c>
      <c r="Y846" s="5">
        <v>0</v>
      </c>
      <c r="Z846" s="5">
        <v>15.582191999999999</v>
      </c>
      <c r="AA846" s="5">
        <v>40</v>
      </c>
      <c r="AB846" s="5">
        <v>623.28768000000002</v>
      </c>
      <c r="AC846" s="5" t="str">
        <f t="shared" si="43"/>
        <v>Bonos</v>
      </c>
      <c r="AD846" s="5" t="s">
        <v>43</v>
      </c>
      <c r="AE846" s="5">
        <f t="shared" si="41"/>
        <v>9</v>
      </c>
      <c r="AF846" s="5">
        <f t="shared" si="42"/>
        <v>2023</v>
      </c>
    </row>
    <row r="847" s="5" customFormat="1" ht="13">
      <c r="A847" s="5" t="s">
        <v>44</v>
      </c>
      <c r="B847" s="5" t="s">
        <v>44</v>
      </c>
      <c r="C847" s="5" t="s">
        <v>74</v>
      </c>
      <c r="D847" s="5" t="s">
        <v>21</v>
      </c>
      <c r="E847" s="5" t="s">
        <v>44</v>
      </c>
      <c r="F847" s="5" t="s">
        <v>68</v>
      </c>
      <c r="G847" s="5" t="s">
        <v>75</v>
      </c>
      <c r="H847" s="9" t="s">
        <v>76</v>
      </c>
      <c r="I847" s="10"/>
      <c r="J847" s="10">
        <v>45201</v>
      </c>
      <c r="K847" s="5" t="s">
        <v>77</v>
      </c>
      <c r="L847" s="5" t="s">
        <v>50</v>
      </c>
      <c r="M847" s="11">
        <v>0.055</v>
      </c>
      <c r="N847" s="5" t="e">
        <f>IF(AND(M847&gt;#REF!,Cartera!O847="Guaraníes"),"Rendimiento significativo",IF(AND(M847&gt;#REF!,Cartera!O847="Dólares americanos"),"Rendimiento significativo","Rendimiento no significativo"))</f>
        <v>#REF!</v>
      </c>
      <c r="O847" s="5" t="s">
        <v>51</v>
      </c>
      <c r="P847" s="13">
        <v>411.36986999999999</v>
      </c>
      <c r="Q847" s="12" t="e">
        <f>IF(O847="Guaraníes",P847,P847*#REF!)</f>
        <v>#REF!</v>
      </c>
      <c r="R847" s="12">
        <f>IF(O847="Guaraníes",P847/#REF!,P847)</f>
        <v>411.36986999999999</v>
      </c>
      <c r="S847" s="5" t="s">
        <v>52</v>
      </c>
      <c r="T847" s="5">
        <v>25</v>
      </c>
      <c r="W847" s="5" t="s">
        <v>65</v>
      </c>
      <c r="X847" s="5">
        <v>0</v>
      </c>
      <c r="Y847" s="5">
        <v>0</v>
      </c>
      <c r="Z847" s="5">
        <v>13.712329</v>
      </c>
      <c r="AA847" s="5">
        <v>30</v>
      </c>
      <c r="AB847" s="5">
        <v>411.37</v>
      </c>
      <c r="AC847" s="5" t="str">
        <f t="shared" si="43"/>
        <v>Bonos</v>
      </c>
      <c r="AD847" s="5" t="s">
        <v>43</v>
      </c>
      <c r="AE847" s="5">
        <f t="shared" si="41"/>
        <v>10</v>
      </c>
      <c r="AF847" s="5">
        <f t="shared" si="42"/>
        <v>2023</v>
      </c>
    </row>
    <row r="848" s="5" customFormat="1" ht="13">
      <c r="A848" s="5" t="s">
        <v>44</v>
      </c>
      <c r="B848" s="5" t="s">
        <v>44</v>
      </c>
      <c r="C848" s="5" t="s">
        <v>99</v>
      </c>
      <c r="D848" s="5" t="s">
        <v>21</v>
      </c>
      <c r="E848" s="5" t="s">
        <v>44</v>
      </c>
      <c r="F848" s="5" t="s">
        <v>100</v>
      </c>
      <c r="G848" s="5" t="s">
        <v>75</v>
      </c>
      <c r="H848" s="9" t="s">
        <v>217</v>
      </c>
      <c r="I848" s="10"/>
      <c r="J848" s="10">
        <v>45223</v>
      </c>
      <c r="K848" s="5" t="s">
        <v>102</v>
      </c>
      <c r="L848" s="5" t="s">
        <v>102</v>
      </c>
      <c r="M848" s="11">
        <v>0.080000000000000002</v>
      </c>
      <c r="N848" s="5" t="e">
        <f>IF(AND(M848&gt;#REF!,Cartera!O848="Guaraníes"),"Rendimiento significativo",IF(AND(M848&gt;#REF!,Cartera!O848="Dólares americanos"),"Rendimiento significativo","Rendimiento no significativo"))</f>
        <v>#REF!</v>
      </c>
      <c r="O848" s="5" t="s">
        <v>41</v>
      </c>
      <c r="P848" s="12">
        <v>5767000</v>
      </c>
      <c r="Q848" s="12">
        <f>IF(O848="Guaraníes",P848,P848*#REF!)</f>
        <v>5767000</v>
      </c>
      <c r="R848" s="12" t="e">
        <f>IF(O848="Guaraníes",P848/#REF!,P848)</f>
        <v>#REF!</v>
      </c>
      <c r="S848" s="5" t="s">
        <v>52</v>
      </c>
      <c r="T848" s="5">
        <v>25</v>
      </c>
      <c r="W848" s="5" t="s">
        <v>218</v>
      </c>
      <c r="X848" s="5">
        <v>0</v>
      </c>
      <c r="Y848" s="5">
        <v>0</v>
      </c>
      <c r="Z848" s="5">
        <v>39500</v>
      </c>
      <c r="AA848" s="5">
        <v>146</v>
      </c>
      <c r="AB848" s="5">
        <v>5767000</v>
      </c>
      <c r="AC848" s="5" t="str">
        <f t="shared" si="43"/>
        <v>Bonos</v>
      </c>
      <c r="AD848" s="5" t="s">
        <v>43</v>
      </c>
      <c r="AE848" s="5">
        <f t="shared" si="41"/>
        <v>10</v>
      </c>
      <c r="AF848" s="5">
        <f t="shared" si="42"/>
        <v>2023</v>
      </c>
    </row>
    <row r="849" s="5" customFormat="1" ht="13">
      <c r="A849" s="5" t="s">
        <v>44</v>
      </c>
      <c r="B849" s="5" t="s">
        <v>44</v>
      </c>
      <c r="C849" s="5" t="s">
        <v>114</v>
      </c>
      <c r="D849" s="5" t="s">
        <v>21</v>
      </c>
      <c r="E849" s="5" t="s">
        <v>44</v>
      </c>
      <c r="F849" s="5" t="s">
        <v>68</v>
      </c>
      <c r="G849" s="5" t="s">
        <v>75</v>
      </c>
      <c r="H849" s="9" t="s">
        <v>235</v>
      </c>
      <c r="I849" s="10"/>
      <c r="J849" s="10">
        <v>45225</v>
      </c>
      <c r="K849" s="5" t="s">
        <v>77</v>
      </c>
      <c r="L849" s="5" t="s">
        <v>50</v>
      </c>
      <c r="M849" s="11">
        <v>0.14249999999999999</v>
      </c>
      <c r="N849" s="5" t="e">
        <f>IF(AND(M849&gt;#REF!,Cartera!O849="Guaraníes"),"Rendimiento significativo",IF(AND(M849&gt;#REF!,Cartera!O849="Dólares americanos"),"Rendimiento significativo","Rendimiento no significativo"))</f>
        <v>#REF!</v>
      </c>
      <c r="O849" s="5" t="s">
        <v>41</v>
      </c>
      <c r="P849" s="12">
        <v>183869.86301500001</v>
      </c>
      <c r="Q849" s="12">
        <f>IF(O849="Guaraníes",P849,P849*#REF!)</f>
        <v>183869.86301500001</v>
      </c>
      <c r="R849" s="12" t="e">
        <f>IF(O849="Guaraníes",P849/#REF!,P849)</f>
        <v>#REF!</v>
      </c>
      <c r="S849" s="5" t="s">
        <v>52</v>
      </c>
      <c r="T849" s="5">
        <v>25</v>
      </c>
      <c r="W849" s="5" t="s">
        <v>65</v>
      </c>
      <c r="X849" s="5">
        <v>0</v>
      </c>
      <c r="Y849" s="5">
        <v>0</v>
      </c>
      <c r="Z849" s="5">
        <v>36773.972603000002</v>
      </c>
      <c r="AA849" s="5">
        <v>5</v>
      </c>
      <c r="AB849" s="5">
        <v>183869.86301500001</v>
      </c>
      <c r="AC849" s="5" t="str">
        <f t="shared" si="43"/>
        <v>Bonos</v>
      </c>
      <c r="AD849" s="5" t="s">
        <v>43</v>
      </c>
      <c r="AE849" s="5">
        <f t="shared" si="41"/>
        <v>10</v>
      </c>
      <c r="AF849" s="5">
        <f t="shared" si="42"/>
        <v>2023</v>
      </c>
    </row>
    <row r="850" s="5" customFormat="1" ht="13">
      <c r="A850" s="5" t="s">
        <v>44</v>
      </c>
      <c r="B850" s="5" t="s">
        <v>44</v>
      </c>
      <c r="C850" s="5" t="s">
        <v>114</v>
      </c>
      <c r="D850" s="5" t="s">
        <v>21</v>
      </c>
      <c r="E850" s="5" t="s">
        <v>44</v>
      </c>
      <c r="F850" s="5" t="s">
        <v>68</v>
      </c>
      <c r="G850" s="5" t="s">
        <v>75</v>
      </c>
      <c r="H850" s="9" t="s">
        <v>115</v>
      </c>
      <c r="I850" s="10"/>
      <c r="J850" s="10">
        <v>45225</v>
      </c>
      <c r="K850" s="5" t="s">
        <v>77</v>
      </c>
      <c r="L850" s="5" t="s">
        <v>50</v>
      </c>
      <c r="M850" s="11">
        <v>0.125</v>
      </c>
      <c r="N850" s="5" t="e">
        <f>IF(AND(M850&gt;#REF!,Cartera!O850="Guaraníes"),"Rendimiento significativo",IF(AND(M850&gt;#REF!,Cartera!O850="Dólares americanos"),"Rendimiento significativo","Rendimiento no significativo"))</f>
        <v>#REF!</v>
      </c>
      <c r="O850" s="5" t="s">
        <v>41</v>
      </c>
      <c r="P850" s="12">
        <v>897534.24656999996</v>
      </c>
      <c r="Q850" s="12">
        <f>IF(O850="Guaraníes",P850,P850*#REF!)</f>
        <v>897534.24656999996</v>
      </c>
      <c r="R850" s="12" t="e">
        <f>IF(O850="Guaraníes",P850/#REF!,P850)</f>
        <v>#REF!</v>
      </c>
      <c r="S850" s="5" t="s">
        <v>52</v>
      </c>
      <c r="T850" s="5">
        <v>25</v>
      </c>
      <c r="W850" s="5" t="s">
        <v>65</v>
      </c>
      <c r="X850" s="5">
        <v>0</v>
      </c>
      <c r="Y850" s="5">
        <v>0</v>
      </c>
      <c r="Z850" s="5">
        <v>29917.808218999999</v>
      </c>
      <c r="AA850" s="5">
        <v>30</v>
      </c>
      <c r="AB850" s="5">
        <v>897534.24656999996</v>
      </c>
      <c r="AC850" s="5" t="str">
        <f t="shared" si="43"/>
        <v>Bonos</v>
      </c>
      <c r="AD850" s="5" t="s">
        <v>43</v>
      </c>
      <c r="AE850" s="5">
        <f t="shared" si="41"/>
        <v>10</v>
      </c>
      <c r="AF850" s="5">
        <f t="shared" si="42"/>
        <v>2023</v>
      </c>
    </row>
    <row r="851" s="5" customFormat="1" ht="13">
      <c r="A851" s="5" t="s">
        <v>44</v>
      </c>
      <c r="B851" s="5" t="s">
        <v>44</v>
      </c>
      <c r="C851" s="5" t="s">
        <v>156</v>
      </c>
      <c r="D851" s="5" t="s">
        <v>20</v>
      </c>
      <c r="E851" s="5" t="s">
        <v>44</v>
      </c>
      <c r="F851" s="5" t="s">
        <v>68</v>
      </c>
      <c r="G851" s="5" t="s">
        <v>75</v>
      </c>
      <c r="H851" s="9" t="s">
        <v>246</v>
      </c>
      <c r="I851" s="10">
        <v>43133</v>
      </c>
      <c r="J851" s="10">
        <v>45232</v>
      </c>
      <c r="K851" s="5" t="s">
        <v>158</v>
      </c>
      <c r="L851" s="5" t="s">
        <v>58</v>
      </c>
      <c r="M851" s="11">
        <v>0.125</v>
      </c>
      <c r="N851" s="5" t="e">
        <f>IF(AND(M851&gt;#REF!,Cartera!O851="Guaraníes"),"Rendimiento significativo",IF(AND(M851&gt;#REF!,Cartera!O851="Dólares americanos"),"Rendimiento significativo","Rendimiento no significativo"))</f>
        <v>#REF!</v>
      </c>
      <c r="O851" s="5" t="s">
        <v>41</v>
      </c>
      <c r="P851" s="12">
        <v>50000000</v>
      </c>
      <c r="Q851" s="12">
        <f>IF(O851="Guaraníes",P851,P851*#REF!)</f>
        <v>50000000</v>
      </c>
      <c r="R851" s="12" t="e">
        <f>IF(O851="Guaraníes",P851/#REF!,P851)</f>
        <v>#REF!</v>
      </c>
      <c r="S851" s="5" t="s">
        <v>52</v>
      </c>
      <c r="AC851" s="5" t="str">
        <f t="shared" si="43"/>
        <v>Bonos</v>
      </c>
      <c r="AD851" s="5" t="s">
        <v>43</v>
      </c>
      <c r="AE851" s="5">
        <f t="shared" si="41"/>
        <v>11</v>
      </c>
      <c r="AF851" s="5">
        <f t="shared" si="42"/>
        <v>2023</v>
      </c>
    </row>
    <row r="852" s="5" customFormat="1" ht="13">
      <c r="A852" s="5" t="s">
        <v>44</v>
      </c>
      <c r="B852" s="5" t="s">
        <v>44</v>
      </c>
      <c r="C852" s="5" t="s">
        <v>33</v>
      </c>
      <c r="D852" s="5" t="s">
        <v>21</v>
      </c>
      <c r="E852" s="5" t="s">
        <v>44</v>
      </c>
      <c r="F852" s="5" t="s">
        <v>35</v>
      </c>
      <c r="G852" s="5" t="s">
        <v>75</v>
      </c>
      <c r="H852" s="9" t="s">
        <v>168</v>
      </c>
      <c r="I852" s="10"/>
      <c r="J852" s="10">
        <v>45237</v>
      </c>
      <c r="K852" s="5" t="s">
        <v>39</v>
      </c>
      <c r="L852" s="5" t="s">
        <v>50</v>
      </c>
      <c r="M852" s="11">
        <v>0.070000000000000007</v>
      </c>
      <c r="N852" s="5" t="e">
        <f>IF(AND(M852&gt;#REF!,Cartera!O852="Guaraníes"),"Rendimiento significativo",IF(AND(M852&gt;#REF!,Cartera!O852="Dólares americanos"),"Rendimiento significativo","Rendimiento no significativo"))</f>
        <v>#REF!</v>
      </c>
      <c r="O852" s="5" t="s">
        <v>51</v>
      </c>
      <c r="P852" s="13">
        <v>1221.6438500000002</v>
      </c>
      <c r="Q852" s="12" t="e">
        <f>IF(O852="Guaraníes",P852,P852*#REF!)</f>
        <v>#REF!</v>
      </c>
      <c r="R852" s="12">
        <f>IF(O852="Guaraníes",P852/#REF!,P852)</f>
        <v>1221.6438500000002</v>
      </c>
      <c r="S852" s="5" t="s">
        <v>52</v>
      </c>
      <c r="T852" s="5">
        <v>25</v>
      </c>
      <c r="W852" s="5" t="s">
        <v>65</v>
      </c>
      <c r="X852" s="5">
        <v>0</v>
      </c>
      <c r="Y852" s="5">
        <v>0</v>
      </c>
      <c r="Z852" s="5">
        <v>17.452055000000001</v>
      </c>
      <c r="AA852" s="5">
        <v>70</v>
      </c>
      <c r="AB852" s="5">
        <v>1221.6438499999999</v>
      </c>
      <c r="AC852" s="5" t="str">
        <f t="shared" si="43"/>
        <v>Bonos</v>
      </c>
      <c r="AD852" s="5" t="s">
        <v>43</v>
      </c>
      <c r="AE852" s="5">
        <f t="shared" si="41"/>
        <v>11</v>
      </c>
      <c r="AF852" s="5">
        <f t="shared" si="42"/>
        <v>2023</v>
      </c>
    </row>
    <row r="853" s="5" customFormat="1" ht="13">
      <c r="A853" s="5" t="s">
        <v>44</v>
      </c>
      <c r="B853" s="5" t="s">
        <v>44</v>
      </c>
      <c r="C853" s="5" t="s">
        <v>114</v>
      </c>
      <c r="D853" s="5" t="s">
        <v>21</v>
      </c>
      <c r="E853" s="5" t="s">
        <v>44</v>
      </c>
      <c r="F853" s="5" t="s">
        <v>68</v>
      </c>
      <c r="G853" s="5" t="s">
        <v>75</v>
      </c>
      <c r="H853" s="9" t="s">
        <v>170</v>
      </c>
      <c r="I853" s="10"/>
      <c r="J853" s="10">
        <v>45244</v>
      </c>
      <c r="K853" s="5" t="s">
        <v>77</v>
      </c>
      <c r="L853" s="5" t="s">
        <v>50</v>
      </c>
      <c r="M853" s="11">
        <v>0.14000000000000001</v>
      </c>
      <c r="N853" s="5" t="e">
        <f>IF(AND(M853&gt;#REF!,Cartera!O853="Guaraníes"),"Rendimiento significativo",IF(AND(M853&gt;#REF!,Cartera!O853="Dólares americanos"),"Rendimiento significativo","Rendimiento no significativo"))</f>
        <v>#REF!</v>
      </c>
      <c r="O853" s="5" t="s">
        <v>41</v>
      </c>
      <c r="P853" s="12">
        <v>3452054.7944999998</v>
      </c>
      <c r="Q853" s="12">
        <f>IF(O853="Guaraníes",P853,P853*#REF!)</f>
        <v>3452054.7944999998</v>
      </c>
      <c r="R853" s="12" t="e">
        <f>IF(O853="Guaraníes",P853/#REF!,P853)</f>
        <v>#REF!</v>
      </c>
      <c r="S853" s="5" t="s">
        <v>52</v>
      </c>
      <c r="T853" s="5">
        <v>25</v>
      </c>
      <c r="W853" s="5" t="s">
        <v>65</v>
      </c>
      <c r="X853" s="5">
        <v>0</v>
      </c>
      <c r="Y853" s="5">
        <v>0</v>
      </c>
      <c r="Z853" s="5">
        <v>34520.547944999998</v>
      </c>
      <c r="AA853" s="5">
        <v>100</v>
      </c>
      <c r="AB853" s="5">
        <v>3452054.7944999998</v>
      </c>
      <c r="AC853" s="5" t="str">
        <f t="shared" si="43"/>
        <v>Bonos</v>
      </c>
      <c r="AD853" s="5" t="s">
        <v>43</v>
      </c>
      <c r="AE853" s="5">
        <f t="shared" si="41"/>
        <v>11</v>
      </c>
      <c r="AF853" s="5">
        <f t="shared" si="42"/>
        <v>2023</v>
      </c>
    </row>
    <row r="854" s="5" customFormat="1" ht="13">
      <c r="A854" s="5" t="s">
        <v>44</v>
      </c>
      <c r="B854" s="5" t="s">
        <v>44</v>
      </c>
      <c r="C854" s="5" t="s">
        <v>33</v>
      </c>
      <c r="D854" s="5" t="s">
        <v>21</v>
      </c>
      <c r="E854" s="5" t="s">
        <v>44</v>
      </c>
      <c r="F854" s="5" t="s">
        <v>35</v>
      </c>
      <c r="G854" s="5" t="s">
        <v>75</v>
      </c>
      <c r="H854" s="9" t="s">
        <v>186</v>
      </c>
      <c r="I854" s="10"/>
      <c r="J854" s="10">
        <v>45273</v>
      </c>
      <c r="K854" s="5" t="s">
        <v>39</v>
      </c>
      <c r="L854" s="5" t="s">
        <v>50</v>
      </c>
      <c r="M854" s="11">
        <v>0.044999999999999998</v>
      </c>
      <c r="N854" s="5" t="e">
        <f>IF(AND(M854&gt;#REF!,Cartera!O854="Guaraníes"),"Rendimiento significativo",IF(AND(M854&gt;#REF!,Cartera!O854="Dólares americanos"),"Rendimiento significativo","Rendimiento no significativo"))</f>
        <v>#REF!</v>
      </c>
      <c r="O854" s="5" t="s">
        <v>51</v>
      </c>
      <c r="P854" s="13">
        <v>336.57533999999998</v>
      </c>
      <c r="Q854" s="12" t="e">
        <f>IF(O854="Guaraníes",P854,P854*#REF!)</f>
        <v>#REF!</v>
      </c>
      <c r="R854" s="12">
        <f>IF(O854="Guaraníes",P854/#REF!,P854)</f>
        <v>336.57533999999998</v>
      </c>
      <c r="S854" s="5" t="s">
        <v>52</v>
      </c>
      <c r="T854" s="5">
        <v>25</v>
      </c>
      <c r="W854" s="5" t="s">
        <v>65</v>
      </c>
      <c r="X854" s="5">
        <v>0</v>
      </c>
      <c r="Y854" s="5">
        <v>0</v>
      </c>
      <c r="Z854" s="5">
        <v>11.219177999999999</v>
      </c>
      <c r="AA854" s="5">
        <v>30</v>
      </c>
      <c r="AB854" s="5">
        <v>336.57533999999998</v>
      </c>
      <c r="AC854" s="5" t="str">
        <f t="shared" si="43"/>
        <v>Bonos</v>
      </c>
      <c r="AD854" s="5" t="s">
        <v>43</v>
      </c>
      <c r="AE854" s="5">
        <f t="shared" si="41"/>
        <v>12</v>
      </c>
      <c r="AF854" s="5">
        <f t="shared" si="42"/>
        <v>2023</v>
      </c>
    </row>
    <row r="855" s="5" customFormat="1" ht="13">
      <c r="A855" s="5" t="s">
        <v>44</v>
      </c>
      <c r="B855" s="5" t="s">
        <v>44</v>
      </c>
      <c r="C855" s="5" t="s">
        <v>114</v>
      </c>
      <c r="D855" s="5" t="s">
        <v>20</v>
      </c>
      <c r="E855" s="5" t="s">
        <v>44</v>
      </c>
      <c r="F855" s="5" t="s">
        <v>68</v>
      </c>
      <c r="G855" s="5" t="s">
        <v>75</v>
      </c>
      <c r="H855" s="9" t="s">
        <v>236</v>
      </c>
      <c r="I855" s="10">
        <v>42403</v>
      </c>
      <c r="J855" s="10">
        <v>45274</v>
      </c>
      <c r="K855" s="5" t="s">
        <v>77</v>
      </c>
      <c r="L855" s="5" t="s">
        <v>50</v>
      </c>
      <c r="M855" s="11">
        <v>0.14749999999999999</v>
      </c>
      <c r="N855" s="5" t="e">
        <f>IF(AND(M855&gt;#REF!,Cartera!O855="Guaraníes"),"Rendimiento significativo",IF(AND(M855&gt;#REF!,Cartera!O855="Dólares americanos"),"Rendimiento significativo","Rendimiento no significativo"))</f>
        <v>#REF!</v>
      </c>
      <c r="O855" s="5" t="s">
        <v>41</v>
      </c>
      <c r="P855" s="12">
        <v>3000000</v>
      </c>
      <c r="Q855" s="12">
        <f>IF(O855="Guaraníes",P855,P855*#REF!)</f>
        <v>3000000</v>
      </c>
      <c r="R855" s="12" t="e">
        <f>IF(O855="Guaraníes",P855/#REF!,P855)</f>
        <v>#REF!</v>
      </c>
      <c r="S855" s="5" t="s">
        <v>52</v>
      </c>
      <c r="AC855" s="5" t="str">
        <f t="shared" si="43"/>
        <v>Bonos</v>
      </c>
      <c r="AD855" s="5" t="s">
        <v>43</v>
      </c>
      <c r="AE855" s="5">
        <f t="shared" si="41"/>
        <v>12</v>
      </c>
      <c r="AF855" s="5">
        <f t="shared" si="42"/>
        <v>2023</v>
      </c>
    </row>
    <row r="856" s="5" customFormat="1" ht="13">
      <c r="A856" s="5" t="s">
        <v>44</v>
      </c>
      <c r="B856" s="5" t="s">
        <v>44</v>
      </c>
      <c r="C856" s="5" t="s">
        <v>114</v>
      </c>
      <c r="D856" s="5" t="s">
        <v>21</v>
      </c>
      <c r="E856" s="5" t="s">
        <v>44</v>
      </c>
      <c r="F856" s="5" t="s">
        <v>68</v>
      </c>
      <c r="G856" s="5" t="s">
        <v>75</v>
      </c>
      <c r="H856" s="9" t="s">
        <v>236</v>
      </c>
      <c r="I856" s="10"/>
      <c r="J856" s="10">
        <v>45274</v>
      </c>
      <c r="K856" s="5" t="s">
        <v>77</v>
      </c>
      <c r="L856" s="5" t="s">
        <v>50</v>
      </c>
      <c r="M856" s="11">
        <v>0.14749999999999999</v>
      </c>
      <c r="N856" s="5" t="e">
        <f>IF(AND(M856&gt;#REF!,Cartera!O856="Guaraníes"),"Rendimiento significativo",IF(AND(M856&gt;#REF!,Cartera!O856="Dólares americanos"),"Rendimiento significativo","Rendimiento no significativo"))</f>
        <v>#REF!</v>
      </c>
      <c r="O856" s="5" t="s">
        <v>41</v>
      </c>
      <c r="P856" s="12">
        <v>112191.78</v>
      </c>
      <c r="Q856" s="12">
        <f>IF(O856="Guaraníes",P856,P856*#REF!)</f>
        <v>112191.78</v>
      </c>
      <c r="R856" s="12" t="e">
        <f>IF(O856="Guaraníes",P856/#REF!,P856)</f>
        <v>#REF!</v>
      </c>
      <c r="S856" s="5" t="s">
        <v>52</v>
      </c>
      <c r="T856" s="5">
        <v>25</v>
      </c>
      <c r="U856" s="5">
        <v>3000000</v>
      </c>
      <c r="V856" s="5">
        <v>11100860.000136999</v>
      </c>
      <c r="W856" s="5" t="s">
        <v>65</v>
      </c>
      <c r="X856" s="5">
        <v>100</v>
      </c>
      <c r="Y856" s="5">
        <v>1000000</v>
      </c>
      <c r="Z856" s="5">
        <v>1037397.260274</v>
      </c>
      <c r="AA856" s="5">
        <v>3</v>
      </c>
      <c r="AB856" s="5">
        <v>3112191.780822</v>
      </c>
      <c r="AC856" s="5" t="str">
        <f t="shared" si="43"/>
        <v>Bonos</v>
      </c>
      <c r="AD856" s="5" t="s">
        <v>43</v>
      </c>
      <c r="AE856" s="5">
        <f t="shared" si="41"/>
        <v>12</v>
      </c>
      <c r="AF856" s="5">
        <f t="shared" si="42"/>
        <v>2023</v>
      </c>
    </row>
    <row r="857" s="5" customFormat="1" ht="13">
      <c r="A857" s="5" t="s">
        <v>44</v>
      </c>
      <c r="B857" s="5" t="s">
        <v>44</v>
      </c>
      <c r="C857" s="5" t="s">
        <v>135</v>
      </c>
      <c r="D857" s="5" t="s">
        <v>21</v>
      </c>
      <c r="E857" s="5" t="s">
        <v>44</v>
      </c>
      <c r="F857" s="5" t="s">
        <v>68</v>
      </c>
      <c r="G857" s="5" t="s">
        <v>75</v>
      </c>
      <c r="H857" s="9" t="s">
        <v>136</v>
      </c>
      <c r="I857" s="10"/>
      <c r="J857" s="10">
        <v>45278</v>
      </c>
      <c r="K857" s="5" t="s">
        <v>124</v>
      </c>
      <c r="L857" s="5" t="s">
        <v>58</v>
      </c>
      <c r="M857" s="11">
        <v>0.060999999999999999</v>
      </c>
      <c r="N857" s="5" t="e">
        <f>IF(AND(M857&gt;#REF!,Cartera!O857="Guaraníes"),"Rendimiento significativo",IF(AND(M857&gt;#REF!,Cartera!O857="Dólares americanos"),"Rendimiento significativo","Rendimiento no significativo"))</f>
        <v>#REF!</v>
      </c>
      <c r="O857" s="5" t="s">
        <v>41</v>
      </c>
      <c r="P857" s="12">
        <v>3533464</v>
      </c>
      <c r="Q857" s="12">
        <f>IF(O857="Guaraníes",P857,P857*#REF!)</f>
        <v>3533464</v>
      </c>
      <c r="R857" s="12" t="e">
        <f>IF(O857="Guaraníes",P857/#REF!,P857)</f>
        <v>#REF!</v>
      </c>
      <c r="S857" s="5" t="s">
        <v>52</v>
      </c>
      <c r="T857" s="5">
        <v>25</v>
      </c>
      <c r="W857" s="5" t="s">
        <v>137</v>
      </c>
      <c r="X857" s="5">
        <v>14.28571429</v>
      </c>
      <c r="Y857" s="5">
        <v>142857.14290000001</v>
      </c>
      <c r="Z857" s="5">
        <v>160524.461878</v>
      </c>
      <c r="AA857" s="5">
        <v>200</v>
      </c>
      <c r="AB857" s="5">
        <v>32104892.375599999</v>
      </c>
      <c r="AC857" s="5" t="str">
        <f t="shared" si="43"/>
        <v>Bonos</v>
      </c>
      <c r="AD857" s="5" t="s">
        <v>43</v>
      </c>
      <c r="AE857" s="5">
        <f t="shared" si="41"/>
        <v>12</v>
      </c>
      <c r="AF857" s="5">
        <f t="shared" si="42"/>
        <v>2023</v>
      </c>
    </row>
    <row r="858" s="5" customFormat="1" ht="13">
      <c r="A858" s="5" t="s">
        <v>44</v>
      </c>
      <c r="B858" s="5" t="s">
        <v>44</v>
      </c>
      <c r="C858" s="5" t="s">
        <v>135</v>
      </c>
      <c r="D858" s="5" t="s">
        <v>21</v>
      </c>
      <c r="E858" s="5" t="s">
        <v>44</v>
      </c>
      <c r="F858" s="5" t="s">
        <v>68</v>
      </c>
      <c r="G858" s="5" t="s">
        <v>75</v>
      </c>
      <c r="H858" s="9" t="s">
        <v>265</v>
      </c>
      <c r="I858" s="10"/>
      <c r="J858" s="10">
        <v>45280</v>
      </c>
      <c r="K858" s="5" t="s">
        <v>124</v>
      </c>
      <c r="L858" s="5" t="s">
        <v>58</v>
      </c>
      <c r="M858" s="11">
        <v>0.054000000000000006</v>
      </c>
      <c r="N858" s="5" t="e">
        <f>IF(AND(M858&gt;#REF!,Cartera!O858="Guaraníes"),"Rendimiento significativo",IF(AND(M858&gt;#REF!,Cartera!O858="Dólares americanos"),"Rendimiento significativo","Rendimiento no significativo"))</f>
        <v>#REF!</v>
      </c>
      <c r="O858" s="5" t="s">
        <v>41</v>
      </c>
      <c r="P858" s="12">
        <v>676849</v>
      </c>
      <c r="Q858" s="12">
        <f>IF(O858="Guaraníes",P858,P858*#REF!)</f>
        <v>676849</v>
      </c>
      <c r="R858" s="12" t="e">
        <f>IF(O858="Guaraníes",P858/#REF!,P858)</f>
        <v>#REF!</v>
      </c>
      <c r="S858" s="5" t="s">
        <v>52</v>
      </c>
      <c r="T858" s="5">
        <v>25</v>
      </c>
      <c r="W858" s="5" t="s">
        <v>271</v>
      </c>
      <c r="X858" s="5">
        <v>12.5</v>
      </c>
      <c r="Y858" s="5">
        <v>125000</v>
      </c>
      <c r="Z858" s="5">
        <v>138536.986301</v>
      </c>
      <c r="AA858" s="5">
        <v>50</v>
      </c>
      <c r="AB858" s="5">
        <v>6926849.3150500003</v>
      </c>
      <c r="AC858" s="5" t="str">
        <f t="shared" si="43"/>
        <v>Bonos</v>
      </c>
      <c r="AD858" s="5" t="s">
        <v>43</v>
      </c>
      <c r="AE858" s="5">
        <f t="shared" si="41"/>
        <v>12</v>
      </c>
      <c r="AF858" s="5">
        <f t="shared" si="42"/>
        <v>2023</v>
      </c>
    </row>
    <row r="859" s="5" customFormat="1" ht="13">
      <c r="A859" s="5" t="s">
        <v>44</v>
      </c>
      <c r="B859" s="5" t="s">
        <v>44</v>
      </c>
      <c r="C859" s="5" t="s">
        <v>54</v>
      </c>
      <c r="D859" s="5" t="s">
        <v>21</v>
      </c>
      <c r="E859" s="5" t="s">
        <v>44</v>
      </c>
      <c r="F859" s="5" t="s">
        <v>46</v>
      </c>
      <c r="G859" s="5" t="s">
        <v>75</v>
      </c>
      <c r="H859" s="9" t="s">
        <v>147</v>
      </c>
      <c r="I859" s="10"/>
      <c r="J859" s="10">
        <v>45285</v>
      </c>
      <c r="K859" s="5" t="s">
        <v>57</v>
      </c>
      <c r="L859" s="5" t="s">
        <v>58</v>
      </c>
      <c r="M859" s="11">
        <v>0.12</v>
      </c>
      <c r="N859" s="5" t="e">
        <f>IF(AND(M859&gt;#REF!,Cartera!O859="Guaraníes"),"Rendimiento significativo",IF(AND(M859&gt;#REF!,Cartera!O859="Dólares americanos"),"Rendimiento significativo","Rendimiento no significativo"))</f>
        <v>#REF!</v>
      </c>
      <c r="O859" s="5" t="s">
        <v>41</v>
      </c>
      <c r="P859" s="12">
        <v>4487671.2328500003</v>
      </c>
      <c r="Q859" s="12">
        <f>IF(O859="Guaraníes",P859,P859*#REF!)</f>
        <v>4487671.2328500003</v>
      </c>
      <c r="R859" s="12" t="e">
        <f>IF(O859="Guaraníes",P859/#REF!,P859)</f>
        <v>#REF!</v>
      </c>
      <c r="S859" s="5" t="s">
        <v>52</v>
      </c>
      <c r="T859" s="5">
        <v>25</v>
      </c>
      <c r="W859" s="5" t="s">
        <v>273</v>
      </c>
      <c r="X859" s="5">
        <v>0</v>
      </c>
      <c r="Y859" s="5">
        <v>0</v>
      </c>
      <c r="Z859" s="5">
        <v>29917.808218999999</v>
      </c>
      <c r="AA859" s="5">
        <v>150</v>
      </c>
      <c r="AB859" s="5">
        <v>4487671.2328500003</v>
      </c>
      <c r="AC859" s="5" t="str">
        <f t="shared" si="43"/>
        <v>Bonos</v>
      </c>
      <c r="AD859" s="5" t="s">
        <v>43</v>
      </c>
      <c r="AE859" s="5">
        <f t="shared" si="41"/>
        <v>12</v>
      </c>
      <c r="AF859" s="5">
        <f t="shared" si="42"/>
        <v>2023</v>
      </c>
    </row>
    <row r="860" s="5" customFormat="1" ht="13">
      <c r="A860" s="5" t="s">
        <v>44</v>
      </c>
      <c r="B860" s="5" t="s">
        <v>44</v>
      </c>
      <c r="C860" s="5" t="s">
        <v>114</v>
      </c>
      <c r="D860" s="5" t="s">
        <v>21</v>
      </c>
      <c r="E860" s="5" t="s">
        <v>44</v>
      </c>
      <c r="F860" s="5" t="s">
        <v>68</v>
      </c>
      <c r="G860" s="5" t="s">
        <v>75</v>
      </c>
      <c r="H860" s="9" t="s">
        <v>237</v>
      </c>
      <c r="I860" s="10"/>
      <c r="J860" s="10">
        <v>45286</v>
      </c>
      <c r="K860" s="5" t="s">
        <v>77</v>
      </c>
      <c r="L860" s="5" t="s">
        <v>50</v>
      </c>
      <c r="M860" s="11">
        <v>0.13750000000000001</v>
      </c>
      <c r="N860" s="5" t="e">
        <f>IF(AND(M860&gt;#REF!,Cartera!O860="Guaraníes"),"Rendimiento significativo",IF(AND(M860&gt;#REF!,Cartera!O860="Dólares americanos"),"Rendimiento significativo","Rendimiento no significativo"))</f>
        <v>#REF!</v>
      </c>
      <c r="O860" s="5" t="s">
        <v>41</v>
      </c>
      <c r="P860" s="12">
        <v>685616.43836000003</v>
      </c>
      <c r="Q860" s="12">
        <f>IF(O860="Guaraníes",P860,P860*#REF!)</f>
        <v>685616.43836000003</v>
      </c>
      <c r="R860" s="12" t="e">
        <f>IF(O860="Guaraníes",P860/#REF!,P860)</f>
        <v>#REF!</v>
      </c>
      <c r="S860" s="5" t="s">
        <v>52</v>
      </c>
      <c r="T860" s="5">
        <v>25</v>
      </c>
      <c r="W860" s="5" t="s">
        <v>65</v>
      </c>
      <c r="X860" s="5">
        <v>0</v>
      </c>
      <c r="Y860" s="5">
        <v>0</v>
      </c>
      <c r="Z860" s="5">
        <v>34280.821918000001</v>
      </c>
      <c r="AA860" s="5">
        <v>20</v>
      </c>
      <c r="AB860" s="5">
        <v>685616.43836000003</v>
      </c>
      <c r="AC860" s="5" t="str">
        <f t="shared" si="43"/>
        <v>Bonos</v>
      </c>
      <c r="AD860" s="5" t="s">
        <v>43</v>
      </c>
      <c r="AE860" s="5">
        <f t="shared" si="41"/>
        <v>12</v>
      </c>
      <c r="AF860" s="5">
        <f t="shared" si="42"/>
        <v>2023</v>
      </c>
    </row>
    <row r="861" s="5" customFormat="1" ht="13">
      <c r="A861" s="5" t="s">
        <v>44</v>
      </c>
      <c r="B861" s="5" t="s">
        <v>44</v>
      </c>
      <c r="C861" s="5" t="s">
        <v>33</v>
      </c>
      <c r="D861" s="5" t="s">
        <v>21</v>
      </c>
      <c r="E861" s="5" t="s">
        <v>44</v>
      </c>
      <c r="F861" s="5" t="s">
        <v>35</v>
      </c>
      <c r="G861" s="5" t="s">
        <v>75</v>
      </c>
      <c r="H861" s="9" t="s">
        <v>257</v>
      </c>
      <c r="I861" s="10"/>
      <c r="J861" s="10">
        <v>45288</v>
      </c>
      <c r="K861" s="5" t="s">
        <v>39</v>
      </c>
      <c r="L861" s="5" t="s">
        <v>106</v>
      </c>
      <c r="M861" s="11">
        <v>0.0625</v>
      </c>
      <c r="N861" s="5" t="e">
        <f>IF(AND(M861&gt;#REF!,Cartera!O861="Guaraníes"),"Rendimiento significativo",IF(AND(M861&gt;#REF!,Cartera!O861="Dólares americanos"),"Rendimiento significativo","Rendimiento no significativo"))</f>
        <v>#REF!</v>
      </c>
      <c r="O861" s="5" t="s">
        <v>51</v>
      </c>
      <c r="P861" s="13">
        <v>623.28767999999991</v>
      </c>
      <c r="Q861" s="12" t="e">
        <f>IF(O861="Guaraníes",P861,P861*#REF!)</f>
        <v>#REF!</v>
      </c>
      <c r="R861" s="12">
        <f>IF(O861="Guaraníes",P861/#REF!,P861)</f>
        <v>623.28767999999991</v>
      </c>
      <c r="S861" s="5" t="s">
        <v>52</v>
      </c>
      <c r="T861" s="5">
        <v>25</v>
      </c>
      <c r="W861" s="5" t="s">
        <v>218</v>
      </c>
      <c r="X861" s="5">
        <v>0</v>
      </c>
      <c r="Y861" s="5">
        <v>0</v>
      </c>
      <c r="Z861" s="5">
        <v>15.582191999999999</v>
      </c>
      <c r="AA861" s="5">
        <v>40</v>
      </c>
      <c r="AB861" s="5">
        <v>623.28768000000002</v>
      </c>
      <c r="AC861" s="5" t="str">
        <f t="shared" si="43"/>
        <v>Bonos</v>
      </c>
      <c r="AD861" s="5" t="s">
        <v>43</v>
      </c>
      <c r="AE861" s="5">
        <f t="shared" si="41"/>
        <v>12</v>
      </c>
      <c r="AF861" s="5">
        <f t="shared" si="42"/>
        <v>2023</v>
      </c>
    </row>
    <row r="862" s="5" customFormat="1" ht="13">
      <c r="A862" s="5" t="s">
        <v>44</v>
      </c>
      <c r="B862" s="5" t="s">
        <v>44</v>
      </c>
      <c r="C862" s="5" t="s">
        <v>74</v>
      </c>
      <c r="D862" s="5" t="s">
        <v>21</v>
      </c>
      <c r="E862" s="5" t="s">
        <v>44</v>
      </c>
      <c r="F862" s="5" t="s">
        <v>68</v>
      </c>
      <c r="G862" s="5" t="s">
        <v>75</v>
      </c>
      <c r="H862" s="9" t="s">
        <v>76</v>
      </c>
      <c r="I862" s="10"/>
      <c r="J862" s="10">
        <v>45293</v>
      </c>
      <c r="K862" s="5" t="s">
        <v>77</v>
      </c>
      <c r="L862" s="5" t="s">
        <v>50</v>
      </c>
      <c r="M862" s="11">
        <v>0.055</v>
      </c>
      <c r="N862" s="5" t="e">
        <f>IF(AND(M862&gt;#REF!,Cartera!O862="Guaraníes"),"Rendimiento significativo",IF(AND(M862&gt;#REF!,Cartera!O862="Dólares americanos"),"Rendimiento significativo","Rendimiento no significativo"))</f>
        <v>#REF!</v>
      </c>
      <c r="O862" s="5" t="s">
        <v>51</v>
      </c>
      <c r="P862" s="13">
        <v>415.89042000000001</v>
      </c>
      <c r="Q862" s="12" t="e">
        <f>IF(O862="Guaraníes",P862,P862*#REF!)</f>
        <v>#REF!</v>
      </c>
      <c r="R862" s="12">
        <f>IF(O862="Guaraníes",P862/#REF!,P862)</f>
        <v>415.89042000000001</v>
      </c>
      <c r="S862" s="5" t="s">
        <v>52</v>
      </c>
      <c r="T862" s="5">
        <v>25</v>
      </c>
      <c r="W862" s="5" t="s">
        <v>65</v>
      </c>
      <c r="X862" s="5">
        <v>0</v>
      </c>
      <c r="Y862" s="5">
        <v>0</v>
      </c>
      <c r="Z862" s="5">
        <v>13.863014</v>
      </c>
      <c r="AA862" s="5">
        <v>30</v>
      </c>
      <c r="AB862" s="5">
        <v>415.88999999999999</v>
      </c>
      <c r="AC862" s="5" t="str">
        <f t="shared" si="43"/>
        <v>Bonos</v>
      </c>
      <c r="AD862" s="5" t="s">
        <v>43</v>
      </c>
      <c r="AE862" s="5">
        <f t="shared" si="41"/>
        <v>1</v>
      </c>
      <c r="AF862" s="5">
        <f t="shared" si="42"/>
        <v>2024</v>
      </c>
    </row>
    <row r="863" s="5" customFormat="1" ht="13">
      <c r="A863" s="5" t="s">
        <v>44</v>
      </c>
      <c r="B863" s="5" t="s">
        <v>44</v>
      </c>
      <c r="C863" s="5" t="s">
        <v>114</v>
      </c>
      <c r="D863" s="5" t="s">
        <v>20</v>
      </c>
      <c r="E863" s="5" t="s">
        <v>44</v>
      </c>
      <c r="F863" s="5" t="s">
        <v>68</v>
      </c>
      <c r="G863" s="5" t="s">
        <v>75</v>
      </c>
      <c r="H863" s="9" t="s">
        <v>235</v>
      </c>
      <c r="I863" s="10">
        <v>42403</v>
      </c>
      <c r="J863" s="10">
        <v>45316</v>
      </c>
      <c r="K863" s="5" t="s">
        <v>77</v>
      </c>
      <c r="L863" s="5" t="s">
        <v>50</v>
      </c>
      <c r="M863" s="11">
        <v>0.14249999999999999</v>
      </c>
      <c r="N863" s="5" t="e">
        <f>IF(AND(M863&gt;#REF!,Cartera!O863="Guaraníes"),"Rendimiento significativo",IF(AND(M863&gt;#REF!,Cartera!O863="Dólares americanos"),"Rendimiento significativo","Rendimiento no significativo"))</f>
        <v>#REF!</v>
      </c>
      <c r="O863" s="5" t="s">
        <v>41</v>
      </c>
      <c r="P863" s="12">
        <v>5000000</v>
      </c>
      <c r="Q863" s="12">
        <f>IF(O863="Guaraníes",P863,P863*#REF!)</f>
        <v>5000000</v>
      </c>
      <c r="R863" s="12" t="e">
        <f>IF(O863="Guaraníes",P863/#REF!,P863)</f>
        <v>#REF!</v>
      </c>
      <c r="S863" s="5" t="s">
        <v>52</v>
      </c>
      <c r="AC863" s="5" t="str">
        <f t="shared" si="43"/>
        <v>Bonos</v>
      </c>
      <c r="AD863" s="5" t="s">
        <v>43</v>
      </c>
      <c r="AE863" s="5">
        <f t="shared" ref="AE863:AE926" si="44">IFERROR((MONTH(J863)),0)</f>
        <v>1</v>
      </c>
      <c r="AF863" s="5">
        <f t="shared" ref="AF863:AF926" si="45">IFERROR((YEAR(J863)),0)</f>
        <v>2024</v>
      </c>
    </row>
    <row r="864" s="5" customFormat="1" ht="13">
      <c r="A864" s="5" t="s">
        <v>44</v>
      </c>
      <c r="B864" s="5" t="s">
        <v>44</v>
      </c>
      <c r="C864" s="5" t="s">
        <v>114</v>
      </c>
      <c r="D864" s="5" t="s">
        <v>21</v>
      </c>
      <c r="E864" s="5" t="s">
        <v>44</v>
      </c>
      <c r="F864" s="5" t="s">
        <v>68</v>
      </c>
      <c r="G864" s="5" t="s">
        <v>75</v>
      </c>
      <c r="H864" s="9" t="s">
        <v>235</v>
      </c>
      <c r="I864" s="10"/>
      <c r="J864" s="10">
        <v>45316</v>
      </c>
      <c r="K864" s="5" t="s">
        <v>77</v>
      </c>
      <c r="L864" s="5" t="s">
        <v>50</v>
      </c>
      <c r="M864" s="11">
        <v>0.14249999999999999</v>
      </c>
      <c r="N864" s="5" t="e">
        <f>IF(AND(M864&gt;#REF!,Cartera!O864="Guaraníes"),"Rendimiento significativo",IF(AND(M864&gt;#REF!,Cartera!O864="Dólares americanos"),"Rendimiento significativo","Rendimiento no significativo"))</f>
        <v>#REF!</v>
      </c>
      <c r="O864" s="5" t="s">
        <v>41</v>
      </c>
      <c r="P864" s="12">
        <v>183869.85999999999</v>
      </c>
      <c r="Q864" s="12">
        <f>IF(O864="Guaraníes",P864,P864*#REF!)</f>
        <v>183869.85999999999</v>
      </c>
      <c r="R864" s="12" t="e">
        <f>IF(O864="Guaraníes",P864/#REF!,P864)</f>
        <v>#REF!</v>
      </c>
      <c r="S864" s="5" t="s">
        <v>52</v>
      </c>
      <c r="T864" s="5">
        <v>25</v>
      </c>
      <c r="U864" s="5">
        <v>5000000</v>
      </c>
      <c r="V864" s="5">
        <v>50954521.553216994</v>
      </c>
      <c r="W864" s="5" t="s">
        <v>65</v>
      </c>
      <c r="X864" s="5">
        <v>100</v>
      </c>
      <c r="Y864" s="5">
        <v>1000000</v>
      </c>
      <c r="Z864" s="5">
        <v>1036773.972603</v>
      </c>
      <c r="AA864" s="5">
        <v>5</v>
      </c>
      <c r="AB864" s="5">
        <v>5183869.8630149998</v>
      </c>
      <c r="AC864" s="5" t="str">
        <f t="shared" si="43"/>
        <v>Bonos</v>
      </c>
      <c r="AD864" s="5" t="s">
        <v>43</v>
      </c>
      <c r="AE864" s="5">
        <f t="shared" si="44"/>
        <v>1</v>
      </c>
      <c r="AF864" s="5">
        <f t="shared" si="45"/>
        <v>2024</v>
      </c>
    </row>
    <row r="865" s="5" customFormat="1" ht="13">
      <c r="A865" s="5" t="s">
        <v>44</v>
      </c>
      <c r="B865" s="5" t="s">
        <v>44</v>
      </c>
      <c r="C865" s="5" t="s">
        <v>114</v>
      </c>
      <c r="D865" s="5" t="s">
        <v>21</v>
      </c>
      <c r="E865" s="5" t="s">
        <v>44</v>
      </c>
      <c r="F865" s="5" t="s">
        <v>68</v>
      </c>
      <c r="G865" s="5" t="s">
        <v>75</v>
      </c>
      <c r="H865" s="9" t="s">
        <v>115</v>
      </c>
      <c r="I865" s="10"/>
      <c r="J865" s="10">
        <v>45316</v>
      </c>
      <c r="K865" s="5" t="s">
        <v>77</v>
      </c>
      <c r="L865" s="5" t="s">
        <v>50</v>
      </c>
      <c r="M865" s="11">
        <v>0.125</v>
      </c>
      <c r="N865" s="5" t="e">
        <f>IF(AND(M865&gt;#REF!,Cartera!O865="Guaraníes"),"Rendimiento significativo",IF(AND(M865&gt;#REF!,Cartera!O865="Dólares americanos"),"Rendimiento significativo","Rendimiento no significativo"))</f>
        <v>#REF!</v>
      </c>
      <c r="O865" s="5" t="s">
        <v>41</v>
      </c>
      <c r="P865" s="12">
        <v>897534.24656999996</v>
      </c>
      <c r="Q865" s="12">
        <f>IF(O865="Guaraníes",P865,P865*#REF!)</f>
        <v>897534.24656999996</v>
      </c>
      <c r="R865" s="12" t="e">
        <f>IF(O865="Guaraníes",P865/#REF!,P865)</f>
        <v>#REF!</v>
      </c>
      <c r="S865" s="5" t="s">
        <v>52</v>
      </c>
      <c r="T865" s="5">
        <v>25</v>
      </c>
      <c r="W865" s="5" t="s">
        <v>65</v>
      </c>
      <c r="X865" s="5">
        <v>0</v>
      </c>
      <c r="Y865" s="5">
        <v>0</v>
      </c>
      <c r="Z865" s="5">
        <v>29917.808218999999</v>
      </c>
      <c r="AA865" s="5">
        <v>30</v>
      </c>
      <c r="AB865" s="5">
        <v>897534.24656999996</v>
      </c>
      <c r="AC865" s="5" t="str">
        <f t="shared" si="43"/>
        <v>Bonos</v>
      </c>
      <c r="AD865" s="5" t="s">
        <v>43</v>
      </c>
      <c r="AE865" s="5">
        <f t="shared" si="44"/>
        <v>1</v>
      </c>
      <c r="AF865" s="5">
        <f t="shared" si="45"/>
        <v>2024</v>
      </c>
    </row>
    <row r="866" s="5" customFormat="1" ht="13">
      <c r="A866" s="5" t="s">
        <v>44</v>
      </c>
      <c r="B866" s="5" t="s">
        <v>44</v>
      </c>
      <c r="C866" s="5" t="s">
        <v>33</v>
      </c>
      <c r="D866" s="5" t="s">
        <v>21</v>
      </c>
      <c r="E866" s="5" t="s">
        <v>44</v>
      </c>
      <c r="F866" s="5" t="s">
        <v>35</v>
      </c>
      <c r="G866" s="5" t="s">
        <v>75</v>
      </c>
      <c r="H866" s="9" t="s">
        <v>168</v>
      </c>
      <c r="I866" s="10"/>
      <c r="J866" s="10">
        <v>45328</v>
      </c>
      <c r="K866" s="5" t="s">
        <v>39</v>
      </c>
      <c r="L866" s="5" t="s">
        <v>50</v>
      </c>
      <c r="M866" s="11">
        <v>0.070000000000000007</v>
      </c>
      <c r="N866" s="5" t="e">
        <f>IF(AND(M866&gt;#REF!,Cartera!O866="Guaraníes"),"Rendimiento significativo",IF(AND(M866&gt;#REF!,Cartera!O866="Dólares americanos"),"Rendimiento significativo","Rendimiento no significativo"))</f>
        <v>#REF!</v>
      </c>
      <c r="O866" s="5" t="s">
        <v>51</v>
      </c>
      <c r="P866" s="13">
        <v>1221.6438500000002</v>
      </c>
      <c r="Q866" s="12" t="e">
        <f>IF(O866="Guaraníes",P866,P866*#REF!)</f>
        <v>#REF!</v>
      </c>
      <c r="R866" s="12">
        <f>IF(O866="Guaraníes",P866/#REF!,P866)</f>
        <v>1221.6438500000002</v>
      </c>
      <c r="S866" s="5" t="s">
        <v>52</v>
      </c>
      <c r="T866" s="5">
        <v>25</v>
      </c>
      <c r="W866" s="5" t="s">
        <v>65</v>
      </c>
      <c r="X866" s="5">
        <v>0</v>
      </c>
      <c r="Y866" s="5">
        <v>0</v>
      </c>
      <c r="Z866" s="5">
        <v>17.452055000000001</v>
      </c>
      <c r="AA866" s="5">
        <v>70</v>
      </c>
      <c r="AB866" s="5">
        <v>1221.6438499999999</v>
      </c>
      <c r="AC866" s="5" t="str">
        <f t="shared" si="43"/>
        <v>Bonos</v>
      </c>
      <c r="AD866" s="5" t="s">
        <v>43</v>
      </c>
      <c r="AE866" s="5">
        <f t="shared" si="44"/>
        <v>2</v>
      </c>
      <c r="AF866" s="5">
        <f t="shared" si="45"/>
        <v>2024</v>
      </c>
    </row>
    <row r="867" s="5" customFormat="1" ht="13">
      <c r="A867" s="5" t="s">
        <v>44</v>
      </c>
      <c r="B867" s="5" t="s">
        <v>44</v>
      </c>
      <c r="C867" s="5" t="s">
        <v>114</v>
      </c>
      <c r="D867" s="5" t="s">
        <v>21</v>
      </c>
      <c r="E867" s="5" t="s">
        <v>44</v>
      </c>
      <c r="F867" s="5" t="s">
        <v>68</v>
      </c>
      <c r="G867" s="5" t="s">
        <v>75</v>
      </c>
      <c r="H867" s="9" t="s">
        <v>170</v>
      </c>
      <c r="I867" s="10"/>
      <c r="J867" s="10">
        <v>45335</v>
      </c>
      <c r="K867" s="5" t="s">
        <v>77</v>
      </c>
      <c r="L867" s="5" t="s">
        <v>50</v>
      </c>
      <c r="M867" s="11">
        <v>0.14000000000000001</v>
      </c>
      <c r="N867" s="5" t="e">
        <f>IF(AND(M867&gt;#REF!,Cartera!O867="Guaraníes"),"Rendimiento significativo",IF(AND(M867&gt;#REF!,Cartera!O867="Dólares americanos"),"Rendimiento significativo","Rendimiento no significativo"))</f>
        <v>#REF!</v>
      </c>
      <c r="O867" s="5" t="s">
        <v>41</v>
      </c>
      <c r="P867" s="12">
        <v>3490410.9589</v>
      </c>
      <c r="Q867" s="12">
        <f>IF(O867="Guaraníes",P867,P867*#REF!)</f>
        <v>3490410.9589</v>
      </c>
      <c r="R867" s="12" t="e">
        <f>IF(O867="Guaraníes",P867/#REF!,P867)</f>
        <v>#REF!</v>
      </c>
      <c r="S867" s="5" t="s">
        <v>52</v>
      </c>
      <c r="T867" s="5">
        <v>25</v>
      </c>
      <c r="W867" s="5" t="s">
        <v>65</v>
      </c>
      <c r="X867" s="5">
        <v>0</v>
      </c>
      <c r="Y867" s="5">
        <v>0</v>
      </c>
      <c r="Z867" s="5">
        <v>34904.109589</v>
      </c>
      <c r="AA867" s="5">
        <v>100</v>
      </c>
      <c r="AB867" s="5">
        <v>3490410.9589</v>
      </c>
      <c r="AC867" s="5" t="str">
        <f t="shared" si="43"/>
        <v>Bonos</v>
      </c>
      <c r="AD867" s="5" t="s">
        <v>43</v>
      </c>
      <c r="AE867" s="5">
        <f t="shared" si="44"/>
        <v>2</v>
      </c>
      <c r="AF867" s="5">
        <f t="shared" si="45"/>
        <v>2024</v>
      </c>
    </row>
    <row r="868" s="5" customFormat="1" ht="13">
      <c r="A868" s="5" t="s">
        <v>44</v>
      </c>
      <c r="B868" s="5" t="s">
        <v>44</v>
      </c>
      <c r="C868" s="5" t="s">
        <v>99</v>
      </c>
      <c r="D868" s="5" t="s">
        <v>21</v>
      </c>
      <c r="E868" s="5" t="s">
        <v>44</v>
      </c>
      <c r="F868" s="5" t="s">
        <v>100</v>
      </c>
      <c r="G868" s="5" t="s">
        <v>75</v>
      </c>
      <c r="H868" s="9" t="s">
        <v>159</v>
      </c>
      <c r="I868" s="10"/>
      <c r="J868" s="10">
        <v>45354</v>
      </c>
      <c r="K868" s="5" t="s">
        <v>102</v>
      </c>
      <c r="L868" s="5" t="s">
        <v>102</v>
      </c>
      <c r="M868" s="11">
        <v>0.078</v>
      </c>
      <c r="N868" s="5" t="e">
        <f>IF(AND(M868&gt;#REF!,Cartera!O868="Guaraníes"),"Rendimiento significativo",IF(AND(M868&gt;#REF!,Cartera!O868="Dólares americanos"),"Rendimiento significativo","Rendimiento no significativo"))</f>
        <v>#REF!</v>
      </c>
      <c r="O868" s="5" t="s">
        <v>41</v>
      </c>
      <c r="P868" s="12">
        <v>31200000</v>
      </c>
      <c r="Q868" s="12">
        <f>IF(O868="Guaraníes",P868,P868*#REF!)</f>
        <v>31200000</v>
      </c>
      <c r="R868" s="12" t="e">
        <f>IF(O868="Guaraníes",P868/#REF!,P868)</f>
        <v>#REF!</v>
      </c>
      <c r="S868" s="5" t="s">
        <v>52</v>
      </c>
      <c r="T868" s="5">
        <v>25</v>
      </c>
      <c r="W868" s="5" t="s">
        <v>65</v>
      </c>
      <c r="X868" s="5">
        <v>0</v>
      </c>
      <c r="Y868" s="5">
        <v>0</v>
      </c>
      <c r="Z868" s="5">
        <v>39000</v>
      </c>
      <c r="AA868" s="5">
        <v>800</v>
      </c>
      <c r="AB868" s="5">
        <v>31200000</v>
      </c>
      <c r="AC868" s="5" t="str">
        <f t="shared" si="43"/>
        <v>Bonos</v>
      </c>
      <c r="AD868" s="5" t="s">
        <v>43</v>
      </c>
      <c r="AE868" s="5">
        <f t="shared" si="44"/>
        <v>3</v>
      </c>
      <c r="AF868" s="5">
        <f t="shared" si="45"/>
        <v>2024</v>
      </c>
    </row>
    <row r="869" s="5" customFormat="1" ht="13">
      <c r="A869" s="5" t="s">
        <v>44</v>
      </c>
      <c r="B869" s="5" t="s">
        <v>44</v>
      </c>
      <c r="C869" s="5" t="s">
        <v>33</v>
      </c>
      <c r="D869" s="5" t="s">
        <v>21</v>
      </c>
      <c r="E869" s="5" t="s">
        <v>44</v>
      </c>
      <c r="F869" s="5" t="s">
        <v>35</v>
      </c>
      <c r="G869" s="5" t="s">
        <v>75</v>
      </c>
      <c r="H869" s="9" t="s">
        <v>186</v>
      </c>
      <c r="I869" s="10"/>
      <c r="J869" s="10">
        <v>45364</v>
      </c>
      <c r="K869" s="5" t="s">
        <v>39</v>
      </c>
      <c r="L869" s="5" t="s">
        <v>50</v>
      </c>
      <c r="M869" s="11">
        <v>0.044999999999999998</v>
      </c>
      <c r="N869" s="5" t="e">
        <f>IF(AND(M869&gt;#REF!,Cartera!O869="Guaraníes"),"Rendimiento significativo",IF(AND(M869&gt;#REF!,Cartera!O869="Dólares americanos"),"Rendimiento significativo","Rendimiento no significativo"))</f>
        <v>#REF!</v>
      </c>
      <c r="O869" s="5" t="s">
        <v>51</v>
      </c>
      <c r="P869" s="13">
        <v>336.57533999999998</v>
      </c>
      <c r="Q869" s="12" t="e">
        <f>IF(O869="Guaraníes",P869,P869*#REF!)</f>
        <v>#REF!</v>
      </c>
      <c r="R869" s="12">
        <f>IF(O869="Guaraníes",P869/#REF!,P869)</f>
        <v>336.57533999999998</v>
      </c>
      <c r="S869" s="5" t="s">
        <v>52</v>
      </c>
      <c r="T869" s="5">
        <v>25</v>
      </c>
      <c r="W869" s="5" t="s">
        <v>65</v>
      </c>
      <c r="X869" s="5">
        <v>0</v>
      </c>
      <c r="Y869" s="5">
        <v>0</v>
      </c>
      <c r="Z869" s="5">
        <v>11.219177999999999</v>
      </c>
      <c r="AA869" s="5">
        <v>30</v>
      </c>
      <c r="AB869" s="5">
        <v>336.57533999999998</v>
      </c>
      <c r="AC869" s="5" t="str">
        <f t="shared" si="43"/>
        <v>Bonos</v>
      </c>
      <c r="AD869" s="5" t="s">
        <v>43</v>
      </c>
      <c r="AE869" s="5">
        <f t="shared" si="44"/>
        <v>3</v>
      </c>
      <c r="AF869" s="5">
        <f t="shared" si="45"/>
        <v>2024</v>
      </c>
    </row>
    <row r="870" s="5" customFormat="1" ht="13">
      <c r="A870" s="5" t="s">
        <v>44</v>
      </c>
      <c r="B870" s="5" t="s">
        <v>44</v>
      </c>
      <c r="C870" s="5" t="s">
        <v>54</v>
      </c>
      <c r="D870" s="5" t="s">
        <v>21</v>
      </c>
      <c r="E870" s="5" t="s">
        <v>44</v>
      </c>
      <c r="F870" s="5" t="s">
        <v>46</v>
      </c>
      <c r="G870" s="5" t="s">
        <v>75</v>
      </c>
      <c r="H870" s="9" t="s">
        <v>147</v>
      </c>
      <c r="I870" s="10"/>
      <c r="J870" s="10">
        <v>45376</v>
      </c>
      <c r="K870" s="5" t="s">
        <v>57</v>
      </c>
      <c r="L870" s="5" t="s">
        <v>58</v>
      </c>
      <c r="M870" s="11">
        <v>0.12</v>
      </c>
      <c r="N870" s="5" t="e">
        <f>IF(AND(M870&gt;#REF!,Cartera!O870="Guaraníes"),"Rendimiento significativo",IF(AND(M870&gt;#REF!,Cartera!O870="Dólares americanos"),"Rendimiento significativo","Rendimiento no significativo"))</f>
        <v>#REF!</v>
      </c>
      <c r="O870" s="5" t="s">
        <v>41</v>
      </c>
      <c r="P870" s="12">
        <v>4487671.2328500003</v>
      </c>
      <c r="Q870" s="12">
        <f>IF(O870="Guaraníes",P870,P870*#REF!)</f>
        <v>4487671.2328500003</v>
      </c>
      <c r="R870" s="12" t="e">
        <f>IF(O870="Guaraníes",P870/#REF!,P870)</f>
        <v>#REF!</v>
      </c>
      <c r="S870" s="5" t="s">
        <v>52</v>
      </c>
      <c r="T870" s="5">
        <v>25</v>
      </c>
      <c r="W870" s="5" t="s">
        <v>192</v>
      </c>
      <c r="X870" s="5">
        <v>0</v>
      </c>
      <c r="Y870" s="5">
        <v>0</v>
      </c>
      <c r="Z870" s="5">
        <v>29917.808218999999</v>
      </c>
      <c r="AA870" s="5">
        <v>150</v>
      </c>
      <c r="AB870" s="5">
        <v>4487671.2328500003</v>
      </c>
      <c r="AC870" s="5" t="str">
        <f t="shared" si="43"/>
        <v>Bonos</v>
      </c>
      <c r="AD870" s="5" t="s">
        <v>43</v>
      </c>
      <c r="AE870" s="5">
        <f t="shared" si="44"/>
        <v>3</v>
      </c>
      <c r="AF870" s="5">
        <f t="shared" si="45"/>
        <v>2024</v>
      </c>
    </row>
    <row r="871" s="5" customFormat="1" ht="13">
      <c r="A871" s="5" t="s">
        <v>44</v>
      </c>
      <c r="B871" s="5" t="s">
        <v>44</v>
      </c>
      <c r="C871" s="5" t="s">
        <v>114</v>
      </c>
      <c r="D871" s="5" t="s">
        <v>21</v>
      </c>
      <c r="E871" s="5" t="s">
        <v>44</v>
      </c>
      <c r="F871" s="5" t="s">
        <v>68</v>
      </c>
      <c r="G871" s="5" t="s">
        <v>75</v>
      </c>
      <c r="H871" s="9" t="s">
        <v>237</v>
      </c>
      <c r="I871" s="10"/>
      <c r="J871" s="10">
        <v>45377</v>
      </c>
      <c r="K871" s="5" t="s">
        <v>77</v>
      </c>
      <c r="L871" s="5" t="s">
        <v>50</v>
      </c>
      <c r="M871" s="11">
        <v>0.13750000000000001</v>
      </c>
      <c r="N871" s="5" t="e">
        <f>IF(AND(M871&gt;#REF!,Cartera!O871="Guaraníes"),"Rendimiento significativo",IF(AND(M871&gt;#REF!,Cartera!O871="Dólares americanos"),"Rendimiento significativo","Rendimiento no significativo"))</f>
        <v>#REF!</v>
      </c>
      <c r="O871" s="5" t="s">
        <v>41</v>
      </c>
      <c r="P871" s="12">
        <v>685616.43836000003</v>
      </c>
      <c r="Q871" s="12">
        <f>IF(O871="Guaraníes",P871,P871*#REF!)</f>
        <v>685616.43836000003</v>
      </c>
      <c r="R871" s="12" t="e">
        <f>IF(O871="Guaraníes",P871/#REF!,P871)</f>
        <v>#REF!</v>
      </c>
      <c r="S871" s="5" t="s">
        <v>52</v>
      </c>
      <c r="T871" s="5">
        <v>25</v>
      </c>
      <c r="W871" s="5" t="s">
        <v>65</v>
      </c>
      <c r="X871" s="5">
        <v>0</v>
      </c>
      <c r="Y871" s="5">
        <v>0</v>
      </c>
      <c r="Z871" s="5">
        <v>34280.821918000001</v>
      </c>
      <c r="AA871" s="5">
        <v>20</v>
      </c>
      <c r="AB871" s="5">
        <v>685616.43836000003</v>
      </c>
      <c r="AC871" s="5" t="str">
        <f t="shared" si="43"/>
        <v>Bonos</v>
      </c>
      <c r="AD871" s="5" t="s">
        <v>43</v>
      </c>
      <c r="AE871" s="5">
        <f t="shared" si="44"/>
        <v>3</v>
      </c>
      <c r="AF871" s="5">
        <f t="shared" si="45"/>
        <v>2024</v>
      </c>
    </row>
    <row r="872" s="5" customFormat="1" ht="13">
      <c r="A872" s="5" t="s">
        <v>44</v>
      </c>
      <c r="B872" s="5" t="s">
        <v>44</v>
      </c>
      <c r="C872" s="5" t="s">
        <v>74</v>
      </c>
      <c r="D872" s="5" t="s">
        <v>21</v>
      </c>
      <c r="E872" s="5" t="s">
        <v>44</v>
      </c>
      <c r="F872" s="5" t="s">
        <v>68</v>
      </c>
      <c r="G872" s="5" t="s">
        <v>75</v>
      </c>
      <c r="H872" s="9" t="s">
        <v>76</v>
      </c>
      <c r="I872" s="10"/>
      <c r="J872" s="10">
        <v>45383</v>
      </c>
      <c r="K872" s="5" t="s">
        <v>77</v>
      </c>
      <c r="L872" s="5" t="s">
        <v>50</v>
      </c>
      <c r="M872" s="11">
        <v>0.055</v>
      </c>
      <c r="N872" s="5" t="e">
        <f>IF(AND(M872&gt;#REF!,Cartera!O872="Guaraníes"),"Rendimiento significativo",IF(AND(M872&gt;#REF!,Cartera!O872="Dólares americanos"),"Rendimiento significativo","Rendimiento no significativo"))</f>
        <v>#REF!</v>
      </c>
      <c r="O872" s="5" t="s">
        <v>51</v>
      </c>
      <c r="P872" s="13">
        <v>406.84931999999998</v>
      </c>
      <c r="Q872" s="12" t="e">
        <f>IF(O872="Guaraníes",P872,P872*#REF!)</f>
        <v>#REF!</v>
      </c>
      <c r="R872" s="12">
        <f>IF(O872="Guaraníes",P872/#REF!,P872)</f>
        <v>406.84931999999998</v>
      </c>
      <c r="S872" s="5" t="s">
        <v>52</v>
      </c>
      <c r="T872" s="5">
        <v>25</v>
      </c>
      <c r="W872" s="5" t="s">
        <v>65</v>
      </c>
      <c r="X872" s="5">
        <v>0</v>
      </c>
      <c r="Y872" s="5">
        <v>0</v>
      </c>
      <c r="Z872" s="5">
        <v>13.561643999999999</v>
      </c>
      <c r="AA872" s="5">
        <v>30</v>
      </c>
      <c r="AB872" s="5">
        <v>406.85000000000002</v>
      </c>
      <c r="AC872" s="5" t="str">
        <f t="shared" si="43"/>
        <v>Bonos</v>
      </c>
      <c r="AD872" s="5" t="s">
        <v>43</v>
      </c>
      <c r="AE872" s="5">
        <f t="shared" si="44"/>
        <v>4</v>
      </c>
      <c r="AF872" s="5">
        <f t="shared" si="45"/>
        <v>2024</v>
      </c>
    </row>
    <row r="873" s="5" customFormat="1" ht="13">
      <c r="A873" s="5" t="s">
        <v>44</v>
      </c>
      <c r="B873" s="5" t="s">
        <v>44</v>
      </c>
      <c r="C873" s="5" t="s">
        <v>33</v>
      </c>
      <c r="D873" s="5" t="s">
        <v>21</v>
      </c>
      <c r="E873" s="5" t="s">
        <v>44</v>
      </c>
      <c r="F873" s="5" t="s">
        <v>35</v>
      </c>
      <c r="G873" s="5" t="s">
        <v>75</v>
      </c>
      <c r="H873" s="9" t="s">
        <v>257</v>
      </c>
      <c r="I873" s="10"/>
      <c r="J873" s="10">
        <v>45386</v>
      </c>
      <c r="K873" s="5" t="s">
        <v>39</v>
      </c>
      <c r="L873" s="5" t="s">
        <v>106</v>
      </c>
      <c r="M873" s="11">
        <v>0.0625</v>
      </c>
      <c r="N873" s="5" t="e">
        <f>IF(AND(M873&gt;#REF!,Cartera!O873="Guaraníes"),"Rendimiento significativo",IF(AND(M873&gt;#REF!,Cartera!O873="Dólares americanos"),"Rendimiento significativo","Rendimiento no significativo"))</f>
        <v>#REF!</v>
      </c>
      <c r="O873" s="5" t="s">
        <v>51</v>
      </c>
      <c r="P873" s="13">
        <v>671.23000000000002</v>
      </c>
      <c r="Q873" s="12" t="e">
        <f>IF(O873="Guaraníes",P873,P873*#REF!)</f>
        <v>#REF!</v>
      </c>
      <c r="R873" s="12">
        <f>IF(O873="Guaraníes",P873/#REF!,P873)</f>
        <v>671.23000000000002</v>
      </c>
      <c r="S873" s="5" t="s">
        <v>52</v>
      </c>
      <c r="T873" s="5">
        <v>25</v>
      </c>
      <c r="U873" s="5">
        <v>40000</v>
      </c>
      <c r="V873" s="5">
        <v>45948778.219444998</v>
      </c>
      <c r="W873" s="5" t="s">
        <v>218</v>
      </c>
      <c r="X873" s="5">
        <v>100</v>
      </c>
      <c r="Y873" s="5">
        <v>1000</v>
      </c>
      <c r="Z873" s="5">
        <v>1016.7808219999999</v>
      </c>
      <c r="AA873" s="5">
        <v>40</v>
      </c>
      <c r="AB873" s="5">
        <v>40671.232880000003</v>
      </c>
      <c r="AC873" s="5" t="str">
        <f t="shared" si="43"/>
        <v>Bonos</v>
      </c>
      <c r="AD873" s="5" t="s">
        <v>43</v>
      </c>
      <c r="AE873" s="5">
        <f t="shared" si="44"/>
        <v>4</v>
      </c>
      <c r="AF873" s="5">
        <f t="shared" si="45"/>
        <v>2024</v>
      </c>
    </row>
    <row r="874" s="5" customFormat="1" ht="13">
      <c r="A874" s="5" t="s">
        <v>44</v>
      </c>
      <c r="B874" s="5" t="s">
        <v>44</v>
      </c>
      <c r="C874" s="5" t="s">
        <v>33</v>
      </c>
      <c r="D874" s="5" t="s">
        <v>20</v>
      </c>
      <c r="E874" s="5" t="s">
        <v>44</v>
      </c>
      <c r="F874" s="5" t="s">
        <v>35</v>
      </c>
      <c r="G874" s="5" t="s">
        <v>75</v>
      </c>
      <c r="H874" s="9" t="s">
        <v>257</v>
      </c>
      <c r="I874" s="10">
        <v>43560</v>
      </c>
      <c r="J874" s="10">
        <v>45386</v>
      </c>
      <c r="K874" s="5" t="s">
        <v>39</v>
      </c>
      <c r="L874" s="5" t="s">
        <v>106</v>
      </c>
      <c r="M874" s="11">
        <v>0.0625</v>
      </c>
      <c r="N874" s="5" t="e">
        <f>IF(AND(M874&gt;#REF!,Cartera!O874="Guaraníes"),"Rendimiento significativo",IF(AND(M874&gt;#REF!,Cartera!O874="Dólares americanos"),"Rendimiento significativo","Rendimiento no significativo"))</f>
        <v>#REF!</v>
      </c>
      <c r="O874" s="5" t="s">
        <v>51</v>
      </c>
      <c r="P874" s="13">
        <v>40000</v>
      </c>
      <c r="Q874" s="12" t="e">
        <f>IF(O874="Guaraníes",P874,P874*#REF!)</f>
        <v>#REF!</v>
      </c>
      <c r="R874" s="12">
        <f>IF(O874="Guaraníes",P874/#REF!,P874)</f>
        <v>40000</v>
      </c>
      <c r="S874" s="5" t="s">
        <v>52</v>
      </c>
      <c r="AC874" s="5" t="str">
        <f t="shared" si="43"/>
        <v>Bonos</v>
      </c>
      <c r="AD874" s="5" t="s">
        <v>43</v>
      </c>
      <c r="AE874" s="5">
        <f t="shared" si="44"/>
        <v>4</v>
      </c>
      <c r="AF874" s="5">
        <f t="shared" si="45"/>
        <v>2024</v>
      </c>
    </row>
    <row r="875" s="5" customFormat="1" ht="13">
      <c r="A875" s="5" t="s">
        <v>44</v>
      </c>
      <c r="B875" s="5" t="s">
        <v>44</v>
      </c>
      <c r="C875" s="5" t="s">
        <v>99</v>
      </c>
      <c r="D875" s="5" t="s">
        <v>21</v>
      </c>
      <c r="E875" s="5" t="s">
        <v>44</v>
      </c>
      <c r="F875" s="5" t="s">
        <v>100</v>
      </c>
      <c r="G875" s="5" t="s">
        <v>75</v>
      </c>
      <c r="H875" s="9" t="s">
        <v>217</v>
      </c>
      <c r="I875" s="10"/>
      <c r="J875" s="10">
        <v>45406</v>
      </c>
      <c r="K875" s="5" t="s">
        <v>102</v>
      </c>
      <c r="L875" s="5" t="s">
        <v>102</v>
      </c>
      <c r="M875" s="11">
        <v>0.080000000000000002</v>
      </c>
      <c r="N875" s="5" t="e">
        <f>IF(AND(M875&gt;#REF!,Cartera!O875="Guaraníes"),"Rendimiento significativo",IF(AND(M875&gt;#REF!,Cartera!O875="Dólares americanos"),"Rendimiento significativo","Rendimiento no significativo"))</f>
        <v>#REF!</v>
      </c>
      <c r="O875" s="5" t="s">
        <v>41</v>
      </c>
      <c r="P875" s="12">
        <v>5767000</v>
      </c>
      <c r="Q875" s="12">
        <f>IF(O875="Guaraníes",P875,P875*#REF!)</f>
        <v>5767000</v>
      </c>
      <c r="R875" s="12" t="e">
        <f>IF(O875="Guaraníes",P875/#REF!,P875)</f>
        <v>#REF!</v>
      </c>
      <c r="S875" s="5" t="s">
        <v>52</v>
      </c>
      <c r="T875" s="5">
        <v>25</v>
      </c>
      <c r="W875" s="5" t="s">
        <v>218</v>
      </c>
      <c r="X875" s="5">
        <v>0</v>
      </c>
      <c r="Y875" s="5">
        <v>0</v>
      </c>
      <c r="Z875" s="5">
        <v>39500</v>
      </c>
      <c r="AA875" s="5">
        <v>146</v>
      </c>
      <c r="AB875" s="5">
        <v>5767000</v>
      </c>
      <c r="AC875" s="5" t="str">
        <f t="shared" si="43"/>
        <v>Bonos</v>
      </c>
      <c r="AD875" s="5" t="s">
        <v>43</v>
      </c>
      <c r="AE875" s="5">
        <f t="shared" si="44"/>
        <v>4</v>
      </c>
      <c r="AF875" s="5">
        <f t="shared" si="45"/>
        <v>2024</v>
      </c>
    </row>
    <row r="876" s="5" customFormat="1" ht="13">
      <c r="A876" s="5" t="s">
        <v>44</v>
      </c>
      <c r="B876" s="5" t="s">
        <v>44</v>
      </c>
      <c r="C876" s="5" t="s">
        <v>114</v>
      </c>
      <c r="D876" s="5" t="s">
        <v>21</v>
      </c>
      <c r="E876" s="5" t="s">
        <v>44</v>
      </c>
      <c r="F876" s="5" t="s">
        <v>68</v>
      </c>
      <c r="G876" s="5" t="s">
        <v>75</v>
      </c>
      <c r="H876" s="9" t="s">
        <v>115</v>
      </c>
      <c r="I876" s="10"/>
      <c r="J876" s="10">
        <v>45407</v>
      </c>
      <c r="K876" s="5" t="s">
        <v>77</v>
      </c>
      <c r="L876" s="5" t="s">
        <v>50</v>
      </c>
      <c r="M876" s="11">
        <v>0.125</v>
      </c>
      <c r="N876" s="5" t="e">
        <f>IF(AND(M876&gt;#REF!,Cartera!O876="Guaraníes"),"Rendimiento significativo",IF(AND(M876&gt;#REF!,Cartera!O876="Dólares americanos"),"Rendimiento significativo","Rendimiento no significativo"))</f>
        <v>#REF!</v>
      </c>
      <c r="O876" s="5" t="s">
        <v>41</v>
      </c>
      <c r="P876" s="12">
        <v>897534.24656999996</v>
      </c>
      <c r="Q876" s="12">
        <f>IF(O876="Guaraníes",P876,P876*#REF!)</f>
        <v>897534.24656999996</v>
      </c>
      <c r="R876" s="12" t="e">
        <f>IF(O876="Guaraníes",P876/#REF!,P876)</f>
        <v>#REF!</v>
      </c>
      <c r="S876" s="5" t="s">
        <v>52</v>
      </c>
      <c r="T876" s="5">
        <v>25</v>
      </c>
      <c r="W876" s="5" t="s">
        <v>65</v>
      </c>
      <c r="X876" s="5">
        <v>0</v>
      </c>
      <c r="Y876" s="5">
        <v>0</v>
      </c>
      <c r="Z876" s="5">
        <v>29917.808218999999</v>
      </c>
      <c r="AA876" s="5">
        <v>30</v>
      </c>
      <c r="AB876" s="5">
        <v>897534.24656999996</v>
      </c>
      <c r="AC876" s="5" t="str">
        <f t="shared" si="43"/>
        <v>Bonos</v>
      </c>
      <c r="AD876" s="5" t="s">
        <v>43</v>
      </c>
      <c r="AE876" s="5">
        <f t="shared" si="44"/>
        <v>4</v>
      </c>
      <c r="AF876" s="5">
        <f t="shared" si="45"/>
        <v>2024</v>
      </c>
    </row>
    <row r="877" s="5" customFormat="1" ht="13">
      <c r="A877" s="5" t="s">
        <v>44</v>
      </c>
      <c r="B877" s="5" t="s">
        <v>44</v>
      </c>
      <c r="C877" s="5" t="s">
        <v>33</v>
      </c>
      <c r="D877" s="5" t="s">
        <v>21</v>
      </c>
      <c r="E877" s="5" t="s">
        <v>44</v>
      </c>
      <c r="F877" s="5" t="s">
        <v>35</v>
      </c>
      <c r="G877" s="5" t="s">
        <v>75</v>
      </c>
      <c r="H877" s="9" t="s">
        <v>168</v>
      </c>
      <c r="I877" s="10"/>
      <c r="J877" s="10">
        <v>45419</v>
      </c>
      <c r="K877" s="5" t="s">
        <v>39</v>
      </c>
      <c r="L877" s="5" t="s">
        <v>50</v>
      </c>
      <c r="M877" s="11">
        <v>0.070000000000000007</v>
      </c>
      <c r="N877" s="5" t="e">
        <f>IF(AND(M877&gt;#REF!,Cartera!O877="Guaraníes"),"Rendimiento significativo",IF(AND(M877&gt;#REF!,Cartera!O877="Dólares americanos"),"Rendimiento significativo","Rendimiento no significativo"))</f>
        <v>#REF!</v>
      </c>
      <c r="O877" s="5" t="s">
        <v>51</v>
      </c>
      <c r="P877" s="13">
        <v>1221.6438500000002</v>
      </c>
      <c r="Q877" s="12" t="e">
        <f>IF(O877="Guaraníes",P877,P877*#REF!)</f>
        <v>#REF!</v>
      </c>
      <c r="R877" s="12">
        <f>IF(O877="Guaraníes",P877/#REF!,P877)</f>
        <v>1221.6438500000002</v>
      </c>
      <c r="S877" s="5" t="s">
        <v>52</v>
      </c>
      <c r="T877" s="5">
        <v>25</v>
      </c>
      <c r="W877" s="5" t="s">
        <v>65</v>
      </c>
      <c r="X877" s="5">
        <v>0</v>
      </c>
      <c r="Y877" s="5">
        <v>0</v>
      </c>
      <c r="Z877" s="5">
        <v>17.452055000000001</v>
      </c>
      <c r="AA877" s="5">
        <v>70</v>
      </c>
      <c r="AB877" s="5">
        <v>1221.6438499999999</v>
      </c>
      <c r="AC877" s="5" t="str">
        <f t="shared" si="43"/>
        <v>Bonos</v>
      </c>
      <c r="AD877" s="5" t="s">
        <v>43</v>
      </c>
      <c r="AE877" s="5">
        <f t="shared" si="44"/>
        <v>5</v>
      </c>
      <c r="AF877" s="5">
        <f t="shared" si="45"/>
        <v>2024</v>
      </c>
    </row>
    <row r="878" s="5" customFormat="1" ht="13">
      <c r="A878" s="5" t="s">
        <v>44</v>
      </c>
      <c r="B878" s="5" t="s">
        <v>44</v>
      </c>
      <c r="C878" s="5" t="s">
        <v>114</v>
      </c>
      <c r="D878" s="5" t="s">
        <v>21</v>
      </c>
      <c r="E878" s="5" t="s">
        <v>44</v>
      </c>
      <c r="F878" s="5" t="s">
        <v>68</v>
      </c>
      <c r="G878" s="5" t="s">
        <v>75</v>
      </c>
      <c r="H878" s="9" t="s">
        <v>170</v>
      </c>
      <c r="I878" s="10"/>
      <c r="J878" s="10">
        <v>45428</v>
      </c>
      <c r="K878" s="5" t="s">
        <v>77</v>
      </c>
      <c r="L878" s="5" t="s">
        <v>50</v>
      </c>
      <c r="M878" s="11">
        <v>0.14000000000000001</v>
      </c>
      <c r="N878" s="5" t="e">
        <f>IF(AND(M878&gt;#REF!,Cartera!O878="Guaraníes"),"Rendimiento significativo",IF(AND(M878&gt;#REF!,Cartera!O878="Dólares americanos"),"Rendimiento significativo","Rendimiento no significativo"))</f>
        <v>#REF!</v>
      </c>
      <c r="O878" s="5" t="s">
        <v>41</v>
      </c>
      <c r="P878" s="12">
        <v>3567123.2877000002</v>
      </c>
      <c r="Q878" s="12">
        <f>IF(O878="Guaraníes",P878,P878*#REF!)</f>
        <v>3567123.2877000002</v>
      </c>
      <c r="R878" s="12" t="e">
        <f>IF(O878="Guaraníes",P878/#REF!,P878)</f>
        <v>#REF!</v>
      </c>
      <c r="S878" s="5" t="s">
        <v>52</v>
      </c>
      <c r="T878" s="5">
        <v>25</v>
      </c>
      <c r="W878" s="5" t="s">
        <v>65</v>
      </c>
      <c r="X878" s="5">
        <v>0</v>
      </c>
      <c r="Y878" s="5">
        <v>0</v>
      </c>
      <c r="Z878" s="5">
        <v>35671.232877000002</v>
      </c>
      <c r="AA878" s="5">
        <v>100</v>
      </c>
      <c r="AB878" s="5">
        <v>3567123.2877000002</v>
      </c>
      <c r="AC878" s="5" t="str">
        <f t="shared" si="43"/>
        <v>Bonos</v>
      </c>
      <c r="AD878" s="5" t="s">
        <v>43</v>
      </c>
      <c r="AE878" s="5">
        <f t="shared" si="44"/>
        <v>5</v>
      </c>
      <c r="AF878" s="5">
        <f t="shared" si="45"/>
        <v>2024</v>
      </c>
    </row>
    <row r="879" s="5" customFormat="1" ht="13">
      <c r="A879" s="5" t="s">
        <v>44</v>
      </c>
      <c r="B879" s="5" t="s">
        <v>44</v>
      </c>
      <c r="C879" s="5" t="s">
        <v>33</v>
      </c>
      <c r="D879" s="5" t="s">
        <v>21</v>
      </c>
      <c r="E879" s="5" t="s">
        <v>44</v>
      </c>
      <c r="F879" s="5" t="s">
        <v>35</v>
      </c>
      <c r="G879" s="5" t="s">
        <v>75</v>
      </c>
      <c r="H879" s="9" t="s">
        <v>186</v>
      </c>
      <c r="I879" s="10"/>
      <c r="J879" s="10">
        <v>45455</v>
      </c>
      <c r="K879" s="5" t="s">
        <v>39</v>
      </c>
      <c r="L879" s="5" t="s">
        <v>50</v>
      </c>
      <c r="M879" s="11">
        <v>0.044999999999999998</v>
      </c>
      <c r="N879" s="5" t="e">
        <f>IF(AND(M879&gt;#REF!,Cartera!O879="Guaraníes"),"Rendimiento significativo",IF(AND(M879&gt;#REF!,Cartera!O879="Dólares americanos"),"Rendimiento significativo","Rendimiento no significativo"))</f>
        <v>#REF!</v>
      </c>
      <c r="O879" s="5" t="s">
        <v>51</v>
      </c>
      <c r="P879" s="13">
        <v>336.57533999999998</v>
      </c>
      <c r="Q879" s="12" t="e">
        <f>IF(O879="Guaraníes",P879,P879*#REF!)</f>
        <v>#REF!</v>
      </c>
      <c r="R879" s="12">
        <f>IF(O879="Guaraníes",P879/#REF!,P879)</f>
        <v>336.57533999999998</v>
      </c>
      <c r="S879" s="5" t="s">
        <v>52</v>
      </c>
      <c r="T879" s="5">
        <v>25</v>
      </c>
      <c r="W879" s="5" t="s">
        <v>65</v>
      </c>
      <c r="X879" s="5">
        <v>0</v>
      </c>
      <c r="Y879" s="5">
        <v>0</v>
      </c>
      <c r="Z879" s="5">
        <v>11.219177999999999</v>
      </c>
      <c r="AA879" s="5">
        <v>30</v>
      </c>
      <c r="AB879" s="5">
        <v>336.57533999999998</v>
      </c>
      <c r="AC879" s="5" t="str">
        <f t="shared" si="43"/>
        <v>Bonos</v>
      </c>
      <c r="AD879" s="5" t="s">
        <v>43</v>
      </c>
      <c r="AE879" s="5">
        <f t="shared" si="44"/>
        <v>6</v>
      </c>
      <c r="AF879" s="5">
        <f t="shared" si="45"/>
        <v>2024</v>
      </c>
    </row>
    <row r="880" s="5" customFormat="1" ht="13">
      <c r="A880" s="5" t="s">
        <v>44</v>
      </c>
      <c r="B880" s="5" t="s">
        <v>44</v>
      </c>
      <c r="C880" s="5" t="s">
        <v>135</v>
      </c>
      <c r="D880" s="5" t="s">
        <v>21</v>
      </c>
      <c r="E880" s="5" t="s">
        <v>44</v>
      </c>
      <c r="F880" s="5" t="s">
        <v>68</v>
      </c>
      <c r="G880" s="5" t="s">
        <v>75</v>
      </c>
      <c r="H880" s="9" t="s">
        <v>136</v>
      </c>
      <c r="I880" s="10"/>
      <c r="J880" s="10">
        <v>45460</v>
      </c>
      <c r="K880" s="5" t="s">
        <v>124</v>
      </c>
      <c r="L880" s="5" t="s">
        <v>58</v>
      </c>
      <c r="M880" s="11">
        <v>0.060999999999999999</v>
      </c>
      <c r="N880" s="5" t="e">
        <f>IF(AND(M880&gt;#REF!,Cartera!O880="Guaraníes"),"Rendimiento significativo",IF(AND(M880&gt;#REF!,Cartera!O880="Dólares americanos"),"Rendimiento significativo","Rendimiento no significativo"))</f>
        <v>#REF!</v>
      </c>
      <c r="O880" s="5" t="s">
        <v>41</v>
      </c>
      <c r="P880" s="12">
        <v>2607123</v>
      </c>
      <c r="Q880" s="12">
        <f>IF(O880="Guaraníes",P880,P880*#REF!)</f>
        <v>2607123</v>
      </c>
      <c r="R880" s="12" t="e">
        <f>IF(O880="Guaraníes",P880/#REF!,P880)</f>
        <v>#REF!</v>
      </c>
      <c r="S880" s="5" t="s">
        <v>52</v>
      </c>
      <c r="T880" s="5">
        <v>25</v>
      </c>
      <c r="W880" s="5" t="s">
        <v>137</v>
      </c>
      <c r="X880" s="5">
        <v>14.28571429</v>
      </c>
      <c r="Y880" s="5">
        <v>142857.14290000001</v>
      </c>
      <c r="Z880" s="5">
        <v>155892.75933299999</v>
      </c>
      <c r="AA880" s="5">
        <v>200</v>
      </c>
      <c r="AB880" s="5">
        <v>31178551.866599999</v>
      </c>
      <c r="AC880" s="5" t="str">
        <f t="shared" si="43"/>
        <v>Bonos</v>
      </c>
      <c r="AD880" s="5" t="s">
        <v>43</v>
      </c>
      <c r="AE880" s="5">
        <f t="shared" si="44"/>
        <v>6</v>
      </c>
      <c r="AF880" s="5">
        <f t="shared" si="45"/>
        <v>2024</v>
      </c>
    </row>
    <row r="881" s="5" customFormat="1" ht="13">
      <c r="A881" s="5" t="s">
        <v>44</v>
      </c>
      <c r="B881" s="5" t="s">
        <v>44</v>
      </c>
      <c r="C881" s="5" t="s">
        <v>135</v>
      </c>
      <c r="D881" s="5" t="s">
        <v>21</v>
      </c>
      <c r="E881" s="5" t="s">
        <v>44</v>
      </c>
      <c r="F881" s="5" t="s">
        <v>68</v>
      </c>
      <c r="G881" s="5" t="s">
        <v>75</v>
      </c>
      <c r="H881" s="9" t="s">
        <v>265</v>
      </c>
      <c r="I881" s="10"/>
      <c r="J881" s="10">
        <v>45463</v>
      </c>
      <c r="K881" s="5" t="s">
        <v>124</v>
      </c>
      <c r="L881" s="5" t="s">
        <v>58</v>
      </c>
      <c r="M881" s="11">
        <v>0.054000000000000006</v>
      </c>
      <c r="N881" s="5" t="e">
        <f>IF(AND(M881&gt;#REF!,Cartera!O881="Guaraníes"),"Rendimiento significativo",IF(AND(M881&gt;#REF!,Cartera!O881="Dólares americanos"),"Rendimiento significativo","Rendimiento no significativo"))</f>
        <v>#REF!</v>
      </c>
      <c r="O881" s="5" t="s">
        <v>41</v>
      </c>
      <c r="P881" s="12">
        <v>507637</v>
      </c>
      <c r="Q881" s="12">
        <f>IF(O881="Guaraníes",P881,P881*#REF!)</f>
        <v>507637</v>
      </c>
      <c r="R881" s="12" t="e">
        <f>IF(O881="Guaraníes",P881/#REF!,P881)</f>
        <v>#REF!</v>
      </c>
      <c r="S881" s="5" t="s">
        <v>52</v>
      </c>
      <c r="T881" s="5">
        <v>25</v>
      </c>
      <c r="W881" s="5" t="s">
        <v>271</v>
      </c>
      <c r="X881" s="5">
        <v>12.5</v>
      </c>
      <c r="Y881" s="5">
        <v>125000</v>
      </c>
      <c r="Z881" s="5">
        <v>135152.739726</v>
      </c>
      <c r="AA881" s="5">
        <v>50</v>
      </c>
      <c r="AB881" s="5">
        <v>6757636.9863</v>
      </c>
      <c r="AC881" s="5" t="str">
        <f t="shared" si="43"/>
        <v>Bonos</v>
      </c>
      <c r="AD881" s="5" t="s">
        <v>43</v>
      </c>
      <c r="AE881" s="5">
        <f t="shared" si="44"/>
        <v>6</v>
      </c>
      <c r="AF881" s="5">
        <f t="shared" si="45"/>
        <v>2024</v>
      </c>
    </row>
    <row r="882" s="5" customFormat="1" ht="13">
      <c r="A882" s="5" t="s">
        <v>44</v>
      </c>
      <c r="B882" s="5" t="s">
        <v>44</v>
      </c>
      <c r="C882" s="5" t="s">
        <v>54</v>
      </c>
      <c r="D882" s="5" t="s">
        <v>21</v>
      </c>
      <c r="E882" s="5" t="s">
        <v>44</v>
      </c>
      <c r="F882" s="5" t="s">
        <v>46</v>
      </c>
      <c r="G882" s="5" t="s">
        <v>75</v>
      </c>
      <c r="H882" s="9" t="s">
        <v>147</v>
      </c>
      <c r="I882" s="10"/>
      <c r="J882" s="10">
        <v>45467</v>
      </c>
      <c r="K882" s="5" t="s">
        <v>57</v>
      </c>
      <c r="L882" s="5" t="s">
        <v>58</v>
      </c>
      <c r="M882" s="11">
        <v>0.12</v>
      </c>
      <c r="N882" s="5" t="e">
        <f>IF(AND(M882&gt;#REF!,Cartera!O882="Guaraníes"),"Rendimiento significativo",IF(AND(M882&gt;#REF!,Cartera!O882="Dólares americanos"),"Rendimiento significativo","Rendimiento no significativo"))</f>
        <v>#REF!</v>
      </c>
      <c r="O882" s="5" t="s">
        <v>41</v>
      </c>
      <c r="P882" s="12">
        <v>4487671.2328500003</v>
      </c>
      <c r="Q882" s="12">
        <f>IF(O882="Guaraníes",P882,P882*#REF!)</f>
        <v>4487671.2328500003</v>
      </c>
      <c r="R882" s="12" t="e">
        <f>IF(O882="Guaraníes",P882/#REF!,P882)</f>
        <v>#REF!</v>
      </c>
      <c r="S882" s="5" t="s">
        <v>52</v>
      </c>
      <c r="T882" s="5">
        <v>25</v>
      </c>
      <c r="W882" s="5" t="s">
        <v>273</v>
      </c>
      <c r="X882" s="5">
        <v>0</v>
      </c>
      <c r="Y882" s="5">
        <v>0</v>
      </c>
      <c r="Z882" s="5">
        <v>29917.808218999999</v>
      </c>
      <c r="AA882" s="5">
        <v>150</v>
      </c>
      <c r="AB882" s="5">
        <v>4487671.2328500003</v>
      </c>
      <c r="AC882" s="5" t="str">
        <f t="shared" si="43"/>
        <v>Bonos</v>
      </c>
      <c r="AD882" s="5" t="s">
        <v>43</v>
      </c>
      <c r="AE882" s="5">
        <f t="shared" si="44"/>
        <v>6</v>
      </c>
      <c r="AF882" s="5">
        <f t="shared" si="45"/>
        <v>2024</v>
      </c>
    </row>
    <row r="883" s="5" customFormat="1" ht="13">
      <c r="A883" s="5" t="s">
        <v>44</v>
      </c>
      <c r="B883" s="5" t="s">
        <v>44</v>
      </c>
      <c r="C883" s="5" t="s">
        <v>114</v>
      </c>
      <c r="D883" s="5" t="s">
        <v>20</v>
      </c>
      <c r="E883" s="5" t="s">
        <v>44</v>
      </c>
      <c r="F883" s="5" t="s">
        <v>68</v>
      </c>
      <c r="G883" s="5" t="s">
        <v>75</v>
      </c>
      <c r="H883" s="9" t="s">
        <v>237</v>
      </c>
      <c r="I883" s="10">
        <v>42403</v>
      </c>
      <c r="J883" s="10">
        <v>45468</v>
      </c>
      <c r="K883" s="5" t="s">
        <v>77</v>
      </c>
      <c r="L883" s="5" t="s">
        <v>50</v>
      </c>
      <c r="M883" s="11">
        <v>0.13750000000000001</v>
      </c>
      <c r="N883" s="5" t="e">
        <f>IF(AND(M883&gt;#REF!,Cartera!O883="Guaraníes"),"Rendimiento significativo",IF(AND(M883&gt;#REF!,Cartera!O883="Dólares americanos"),"Rendimiento significativo","Rendimiento no significativo"))</f>
        <v>#REF!</v>
      </c>
      <c r="O883" s="5" t="s">
        <v>41</v>
      </c>
      <c r="P883" s="12">
        <v>20000000</v>
      </c>
      <c r="Q883" s="12">
        <f>IF(O883="Guaraníes",P883,P883*#REF!)</f>
        <v>20000000</v>
      </c>
      <c r="R883" s="12" t="e">
        <f>IF(O883="Guaraníes",P883/#REF!,P883)</f>
        <v>#REF!</v>
      </c>
      <c r="S883" s="5" t="s">
        <v>52</v>
      </c>
      <c r="AC883" s="5" t="str">
        <f t="shared" si="43"/>
        <v>Bonos</v>
      </c>
      <c r="AD883" s="5" t="s">
        <v>43</v>
      </c>
      <c r="AE883" s="5">
        <f t="shared" si="44"/>
        <v>6</v>
      </c>
      <c r="AF883" s="5">
        <f t="shared" si="45"/>
        <v>2024</v>
      </c>
    </row>
    <row r="884" s="5" customFormat="1" ht="13">
      <c r="A884" s="5" t="s">
        <v>44</v>
      </c>
      <c r="B884" s="5" t="s">
        <v>44</v>
      </c>
      <c r="C884" s="5" t="s">
        <v>114</v>
      </c>
      <c r="D884" s="5" t="s">
        <v>21</v>
      </c>
      <c r="E884" s="5" t="s">
        <v>44</v>
      </c>
      <c r="F884" s="5" t="s">
        <v>68</v>
      </c>
      <c r="G884" s="5" t="s">
        <v>75</v>
      </c>
      <c r="H884" s="9" t="s">
        <v>237</v>
      </c>
      <c r="I884" s="10"/>
      <c r="J884" s="10">
        <v>45468</v>
      </c>
      <c r="K884" s="5" t="s">
        <v>77</v>
      </c>
      <c r="L884" s="5" t="s">
        <v>50</v>
      </c>
      <c r="M884" s="11">
        <v>0.13750000000000001</v>
      </c>
      <c r="N884" s="5" t="e">
        <f>IF(AND(M884&gt;#REF!,Cartera!O884="Guaraníes"),"Rendimiento significativo",IF(AND(M884&gt;#REF!,Cartera!O884="Dólares americanos"),"Rendimiento significativo","Rendimiento no significativo"))</f>
        <v>#REF!</v>
      </c>
      <c r="O884" s="5" t="s">
        <v>41</v>
      </c>
      <c r="P884" s="12">
        <v>685616.43999999994</v>
      </c>
      <c r="Q884" s="12">
        <f>IF(O884="Guaraníes",P884,P884*#REF!)</f>
        <v>685616.43999999994</v>
      </c>
      <c r="R884" s="12" t="e">
        <f>IF(O884="Guaraníes",P884/#REF!,P884)</f>
        <v>#REF!</v>
      </c>
      <c r="S884" s="5" t="s">
        <v>52</v>
      </c>
      <c r="T884" s="5">
        <v>25</v>
      </c>
      <c r="U884" s="5">
        <v>20000000</v>
      </c>
      <c r="V884" s="5">
        <v>53383363.510450006</v>
      </c>
      <c r="W884" s="5" t="s">
        <v>65</v>
      </c>
      <c r="X884" s="5">
        <v>100</v>
      </c>
      <c r="Y884" s="5">
        <v>1000000</v>
      </c>
      <c r="Z884" s="5">
        <v>1034280.821918</v>
      </c>
      <c r="AA884" s="5">
        <v>20</v>
      </c>
      <c r="AB884" s="5">
        <v>20685616.438359998</v>
      </c>
      <c r="AC884" s="5" t="str">
        <f t="shared" si="43"/>
        <v>Bonos</v>
      </c>
      <c r="AD884" s="5" t="s">
        <v>43</v>
      </c>
      <c r="AE884" s="5">
        <f t="shared" si="44"/>
        <v>6</v>
      </c>
      <c r="AF884" s="5">
        <f t="shared" si="45"/>
        <v>2024</v>
      </c>
    </row>
    <row r="885" s="5" customFormat="1" ht="13">
      <c r="A885" s="5" t="s">
        <v>44</v>
      </c>
      <c r="B885" s="5" t="s">
        <v>44</v>
      </c>
      <c r="C885" s="5" t="s">
        <v>74</v>
      </c>
      <c r="D885" s="5" t="s">
        <v>21</v>
      </c>
      <c r="E885" s="5" t="s">
        <v>44</v>
      </c>
      <c r="F885" s="5" t="s">
        <v>68</v>
      </c>
      <c r="G885" s="5" t="s">
        <v>75</v>
      </c>
      <c r="H885" s="9" t="s">
        <v>76</v>
      </c>
      <c r="I885" s="10"/>
      <c r="J885" s="10">
        <v>45474</v>
      </c>
      <c r="K885" s="5" t="s">
        <v>77</v>
      </c>
      <c r="L885" s="5" t="s">
        <v>50</v>
      </c>
      <c r="M885" s="11">
        <v>0.055</v>
      </c>
      <c r="N885" s="5" t="e">
        <f>IF(AND(M885&gt;#REF!,Cartera!O885="Guaraníes"),"Rendimiento significativo",IF(AND(M885&gt;#REF!,Cartera!O885="Dólares americanos"),"Rendimiento significativo","Rendimiento no significativo"))</f>
        <v>#REF!</v>
      </c>
      <c r="O885" s="5" t="s">
        <v>51</v>
      </c>
      <c r="P885" s="13">
        <v>411.36986999999999</v>
      </c>
      <c r="Q885" s="12" t="e">
        <f>IF(O885="Guaraníes",P885,P885*#REF!)</f>
        <v>#REF!</v>
      </c>
      <c r="R885" s="12">
        <f>IF(O885="Guaraníes",P885/#REF!,P885)</f>
        <v>411.36986999999999</v>
      </c>
      <c r="S885" s="5" t="s">
        <v>52</v>
      </c>
      <c r="T885" s="5">
        <v>25</v>
      </c>
      <c r="W885" s="5" t="s">
        <v>65</v>
      </c>
      <c r="X885" s="5">
        <v>0</v>
      </c>
      <c r="Y885" s="5">
        <v>0</v>
      </c>
      <c r="Z885" s="5">
        <v>13.712329</v>
      </c>
      <c r="AA885" s="5">
        <v>30</v>
      </c>
      <c r="AB885" s="5">
        <v>411.37</v>
      </c>
      <c r="AC885" s="5" t="str">
        <f t="shared" si="43"/>
        <v>Bonos</v>
      </c>
      <c r="AD885" s="5" t="s">
        <v>43</v>
      </c>
      <c r="AE885" s="5">
        <f t="shared" si="44"/>
        <v>7</v>
      </c>
      <c r="AF885" s="5">
        <f t="shared" si="45"/>
        <v>2024</v>
      </c>
    </row>
    <row r="886" s="5" customFormat="1" ht="13">
      <c r="A886" s="5" t="s">
        <v>44</v>
      </c>
      <c r="B886" s="5" t="s">
        <v>44</v>
      </c>
      <c r="C886" s="5" t="s">
        <v>114</v>
      </c>
      <c r="D886" s="5" t="s">
        <v>21</v>
      </c>
      <c r="E886" s="5" t="s">
        <v>44</v>
      </c>
      <c r="F886" s="5" t="s">
        <v>68</v>
      </c>
      <c r="G886" s="5" t="s">
        <v>75</v>
      </c>
      <c r="H886" s="9" t="s">
        <v>115</v>
      </c>
      <c r="I886" s="10"/>
      <c r="J886" s="10">
        <v>45498</v>
      </c>
      <c r="K886" s="5" t="s">
        <v>77</v>
      </c>
      <c r="L886" s="5" t="s">
        <v>50</v>
      </c>
      <c r="M886" s="11">
        <v>0.125</v>
      </c>
      <c r="N886" s="5" t="e">
        <f>IF(AND(M886&gt;#REF!,Cartera!O886="Guaraníes"),"Rendimiento significativo",IF(AND(M886&gt;#REF!,Cartera!O886="Dólares americanos"),"Rendimiento significativo","Rendimiento no significativo"))</f>
        <v>#REF!</v>
      </c>
      <c r="O886" s="5" t="s">
        <v>41</v>
      </c>
      <c r="P886" s="12">
        <v>897534.24656999996</v>
      </c>
      <c r="Q886" s="12">
        <f>IF(O886="Guaraníes",P886,P886*#REF!)</f>
        <v>897534.24656999996</v>
      </c>
      <c r="R886" s="12" t="e">
        <f>IF(O886="Guaraníes",P886/#REF!,P886)</f>
        <v>#REF!</v>
      </c>
      <c r="S886" s="5" t="s">
        <v>52</v>
      </c>
      <c r="T886" s="5">
        <v>25</v>
      </c>
      <c r="W886" s="5" t="s">
        <v>65</v>
      </c>
      <c r="X886" s="5">
        <v>0</v>
      </c>
      <c r="Y886" s="5">
        <v>0</v>
      </c>
      <c r="Z886" s="5">
        <v>29917.808218999999</v>
      </c>
      <c r="AA886" s="5">
        <v>30</v>
      </c>
      <c r="AB886" s="5">
        <v>897534.24656999996</v>
      </c>
      <c r="AC886" s="5" t="str">
        <f t="shared" si="43"/>
        <v>Bonos</v>
      </c>
      <c r="AD886" s="5" t="s">
        <v>43</v>
      </c>
      <c r="AE886" s="5">
        <f t="shared" si="44"/>
        <v>7</v>
      </c>
      <c r="AF886" s="5">
        <f t="shared" si="45"/>
        <v>2024</v>
      </c>
    </row>
    <row r="887" s="5" customFormat="1" ht="13">
      <c r="A887" s="5" t="s">
        <v>44</v>
      </c>
      <c r="B887" s="5" t="s">
        <v>44</v>
      </c>
      <c r="C887" s="5" t="s">
        <v>33</v>
      </c>
      <c r="D887" s="5" t="s">
        <v>21</v>
      </c>
      <c r="E887" s="5" t="s">
        <v>44</v>
      </c>
      <c r="F887" s="5" t="s">
        <v>35</v>
      </c>
      <c r="H887" s="9">
        <v>4441</v>
      </c>
      <c r="I887" s="20"/>
      <c r="J887" s="10">
        <v>45510</v>
      </c>
      <c r="K887" s="5" t="s">
        <v>39</v>
      </c>
      <c r="L887" s="5" t="s">
        <v>82</v>
      </c>
      <c r="M887" s="11">
        <v>0.065000000000000002</v>
      </c>
      <c r="N887" s="5" t="e">
        <f>IF(AND(M887&gt;#REF!,Cartera!O2930="Guaraníes"),"Rendimiento significativo",IF(AND(M887&gt;#REF!,Cartera!O2930="Dólares americanos"),"Rendimiento significativo","Rendimiento no significativo"))</f>
        <v>#REF!</v>
      </c>
      <c r="O887" s="5" t="s">
        <v>41</v>
      </c>
      <c r="P887" s="12">
        <v>5075342</v>
      </c>
      <c r="Q887" s="12">
        <f>IF(O887="Guaraníes",P887,P887*#REF!)</f>
        <v>5075342</v>
      </c>
      <c r="R887" s="12" t="e">
        <f>IF(O887="Guaraníes",P887/#REF!,P887)</f>
        <v>#REF!</v>
      </c>
      <c r="S887" s="5" t="s">
        <v>52</v>
      </c>
      <c r="V887" s="5">
        <v>5075342</v>
      </c>
      <c r="W887" s="5" t="s">
        <v>274</v>
      </c>
      <c r="AC887" s="5" t="str">
        <f t="shared" si="43"/>
        <v>CDA</v>
      </c>
      <c r="AD887" s="5" t="s">
        <v>43</v>
      </c>
      <c r="AE887" s="5">
        <f t="shared" si="44"/>
        <v>8</v>
      </c>
      <c r="AF887" s="5">
        <f t="shared" si="45"/>
        <v>2024</v>
      </c>
    </row>
    <row r="888" s="5" customFormat="1" ht="13">
      <c r="A888" s="5" t="s">
        <v>44</v>
      </c>
      <c r="B888" s="5" t="s">
        <v>44</v>
      </c>
      <c r="C888" s="5" t="s">
        <v>33</v>
      </c>
      <c r="D888" s="5" t="s">
        <v>20</v>
      </c>
      <c r="E888" s="5" t="s">
        <v>44</v>
      </c>
      <c r="F888" s="5" t="s">
        <v>35</v>
      </c>
      <c r="H888" s="9">
        <v>4441</v>
      </c>
      <c r="I888" s="20">
        <v>44418</v>
      </c>
      <c r="J888" s="10">
        <v>45510</v>
      </c>
      <c r="K888" s="5" t="s">
        <v>39</v>
      </c>
      <c r="L888" s="5" t="s">
        <v>82</v>
      </c>
      <c r="M888" s="11">
        <v>0.065000000000000002</v>
      </c>
      <c r="N888" s="5" t="e">
        <f>IF(AND(M888&gt;#REF!,Cartera!O2931="Guaraníes"),"Rendimiento significativo",IF(AND(M888&gt;#REF!,Cartera!O2931="Dólares americanos"),"Rendimiento significativo","Rendimiento no significativo"))</f>
        <v>#REF!</v>
      </c>
      <c r="O888" s="5" t="s">
        <v>41</v>
      </c>
      <c r="P888" s="12">
        <v>150000000</v>
      </c>
      <c r="Q888" s="12">
        <f>IF(O888="Guaraníes",P888,P888*#REF!)</f>
        <v>150000000</v>
      </c>
      <c r="R888" s="12" t="e">
        <f>IF(O888="Guaraníes",P888/#REF!,P888)</f>
        <v>#REF!</v>
      </c>
      <c r="S888" s="5" t="s">
        <v>52</v>
      </c>
      <c r="AC888" s="5" t="str">
        <f t="shared" si="43"/>
        <v>CDA</v>
      </c>
      <c r="AD888" s="5" t="s">
        <v>43</v>
      </c>
      <c r="AE888" s="5">
        <f t="shared" si="44"/>
        <v>8</v>
      </c>
      <c r="AF888" s="5">
        <f t="shared" si="45"/>
        <v>2024</v>
      </c>
    </row>
    <row r="889" s="5" customFormat="1" ht="13">
      <c r="A889" s="5" t="s">
        <v>44</v>
      </c>
      <c r="B889" s="5" t="s">
        <v>44</v>
      </c>
      <c r="C889" s="5" t="s">
        <v>227</v>
      </c>
      <c r="D889" s="5" t="s">
        <v>21</v>
      </c>
      <c r="E889" s="5" t="s">
        <v>44</v>
      </c>
      <c r="F889" s="5" t="s">
        <v>68</v>
      </c>
      <c r="H889" s="9">
        <v>301</v>
      </c>
      <c r="I889" s="10"/>
      <c r="J889" s="10">
        <v>45545</v>
      </c>
      <c r="K889" s="5" t="s">
        <v>77</v>
      </c>
      <c r="L889" s="5" t="s">
        <v>82</v>
      </c>
      <c r="M889" s="11">
        <v>0.059999999999999998</v>
      </c>
      <c r="N889" s="5" t="e">
        <f>IF(AND(M889&gt;#REF!,Cartera!O2934="Guaraníes"),"Rendimiento significativo",IF(AND(M889&gt;#REF!,Cartera!O2934="Dólares americanos"),"Rendimiento significativo","Rendimiento no significativo"))</f>
        <v>#REF!</v>
      </c>
      <c r="O889" s="5" t="s">
        <v>41</v>
      </c>
      <c r="P889" s="12">
        <v>3002740</v>
      </c>
      <c r="Q889" s="12">
        <f>IF(O889="Guaraníes",P889,P889*#REF!)</f>
        <v>3002740</v>
      </c>
      <c r="R889" s="12" t="e">
        <f>IF(O889="Guaraníes",P889/#REF!,P889)</f>
        <v>#REF!</v>
      </c>
      <c r="S889" s="5" t="s">
        <v>52</v>
      </c>
      <c r="V889" s="5">
        <v>3002740</v>
      </c>
      <c r="W889" s="5" t="s">
        <v>275</v>
      </c>
      <c r="AC889" s="5" t="str">
        <f t="shared" si="43"/>
        <v>CDA</v>
      </c>
      <c r="AD889" s="5" t="s">
        <v>43</v>
      </c>
      <c r="AE889" s="5">
        <f t="shared" si="44"/>
        <v>9</v>
      </c>
      <c r="AF889" s="5">
        <f t="shared" si="45"/>
        <v>2024</v>
      </c>
    </row>
    <row r="890" s="5" customFormat="1" ht="13">
      <c r="A890" s="5" t="s">
        <v>44</v>
      </c>
      <c r="B890" s="5" t="s">
        <v>44</v>
      </c>
      <c r="C890" s="5" t="s">
        <v>227</v>
      </c>
      <c r="D890" s="5" t="s">
        <v>20</v>
      </c>
      <c r="E890" s="5" t="s">
        <v>44</v>
      </c>
      <c r="F890" s="5" t="s">
        <v>68</v>
      </c>
      <c r="H890" s="9">
        <v>301</v>
      </c>
      <c r="I890" s="10">
        <v>44449</v>
      </c>
      <c r="J890" s="10">
        <v>45545</v>
      </c>
      <c r="K890" s="5" t="s">
        <v>77</v>
      </c>
      <c r="L890" s="5" t="s">
        <v>82</v>
      </c>
      <c r="M890" s="11">
        <v>0.059999999999999998</v>
      </c>
      <c r="N890" s="5" t="e">
        <f>IF(AND(M890&gt;#REF!,Cartera!O2935="Guaraníes"),"Rendimiento significativo",IF(AND(M890&gt;#REF!,Cartera!O2935="Dólares americanos"),"Rendimiento significativo","Rendimiento no significativo"))</f>
        <v>#REF!</v>
      </c>
      <c r="O890" s="5" t="s">
        <v>41</v>
      </c>
      <c r="P890" s="12">
        <v>200000000</v>
      </c>
      <c r="Q890" s="12">
        <f>IF(O890="Guaraníes",P890,P890*#REF!)</f>
        <v>200000000</v>
      </c>
      <c r="R890" s="12" t="e">
        <f>IF(O890="Guaraníes",P890/#REF!,P890)</f>
        <v>#REF!</v>
      </c>
      <c r="S890" s="5" t="s">
        <v>52</v>
      </c>
      <c r="AC890" s="5" t="str">
        <f t="shared" si="43"/>
        <v>CDA</v>
      </c>
      <c r="AD890" s="5" t="s">
        <v>43</v>
      </c>
      <c r="AE890" s="5">
        <f t="shared" si="44"/>
        <v>9</v>
      </c>
      <c r="AF890" s="5">
        <f t="shared" si="45"/>
        <v>2024</v>
      </c>
    </row>
    <row r="891" s="5" customFormat="1" ht="13">
      <c r="A891" s="5" t="s">
        <v>44</v>
      </c>
      <c r="B891" s="5" t="s">
        <v>44</v>
      </c>
      <c r="C891" s="5" t="s">
        <v>33</v>
      </c>
      <c r="D891" s="5" t="s">
        <v>21</v>
      </c>
      <c r="E891" s="5" t="s">
        <v>44</v>
      </c>
      <c r="F891" s="5" t="s">
        <v>35</v>
      </c>
      <c r="G891" s="5" t="s">
        <v>75</v>
      </c>
      <c r="H891" s="9" t="s">
        <v>186</v>
      </c>
      <c r="I891" s="10"/>
      <c r="J891" s="10">
        <v>45546</v>
      </c>
      <c r="K891" s="5" t="s">
        <v>39</v>
      </c>
      <c r="L891" s="5" t="s">
        <v>50</v>
      </c>
      <c r="M891" s="11">
        <v>0.044999999999999998</v>
      </c>
      <c r="N891" s="5" t="e">
        <f>IF(AND(M891&gt;#REF!,Cartera!O890="Guaraníes"),"Rendimiento significativo",IF(AND(M891&gt;#REF!,Cartera!O890="Dólares americanos"),"Rendimiento significativo","Rendimiento no significativo"))</f>
        <v>#REF!</v>
      </c>
      <c r="O891" s="5" t="s">
        <v>51</v>
      </c>
      <c r="P891" s="13">
        <v>336.57533999999998</v>
      </c>
      <c r="Q891" s="12" t="e">
        <f>IF(O891="Guaraníes",P891,P891*#REF!)</f>
        <v>#REF!</v>
      </c>
      <c r="R891" s="12">
        <f>IF(O891="Guaraníes",P891/#REF!,P891)</f>
        <v>336.57533999999998</v>
      </c>
      <c r="S891" s="5" t="s">
        <v>52</v>
      </c>
      <c r="T891" s="5">
        <v>25</v>
      </c>
      <c r="W891" s="5" t="s">
        <v>65</v>
      </c>
      <c r="X891" s="5">
        <v>0</v>
      </c>
      <c r="Y891" s="5">
        <v>0</v>
      </c>
      <c r="Z891" s="5">
        <v>11.219177999999999</v>
      </c>
      <c r="AA891" s="5">
        <v>30</v>
      </c>
      <c r="AB891" s="5">
        <v>336.57533999999998</v>
      </c>
      <c r="AC891" s="5" t="str">
        <f t="shared" si="43"/>
        <v>Bonos</v>
      </c>
      <c r="AD891" s="5" t="s">
        <v>43</v>
      </c>
      <c r="AE891" s="5">
        <f t="shared" si="44"/>
        <v>9</v>
      </c>
      <c r="AF891" s="5">
        <f t="shared" si="45"/>
        <v>2024</v>
      </c>
    </row>
    <row r="892" s="5" customFormat="1" ht="13">
      <c r="A892" s="5" t="s">
        <v>44</v>
      </c>
      <c r="B892" s="5" t="s">
        <v>44</v>
      </c>
      <c r="C892" s="5" t="s">
        <v>183</v>
      </c>
      <c r="D892" s="5" t="s">
        <v>20</v>
      </c>
      <c r="E892" s="5" t="s">
        <v>44</v>
      </c>
      <c r="F892" s="5" t="s">
        <v>184</v>
      </c>
      <c r="G892" s="5" t="s">
        <v>276</v>
      </c>
      <c r="H892" s="9" t="s">
        <v>277</v>
      </c>
      <c r="I892" s="10">
        <v>44847</v>
      </c>
      <c r="J892" s="10">
        <v>45575</v>
      </c>
      <c r="K892" s="5" t="s">
        <v>124</v>
      </c>
      <c r="L892" s="5" t="s">
        <v>106</v>
      </c>
      <c r="M892" s="11">
        <v>0.085000000000000006</v>
      </c>
      <c r="N892" s="5" t="e">
        <f>IF(AND(M892&gt;#REF!,Cartera!O3035="Guaraníes"),"Rendimiento significativo",IF(AND(M892&gt;#REF!,Cartera!O3035="Dólares americanos"),"Rendimiento significativo","Rendimiento no significativo"))</f>
        <v>#REF!</v>
      </c>
      <c r="O892" s="5" t="s">
        <v>41</v>
      </c>
      <c r="P892" s="12">
        <v>900000000</v>
      </c>
      <c r="Q892" s="12">
        <f>IF(O892="Guaraníes",P892,P892*#REF!)</f>
        <v>900000000</v>
      </c>
      <c r="R892" s="12" t="e">
        <f>IF(O892="Guaraníes",P892/#REF!,P892)</f>
        <v>#REF!</v>
      </c>
      <c r="S892" s="5" t="s">
        <v>52</v>
      </c>
      <c r="AC892" s="5" t="str">
        <f t="shared" si="43"/>
        <v>Bonos</v>
      </c>
      <c r="AD892" s="5" t="s">
        <v>43</v>
      </c>
      <c r="AE892" s="5">
        <f t="shared" si="44"/>
        <v>10</v>
      </c>
      <c r="AF892" s="5">
        <f t="shared" si="45"/>
        <v>2024</v>
      </c>
      <c r="AG892" s="5" t="s">
        <v>278</v>
      </c>
    </row>
    <row r="893" s="5" customFormat="1" ht="13">
      <c r="A893" s="5" t="s">
        <v>44</v>
      </c>
      <c r="B893" s="5" t="s">
        <v>44</v>
      </c>
      <c r="C893" s="5" t="s">
        <v>183</v>
      </c>
      <c r="D893" s="5" t="s">
        <v>21</v>
      </c>
      <c r="E893" s="5" t="s">
        <v>44</v>
      </c>
      <c r="F893" s="5" t="s">
        <v>184</v>
      </c>
      <c r="G893" s="5" t="s">
        <v>276</v>
      </c>
      <c r="H893" s="9" t="s">
        <v>277</v>
      </c>
      <c r="I893" s="10">
        <v>44847</v>
      </c>
      <c r="J893" s="10">
        <v>45575</v>
      </c>
      <c r="K893" s="5" t="s">
        <v>124</v>
      </c>
      <c r="L893" s="5" t="s">
        <v>106</v>
      </c>
      <c r="M893" s="11">
        <v>0.085000000000000006</v>
      </c>
      <c r="N893" s="5" t="e">
        <f>IF(AND(M893&gt;#REF!,Cartera!O3124="Guaraníes"),"Rendimiento significativo",IF(AND(M893&gt;#REF!,Cartera!O3124="Dólares americanos"),"Rendimiento significativo","Rendimiento no significativo"))</f>
        <v>#REF!</v>
      </c>
      <c r="O893" s="5" t="s">
        <v>41</v>
      </c>
      <c r="P893" s="12">
        <v>19072603</v>
      </c>
      <c r="Q893" s="12">
        <f>IF(O893="Guaraníes",P893,P893*#REF!)</f>
        <v>19072603</v>
      </c>
      <c r="R893" s="12" t="e">
        <f>IF(O893="Guaraníes",P893/#REF!,P893)</f>
        <v>#REF!</v>
      </c>
      <c r="S893" s="5" t="s">
        <v>52</v>
      </c>
      <c r="AC893" s="5" t="str">
        <f t="shared" si="43"/>
        <v>Bonos</v>
      </c>
      <c r="AD893" s="5" t="s">
        <v>43</v>
      </c>
      <c r="AE893" s="5">
        <f t="shared" si="44"/>
        <v>10</v>
      </c>
      <c r="AF893" s="5">
        <f t="shared" si="45"/>
        <v>2024</v>
      </c>
    </row>
    <row r="894" s="5" customFormat="1" ht="13">
      <c r="A894" s="5" t="s">
        <v>44</v>
      </c>
      <c r="B894" s="5" t="s">
        <v>44</v>
      </c>
      <c r="C894" s="5" t="s">
        <v>60</v>
      </c>
      <c r="D894" s="5" t="s">
        <v>21</v>
      </c>
      <c r="E894" s="5" t="s">
        <v>44</v>
      </c>
      <c r="F894" s="5" t="s">
        <v>68</v>
      </c>
      <c r="H894" s="9" t="s">
        <v>84</v>
      </c>
      <c r="I894" s="10">
        <v>45393</v>
      </c>
      <c r="J894" s="10">
        <v>45577</v>
      </c>
      <c r="K894" s="5" t="s">
        <v>64</v>
      </c>
      <c r="L894" s="5" t="s">
        <v>82</v>
      </c>
      <c r="M894" s="11">
        <v>0.055</v>
      </c>
      <c r="N894" s="5" t="e">
        <f>IF(AND(M894&gt;#REF!,Cartera!O3573="Guaraníes"),"Rendimiento significativo",IF(AND(M894&gt;#REF!,Cartera!O3573="Dólares americanos"),"Rendimiento significativo","Rendimiento no significativo"))</f>
        <v>#REF!</v>
      </c>
      <c r="O894" s="5" t="s">
        <v>51</v>
      </c>
      <c r="P894" s="13">
        <v>291.12</v>
      </c>
      <c r="Q894" s="12" t="e">
        <f>IF(O894="Guaraníes",P894,P894*#REF!)</f>
        <v>#REF!</v>
      </c>
      <c r="R894" s="12">
        <f>IF(O894="Guaraníes",P894/#REF!,P894)</f>
        <v>291.12</v>
      </c>
      <c r="S894" s="5" t="s">
        <v>52</v>
      </c>
      <c r="AC894" s="5" t="str">
        <f t="shared" si="43"/>
        <v>CDA</v>
      </c>
      <c r="AD894" s="5" t="s">
        <v>43</v>
      </c>
      <c r="AE894" s="5">
        <f t="shared" si="44"/>
        <v>10</v>
      </c>
      <c r="AF894" s="5">
        <f t="shared" si="45"/>
        <v>2024</v>
      </c>
    </row>
    <row r="895" s="5" customFormat="1" ht="13">
      <c r="A895" s="5" t="s">
        <v>44</v>
      </c>
      <c r="B895" s="5" t="s">
        <v>44</v>
      </c>
      <c r="C895" s="5" t="s">
        <v>33</v>
      </c>
      <c r="D895" s="5" t="s">
        <v>21</v>
      </c>
      <c r="E895" s="5" t="s">
        <v>44</v>
      </c>
      <c r="F895" s="5" t="s">
        <v>35</v>
      </c>
      <c r="G895" s="5" t="s">
        <v>69</v>
      </c>
      <c r="H895" s="9" t="s">
        <v>186</v>
      </c>
      <c r="I895" s="10"/>
      <c r="J895" s="10">
        <v>45546</v>
      </c>
      <c r="K895" s="5" t="s">
        <v>39</v>
      </c>
      <c r="L895" s="5" t="s">
        <v>50</v>
      </c>
      <c r="M895" s="11">
        <v>0.044999999999999998</v>
      </c>
      <c r="N895" s="5" t="e">
        <f>IF(AND(M895&gt;#REF!,Cartera!O2518="Guaraníes"),"Rendimiento significativo",IF(AND(M895&gt;#REF!,Cartera!O2518="Dólares americanos"),"Rendimiento significativo","Rendimiento no significativo"))</f>
        <v>#REF!</v>
      </c>
      <c r="O895" s="5" t="s">
        <v>51</v>
      </c>
      <c r="P895" s="13">
        <v>448.76711999999998</v>
      </c>
      <c r="Q895" s="12" t="e">
        <f>IF(O895="Guaraníes",P895,P895*#REF!)</f>
        <v>#REF!</v>
      </c>
      <c r="R895" s="12">
        <f>IF(O895="Guaraníes",P895/#REF!,P895)</f>
        <v>448.76711999999998</v>
      </c>
      <c r="S895" s="5" t="s">
        <v>52</v>
      </c>
      <c r="T895" s="5">
        <v>593</v>
      </c>
      <c r="W895" s="5" t="s">
        <v>65</v>
      </c>
      <c r="X895" s="5">
        <v>0</v>
      </c>
      <c r="Y895" s="5">
        <v>0</v>
      </c>
      <c r="Z895" s="5">
        <v>11.219177999999999</v>
      </c>
      <c r="AA895" s="5">
        <v>40</v>
      </c>
      <c r="AB895" s="5">
        <v>448.76711999999998</v>
      </c>
      <c r="AC895" s="5" t="str">
        <f t="shared" si="43"/>
        <v>Bonos</v>
      </c>
      <c r="AD895" s="5" t="s">
        <v>43</v>
      </c>
      <c r="AE895" s="5">
        <f t="shared" si="44"/>
        <v>9</v>
      </c>
      <c r="AF895" s="5">
        <f t="shared" si="45"/>
        <v>2024</v>
      </c>
    </row>
    <row r="896" s="5" customFormat="1" ht="13">
      <c r="A896" s="5" t="s">
        <v>44</v>
      </c>
      <c r="B896" s="5" t="s">
        <v>44</v>
      </c>
      <c r="C896" s="5" t="s">
        <v>33</v>
      </c>
      <c r="D896" s="5" t="s">
        <v>21</v>
      </c>
      <c r="E896" s="5" t="s">
        <v>44</v>
      </c>
      <c r="F896" s="5" t="s">
        <v>35</v>
      </c>
      <c r="G896" s="5" t="s">
        <v>75</v>
      </c>
      <c r="H896" s="9" t="s">
        <v>168</v>
      </c>
      <c r="I896" s="10"/>
      <c r="J896" s="10">
        <v>45601</v>
      </c>
      <c r="K896" s="5" t="s">
        <v>39</v>
      </c>
      <c r="L896" s="5" t="s">
        <v>50</v>
      </c>
      <c r="M896" s="11">
        <v>0.070000000000000007</v>
      </c>
      <c r="N896" s="5" t="e">
        <f>IF(AND(M896&gt;#REF!,Cartera!O895="Guaraníes"),"Rendimiento significativo",IF(AND(M896&gt;#REF!,Cartera!O895="Dólares americanos"),"Rendimiento significativo","Rendimiento no significativo"))</f>
        <v>#REF!</v>
      </c>
      <c r="O896" s="5" t="s">
        <v>51</v>
      </c>
      <c r="P896" s="13">
        <v>1221.6500000000001</v>
      </c>
      <c r="Q896" s="12" t="e">
        <f>IF(O896="Guaraníes",P896,P896*#REF!)</f>
        <v>#REF!</v>
      </c>
      <c r="R896" s="12">
        <f>IF(O896="Guaraníes",P896/#REF!,P896)</f>
        <v>1221.6500000000001</v>
      </c>
      <c r="S896" s="5" t="s">
        <v>52</v>
      </c>
      <c r="T896" s="5">
        <v>25</v>
      </c>
      <c r="W896" s="5" t="s">
        <v>65</v>
      </c>
      <c r="X896" s="5">
        <v>0</v>
      </c>
      <c r="Y896" s="5">
        <v>0</v>
      </c>
      <c r="Z896" s="5">
        <v>17.452055000000001</v>
      </c>
      <c r="AA896" s="5">
        <v>70</v>
      </c>
      <c r="AB896" s="5">
        <v>1221.6438499999999</v>
      </c>
      <c r="AC896" s="5" t="str">
        <f t="shared" ref="AC896:AC959" si="46">IF(ISNUMBER(SEARCH("Acciones",L896)),"Acciones",IF(ISNUMBER(SEARCH("Bono",L896)),"Bonos",IF(ISNUMBER(SEARCH("CDA",L896)),"CDA",IF(ISNUMBER(SEARCH("Fondo",L896)),"Fondo",0))))</f>
        <v>Bonos</v>
      </c>
      <c r="AD896" s="5" t="s">
        <v>43</v>
      </c>
      <c r="AE896" s="5">
        <f t="shared" si="44"/>
        <v>11</v>
      </c>
      <c r="AF896" s="5">
        <f t="shared" si="45"/>
        <v>2024</v>
      </c>
    </row>
    <row r="897" s="5" customFormat="1" ht="13">
      <c r="A897" s="5" t="s">
        <v>44</v>
      </c>
      <c r="B897" s="5" t="s">
        <v>44</v>
      </c>
      <c r="C897" s="5" t="s">
        <v>183</v>
      </c>
      <c r="D897" s="5" t="s">
        <v>21</v>
      </c>
      <c r="E897" s="5" t="s">
        <v>44</v>
      </c>
      <c r="F897" s="5" t="s">
        <v>184</v>
      </c>
      <c r="H897" s="9">
        <v>6389</v>
      </c>
      <c r="I897" s="10"/>
      <c r="J897" s="10">
        <v>45607</v>
      </c>
      <c r="K897" s="5" t="s">
        <v>124</v>
      </c>
      <c r="L897" s="5" t="s">
        <v>82</v>
      </c>
      <c r="M897" s="11">
        <v>0.079000000000000001</v>
      </c>
      <c r="N897" s="5" t="e">
        <f>IF(AND(M897&gt;#REF!,Cartera!O2939="Guaraníes"),"Rendimiento significativo",IF(AND(M897&gt;#REF!,Cartera!O2939="Dólares americanos"),"Rendimiento significativo","Rendimiento no significativo"))</f>
        <v>#REF!</v>
      </c>
      <c r="O897" s="5" t="s">
        <v>41</v>
      </c>
      <c r="P897" s="12">
        <v>10064460</v>
      </c>
      <c r="Q897" s="12">
        <f>IF(O897="Guaraníes",P897,P897*#REF!)</f>
        <v>10064460</v>
      </c>
      <c r="R897" s="12" t="e">
        <f>IF(O897="Guaraníes",P897/#REF!,P897)</f>
        <v>#REF!</v>
      </c>
      <c r="S897" s="5" t="s">
        <v>52</v>
      </c>
      <c r="V897" s="5">
        <v>10064460</v>
      </c>
      <c r="W897" s="5" t="s">
        <v>279</v>
      </c>
      <c r="AC897" s="5" t="str">
        <f t="shared" si="46"/>
        <v>CDA</v>
      </c>
      <c r="AD897" s="5" t="s">
        <v>43</v>
      </c>
      <c r="AE897" s="5">
        <f t="shared" si="44"/>
        <v>11</v>
      </c>
      <c r="AF897" s="5">
        <f t="shared" si="45"/>
        <v>2024</v>
      </c>
    </row>
    <row r="898" s="5" customFormat="1" ht="13">
      <c r="A898" s="5" t="s">
        <v>44</v>
      </c>
      <c r="B898" s="5" t="s">
        <v>44</v>
      </c>
      <c r="C898" s="5" t="s">
        <v>111</v>
      </c>
      <c r="D898" s="5" t="s">
        <v>21</v>
      </c>
      <c r="E898" s="5" t="s">
        <v>44</v>
      </c>
      <c r="F898" s="5" t="s">
        <v>68</v>
      </c>
      <c r="H898" s="9" t="s">
        <v>187</v>
      </c>
      <c r="I898" s="10">
        <v>45370</v>
      </c>
      <c r="J898" s="10">
        <v>45642</v>
      </c>
      <c r="K898" s="5" t="s">
        <v>140</v>
      </c>
      <c r="L898" s="5" t="s">
        <v>82</v>
      </c>
      <c r="M898" s="11">
        <v>0.086999999999999994</v>
      </c>
      <c r="N898" s="5" t="e">
        <f>IF(AND(M898&gt;#REF!,Cartera!O3554="Guaraníes"),"Rendimiento significativo",IF(AND(M898&gt;#REF!,Cartera!O3554="Dólares americanos"),"Rendimiento significativo","Rendimiento no significativo"))</f>
        <v>#REF!</v>
      </c>
      <c r="O898" s="5" t="s">
        <v>41</v>
      </c>
      <c r="P898" s="12">
        <v>6507123</v>
      </c>
      <c r="Q898" s="12">
        <f>IF(O898="Guaraníes",P898,P898*#REF!)</f>
        <v>6507123</v>
      </c>
      <c r="R898" s="12" t="e">
        <f>IF(O898="Guaraníes",P898/#REF!,P898)</f>
        <v>#REF!</v>
      </c>
      <c r="S898" s="5" t="s">
        <v>52</v>
      </c>
      <c r="AC898" s="5" t="str">
        <f t="shared" si="46"/>
        <v>CDA</v>
      </c>
      <c r="AD898" s="5" t="s">
        <v>43</v>
      </c>
      <c r="AE898" s="5">
        <f t="shared" si="44"/>
        <v>12</v>
      </c>
      <c r="AF898" s="5">
        <f t="shared" si="45"/>
        <v>2024</v>
      </c>
    </row>
    <row r="899" s="5" customFormat="1" ht="13">
      <c r="A899" s="5" t="s">
        <v>44</v>
      </c>
      <c r="B899" s="5" t="s">
        <v>44</v>
      </c>
      <c r="C899" s="5" t="s">
        <v>99</v>
      </c>
      <c r="D899" s="5" t="s">
        <v>21</v>
      </c>
      <c r="E899" s="5" t="s">
        <v>44</v>
      </c>
      <c r="F899" s="5" t="s">
        <v>100</v>
      </c>
      <c r="G899" s="5" t="s">
        <v>55</v>
      </c>
      <c r="H899" s="9" t="s">
        <v>101</v>
      </c>
      <c r="I899" s="10">
        <v>44691</v>
      </c>
      <c r="J899" s="10">
        <v>45646</v>
      </c>
      <c r="K899" s="5" t="s">
        <v>102</v>
      </c>
      <c r="L899" s="5" t="s">
        <v>102</v>
      </c>
      <c r="M899" s="11">
        <v>0.077499999999999999</v>
      </c>
      <c r="N899" s="5" t="e">
        <f>IF(AND(M899&gt;#REF!,Cartera!O31="Guaraníes"),"Rendimiento significativo",IF(AND(M899&gt;#REF!,Cartera!O31="Dólares americanos"),"Rendimiento significativo","Rendimiento no significativo"))</f>
        <v>#REF!</v>
      </c>
      <c r="O899" s="5" t="s">
        <v>41</v>
      </c>
      <c r="P899" s="12">
        <v>11625000</v>
      </c>
      <c r="Q899" s="12">
        <f>IF(O899="Guaraníes",P899,P899*#REF!)</f>
        <v>11625000</v>
      </c>
      <c r="R899" s="12" t="e">
        <f>IF(O899="Guaraníes",P899/#REF!,P899)</f>
        <v>#REF!</v>
      </c>
      <c r="S899" s="5" t="s">
        <v>52</v>
      </c>
      <c r="V899" s="5">
        <v>38750</v>
      </c>
      <c r="AA899" s="5">
        <v>300</v>
      </c>
      <c r="AC899" s="5" t="str">
        <f t="shared" si="46"/>
        <v>Bonos</v>
      </c>
      <c r="AD899" s="5" t="s">
        <v>43</v>
      </c>
      <c r="AE899" s="5">
        <f t="shared" si="44"/>
        <v>12</v>
      </c>
      <c r="AF899" s="5">
        <f t="shared" si="45"/>
        <v>2024</v>
      </c>
    </row>
    <row r="900" s="5" customFormat="1" ht="13">
      <c r="A900" s="5" t="s">
        <v>44</v>
      </c>
      <c r="B900" s="5" t="s">
        <v>44</v>
      </c>
      <c r="C900" s="5" t="s">
        <v>135</v>
      </c>
      <c r="D900" s="5" t="s">
        <v>21</v>
      </c>
      <c r="E900" s="5" t="s">
        <v>44</v>
      </c>
      <c r="F900" s="5" t="s">
        <v>68</v>
      </c>
      <c r="G900" s="5" t="s">
        <v>75</v>
      </c>
      <c r="H900" s="9" t="s">
        <v>265</v>
      </c>
      <c r="I900" s="10"/>
      <c r="J900" s="10">
        <v>45646</v>
      </c>
      <c r="K900" s="5" t="s">
        <v>124</v>
      </c>
      <c r="L900" s="5" t="s">
        <v>58</v>
      </c>
      <c r="M900" s="11">
        <v>0.054000000000000006</v>
      </c>
      <c r="N900" s="5" t="e">
        <f>IF(AND(M900&gt;#REF!,Cartera!O899="Guaraníes"),"Rendimiento significativo",IF(AND(M900&gt;#REF!,Cartera!O899="Dólares americanos"),"Rendimiento significativo","Rendimiento no significativo"))</f>
        <v>#REF!</v>
      </c>
      <c r="O900" s="5" t="s">
        <v>41</v>
      </c>
      <c r="P900" s="12">
        <v>338425</v>
      </c>
      <c r="Q900" s="12">
        <f>IF(O900="Guaraníes",P900,P900*#REF!)</f>
        <v>338425</v>
      </c>
      <c r="R900" s="12" t="e">
        <f>IF(O900="Guaraníes",P900/#REF!,P900)</f>
        <v>#REF!</v>
      </c>
      <c r="S900" s="5" t="s">
        <v>52</v>
      </c>
      <c r="T900" s="5">
        <v>25</v>
      </c>
      <c r="W900" s="5" t="s">
        <v>271</v>
      </c>
      <c r="X900" s="5">
        <v>12.5</v>
      </c>
      <c r="Y900" s="5">
        <v>125000</v>
      </c>
      <c r="Z900" s="5">
        <v>131768.493151</v>
      </c>
      <c r="AA900" s="5">
        <v>50</v>
      </c>
      <c r="AB900" s="5">
        <v>6588424.6575499997</v>
      </c>
      <c r="AC900" s="5" t="str">
        <f t="shared" si="46"/>
        <v>Bonos</v>
      </c>
      <c r="AD900" s="5" t="s">
        <v>43</v>
      </c>
      <c r="AE900" s="5">
        <f t="shared" si="44"/>
        <v>12</v>
      </c>
      <c r="AF900" s="5">
        <f t="shared" si="45"/>
        <v>2024</v>
      </c>
    </row>
    <row r="901" s="5" customFormat="1" ht="13">
      <c r="A901" s="5">
        <v>12316</v>
      </c>
      <c r="B901" s="5" t="s">
        <v>78</v>
      </c>
      <c r="C901" s="5" t="s">
        <v>135</v>
      </c>
      <c r="D901" s="5" t="s">
        <v>21</v>
      </c>
      <c r="E901" s="5" t="s">
        <v>34</v>
      </c>
      <c r="F901" s="5" t="s">
        <v>68</v>
      </c>
      <c r="G901" s="5" t="s">
        <v>75</v>
      </c>
      <c r="H901" s="9" t="s">
        <v>136</v>
      </c>
      <c r="I901" s="10"/>
      <c r="J901" s="10">
        <v>45824</v>
      </c>
      <c r="K901" s="5" t="s">
        <v>124</v>
      </c>
      <c r="L901" s="5" t="s">
        <v>58</v>
      </c>
      <c r="M901" s="11">
        <v>0.060999999999999999</v>
      </c>
      <c r="N901" s="5" t="e">
        <f>IF(AND(M901&gt;#REF!,Cartera!O914="Guaraníes"),"Rendimiento significativo",IF(AND(M901&gt;#REF!,Cartera!O914="Dólares americanos"),"Rendimiento significativo","Rendimiento no significativo"))</f>
        <v>#REF!</v>
      </c>
      <c r="O901" s="5" t="s">
        <v>41</v>
      </c>
      <c r="P901" s="12">
        <v>869041</v>
      </c>
      <c r="Q901" s="12">
        <f>IF(O901="Guaraníes",P901,P901*#REF!)</f>
        <v>869041</v>
      </c>
      <c r="R901" s="12" t="e">
        <f>IF(O901="Guaraníes",P901/#REF!,P901)</f>
        <v>#REF!</v>
      </c>
      <c r="S901" s="5" t="s">
        <v>42</v>
      </c>
      <c r="T901" s="5">
        <v>25</v>
      </c>
      <c r="U901" s="5">
        <v>228571428.51999998</v>
      </c>
      <c r="V901" s="5">
        <v>-154486381.91808999</v>
      </c>
      <c r="W901" s="5" t="s">
        <v>137</v>
      </c>
      <c r="X901" s="5">
        <v>14.285714260000001</v>
      </c>
      <c r="Y901" s="5">
        <v>142857.14259999999</v>
      </c>
      <c r="Z901" s="5">
        <v>147202.34807199999</v>
      </c>
      <c r="AA901" s="5">
        <v>200</v>
      </c>
      <c r="AB901" s="5">
        <v>29440469.614399999</v>
      </c>
      <c r="AC901" s="5" t="str">
        <f t="shared" si="46"/>
        <v>Bonos</v>
      </c>
      <c r="AD901" s="5" t="s">
        <v>43</v>
      </c>
      <c r="AE901" s="5">
        <f t="shared" si="44"/>
        <v>6</v>
      </c>
      <c r="AF901" s="5">
        <f t="shared" si="45"/>
        <v>2025</v>
      </c>
    </row>
    <row r="902" s="5" customFormat="1" ht="13">
      <c r="A902" s="5">
        <v>12316</v>
      </c>
      <c r="B902" s="5" t="s">
        <v>78</v>
      </c>
      <c r="C902" s="5" t="s">
        <v>160</v>
      </c>
      <c r="D902" s="5" t="s">
        <v>21</v>
      </c>
      <c r="E902" s="5" t="s">
        <v>34</v>
      </c>
      <c r="F902" s="5" t="s">
        <v>68</v>
      </c>
      <c r="G902" s="5" t="s">
        <v>91</v>
      </c>
      <c r="H902" s="9" t="s">
        <v>161</v>
      </c>
      <c r="I902" s="10">
        <v>44581</v>
      </c>
      <c r="J902" s="10">
        <v>45824</v>
      </c>
      <c r="K902" s="5" t="s">
        <v>162</v>
      </c>
      <c r="L902" s="5" t="s">
        <v>58</v>
      </c>
      <c r="M902" s="11">
        <v>0.086999999999999994</v>
      </c>
      <c r="N902" s="5" t="e">
        <f>IF(AND(M902&gt;#REF!,Cartera!O3138="Guaraníes"),"Rendimiento significativo",IF(AND(M902&gt;#REF!,Cartera!O3138="Dólares americanos"),"Rendimiento significativo","Rendimiento no significativo"))</f>
        <v>#REF!</v>
      </c>
      <c r="O902" s="5" t="s">
        <v>41</v>
      </c>
      <c r="P902" s="12">
        <v>17352328.767200001</v>
      </c>
      <c r="Q902" s="12">
        <f>IF(O902="Guaraníes",P902,P902*#REF!)</f>
        <v>17352328.767200001</v>
      </c>
      <c r="R902" s="12" t="e">
        <f>IF(O902="Guaraníes",P902/#REF!,P902)</f>
        <v>#REF!</v>
      </c>
      <c r="S902" s="5" t="s">
        <v>42</v>
      </c>
      <c r="AC902" s="5" t="str">
        <f t="shared" si="46"/>
        <v>Bonos</v>
      </c>
      <c r="AD902" s="5" t="s">
        <v>43</v>
      </c>
      <c r="AE902" s="5">
        <f t="shared" si="44"/>
        <v>6</v>
      </c>
      <c r="AF902" s="5">
        <f t="shared" si="45"/>
        <v>2025</v>
      </c>
    </row>
    <row r="903" s="5" customFormat="1" ht="13">
      <c r="A903" s="5">
        <v>12316</v>
      </c>
      <c r="B903" s="5" t="s">
        <v>78</v>
      </c>
      <c r="C903" s="5" t="s">
        <v>122</v>
      </c>
      <c r="D903" s="5" t="s">
        <v>21</v>
      </c>
      <c r="E903" s="5" t="s">
        <v>34</v>
      </c>
      <c r="F903" s="5" t="s">
        <v>61</v>
      </c>
      <c r="G903" s="5" t="s">
        <v>62</v>
      </c>
      <c r="H903" s="9" t="s">
        <v>128</v>
      </c>
      <c r="I903" s="10"/>
      <c r="J903" s="10">
        <v>45827</v>
      </c>
      <c r="K903" s="5" t="s">
        <v>124</v>
      </c>
      <c r="L903" s="5" t="s">
        <v>50</v>
      </c>
      <c r="M903" s="11">
        <v>0.14499999999999999</v>
      </c>
      <c r="N903" s="5" t="e">
        <f>IF(AND(M903&gt;#REF!,Cartera!O3117="Guaraníes"),"Rendimiento significativo",IF(AND(M903&gt;#REF!,Cartera!O3117="Dólares americanos"),"Rendimiento significativo","Rendimiento no significativo"))</f>
        <v>#REF!</v>
      </c>
      <c r="O903" s="5" t="s">
        <v>41</v>
      </c>
      <c r="P903" s="12">
        <v>7071233</v>
      </c>
      <c r="Q903" s="12">
        <f>IF(O903="Guaraníes",P903,P903*#REF!)</f>
        <v>7071233</v>
      </c>
      <c r="R903" s="12" t="e">
        <f>IF(O903="Guaraníes",P903/#REF!,P903)</f>
        <v>#REF!</v>
      </c>
      <c r="S903" s="5" t="s">
        <v>42</v>
      </c>
      <c r="T903" s="5">
        <v>8</v>
      </c>
      <c r="AC903" s="5" t="str">
        <f t="shared" si="46"/>
        <v>Bonos</v>
      </c>
      <c r="AD903" s="5" t="s">
        <v>43</v>
      </c>
      <c r="AE903" s="5">
        <f t="shared" si="44"/>
        <v>6</v>
      </c>
      <c r="AF903" s="5">
        <f t="shared" si="45"/>
        <v>2025</v>
      </c>
    </row>
    <row r="904" s="5" customFormat="1" ht="13">
      <c r="A904" s="5">
        <v>12316</v>
      </c>
      <c r="B904" s="5" t="s">
        <v>78</v>
      </c>
      <c r="C904" s="5" t="s">
        <v>135</v>
      </c>
      <c r="D904" s="5" t="s">
        <v>21</v>
      </c>
      <c r="E904" s="5" t="s">
        <v>34</v>
      </c>
      <c r="F904" s="5" t="s">
        <v>68</v>
      </c>
      <c r="G904" s="5" t="s">
        <v>75</v>
      </c>
      <c r="H904" s="9" t="s">
        <v>265</v>
      </c>
      <c r="I904" s="10"/>
      <c r="J904" s="10">
        <v>45828</v>
      </c>
      <c r="K904" s="5" t="s">
        <v>124</v>
      </c>
      <c r="L904" s="5" t="s">
        <v>58</v>
      </c>
      <c r="M904" s="11">
        <v>0.054000000000000006</v>
      </c>
      <c r="N904" s="5" t="e">
        <f>IF(AND(M904&gt;#REF!,Cartera!O916="Guaraníes"),"Rendimiento significativo",IF(AND(M904&gt;#REF!,Cartera!O916="Dólares americanos"),"Rendimiento significativo","Rendimiento no significativo"))</f>
        <v>#REF!</v>
      </c>
      <c r="O904" s="5" t="s">
        <v>41</v>
      </c>
      <c r="P904" s="12">
        <v>168288</v>
      </c>
      <c r="Q904" s="12">
        <f>IF(O904="Guaraníes",P904,P904*#REF!)</f>
        <v>168288</v>
      </c>
      <c r="R904" s="12" t="e">
        <f>IF(O904="Guaraníes",P904/#REF!,P904)</f>
        <v>#REF!</v>
      </c>
      <c r="S904" s="5" t="s">
        <v>42</v>
      </c>
      <c r="T904" s="5">
        <v>25</v>
      </c>
      <c r="U904" s="5">
        <v>63392857.129999995</v>
      </c>
      <c r="V904" s="5">
        <v>12622403.580310002</v>
      </c>
      <c r="W904" s="5" t="s">
        <v>137</v>
      </c>
      <c r="X904" s="5">
        <v>12.5</v>
      </c>
      <c r="Y904" s="5">
        <v>125000</v>
      </c>
      <c r="Z904" s="5">
        <v>128365.753425</v>
      </c>
      <c r="AA904" s="5">
        <v>50</v>
      </c>
      <c r="AB904" s="5">
        <v>6418287.6712499997</v>
      </c>
      <c r="AC904" s="5" t="str">
        <f t="shared" si="46"/>
        <v>Bonos</v>
      </c>
      <c r="AD904" s="5" t="s">
        <v>43</v>
      </c>
      <c r="AE904" s="5">
        <f t="shared" si="44"/>
        <v>6</v>
      </c>
      <c r="AF904" s="5">
        <f t="shared" si="45"/>
        <v>2025</v>
      </c>
    </row>
    <row r="905" s="5" customFormat="1" ht="13">
      <c r="A905" s="5">
        <v>12316</v>
      </c>
      <c r="B905" s="5" t="s">
        <v>78</v>
      </c>
      <c r="C905" s="5" t="s">
        <v>189</v>
      </c>
      <c r="D905" s="5" t="s">
        <v>21</v>
      </c>
      <c r="E905" s="5" t="s">
        <v>34</v>
      </c>
      <c r="F905" s="5" t="s">
        <v>190</v>
      </c>
      <c r="G905" s="5" t="s">
        <v>141</v>
      </c>
      <c r="H905" s="9" t="s">
        <v>191</v>
      </c>
      <c r="I905" s="10"/>
      <c r="J905" s="10">
        <v>45828</v>
      </c>
      <c r="K905" s="5" t="s">
        <v>77</v>
      </c>
      <c r="L905" s="5" t="s">
        <v>58</v>
      </c>
      <c r="M905" s="11">
        <v>0.089999999999999997</v>
      </c>
      <c r="N905" s="5" t="e">
        <f>IF(AND(M905&gt;#REF!,Cartera!O2099="Guaraníes"),"Rendimiento significativo",IF(AND(M905&gt;#REF!,Cartera!O2099="Dólares americanos"),"Rendimiento significativo","Rendimiento no significativo"))</f>
        <v>#REF!</v>
      </c>
      <c r="O905" s="5" t="s">
        <v>41</v>
      </c>
      <c r="P905" s="12">
        <v>6731506.8480000002</v>
      </c>
      <c r="Q905" s="12">
        <f>IF(O905="Guaraníes",P905,P905*#REF!)</f>
        <v>6731506.8480000002</v>
      </c>
      <c r="R905" s="12" t="e">
        <f>IF(O905="Guaraníes",P905/#REF!,P905)</f>
        <v>#REF!</v>
      </c>
      <c r="S905" s="5" t="s">
        <v>42</v>
      </c>
      <c r="T905" s="5">
        <v>9243</v>
      </c>
      <c r="W905" s="5" t="s">
        <v>65</v>
      </c>
      <c r="X905" s="5">
        <v>0</v>
      </c>
      <c r="Y905" s="5">
        <v>0</v>
      </c>
      <c r="Z905" s="5">
        <v>22438.356159999999</v>
      </c>
      <c r="AA905" s="5">
        <v>300</v>
      </c>
      <c r="AB905" s="5">
        <v>6731506.8490000004</v>
      </c>
      <c r="AC905" s="5" t="str">
        <f t="shared" si="46"/>
        <v>Bonos</v>
      </c>
      <c r="AD905" s="5" t="s">
        <v>43</v>
      </c>
      <c r="AE905" s="5">
        <f t="shared" si="44"/>
        <v>6</v>
      </c>
      <c r="AF905" s="5">
        <f t="shared" si="45"/>
        <v>2025</v>
      </c>
    </row>
    <row r="906" s="5" customFormat="1" ht="13">
      <c r="A906" s="5">
        <v>12316</v>
      </c>
      <c r="B906" s="5" t="s">
        <v>78</v>
      </c>
      <c r="C906" s="5" t="s">
        <v>99</v>
      </c>
      <c r="D906" s="5" t="s">
        <v>21</v>
      </c>
      <c r="E906" s="5" t="s">
        <v>34</v>
      </c>
      <c r="F906" s="5" t="s">
        <v>100</v>
      </c>
      <c r="G906" s="5" t="s">
        <v>55</v>
      </c>
      <c r="H906" s="9" t="s">
        <v>101</v>
      </c>
      <c r="I906" s="10">
        <v>44691</v>
      </c>
      <c r="J906" s="10">
        <v>45828</v>
      </c>
      <c r="K906" s="5" t="s">
        <v>102</v>
      </c>
      <c r="L906" s="5" t="s">
        <v>102</v>
      </c>
      <c r="M906" s="11">
        <v>0.077499999999999999</v>
      </c>
      <c r="N906" s="5" t="e">
        <f>IF(AND(M906&gt;#REF!,Cartera!O3158="Guaraníes"),"Rendimiento significativo",IF(AND(M906&gt;#REF!,Cartera!O3158="Dólares americanos"),"Rendimiento significativo","Rendimiento no significativo"))</f>
        <v>#REF!</v>
      </c>
      <c r="O906" s="5" t="s">
        <v>41</v>
      </c>
      <c r="P906" s="12">
        <v>11625000</v>
      </c>
      <c r="Q906" s="12">
        <f>IF(O906="Guaraníes",P906,P906*#REF!)</f>
        <v>11625000</v>
      </c>
      <c r="R906" s="12" t="e">
        <f>IF(O906="Guaraníes",P906/#REF!,P906)</f>
        <v>#REF!</v>
      </c>
      <c r="S906" s="5" t="s">
        <v>42</v>
      </c>
      <c r="V906" s="5">
        <v>38750</v>
      </c>
      <c r="AC906" s="5" t="str">
        <f t="shared" si="46"/>
        <v>Bonos</v>
      </c>
      <c r="AD906" s="5" t="s">
        <v>43</v>
      </c>
      <c r="AE906" s="5">
        <f t="shared" si="44"/>
        <v>6</v>
      </c>
      <c r="AF906" s="5">
        <f t="shared" si="45"/>
        <v>2025</v>
      </c>
    </row>
    <row r="907" s="5" customFormat="1" ht="13">
      <c r="A907" s="5">
        <v>12316</v>
      </c>
      <c r="B907" s="5" t="s">
        <v>78</v>
      </c>
      <c r="C907" s="5" t="s">
        <v>99</v>
      </c>
      <c r="D907" s="5" t="s">
        <v>21</v>
      </c>
      <c r="E907" s="5" t="s">
        <v>34</v>
      </c>
      <c r="F907" s="5" t="s">
        <v>100</v>
      </c>
      <c r="G907" s="5" t="s">
        <v>47</v>
      </c>
      <c r="H907" s="9" t="s">
        <v>101</v>
      </c>
      <c r="I907" s="10"/>
      <c r="J907" s="10">
        <v>45828</v>
      </c>
      <c r="K907" s="5" t="s">
        <v>102</v>
      </c>
      <c r="L907" s="5" t="s">
        <v>102</v>
      </c>
      <c r="M907" s="11">
        <v>0.079000000000000001</v>
      </c>
      <c r="N907" s="5" t="e">
        <f>IF(AND(M907&gt;#REF!,Cartera!O3160="Guaraníes"),"Rendimiento significativo",IF(AND(M907&gt;#REF!,Cartera!O3160="Dólares americanos"),"Rendimiento significativo","Rendimiento no significativo"))</f>
        <v>#REF!</v>
      </c>
      <c r="O907" s="5" t="s">
        <v>41</v>
      </c>
      <c r="P907" s="12">
        <v>1937500</v>
      </c>
      <c r="Q907" s="12">
        <f>IF(O907="Guaraníes",P907,P907*#REF!)</f>
        <v>1937500</v>
      </c>
      <c r="R907" s="12" t="e">
        <f>IF(O907="Guaraníes",P907/#REF!,P907)</f>
        <v>#REF!</v>
      </c>
      <c r="S907" s="5" t="s">
        <v>42</v>
      </c>
      <c r="T907" s="5">
        <v>4</v>
      </c>
      <c r="AC907" s="5" t="str">
        <f t="shared" si="46"/>
        <v>Bonos</v>
      </c>
      <c r="AD907" s="5" t="s">
        <v>43</v>
      </c>
      <c r="AE907" s="5">
        <f t="shared" si="44"/>
        <v>6</v>
      </c>
      <c r="AF907" s="5">
        <f t="shared" si="45"/>
        <v>2025</v>
      </c>
    </row>
    <row r="908" s="5" customFormat="1" ht="13">
      <c r="A908" s="5">
        <v>12316</v>
      </c>
      <c r="B908" s="5" t="s">
        <v>78</v>
      </c>
      <c r="C908" s="5" t="s">
        <v>54</v>
      </c>
      <c r="D908" s="5" t="s">
        <v>21</v>
      </c>
      <c r="E908" s="5" t="s">
        <v>34</v>
      </c>
      <c r="F908" s="5" t="s">
        <v>46</v>
      </c>
      <c r="G908" s="5" t="s">
        <v>86</v>
      </c>
      <c r="H908" s="9" t="s">
        <v>147</v>
      </c>
      <c r="I908" s="10"/>
      <c r="J908" s="10">
        <v>45831</v>
      </c>
      <c r="K908" s="5" t="s">
        <v>57</v>
      </c>
      <c r="L908" s="5" t="s">
        <v>58</v>
      </c>
      <c r="M908" s="11">
        <v>0.12</v>
      </c>
      <c r="N908" s="5" t="e">
        <f>IF(AND(M908&gt;#REF!,Cartera!O216="Guaraníes"),"Rendimiento significativo",IF(AND(M908&gt;#REF!,Cartera!O216="Dólares americanos"),"Rendimiento significativo","Rendimiento no significativo"))</f>
        <v>#REF!</v>
      </c>
      <c r="O908" s="5" t="s">
        <v>41</v>
      </c>
      <c r="P908" s="12">
        <v>2991780.8218999999</v>
      </c>
      <c r="Q908" s="12">
        <f>IF(O908="Guaraníes",P908,P908*#REF!)</f>
        <v>2991780.8218999999</v>
      </c>
      <c r="R908" s="12" t="e">
        <f>IF(O908="Guaraníes",P908/#REF!,P908)</f>
        <v>#REF!</v>
      </c>
      <c r="S908" s="5" t="s">
        <v>42</v>
      </c>
      <c r="T908" s="5">
        <v>10834</v>
      </c>
      <c r="W908" s="5" t="s">
        <v>65</v>
      </c>
      <c r="X908" s="5">
        <v>0</v>
      </c>
      <c r="Y908" s="5">
        <v>0</v>
      </c>
      <c r="Z908" s="5">
        <v>29917.808218999999</v>
      </c>
      <c r="AA908" s="5">
        <v>100</v>
      </c>
      <c r="AB908" s="5">
        <v>2991780.8218999999</v>
      </c>
      <c r="AC908" s="5" t="str">
        <f t="shared" si="46"/>
        <v>Bonos</v>
      </c>
      <c r="AD908" s="5" t="s">
        <v>43</v>
      </c>
      <c r="AE908" s="5">
        <f t="shared" si="44"/>
        <v>6</v>
      </c>
      <c r="AF908" s="5">
        <f t="shared" si="45"/>
        <v>2025</v>
      </c>
    </row>
    <row r="909" s="5" customFormat="1" ht="13">
      <c r="A909" s="5">
        <v>12301</v>
      </c>
      <c r="B909" s="5" t="s">
        <v>107</v>
      </c>
      <c r="C909" s="5" t="s">
        <v>114</v>
      </c>
      <c r="D909" s="5" t="s">
        <v>20</v>
      </c>
      <c r="E909" s="5" t="s">
        <v>34</v>
      </c>
      <c r="F909" s="5" t="s">
        <v>68</v>
      </c>
      <c r="G909" s="5" t="s">
        <v>75</v>
      </c>
      <c r="H909" s="9" t="s">
        <v>115</v>
      </c>
      <c r="I909" s="10">
        <v>42132</v>
      </c>
      <c r="J909" s="10">
        <v>45771</v>
      </c>
      <c r="K909" s="5" t="s">
        <v>77</v>
      </c>
      <c r="L909" s="5" t="s">
        <v>50</v>
      </c>
      <c r="M909" s="11">
        <v>0.125</v>
      </c>
      <c r="N909" s="5" t="e">
        <f>IF(AND(M909&gt;#REF!,Cartera!O909="Guaraníes"),"Rendimiento significativo",IF(AND(M909&gt;#REF!,Cartera!O909="Dólares americanos"),"Rendimiento significativo","Rendimiento no significativo"))</f>
        <v>#REF!</v>
      </c>
      <c r="O909" s="5" t="s">
        <v>41</v>
      </c>
      <c r="P909" s="12">
        <v>30000000</v>
      </c>
      <c r="Q909" s="12">
        <f>IF(O909="Guaraníes",P909,P909*#REF!)</f>
        <v>30000000</v>
      </c>
      <c r="R909" s="12" t="e">
        <f>IF(O909="Guaraníes",P909/#REF!,P909)</f>
        <v>#REF!</v>
      </c>
      <c r="S909" s="5" t="s">
        <v>42</v>
      </c>
      <c r="AC909" s="5" t="str">
        <f t="shared" si="46"/>
        <v>Bonos</v>
      </c>
      <c r="AD909" s="5" t="s">
        <v>43</v>
      </c>
      <c r="AE909" s="5">
        <f t="shared" si="44"/>
        <v>4</v>
      </c>
      <c r="AF909" s="5">
        <f t="shared" si="45"/>
        <v>2025</v>
      </c>
    </row>
    <row r="910" s="5" customFormat="1" ht="13">
      <c r="A910" s="5">
        <v>12316</v>
      </c>
      <c r="B910" s="5" t="s">
        <v>78</v>
      </c>
      <c r="C910" s="5" t="s">
        <v>54</v>
      </c>
      <c r="D910" s="5" t="s">
        <v>21</v>
      </c>
      <c r="E910" s="5" t="s">
        <v>34</v>
      </c>
      <c r="F910" s="5" t="s">
        <v>46</v>
      </c>
      <c r="G910" s="5" t="s">
        <v>86</v>
      </c>
      <c r="H910" s="9" t="s">
        <v>148</v>
      </c>
      <c r="I910" s="10"/>
      <c r="J910" s="10">
        <v>45831</v>
      </c>
      <c r="K910" s="5" t="s">
        <v>57</v>
      </c>
      <c r="L910" s="5" t="s">
        <v>58</v>
      </c>
      <c r="M910" s="11">
        <v>0.097500000000000003</v>
      </c>
      <c r="N910" s="5" t="e">
        <f>IF(AND(M910&gt;#REF!,Cartera!O217="Guaraníes"),"Rendimiento significativo",IF(AND(M910&gt;#REF!,Cartera!O217="Dólares americanos"),"Rendimiento significativo","Rendimiento no significativo"))</f>
        <v>#REF!</v>
      </c>
      <c r="O910" s="5" t="s">
        <v>41</v>
      </c>
      <c r="P910" s="12">
        <v>12154109.589</v>
      </c>
      <c r="Q910" s="12">
        <f>IF(O910="Guaraníes",P910,P910*#REF!)</f>
        <v>12154109.589</v>
      </c>
      <c r="R910" s="12" t="e">
        <f>IF(O910="Guaraníes",P910/#REF!,P910)</f>
        <v>#REF!</v>
      </c>
      <c r="S910" s="5" t="s">
        <v>42</v>
      </c>
      <c r="T910" s="5">
        <v>10834</v>
      </c>
      <c r="W910" s="5" t="s">
        <v>65</v>
      </c>
      <c r="X910" s="5">
        <v>0</v>
      </c>
      <c r="Y910" s="5">
        <v>0</v>
      </c>
      <c r="Z910" s="5">
        <v>24308.219177999999</v>
      </c>
      <c r="AA910" s="5">
        <v>500</v>
      </c>
      <c r="AB910" s="5">
        <v>12154109.589</v>
      </c>
      <c r="AC910" s="5" t="str">
        <f t="shared" si="46"/>
        <v>Bonos</v>
      </c>
      <c r="AD910" s="5" t="s">
        <v>43</v>
      </c>
      <c r="AE910" s="5">
        <f t="shared" si="44"/>
        <v>6</v>
      </c>
      <c r="AF910" s="5">
        <f t="shared" si="45"/>
        <v>2025</v>
      </c>
    </row>
    <row r="911" s="5" customFormat="1" ht="13">
      <c r="A911" s="5">
        <v>12316</v>
      </c>
      <c r="B911" s="5" t="s">
        <v>78</v>
      </c>
      <c r="C911" s="5" t="s">
        <v>54</v>
      </c>
      <c r="D911" s="5" t="s">
        <v>21</v>
      </c>
      <c r="E911" s="5" t="s">
        <v>34</v>
      </c>
      <c r="F911" s="5" t="s">
        <v>46</v>
      </c>
      <c r="G911" s="5" t="s">
        <v>75</v>
      </c>
      <c r="H911" s="9" t="s">
        <v>147</v>
      </c>
      <c r="I911" s="10"/>
      <c r="J911" s="10">
        <v>45831</v>
      </c>
      <c r="K911" s="5" t="s">
        <v>57</v>
      </c>
      <c r="L911" s="5" t="s">
        <v>58</v>
      </c>
      <c r="M911" s="11">
        <v>0.12</v>
      </c>
      <c r="N911" s="5" t="e">
        <f>IF(AND(M911&gt;#REF!,Cartera!O918="Guaraníes"),"Rendimiento significativo",IF(AND(M911&gt;#REF!,Cartera!O918="Dólares americanos"),"Rendimiento significativo","Rendimiento no significativo"))</f>
        <v>#REF!</v>
      </c>
      <c r="O911" s="5" t="s">
        <v>41</v>
      </c>
      <c r="P911" s="12">
        <v>4487671.2328500003</v>
      </c>
      <c r="Q911" s="12">
        <f>IF(O911="Guaraníes",P911,P911*#REF!)</f>
        <v>4487671.2328500003</v>
      </c>
      <c r="R911" s="12" t="e">
        <f>IF(O911="Guaraníes",P911/#REF!,P911)</f>
        <v>#REF!</v>
      </c>
      <c r="S911" s="5" t="s">
        <v>42</v>
      </c>
      <c r="T911" s="5">
        <v>25</v>
      </c>
      <c r="W911" s="5" t="s">
        <v>192</v>
      </c>
      <c r="X911" s="5">
        <v>0</v>
      </c>
      <c r="Y911" s="5">
        <v>0</v>
      </c>
      <c r="Z911" s="5">
        <v>29917.808218999999</v>
      </c>
      <c r="AA911" s="5">
        <v>150</v>
      </c>
      <c r="AB911" s="5">
        <v>4487671.2328500003</v>
      </c>
      <c r="AC911" s="5" t="str">
        <f t="shared" si="46"/>
        <v>Bonos</v>
      </c>
      <c r="AD911" s="5" t="s">
        <v>43</v>
      </c>
      <c r="AE911" s="5">
        <f t="shared" si="44"/>
        <v>6</v>
      </c>
      <c r="AF911" s="5">
        <f t="shared" si="45"/>
        <v>2025</v>
      </c>
    </row>
    <row r="912" s="5" customFormat="1" ht="13">
      <c r="A912" s="5">
        <v>12316</v>
      </c>
      <c r="B912" s="5" t="s">
        <v>78</v>
      </c>
      <c r="C912" s="5" t="s">
        <v>138</v>
      </c>
      <c r="D912" s="5" t="s">
        <v>21</v>
      </c>
      <c r="E912" s="5" t="s">
        <v>34</v>
      </c>
      <c r="F912" s="5" t="s">
        <v>68</v>
      </c>
      <c r="G912" s="5" t="s">
        <v>86</v>
      </c>
      <c r="H912" s="9" t="s">
        <v>193</v>
      </c>
      <c r="I912" s="10">
        <v>44104</v>
      </c>
      <c r="J912" s="10">
        <v>45832</v>
      </c>
      <c r="K912" s="5" t="s">
        <v>140</v>
      </c>
      <c r="L912" s="5" t="s">
        <v>58</v>
      </c>
      <c r="M912" s="11">
        <v>0.10000000000000001</v>
      </c>
      <c r="N912" s="5" t="e">
        <f>IF(AND(M912&gt;#REF!,Cartera!O3435="Guaraníes"),"Rendimiento significativo",IF(AND(M912&gt;#REF!,Cartera!O3435="Dólares americanos"),"Rendimiento significativo","Rendimiento no significativo"))</f>
        <v>#REF!</v>
      </c>
      <c r="O912" s="5" t="s">
        <v>41</v>
      </c>
      <c r="P912" s="12">
        <v>2493150.6849000002</v>
      </c>
      <c r="Q912" s="12">
        <f>IF(O912="Guaraníes",P912,P912*#REF!)</f>
        <v>2493150.6849000002</v>
      </c>
      <c r="R912" s="12" t="e">
        <f>IF(O912="Guaraníes",P912/#REF!,P912)</f>
        <v>#REF!</v>
      </c>
      <c r="S912" s="5" t="s">
        <v>42</v>
      </c>
      <c r="AC912" s="5" t="str">
        <f t="shared" si="46"/>
        <v>Bonos</v>
      </c>
      <c r="AD912" s="5" t="s">
        <v>43</v>
      </c>
      <c r="AE912" s="5">
        <f t="shared" si="44"/>
        <v>6</v>
      </c>
      <c r="AF912" s="5">
        <f t="shared" si="45"/>
        <v>2025</v>
      </c>
    </row>
    <row r="913" s="5" customFormat="1" ht="13">
      <c r="A913" s="5">
        <v>12316</v>
      </c>
      <c r="B913" s="5" t="s">
        <v>78</v>
      </c>
      <c r="C913" s="5" t="s">
        <v>33</v>
      </c>
      <c r="D913" s="5" t="s">
        <v>21</v>
      </c>
      <c r="E913" s="5" t="s">
        <v>34</v>
      </c>
      <c r="F913" s="5" t="s">
        <v>35</v>
      </c>
      <c r="G913" s="5" t="s">
        <v>141</v>
      </c>
      <c r="H913" s="9" t="s">
        <v>214</v>
      </c>
      <c r="I913" s="10">
        <v>45015</v>
      </c>
      <c r="J913" s="10">
        <v>45834</v>
      </c>
      <c r="K913" s="5" t="s">
        <v>39</v>
      </c>
      <c r="L913" s="5" t="s">
        <v>106</v>
      </c>
      <c r="M913" s="11">
        <v>0.092700000000000005</v>
      </c>
      <c r="N913" s="5" t="e">
        <f>IF(AND(M913&gt;#REF!,Cartera!O3094="Guaraníes"),"Rendimiento significativo",IF(AND(M913&gt;#REF!,Cartera!O3094="Dólares americanos"),"Rendimiento significativo","Rendimiento no significativo"))</f>
        <v>#REF!</v>
      </c>
      <c r="O913" s="5" t="s">
        <v>41</v>
      </c>
      <c r="P913" s="12">
        <v>6933452.0547000002</v>
      </c>
      <c r="Q913" s="12">
        <f>IF(O913="Guaraníes",P913,P913*#REF!)</f>
        <v>6933452.0547000002</v>
      </c>
      <c r="R913" s="12" t="e">
        <f>IF(O913="Guaraníes",P913/#REF!,P913)</f>
        <v>#REF!</v>
      </c>
      <c r="S913" s="5" t="s">
        <v>42</v>
      </c>
      <c r="AC913" s="5" t="str">
        <f t="shared" si="46"/>
        <v>Bonos</v>
      </c>
      <c r="AD913" s="5" t="s">
        <v>43</v>
      </c>
      <c r="AE913" s="5">
        <f t="shared" si="44"/>
        <v>6</v>
      </c>
      <c r="AF913" s="5">
        <f t="shared" si="45"/>
        <v>2025</v>
      </c>
    </row>
    <row r="914" s="5" customFormat="1" ht="13">
      <c r="A914" s="5">
        <v>12316</v>
      </c>
      <c r="B914" s="5" t="s">
        <v>78</v>
      </c>
      <c r="C914" s="5" t="s">
        <v>183</v>
      </c>
      <c r="D914" s="5" t="s">
        <v>21</v>
      </c>
      <c r="E914" s="5" t="s">
        <v>34</v>
      </c>
      <c r="H914" s="9" t="s">
        <v>210</v>
      </c>
      <c r="I914" s="10">
        <v>45562</v>
      </c>
      <c r="J914" s="10">
        <v>45834</v>
      </c>
      <c r="L914" s="11" t="s">
        <v>82</v>
      </c>
      <c r="M914" s="11">
        <v>0.053800000000000001</v>
      </c>
      <c r="N914" s="11"/>
      <c r="O914" s="5" t="s">
        <v>41</v>
      </c>
      <c r="P914" s="13">
        <v>2712068</v>
      </c>
      <c r="Q914" s="12">
        <f>IF(O914="Guaraníes",P914,P914*#REF!)</f>
        <v>2712068</v>
      </c>
      <c r="R914" s="13">
        <v>348.15183763591318</v>
      </c>
      <c r="S914" s="5" t="s">
        <v>42</v>
      </c>
      <c r="AC914" s="5" t="str">
        <f t="shared" si="46"/>
        <v>CDA</v>
      </c>
      <c r="AD914" s="5" t="s">
        <v>43</v>
      </c>
    </row>
    <row r="915" s="5" customFormat="1" ht="13">
      <c r="A915" s="5">
        <v>12301</v>
      </c>
      <c r="B915" s="5" t="s">
        <v>107</v>
      </c>
      <c r="C915" s="5" t="s">
        <v>135</v>
      </c>
      <c r="D915" s="5" t="s">
        <v>20</v>
      </c>
      <c r="E915" s="5" t="s">
        <v>34</v>
      </c>
      <c r="F915" s="5" t="s">
        <v>68</v>
      </c>
      <c r="G915" s="5" t="s">
        <v>75</v>
      </c>
      <c r="H915" s="9" t="s">
        <v>136</v>
      </c>
      <c r="I915" s="10">
        <v>43999</v>
      </c>
      <c r="J915" s="10">
        <v>45824</v>
      </c>
      <c r="K915" s="5" t="s">
        <v>124</v>
      </c>
      <c r="L915" s="5" t="s">
        <v>58</v>
      </c>
      <c r="M915" s="11">
        <v>0.060999999999999999</v>
      </c>
      <c r="N915" s="5" t="e">
        <f>IF(AND(M915&gt;#REF!,Cartera!O915="Guaraníes"),"Rendimiento significativo",IF(AND(M915&gt;#REF!,Cartera!O915="Dólares americanos"),"Rendimiento significativo","Rendimiento no significativo"))</f>
        <v>#REF!</v>
      </c>
      <c r="O915" s="5" t="s">
        <v>41</v>
      </c>
      <c r="P915" s="12">
        <v>28571428.52</v>
      </c>
      <c r="Q915" s="12">
        <f>IF(O915="Guaraníes",P915,P915*#REF!)</f>
        <v>28571428.52</v>
      </c>
      <c r="R915" s="12" t="e">
        <f>IF(O915="Guaraníes",P915/#REF!,P915)</f>
        <v>#REF!</v>
      </c>
      <c r="S915" s="5" t="s">
        <v>42</v>
      </c>
      <c r="T915" s="5">
        <v>25</v>
      </c>
      <c r="AC915" s="5" t="str">
        <f t="shared" si="46"/>
        <v>Bonos</v>
      </c>
      <c r="AD915" s="5" t="s">
        <v>43</v>
      </c>
      <c r="AE915" s="5">
        <f t="shared" si="44"/>
        <v>6</v>
      </c>
      <c r="AF915" s="5">
        <f t="shared" si="45"/>
        <v>2025</v>
      </c>
      <c r="AG915" s="5" t="s">
        <v>163</v>
      </c>
    </row>
    <row r="916" s="5" customFormat="1" ht="13">
      <c r="A916" s="5">
        <v>12315</v>
      </c>
      <c r="B916" s="5" t="s">
        <v>73</v>
      </c>
      <c r="C916" s="5" t="s">
        <v>183</v>
      </c>
      <c r="D916" s="5" t="s">
        <v>21</v>
      </c>
      <c r="E916" s="5" t="s">
        <v>34</v>
      </c>
      <c r="H916" s="9" t="s">
        <v>211</v>
      </c>
      <c r="I916" s="10">
        <v>45562</v>
      </c>
      <c r="J916" s="10">
        <v>45834</v>
      </c>
      <c r="L916" s="11" t="s">
        <v>82</v>
      </c>
      <c r="M916" s="11">
        <v>0.026800000000000001</v>
      </c>
      <c r="N916" s="11" t="e">
        <f>IF(AND(M916&gt;#REF!,Cartera!O916="Guaraníes"),"Rendimiento significativo",IF(AND(M916&gt;#REF!,Cartera!O916="Dólares americanos"),"Rendimiento significativo","Rendimiento no significativo"))</f>
        <v>#REF!</v>
      </c>
      <c r="O916" s="5" t="s">
        <v>51</v>
      </c>
      <c r="P916" s="13">
        <v>135.09999999999999</v>
      </c>
      <c r="Q916" s="12" t="e">
        <f>IF(O916="Guaraníes",P916,P916*#REF!)</f>
        <v>#REF!</v>
      </c>
      <c r="R916" s="17">
        <v>135.09999999999999</v>
      </c>
      <c r="S916" s="5" t="s">
        <v>42</v>
      </c>
      <c r="AC916" s="5" t="str">
        <f t="shared" si="46"/>
        <v>CDA</v>
      </c>
      <c r="AD916" s="5" t="s">
        <v>43</v>
      </c>
    </row>
    <row r="917" s="5" customFormat="1" ht="13">
      <c r="A917" s="5">
        <v>12301</v>
      </c>
      <c r="B917" s="5" t="s">
        <v>107</v>
      </c>
      <c r="C917" s="5" t="s">
        <v>135</v>
      </c>
      <c r="D917" s="5" t="s">
        <v>20</v>
      </c>
      <c r="E917" s="5" t="s">
        <v>34</v>
      </c>
      <c r="F917" s="5" t="s">
        <v>68</v>
      </c>
      <c r="G917" s="5" t="s">
        <v>75</v>
      </c>
      <c r="H917" s="9" t="s">
        <v>265</v>
      </c>
      <c r="I917" s="10">
        <v>44133</v>
      </c>
      <c r="J917" s="10">
        <v>45828</v>
      </c>
      <c r="K917" s="5" t="s">
        <v>124</v>
      </c>
      <c r="L917" s="5" t="s">
        <v>58</v>
      </c>
      <c r="M917" s="11">
        <v>0.054000000000000006</v>
      </c>
      <c r="N917" s="5" t="e">
        <f>IF(AND(M917&gt;#REF!,Cartera!O917="Guaraníes"),"Rendimiento significativo",IF(AND(M917&gt;#REF!,Cartera!O917="Dólares americanos"),"Rendimiento significativo","Rendimiento no significativo"))</f>
        <v>#REF!</v>
      </c>
      <c r="O917" s="5" t="s">
        <v>41</v>
      </c>
      <c r="P917" s="12">
        <v>6250000</v>
      </c>
      <c r="Q917" s="12">
        <f>IF(O917="Guaraníes",P917,P917*#REF!)</f>
        <v>6250000</v>
      </c>
      <c r="R917" s="12" t="e">
        <f>IF(O917="Guaraníes",P917/#REF!,P917)</f>
        <v>#REF!</v>
      </c>
      <c r="S917" s="5" t="s">
        <v>42</v>
      </c>
      <c r="T917" s="5">
        <v>25</v>
      </c>
      <c r="AC917" s="5" t="str">
        <f t="shared" si="46"/>
        <v>Bonos</v>
      </c>
      <c r="AD917" s="5" t="s">
        <v>43</v>
      </c>
      <c r="AE917" s="5">
        <f t="shared" si="44"/>
        <v>6</v>
      </c>
      <c r="AF917" s="5">
        <f t="shared" si="45"/>
        <v>2025</v>
      </c>
      <c r="AG917" s="5" t="s">
        <v>163</v>
      </c>
    </row>
    <row r="918" s="5" customFormat="1" ht="13">
      <c r="A918" s="5">
        <v>12316</v>
      </c>
      <c r="B918" s="5" t="s">
        <v>78</v>
      </c>
      <c r="C918" s="5" t="s">
        <v>138</v>
      </c>
      <c r="D918" s="5" t="s">
        <v>21</v>
      </c>
      <c r="E918" s="5" t="s">
        <v>34</v>
      </c>
      <c r="F918" s="5" t="s">
        <v>68</v>
      </c>
      <c r="G918" s="5" t="s">
        <v>86</v>
      </c>
      <c r="H918" s="9" t="s">
        <v>139</v>
      </c>
      <c r="I918" s="10">
        <v>43948</v>
      </c>
      <c r="J918" s="10">
        <v>45835</v>
      </c>
      <c r="K918" s="5" t="s">
        <v>140</v>
      </c>
      <c r="L918" s="5" t="s">
        <v>58</v>
      </c>
      <c r="M918" s="11">
        <v>0.11</v>
      </c>
      <c r="N918" s="5" t="e">
        <f>IF(AND(M918&gt;#REF!,Cartera!O3275="Guaraníes"),"Rendimiento significativo",IF(AND(M918&gt;#REF!,Cartera!O3275="Dólares americanos"),"Rendimiento significativo","Rendimiento no significativo"))</f>
        <v>#REF!</v>
      </c>
      <c r="O918" s="5" t="s">
        <v>41</v>
      </c>
      <c r="P918" s="12">
        <v>904109.58900000004</v>
      </c>
      <c r="Q918" s="12">
        <f>IF(O918="Guaraníes",P918,P918*#REF!)</f>
        <v>904109.58900000004</v>
      </c>
      <c r="R918" s="12" t="e">
        <f>IF(O918="Guaraníes",P918/#REF!,P918)</f>
        <v>#REF!</v>
      </c>
      <c r="S918" s="5" t="s">
        <v>42</v>
      </c>
      <c r="AC918" s="5" t="str">
        <f t="shared" si="46"/>
        <v>Bonos</v>
      </c>
      <c r="AD918" s="5" t="s">
        <v>43</v>
      </c>
      <c r="AE918" s="5">
        <f t="shared" si="44"/>
        <v>6</v>
      </c>
      <c r="AF918" s="5">
        <f t="shared" si="45"/>
        <v>2025</v>
      </c>
    </row>
    <row r="919" s="5" customFormat="1" ht="13">
      <c r="A919" s="5">
        <v>12316</v>
      </c>
      <c r="B919" s="5" t="s">
        <v>78</v>
      </c>
      <c r="C919" s="5" t="s">
        <v>164</v>
      </c>
      <c r="D919" s="5" t="s">
        <v>21</v>
      </c>
      <c r="E919" s="5" t="s">
        <v>34</v>
      </c>
      <c r="F919" s="5" t="s">
        <v>68</v>
      </c>
      <c r="G919" s="5" t="s">
        <v>145</v>
      </c>
      <c r="H919" s="9" t="s">
        <v>165</v>
      </c>
      <c r="I919" s="10"/>
      <c r="J919" s="10">
        <v>45838</v>
      </c>
      <c r="K919" s="5" t="s">
        <v>124</v>
      </c>
      <c r="L919" s="5" t="s">
        <v>58</v>
      </c>
      <c r="M919" s="11">
        <v>0.10000000000000001</v>
      </c>
      <c r="N919" s="5" t="e">
        <f>IF(AND(M919&gt;#REF!,Cartera!O1517="Guaraníes"),"Rendimiento significativo",IF(AND(M919&gt;#REF!,Cartera!O1517="Dólares americanos"),"Rendimiento significativo","Rendimiento no significativo"))</f>
        <v>#REF!</v>
      </c>
      <c r="O919" s="5" t="s">
        <v>41</v>
      </c>
      <c r="P919" s="12">
        <v>3397260.2740000002</v>
      </c>
      <c r="Q919" s="12">
        <f>IF(O919="Guaraníes",P919,P919*#REF!)</f>
        <v>3397260.2740000002</v>
      </c>
      <c r="R919" s="12" t="e">
        <f>IF(O919="Guaraníes",P919/#REF!,P919)</f>
        <v>#REF!</v>
      </c>
      <c r="S919" s="5" t="s">
        <v>42</v>
      </c>
      <c r="T919" s="5">
        <v>1057</v>
      </c>
      <c r="W919" s="5" t="s">
        <v>65</v>
      </c>
      <c r="X919" s="5">
        <v>0</v>
      </c>
      <c r="Y919" s="5">
        <v>0</v>
      </c>
      <c r="Z919" s="5">
        <v>8493.1506850000005</v>
      </c>
      <c r="AA919" s="5">
        <v>400</v>
      </c>
      <c r="AB919" s="5">
        <v>3397260.2740000002</v>
      </c>
      <c r="AC919" s="5" t="str">
        <f t="shared" si="46"/>
        <v>Bonos</v>
      </c>
      <c r="AD919" s="5" t="s">
        <v>43</v>
      </c>
      <c r="AE919" s="5">
        <f t="shared" si="44"/>
        <v>6</v>
      </c>
      <c r="AF919" s="5">
        <f t="shared" si="45"/>
        <v>2025</v>
      </c>
    </row>
    <row r="920" s="5" customFormat="1" ht="13">
      <c r="A920" s="5">
        <v>12316</v>
      </c>
      <c r="B920" s="5" t="s">
        <v>78</v>
      </c>
      <c r="C920" s="5" t="s">
        <v>164</v>
      </c>
      <c r="D920" s="5" t="s">
        <v>21</v>
      </c>
      <c r="E920" s="5" t="s">
        <v>34</v>
      </c>
      <c r="F920" s="5" t="s">
        <v>68</v>
      </c>
      <c r="G920" s="5" t="s">
        <v>91</v>
      </c>
      <c r="H920" s="9" t="s">
        <v>166</v>
      </c>
      <c r="I920" s="10"/>
      <c r="J920" s="10">
        <v>45838</v>
      </c>
      <c r="K920" s="5" t="s">
        <v>124</v>
      </c>
      <c r="L920" s="5" t="s">
        <v>58</v>
      </c>
      <c r="M920" s="11">
        <v>0.092499999999999999</v>
      </c>
      <c r="N920" s="5" t="e">
        <f>IF(AND(M920&gt;#REF!,Cartera!O1876="Guaraníes"),"Rendimiento significativo",IF(AND(M920&gt;#REF!,Cartera!O1876="Dólares americanos"),"Rendimiento significativo","Rendimiento no significativo"))</f>
        <v>#REF!</v>
      </c>
      <c r="O920" s="5" t="s">
        <v>41</v>
      </c>
      <c r="P920" s="12">
        <v>1178424.6576</v>
      </c>
      <c r="Q920" s="12">
        <f>IF(O920="Guaraníes",P920,P920*#REF!)</f>
        <v>1178424.6576</v>
      </c>
      <c r="R920" s="12" t="e">
        <f>IF(O920="Guaraníes",P920/#REF!,P920)</f>
        <v>#REF!</v>
      </c>
      <c r="S920" s="5" t="s">
        <v>42</v>
      </c>
      <c r="T920" s="5">
        <v>3253</v>
      </c>
      <c r="W920" s="5" t="s">
        <v>65</v>
      </c>
      <c r="X920" s="5">
        <v>0</v>
      </c>
      <c r="Y920" s="5">
        <v>0</v>
      </c>
      <c r="Z920" s="5">
        <v>7856.1643839999997</v>
      </c>
      <c r="AA920" s="5">
        <v>150</v>
      </c>
      <c r="AB920" s="5">
        <v>1178424.6576</v>
      </c>
      <c r="AC920" s="5" t="str">
        <f t="shared" si="46"/>
        <v>Bonos</v>
      </c>
      <c r="AD920" s="5" t="s">
        <v>43</v>
      </c>
      <c r="AE920" s="5">
        <f t="shared" si="44"/>
        <v>6</v>
      </c>
      <c r="AF920" s="5">
        <f t="shared" si="45"/>
        <v>2025</v>
      </c>
    </row>
    <row r="921" s="5" customFormat="1" ht="13">
      <c r="A921" s="5">
        <v>12316</v>
      </c>
      <c r="B921" s="5" t="s">
        <v>78</v>
      </c>
      <c r="C921" s="5" t="s">
        <v>164</v>
      </c>
      <c r="D921" s="5" t="s">
        <v>21</v>
      </c>
      <c r="E921" s="5" t="s">
        <v>34</v>
      </c>
      <c r="F921" s="5" t="s">
        <v>68</v>
      </c>
      <c r="G921" s="5" t="s">
        <v>141</v>
      </c>
      <c r="H921" s="9" t="s">
        <v>165</v>
      </c>
      <c r="I921" s="10"/>
      <c r="J921" s="10">
        <v>45838</v>
      </c>
      <c r="K921" s="5" t="s">
        <v>124</v>
      </c>
      <c r="L921" s="5" t="s">
        <v>58</v>
      </c>
      <c r="M921" s="11">
        <v>0.10000000000000001</v>
      </c>
      <c r="N921" s="5" t="e">
        <f>IF(AND(M921&gt;#REF!,Cartera!O2100="Guaraníes"),"Rendimiento significativo",IF(AND(M921&gt;#REF!,Cartera!O2100="Dólares americanos"),"Rendimiento significativo","Rendimiento no significativo"))</f>
        <v>#REF!</v>
      </c>
      <c r="O921" s="5" t="s">
        <v>41</v>
      </c>
      <c r="P921" s="12">
        <v>849315.06850000005</v>
      </c>
      <c r="Q921" s="12">
        <f>IF(O921="Guaraníes",P921,P921*#REF!)</f>
        <v>849315.06850000005</v>
      </c>
      <c r="R921" s="12" t="e">
        <f>IF(O921="Guaraníes",P921/#REF!,P921)</f>
        <v>#REF!</v>
      </c>
      <c r="S921" s="5" t="s">
        <v>42</v>
      </c>
      <c r="T921" s="5">
        <v>9243</v>
      </c>
      <c r="W921" s="5" t="s">
        <v>65</v>
      </c>
      <c r="X921" s="5">
        <v>0</v>
      </c>
      <c r="Y921" s="5">
        <v>0</v>
      </c>
      <c r="Z921" s="5">
        <v>8493.1506850000005</v>
      </c>
      <c r="AA921" s="5">
        <v>100</v>
      </c>
      <c r="AB921" s="5">
        <v>849315.06850000005</v>
      </c>
      <c r="AC921" s="5" t="str">
        <f t="shared" si="46"/>
        <v>Bonos</v>
      </c>
      <c r="AD921" s="5" t="s">
        <v>43</v>
      </c>
      <c r="AE921" s="5">
        <f t="shared" si="44"/>
        <v>6</v>
      </c>
      <c r="AF921" s="5">
        <f t="shared" si="45"/>
        <v>2025</v>
      </c>
    </row>
    <row r="922" s="5" customFormat="1" ht="13">
      <c r="A922" s="5">
        <v>12316</v>
      </c>
      <c r="B922" s="5" t="s">
        <v>78</v>
      </c>
      <c r="C922" s="5" t="s">
        <v>164</v>
      </c>
      <c r="D922" s="5" t="s">
        <v>21</v>
      </c>
      <c r="E922" s="5" t="s">
        <v>34</v>
      </c>
      <c r="F922" s="5" t="s">
        <v>68</v>
      </c>
      <c r="G922" s="5" t="s">
        <v>141</v>
      </c>
      <c r="H922" s="9" t="s">
        <v>167</v>
      </c>
      <c r="I922" s="10"/>
      <c r="J922" s="10">
        <v>45838</v>
      </c>
      <c r="K922" s="5" t="s">
        <v>124</v>
      </c>
      <c r="L922" s="5" t="s">
        <v>58</v>
      </c>
      <c r="M922" s="11">
        <v>0.092499999999999999</v>
      </c>
      <c r="N922" s="5" t="e">
        <f>IF(AND(M922&gt;#REF!,Cartera!O2101="Guaraníes"),"Rendimiento significativo",IF(AND(M922&gt;#REF!,Cartera!O2101="Dólares americanos"),"Rendimiento significativo","Rendimiento no significativo"))</f>
        <v>#REF!</v>
      </c>
      <c r="O922" s="5" t="s">
        <v>41</v>
      </c>
      <c r="P922" s="12">
        <v>785616.43839999998</v>
      </c>
      <c r="Q922" s="12">
        <f>IF(O922="Guaraníes",P922,P922*#REF!)</f>
        <v>785616.43839999998</v>
      </c>
      <c r="R922" s="12" t="e">
        <f>IF(O922="Guaraníes",P922/#REF!,P922)</f>
        <v>#REF!</v>
      </c>
      <c r="S922" s="5" t="s">
        <v>42</v>
      </c>
      <c r="T922" s="5">
        <v>9243</v>
      </c>
      <c r="W922" s="5" t="s">
        <v>65</v>
      </c>
      <c r="X922" s="5">
        <v>0</v>
      </c>
      <c r="Y922" s="5">
        <v>0</v>
      </c>
      <c r="Z922" s="5">
        <v>7856.1643839999997</v>
      </c>
      <c r="AA922" s="5">
        <v>100</v>
      </c>
      <c r="AB922" s="5">
        <v>785616.43839999998</v>
      </c>
      <c r="AC922" s="5" t="str">
        <f t="shared" si="46"/>
        <v>Bonos</v>
      </c>
      <c r="AD922" s="5" t="s">
        <v>43</v>
      </c>
      <c r="AE922" s="5">
        <f t="shared" si="44"/>
        <v>6</v>
      </c>
      <c r="AF922" s="5">
        <f t="shared" si="45"/>
        <v>2025</v>
      </c>
    </row>
    <row r="923" s="5" customFormat="1" ht="13">
      <c r="A923" s="5">
        <v>12315</v>
      </c>
      <c r="B923" s="5" t="s">
        <v>73</v>
      </c>
      <c r="C923" s="5" t="s">
        <v>74</v>
      </c>
      <c r="D923" s="5" t="s">
        <v>21</v>
      </c>
      <c r="E923" s="5" t="s">
        <v>34</v>
      </c>
      <c r="F923" s="5" t="s">
        <v>68</v>
      </c>
      <c r="G923" s="5" t="s">
        <v>75</v>
      </c>
      <c r="H923" s="9" t="s">
        <v>76</v>
      </c>
      <c r="I923" s="10"/>
      <c r="J923" s="10">
        <v>45839</v>
      </c>
      <c r="K923" s="5" t="s">
        <v>77</v>
      </c>
      <c r="L923" s="5" t="s">
        <v>50</v>
      </c>
      <c r="M923" s="11">
        <v>0.055</v>
      </c>
      <c r="N923" s="5" t="e">
        <f>IF(AND(M923&gt;#REF!,Cartera!O919="Guaraníes"),"Rendimiento significativo",IF(AND(M923&gt;#REF!,Cartera!O919="Dólares americanos"),"Rendimiento significativo","Rendimiento no significativo"))</f>
        <v>#REF!</v>
      </c>
      <c r="O923" s="5" t="s">
        <v>51</v>
      </c>
      <c r="P923" s="13">
        <v>411.36986999999999</v>
      </c>
      <c r="Q923" s="12" t="e">
        <f>IF(O923="Guaraníes",P923,P923*#REF!)</f>
        <v>#REF!</v>
      </c>
      <c r="R923" s="12">
        <f>IF(O923="Guaraníes",P923/#REF!,P923)</f>
        <v>411.36986999999999</v>
      </c>
      <c r="S923" s="5" t="s">
        <v>42</v>
      </c>
      <c r="T923" s="5">
        <v>25</v>
      </c>
      <c r="W923" s="5" t="s">
        <v>65</v>
      </c>
      <c r="X923" s="5">
        <v>0</v>
      </c>
      <c r="Y923" s="5">
        <v>0</v>
      </c>
      <c r="Z923" s="5">
        <v>13.712329</v>
      </c>
      <c r="AA923" s="5">
        <v>30</v>
      </c>
      <c r="AB923" s="5">
        <v>411.37</v>
      </c>
      <c r="AC923" s="5" t="str">
        <f t="shared" si="46"/>
        <v>Bonos</v>
      </c>
      <c r="AD923" s="5" t="s">
        <v>43</v>
      </c>
      <c r="AE923" s="5">
        <f t="shared" si="44"/>
        <v>7</v>
      </c>
      <c r="AF923" s="5">
        <f t="shared" si="45"/>
        <v>2025</v>
      </c>
    </row>
    <row r="924" s="5" customFormat="1" ht="13">
      <c r="A924" s="5">
        <v>12316</v>
      </c>
      <c r="B924" s="5" t="s">
        <v>78</v>
      </c>
      <c r="C924" s="5" t="s">
        <v>74</v>
      </c>
      <c r="D924" s="5" t="s">
        <v>21</v>
      </c>
      <c r="E924" s="5" t="s">
        <v>34</v>
      </c>
      <c r="F924" s="5" t="s">
        <v>68</v>
      </c>
      <c r="H924" s="9">
        <v>1093</v>
      </c>
      <c r="I924" s="10"/>
      <c r="J924" s="10">
        <v>45847</v>
      </c>
      <c r="K924" s="5" t="s">
        <v>77</v>
      </c>
      <c r="L924" s="5" t="s">
        <v>82</v>
      </c>
      <c r="M924" s="11">
        <v>0.065000000000000002</v>
      </c>
      <c r="N924" s="5" t="e">
        <f>IF(AND(M924&gt;#REF!,Cartera!O2955="Guaraníes"),"Rendimiento significativo",IF(AND(M924&gt;#REF!,Cartera!O2955="Dólares americanos"),"Rendimiento significativo","Rendimiento no significativo"))</f>
        <v>#REF!</v>
      </c>
      <c r="O924" s="5" t="s">
        <v>41</v>
      </c>
      <c r="P924" s="12">
        <v>3205479</v>
      </c>
      <c r="Q924" s="12">
        <f>IF(O924="Guaraníes",P924,P924*#REF!)</f>
        <v>3205479</v>
      </c>
      <c r="R924" s="12" t="e">
        <f>IF(O924="Guaraníes",P924/#REF!,P924)</f>
        <v>#REF!</v>
      </c>
      <c r="S924" s="5" t="s">
        <v>42</v>
      </c>
      <c r="V924" s="5">
        <v>3205479</v>
      </c>
      <c r="W924" s="5" t="s">
        <v>280</v>
      </c>
      <c r="AC924" s="5" t="str">
        <f t="shared" si="46"/>
        <v>CDA</v>
      </c>
      <c r="AD924" s="5" t="s">
        <v>43</v>
      </c>
      <c r="AE924" s="5">
        <f t="shared" si="44"/>
        <v>7</v>
      </c>
      <c r="AF924" s="5">
        <f t="shared" si="45"/>
        <v>2025</v>
      </c>
    </row>
    <row r="925" s="5" customFormat="1" ht="13">
      <c r="A925" s="5">
        <v>12315</v>
      </c>
      <c r="B925" s="5" t="s">
        <v>73</v>
      </c>
      <c r="C925" s="5" t="s">
        <v>89</v>
      </c>
      <c r="D925" s="5" t="s">
        <v>21</v>
      </c>
      <c r="E925" s="5" t="s">
        <v>34</v>
      </c>
      <c r="F925" s="5" t="s">
        <v>68</v>
      </c>
      <c r="G925" s="5" t="s">
        <v>112</v>
      </c>
      <c r="H925" s="9" t="s">
        <v>113</v>
      </c>
      <c r="I925" s="10"/>
      <c r="J925" s="10">
        <v>45848</v>
      </c>
      <c r="K925" s="5" t="s">
        <v>64</v>
      </c>
      <c r="L925" s="5" t="s">
        <v>58</v>
      </c>
      <c r="M925" s="11">
        <v>0.085000000000000006</v>
      </c>
      <c r="N925" s="5" t="e">
        <f>IF(AND(M925&gt;#REF!,Cartera!O1213="Guaraníes"),"Rendimiento significativo",IF(AND(M925&gt;#REF!,Cartera!O1213="Dólares americanos"),"Rendimiento significativo","Rendimiento no significativo"))</f>
        <v>#REF!</v>
      </c>
      <c r="O925" s="5" t="s">
        <v>51</v>
      </c>
      <c r="P925" s="13">
        <v>363.29000000000002</v>
      </c>
      <c r="Q925" s="12" t="e">
        <f>IF(O925="Guaraníes",P925,P925*#REF!)</f>
        <v>#REF!</v>
      </c>
      <c r="R925" s="12">
        <f>IF(O925="Guaraníes",P925/#REF!,P925)</f>
        <v>363.29000000000002</v>
      </c>
      <c r="S925" s="5" t="s">
        <v>42</v>
      </c>
      <c r="T925" s="5">
        <v>2475</v>
      </c>
      <c r="U925" s="5">
        <v>20000</v>
      </c>
      <c r="V925" s="5">
        <v>14963929.589099994</v>
      </c>
      <c r="W925" s="5" t="s">
        <v>65</v>
      </c>
      <c r="X925" s="5">
        <v>100</v>
      </c>
      <c r="Y925" s="5">
        <v>1000</v>
      </c>
      <c r="Z925" s="5">
        <v>1018.164384</v>
      </c>
      <c r="AA925" s="5">
        <v>20</v>
      </c>
      <c r="AB925" s="5">
        <v>20363.287680000001</v>
      </c>
      <c r="AC925" s="5" t="str">
        <f t="shared" si="46"/>
        <v>Bonos</v>
      </c>
      <c r="AD925" s="5" t="s">
        <v>43</v>
      </c>
      <c r="AE925" s="5">
        <f t="shared" si="44"/>
        <v>7</v>
      </c>
      <c r="AF925" s="5">
        <f t="shared" si="45"/>
        <v>2025</v>
      </c>
    </row>
    <row r="926" s="5" customFormat="1" ht="13">
      <c r="A926" s="5">
        <v>12316</v>
      </c>
      <c r="B926" s="5" t="s">
        <v>78</v>
      </c>
      <c r="C926" s="5" t="s">
        <v>33</v>
      </c>
      <c r="D926" s="5" t="s">
        <v>21</v>
      </c>
      <c r="E926" s="5" t="s">
        <v>34</v>
      </c>
      <c r="F926" s="5" t="s">
        <v>35</v>
      </c>
      <c r="H926" s="9">
        <v>86</v>
      </c>
      <c r="I926" s="10">
        <v>45043</v>
      </c>
      <c r="J926" s="10">
        <v>45853</v>
      </c>
      <c r="K926" s="5" t="s">
        <v>39</v>
      </c>
      <c r="L926" s="5" t="s">
        <v>82</v>
      </c>
      <c r="M926" s="11">
        <v>0.089999999999999997</v>
      </c>
      <c r="N926" s="5" t="e">
        <f>IF(AND(M926&gt;#REF!,Cartera!O3188="Guaraníes"),"Rendimiento significativo",IF(AND(M926&gt;#REF!,Cartera!O3188="Dólares americanos"),"Rendimiento significativo","Rendimiento no significativo"))</f>
        <v>#REF!</v>
      </c>
      <c r="O926" s="5" t="s">
        <v>41</v>
      </c>
      <c r="P926" s="12">
        <v>11095890</v>
      </c>
      <c r="Q926" s="12">
        <f>IF(O926="Guaraníes",P926,P926*#REF!)</f>
        <v>11095890</v>
      </c>
      <c r="R926" s="12" t="e">
        <f>IF(O926="Guaraníes",P926/#REF!,P926)</f>
        <v>#REF!</v>
      </c>
      <c r="S926" s="5" t="s">
        <v>42</v>
      </c>
      <c r="AC926" s="5" t="str">
        <f t="shared" si="46"/>
        <v>CDA</v>
      </c>
      <c r="AD926" s="5" t="s">
        <v>43</v>
      </c>
      <c r="AE926" s="5">
        <f t="shared" si="44"/>
        <v>7</v>
      </c>
      <c r="AF926" s="5">
        <f t="shared" si="45"/>
        <v>2025</v>
      </c>
    </row>
    <row r="927" s="5" customFormat="1" ht="13">
      <c r="A927" s="5">
        <v>12315</v>
      </c>
      <c r="B927" s="5" t="s">
        <v>73</v>
      </c>
      <c r="C927" s="5" t="s">
        <v>60</v>
      </c>
      <c r="D927" s="5" t="s">
        <v>21</v>
      </c>
      <c r="E927" s="5" t="s">
        <v>34</v>
      </c>
      <c r="F927" s="5" t="s">
        <v>68</v>
      </c>
      <c r="H927" s="9" t="s">
        <v>84</v>
      </c>
      <c r="I927" s="10">
        <v>45393</v>
      </c>
      <c r="J927" s="10">
        <v>45853</v>
      </c>
      <c r="K927" s="5" t="s">
        <v>64</v>
      </c>
      <c r="L927" s="5" t="s">
        <v>82</v>
      </c>
      <c r="M927" s="11">
        <v>0.055</v>
      </c>
      <c r="N927" s="5" t="e">
        <f>IF(AND(M927&gt;#REF!,Cartera!O3576="Guaraníes"),"Rendimiento significativo",IF(AND(M927&gt;#REF!,Cartera!O3576="Dólares americanos"),"Rendimiento significativo","Rendimiento no significativo"))</f>
        <v>#REF!</v>
      </c>
      <c r="O927" s="5" t="s">
        <v>51</v>
      </c>
      <c r="P927" s="13">
        <v>291.12</v>
      </c>
      <c r="Q927" s="12" t="e">
        <f>IF(O927="Guaraníes",P927,P927*#REF!)</f>
        <v>#REF!</v>
      </c>
      <c r="R927" s="12">
        <f>IF(O927="Guaraníes",P927/#REF!,P927)</f>
        <v>291.12</v>
      </c>
      <c r="S927" s="5" t="s">
        <v>42</v>
      </c>
      <c r="AC927" s="5" t="str">
        <f t="shared" si="46"/>
        <v>CDA</v>
      </c>
      <c r="AD927" s="5" t="s">
        <v>43</v>
      </c>
      <c r="AE927" s="5">
        <f t="shared" ref="AE927:AE990" si="47">IFERROR((MONTH(J927)),0)</f>
        <v>7</v>
      </c>
      <c r="AF927" s="5">
        <f t="shared" ref="AF927:AF990" si="48">IFERROR((YEAR(J927)),0)</f>
        <v>2025</v>
      </c>
    </row>
    <row r="928" s="5" customFormat="1" ht="13">
      <c r="A928" s="5">
        <v>12316</v>
      </c>
      <c r="B928" s="5" t="s">
        <v>78</v>
      </c>
      <c r="C928" s="5" t="s">
        <v>94</v>
      </c>
      <c r="D928" s="5" t="s">
        <v>21</v>
      </c>
      <c r="E928" s="5" t="s">
        <v>34</v>
      </c>
      <c r="F928" s="5" t="s">
        <v>68</v>
      </c>
      <c r="H928" s="9" t="s">
        <v>95</v>
      </c>
      <c r="I928" s="10">
        <v>45404</v>
      </c>
      <c r="J928" s="10">
        <v>45854</v>
      </c>
      <c r="K928" s="5" t="s">
        <v>96</v>
      </c>
      <c r="L928" s="5" t="s">
        <v>82</v>
      </c>
      <c r="M928" s="11">
        <v>0.085000000000000006</v>
      </c>
      <c r="N928" s="5" t="e">
        <f>IF(AND(M928&gt;#REF!,Cartera!O3590="Guaraníes"),"Rendimiento significativo",IF(AND(M928&gt;#REF!,Cartera!O3590="Dólares americanos"),"Rendimiento significativo","Rendimiento no significativo"))</f>
        <v>#REF!</v>
      </c>
      <c r="O928" s="5" t="s">
        <v>41</v>
      </c>
      <c r="P928" s="12">
        <v>4191781</v>
      </c>
      <c r="Q928" s="12">
        <f>IF(O928="Guaraníes",P928,P928*#REF!)</f>
        <v>4191781</v>
      </c>
      <c r="R928" s="12" t="e">
        <f>IF(O928="Guaraníes",P928/#REF!,P928)</f>
        <v>#REF!</v>
      </c>
      <c r="S928" s="5" t="s">
        <v>42</v>
      </c>
      <c r="AC928" s="5" t="str">
        <f t="shared" si="46"/>
        <v>CDA</v>
      </c>
      <c r="AD928" s="5" t="s">
        <v>43</v>
      </c>
      <c r="AE928" s="5">
        <f t="shared" si="47"/>
        <v>7</v>
      </c>
      <c r="AF928" s="5">
        <f t="shared" si="48"/>
        <v>2025</v>
      </c>
    </row>
    <row r="929" s="5" customFormat="1" ht="13">
      <c r="A929" s="5">
        <v>12315</v>
      </c>
      <c r="B929" s="5" t="s">
        <v>73</v>
      </c>
      <c r="C929" s="5" t="s">
        <v>85</v>
      </c>
      <c r="D929" s="5" t="s">
        <v>21</v>
      </c>
      <c r="E929" s="5" t="s">
        <v>34</v>
      </c>
      <c r="F929" s="5" t="s">
        <v>68</v>
      </c>
      <c r="G929" s="5" t="s">
        <v>86</v>
      </c>
      <c r="H929" s="9" t="s">
        <v>87</v>
      </c>
      <c r="I929" s="10"/>
      <c r="J929" s="10">
        <v>45855</v>
      </c>
      <c r="K929" s="5" t="s">
        <v>39</v>
      </c>
      <c r="L929" s="5" t="s">
        <v>58</v>
      </c>
      <c r="M929" s="11">
        <v>0.059999999999999998</v>
      </c>
      <c r="N929" s="5" t="e">
        <f>IF(AND(M929&gt;#REF!,Cartera!O265="Guaraníes"),"Rendimiento significativo",IF(AND(M929&gt;#REF!,Cartera!O265="Dólares americanos"),"Rendimiento significativo","Rendimiento no significativo"))</f>
        <v>#REF!</v>
      </c>
      <c r="O929" s="5" t="s">
        <v>51</v>
      </c>
      <c r="P929" s="13">
        <v>747.9452</v>
      </c>
      <c r="Q929" s="12" t="e">
        <f>IF(O929="Guaraníes",P929,P929*#REF!)</f>
        <v>#REF!</v>
      </c>
      <c r="R929" s="12">
        <f>IF(O929="Guaraníes",P929/#REF!,P929)</f>
        <v>747.9452</v>
      </c>
      <c r="S929" s="5" t="s">
        <v>42</v>
      </c>
      <c r="T929" s="5">
        <v>10834</v>
      </c>
      <c r="W929" s="5" t="s">
        <v>281</v>
      </c>
      <c r="X929" s="5">
        <v>0</v>
      </c>
      <c r="Y929" s="5">
        <v>0</v>
      </c>
      <c r="Z929" s="5">
        <v>14.958904</v>
      </c>
      <c r="AA929" s="5">
        <v>50</v>
      </c>
      <c r="AB929" s="5">
        <v>747.9452</v>
      </c>
      <c r="AC929" s="5" t="str">
        <f t="shared" si="46"/>
        <v>Bonos</v>
      </c>
      <c r="AD929" s="5" t="s">
        <v>43</v>
      </c>
      <c r="AE929" s="5">
        <f t="shared" si="47"/>
        <v>7</v>
      </c>
      <c r="AF929" s="5">
        <f t="shared" si="48"/>
        <v>2025</v>
      </c>
    </row>
    <row r="930" s="5" customFormat="1" ht="13">
      <c r="A930" s="5">
        <v>12315</v>
      </c>
      <c r="B930" s="5" t="s">
        <v>73</v>
      </c>
      <c r="C930" s="5" t="s">
        <v>89</v>
      </c>
      <c r="D930" s="5" t="s">
        <v>21</v>
      </c>
      <c r="E930" s="5" t="s">
        <v>34</v>
      </c>
      <c r="F930" s="5" t="s">
        <v>90</v>
      </c>
      <c r="G930" s="5" t="s">
        <v>91</v>
      </c>
      <c r="H930" s="9" t="s">
        <v>92</v>
      </c>
      <c r="I930" s="10"/>
      <c r="J930" s="10">
        <v>45855</v>
      </c>
      <c r="K930" s="5" t="s">
        <v>93</v>
      </c>
      <c r="L930" s="5" t="s">
        <v>58</v>
      </c>
      <c r="M930" s="11">
        <v>0.080000000000000002</v>
      </c>
      <c r="N930" s="5" t="e">
        <f>IF(AND(M930&gt;#REF!,Cartera!O1877="Guaraníes"),"Rendimiento significativo",IF(AND(M930&gt;#REF!,Cartera!O1877="Dólares americanos"),"Rendimiento significativo","Rendimiento no significativo"))</f>
        <v>#REF!</v>
      </c>
      <c r="O930" s="5" t="s">
        <v>51</v>
      </c>
      <c r="P930" s="13">
        <v>299.17807500000004</v>
      </c>
      <c r="Q930" s="12" t="e">
        <f>IF(O930="Guaraníes",P930,P930*#REF!)</f>
        <v>#REF!</v>
      </c>
      <c r="R930" s="12">
        <f>IF(O930="Guaraníes",P930/#REF!,P930)</f>
        <v>299.17807500000004</v>
      </c>
      <c r="S930" s="5" t="s">
        <v>42</v>
      </c>
      <c r="T930" s="5">
        <v>3253</v>
      </c>
      <c r="W930" s="5" t="s">
        <v>65</v>
      </c>
      <c r="X930" s="5">
        <v>0</v>
      </c>
      <c r="Y930" s="5">
        <v>0</v>
      </c>
      <c r="Z930" s="5">
        <v>19.945205000000001</v>
      </c>
      <c r="AA930" s="5">
        <v>15</v>
      </c>
      <c r="AB930" s="5">
        <v>299.17807499999998</v>
      </c>
      <c r="AC930" s="5" t="str">
        <f t="shared" si="46"/>
        <v>Bonos</v>
      </c>
      <c r="AD930" s="5" t="s">
        <v>43</v>
      </c>
      <c r="AE930" s="5">
        <f t="shared" si="47"/>
        <v>7</v>
      </c>
      <c r="AF930" s="5">
        <f t="shared" si="48"/>
        <v>2025</v>
      </c>
    </row>
    <row r="931" s="5" customFormat="1" ht="13">
      <c r="A931" s="5">
        <v>12302</v>
      </c>
      <c r="B931" s="5" t="s">
        <v>98</v>
      </c>
      <c r="C931" s="5" t="s">
        <v>33</v>
      </c>
      <c r="D931" s="5" t="s">
        <v>20</v>
      </c>
      <c r="E931" s="5" t="s">
        <v>34</v>
      </c>
      <c r="F931" s="5" t="s">
        <v>35</v>
      </c>
      <c r="G931" s="5" t="s">
        <v>75</v>
      </c>
      <c r="H931" s="9" t="s">
        <v>168</v>
      </c>
      <c r="I931" s="10">
        <v>43508</v>
      </c>
      <c r="J931" s="10">
        <v>46056</v>
      </c>
      <c r="K931" s="5" t="s">
        <v>282</v>
      </c>
      <c r="L931" s="5" t="s">
        <v>50</v>
      </c>
      <c r="M931" s="11">
        <v>0.070000000000000007</v>
      </c>
      <c r="N931" s="5" t="e">
        <f>IF(AND(M931&gt;#REF!,Cartera!O931="Guaraníes"),"Rendimiento significativo",IF(AND(M931&gt;#REF!,Cartera!O931="Dólares americanos"),"Rendimiento significativo","Rendimiento no significativo"))</f>
        <v>#REF!</v>
      </c>
      <c r="O931" s="5" t="s">
        <v>51</v>
      </c>
      <c r="P931" s="13">
        <v>70000</v>
      </c>
      <c r="Q931" s="12" t="e">
        <f>IF(O931="Guaraníes",P931,P931*#REF!)</f>
        <v>#REF!</v>
      </c>
      <c r="R931" s="12">
        <f>IF(O931="Guaraníes",P931/#REF!,P931)</f>
        <v>70000</v>
      </c>
      <c r="S931" s="5" t="s">
        <v>42</v>
      </c>
      <c r="T931" s="5">
        <v>25</v>
      </c>
      <c r="AC931" s="5" t="str">
        <f t="shared" si="46"/>
        <v>Bonos</v>
      </c>
      <c r="AD931" s="5" t="s">
        <v>43</v>
      </c>
      <c r="AE931" s="5">
        <f t="shared" si="47"/>
        <v>2</v>
      </c>
      <c r="AF931" s="5">
        <f t="shared" si="48"/>
        <v>2026</v>
      </c>
    </row>
    <row r="932" s="5" customFormat="1" ht="13">
      <c r="A932" s="5">
        <v>12315</v>
      </c>
      <c r="B932" s="5" t="s">
        <v>73</v>
      </c>
      <c r="C932" s="5" t="s">
        <v>111</v>
      </c>
      <c r="D932" s="5" t="s">
        <v>21</v>
      </c>
      <c r="E932" s="5" t="s">
        <v>34</v>
      </c>
      <c r="F932" s="5" t="s">
        <v>68</v>
      </c>
      <c r="H932" s="9"/>
      <c r="I932" s="10">
        <v>45497</v>
      </c>
      <c r="J932" s="10">
        <v>45859</v>
      </c>
      <c r="L932" s="5" t="s">
        <v>82</v>
      </c>
      <c r="M932" s="11">
        <v>0.058000000000000003</v>
      </c>
      <c r="N932" s="5"/>
      <c r="O932" s="5" t="s">
        <v>51</v>
      </c>
      <c r="P932" s="18">
        <v>289.20999999999998</v>
      </c>
      <c r="Q932" s="12" t="e">
        <f>IF(O932="Guaraníes",P932,P932*#REF!)</f>
        <v>#REF!</v>
      </c>
      <c r="R932" s="12">
        <f>IF(O932="Guaraníes",P932/#REF!,P932)</f>
        <v>289.20999999999998</v>
      </c>
      <c r="S932" s="5" t="s">
        <v>42</v>
      </c>
      <c r="AC932" s="5" t="str">
        <f t="shared" si="46"/>
        <v>CDA</v>
      </c>
      <c r="AD932" s="5" t="s">
        <v>43</v>
      </c>
      <c r="AE932" s="5">
        <f t="shared" si="47"/>
        <v>7</v>
      </c>
      <c r="AF932" s="5">
        <f t="shared" si="48"/>
        <v>2025</v>
      </c>
    </row>
    <row r="933" s="5" customFormat="1" ht="13">
      <c r="A933" s="5">
        <v>12301</v>
      </c>
      <c r="B933" s="5" t="s">
        <v>107</v>
      </c>
      <c r="C933" s="5" t="s">
        <v>114</v>
      </c>
      <c r="D933" s="5" t="s">
        <v>20</v>
      </c>
      <c r="E933" s="5" t="s">
        <v>34</v>
      </c>
      <c r="F933" s="5" t="s">
        <v>68</v>
      </c>
      <c r="G933" s="5" t="s">
        <v>75</v>
      </c>
      <c r="H933" s="9" t="s">
        <v>170</v>
      </c>
      <c r="I933" s="10">
        <v>42425</v>
      </c>
      <c r="J933" s="10">
        <v>46063</v>
      </c>
      <c r="K933" s="5" t="s">
        <v>77</v>
      </c>
      <c r="L933" s="5" t="s">
        <v>50</v>
      </c>
      <c r="M933" s="11">
        <v>0.14000000000000001</v>
      </c>
      <c r="N933" s="5" t="e">
        <f>IF(AND(M933&gt;#REF!,Cartera!O933="Guaraníes"),"Rendimiento significativo",IF(AND(M933&gt;#REF!,Cartera!O933="Dólares americanos"),"Rendimiento significativo","Rendimiento no significativo"))</f>
        <v>#REF!</v>
      </c>
      <c r="O933" s="5" t="s">
        <v>41</v>
      </c>
      <c r="P933" s="12">
        <v>100000000</v>
      </c>
      <c r="Q933" s="12">
        <f>IF(O933="Guaraníes",P933,P933*#REF!)</f>
        <v>100000000</v>
      </c>
      <c r="R933" s="12" t="e">
        <f>IF(O933="Guaraníes",P933/#REF!,P933)</f>
        <v>#REF!</v>
      </c>
      <c r="S933" s="5" t="s">
        <v>42</v>
      </c>
      <c r="AC933" s="5" t="str">
        <f t="shared" si="46"/>
        <v>Bonos</v>
      </c>
      <c r="AD933" s="5" t="s">
        <v>43</v>
      </c>
      <c r="AE933" s="5">
        <f t="shared" si="47"/>
        <v>2</v>
      </c>
      <c r="AF933" s="5">
        <f t="shared" si="48"/>
        <v>2026</v>
      </c>
    </row>
    <row r="934" s="5" customFormat="1" ht="13">
      <c r="A934" s="5">
        <v>12316</v>
      </c>
      <c r="B934" s="5" t="s">
        <v>78</v>
      </c>
      <c r="C934" s="5" t="s">
        <v>111</v>
      </c>
      <c r="D934" s="5" t="s">
        <v>21</v>
      </c>
      <c r="E934" s="5" t="s">
        <v>34</v>
      </c>
      <c r="F934" s="12" t="s">
        <v>68</v>
      </c>
      <c r="G934" s="12"/>
      <c r="H934" s="19"/>
      <c r="I934" s="10">
        <v>45497</v>
      </c>
      <c r="J934" s="10">
        <v>45859</v>
      </c>
      <c r="K934" s="12"/>
      <c r="L934" s="5" t="s">
        <v>82</v>
      </c>
      <c r="M934" s="11">
        <v>0.073999999999999996</v>
      </c>
      <c r="N934" s="5"/>
      <c r="O934" s="5" t="s">
        <v>41</v>
      </c>
      <c r="P934" s="15">
        <v>3228630</v>
      </c>
      <c r="Q934" s="12">
        <f>IF(O934="Guaraníes",P934,P934*#REF!)</f>
        <v>3228630</v>
      </c>
      <c r="R934" s="12" t="e">
        <f>IF(O934="Guaraníes",P934/#REF!,P934)</f>
        <v>#REF!</v>
      </c>
      <c r="S934" s="5" t="s">
        <v>42</v>
      </c>
      <c r="AC934" s="5" t="str">
        <f t="shared" si="46"/>
        <v>CDA</v>
      </c>
      <c r="AD934" s="5" t="s">
        <v>43</v>
      </c>
      <c r="AE934" s="5">
        <f t="shared" si="47"/>
        <v>7</v>
      </c>
      <c r="AF934" s="5">
        <f t="shared" si="48"/>
        <v>2025</v>
      </c>
    </row>
    <row r="935" s="5" customFormat="1" ht="13">
      <c r="A935" s="5">
        <v>12316</v>
      </c>
      <c r="B935" s="5" t="s">
        <v>78</v>
      </c>
      <c r="C935" s="5" t="s">
        <v>79</v>
      </c>
      <c r="D935" s="5" t="s">
        <v>21</v>
      </c>
      <c r="E935" s="5" t="s">
        <v>34</v>
      </c>
      <c r="F935" s="12" t="s">
        <v>68</v>
      </c>
      <c r="G935" s="12"/>
      <c r="H935" s="9" t="s">
        <v>119</v>
      </c>
      <c r="I935" s="10">
        <v>45497</v>
      </c>
      <c r="J935" s="10">
        <v>45862</v>
      </c>
      <c r="K935" s="21"/>
      <c r="L935" s="5" t="s">
        <v>82</v>
      </c>
      <c r="M935" s="11">
        <v>0.083500000000000005</v>
      </c>
      <c r="N935" s="5"/>
      <c r="O935" s="5" t="s">
        <v>41</v>
      </c>
      <c r="P935" s="12">
        <v>3151267</v>
      </c>
      <c r="Q935" s="12">
        <f>IF(O935="Guaraníes",P935,P935*#REF!)</f>
        <v>3151267</v>
      </c>
      <c r="R935" s="13" t="e">
        <f>IF(O935="Guaraníes",P935/#REF!,P935)</f>
        <v>#REF!</v>
      </c>
      <c r="S935" s="5" t="s">
        <v>120</v>
      </c>
      <c r="AC935" s="5" t="str">
        <f t="shared" si="46"/>
        <v>CDA</v>
      </c>
      <c r="AD935" s="5" t="s">
        <v>43</v>
      </c>
      <c r="AE935" s="5">
        <f t="shared" si="47"/>
        <v>7</v>
      </c>
      <c r="AF935" s="5">
        <f t="shared" si="48"/>
        <v>2025</v>
      </c>
    </row>
    <row r="936" s="5" customFormat="1" ht="13">
      <c r="A936" s="5">
        <v>12315</v>
      </c>
      <c r="B936" s="5" t="s">
        <v>73</v>
      </c>
      <c r="C936" s="5" t="s">
        <v>79</v>
      </c>
      <c r="D936" s="5" t="s">
        <v>21</v>
      </c>
      <c r="E936" s="5" t="s">
        <v>34</v>
      </c>
      <c r="F936" s="22" t="s">
        <v>68</v>
      </c>
      <c r="G936" s="22"/>
      <c r="H936" s="9" t="s">
        <v>121</v>
      </c>
      <c r="I936" s="10">
        <v>45497</v>
      </c>
      <c r="J936" s="10">
        <v>45862</v>
      </c>
      <c r="L936" s="5" t="s">
        <v>82</v>
      </c>
      <c r="M936" s="11">
        <v>0.042000000000000003</v>
      </c>
      <c r="O936" s="5" t="s">
        <v>51</v>
      </c>
      <c r="P936" s="13">
        <v>211</v>
      </c>
      <c r="Q936" s="12" t="e">
        <f>IF(O936="Guaraníes",P936,P936*#REF!)</f>
        <v>#REF!</v>
      </c>
      <c r="R936" s="13">
        <f>IF(O936="Guaraníes",P936/#REF!,P936)</f>
        <v>211</v>
      </c>
      <c r="S936" s="5" t="s">
        <v>120</v>
      </c>
      <c r="AC936" s="5" t="str">
        <f t="shared" si="46"/>
        <v>CDA</v>
      </c>
      <c r="AD936" s="5" t="s">
        <v>43</v>
      </c>
      <c r="AE936" s="5">
        <f t="shared" si="47"/>
        <v>7</v>
      </c>
      <c r="AF936" s="5">
        <f t="shared" si="48"/>
        <v>2025</v>
      </c>
    </row>
    <row r="937" s="5" customFormat="1" ht="13">
      <c r="A937" s="5">
        <v>12315</v>
      </c>
      <c r="B937" s="5" t="s">
        <v>73</v>
      </c>
      <c r="C937" s="5" t="s">
        <v>54</v>
      </c>
      <c r="D937" s="5" t="s">
        <v>21</v>
      </c>
      <c r="E937" s="5" t="s">
        <v>34</v>
      </c>
      <c r="F937" s="5" t="s">
        <v>46</v>
      </c>
      <c r="G937" s="5" t="s">
        <v>55</v>
      </c>
      <c r="H937" s="9" t="s">
        <v>56</v>
      </c>
      <c r="I937" s="10">
        <v>44680</v>
      </c>
      <c r="J937" s="10">
        <v>45863</v>
      </c>
      <c r="K937" s="5" t="s">
        <v>57</v>
      </c>
      <c r="L937" s="5" t="s">
        <v>58</v>
      </c>
      <c r="M937" s="11">
        <v>0.059999999999999998</v>
      </c>
      <c r="N937" s="5" t="e">
        <f>IF(AND(M937&gt;#REF!,Cartera!O16="Guaraníes"),"Rendimiento significativo",IF(AND(M937&gt;#REF!,Cartera!O16="Dólares americanos"),"Rendimiento significativo","Rendimiento no significativo"))</f>
        <v>#REF!</v>
      </c>
      <c r="O937" s="5" t="s">
        <v>51</v>
      </c>
      <c r="P937" s="13">
        <v>747.9452</v>
      </c>
      <c r="Q937" s="12" t="e">
        <f>IF(O937="Guaraníes",P937,P937*#REF!)</f>
        <v>#REF!</v>
      </c>
      <c r="R937" s="12">
        <f>IF(O937="Guaraníes",P937/#REF!,P937)</f>
        <v>747.9452</v>
      </c>
      <c r="S937" s="5" t="s">
        <v>42</v>
      </c>
      <c r="T937" s="5">
        <v>17035</v>
      </c>
      <c r="V937" s="5">
        <v>14.960000000000001</v>
      </c>
      <c r="AA937" s="5">
        <v>50</v>
      </c>
      <c r="AC937" s="5" t="str">
        <f t="shared" si="46"/>
        <v>Bonos</v>
      </c>
      <c r="AD937" s="5" t="s">
        <v>43</v>
      </c>
      <c r="AE937" s="5">
        <f t="shared" si="47"/>
        <v>7</v>
      </c>
      <c r="AF937" s="5">
        <f t="shared" si="48"/>
        <v>2025</v>
      </c>
    </row>
    <row r="938" s="5" customFormat="1" ht="13">
      <c r="A938" s="5">
        <v>12316</v>
      </c>
      <c r="B938" s="5" t="s">
        <v>78</v>
      </c>
      <c r="C938" s="5" t="s">
        <v>138</v>
      </c>
      <c r="D938" s="5" t="s">
        <v>21</v>
      </c>
      <c r="E938" s="5" t="s">
        <v>34</v>
      </c>
      <c r="F938" s="5" t="s">
        <v>68</v>
      </c>
      <c r="G938" s="5" t="s">
        <v>86</v>
      </c>
      <c r="H938" s="9" t="s">
        <v>139</v>
      </c>
      <c r="I938" s="10">
        <v>43948</v>
      </c>
      <c r="J938" s="10">
        <v>45866</v>
      </c>
      <c r="K938" s="5" t="s">
        <v>140</v>
      </c>
      <c r="L938" s="5" t="s">
        <v>58</v>
      </c>
      <c r="M938" s="11">
        <v>0.11</v>
      </c>
      <c r="N938" s="5" t="e">
        <f>IF(AND(M938&gt;#REF!,Cartera!O3274="Guaraníes"),"Rendimiento significativo",IF(AND(M938&gt;#REF!,Cartera!O3274="Dólares americanos"),"Rendimiento significativo","Rendimiento no significativo"))</f>
        <v>#REF!</v>
      </c>
      <c r="O938" s="5" t="s">
        <v>41</v>
      </c>
      <c r="P938" s="12">
        <v>934246.57530000003</v>
      </c>
      <c r="Q938" s="12">
        <f>IF(O938="Guaraníes",P938,P938*#REF!)</f>
        <v>934246.57530000003</v>
      </c>
      <c r="R938" s="12" t="e">
        <f>IF(O938="Guaraníes",P938/#REF!,P938)</f>
        <v>#REF!</v>
      </c>
      <c r="S938" s="5" t="s">
        <v>42</v>
      </c>
      <c r="AC938" s="5" t="str">
        <f t="shared" si="46"/>
        <v>Bonos</v>
      </c>
      <c r="AD938" s="5" t="s">
        <v>43</v>
      </c>
      <c r="AE938" s="5">
        <f t="shared" si="47"/>
        <v>7</v>
      </c>
      <c r="AF938" s="5">
        <f t="shared" si="48"/>
        <v>2025</v>
      </c>
    </row>
    <row r="939" s="5" customFormat="1" ht="13">
      <c r="A939" s="5">
        <v>12315</v>
      </c>
      <c r="B939" s="5" t="s">
        <v>73</v>
      </c>
      <c r="C939" s="5" t="s">
        <v>33</v>
      </c>
      <c r="D939" s="5" t="s">
        <v>21</v>
      </c>
      <c r="E939" s="5" t="s">
        <v>34</v>
      </c>
      <c r="F939" s="5" t="s">
        <v>35</v>
      </c>
      <c r="G939" s="5" t="s">
        <v>141</v>
      </c>
      <c r="H939" s="9" t="s">
        <v>142</v>
      </c>
      <c r="I939" s="10">
        <v>44956</v>
      </c>
      <c r="J939" s="10">
        <v>45867</v>
      </c>
      <c r="K939" s="5" t="s">
        <v>39</v>
      </c>
      <c r="L939" s="5" t="s">
        <v>50</v>
      </c>
      <c r="M939" s="11">
        <v>0.065000000000000002</v>
      </c>
      <c r="N939" s="5" t="e">
        <f>IF(AND(M939&gt;#REF!,Cartera!O3066="Guaraníes"),"Rendimiento significativo",IF(AND(M939&gt;#REF!,Cartera!O3066="Dólares americanos"),"Rendimiento significativo","Rendimiento no significativo"))</f>
        <v>#REF!</v>
      </c>
      <c r="O939" s="5" t="s">
        <v>51</v>
      </c>
      <c r="P939" s="13">
        <v>1296.43832</v>
      </c>
      <c r="Q939" s="12" t="e">
        <f>IF(O939="Guaraníes",P939,P939*#REF!)</f>
        <v>#REF!</v>
      </c>
      <c r="R939" s="12">
        <f>IF(O939="Guaraníes",P939/#REF!,P939)</f>
        <v>1296.43832</v>
      </c>
      <c r="S939" s="5" t="s">
        <v>42</v>
      </c>
      <c r="AC939" s="5" t="str">
        <f t="shared" si="46"/>
        <v>Bonos</v>
      </c>
      <c r="AD939" s="5" t="s">
        <v>43</v>
      </c>
      <c r="AE939" s="5">
        <f t="shared" si="47"/>
        <v>7</v>
      </c>
      <c r="AF939" s="5">
        <f t="shared" si="48"/>
        <v>2025</v>
      </c>
    </row>
    <row r="940" s="5" customFormat="1" ht="13">
      <c r="A940" s="5">
        <v>12316</v>
      </c>
      <c r="B940" s="5" t="s">
        <v>78</v>
      </c>
      <c r="C940" s="5" t="s">
        <v>164</v>
      </c>
      <c r="D940" s="5" t="s">
        <v>21</v>
      </c>
      <c r="E940" s="5" t="s">
        <v>34</v>
      </c>
      <c r="F940" s="5" t="s">
        <v>68</v>
      </c>
      <c r="G940" s="5" t="s">
        <v>145</v>
      </c>
      <c r="H940" s="9" t="s">
        <v>165</v>
      </c>
      <c r="I940" s="10"/>
      <c r="J940" s="10">
        <v>45869</v>
      </c>
      <c r="K940" s="5" t="s">
        <v>124</v>
      </c>
      <c r="L940" s="5" t="s">
        <v>58</v>
      </c>
      <c r="M940" s="11">
        <v>0.10000000000000001</v>
      </c>
      <c r="N940" s="5" t="e">
        <f>IF(AND(M940&gt;#REF!,Cartera!O1518="Guaraníes"),"Rendimiento significativo",IF(AND(M940&gt;#REF!,Cartera!O1518="Dólares americanos"),"Rendimiento significativo","Rendimiento no significativo"))</f>
        <v>#REF!</v>
      </c>
      <c r="O940" s="5" t="s">
        <v>41</v>
      </c>
      <c r="P940" s="12">
        <v>3397260.2740000002</v>
      </c>
      <c r="Q940" s="12">
        <f>IF(O940="Guaraníes",P940,P940*#REF!)</f>
        <v>3397260.2740000002</v>
      </c>
      <c r="R940" s="12" t="e">
        <f>IF(O940="Guaraníes",P940/#REF!,P940)</f>
        <v>#REF!</v>
      </c>
      <c r="S940" s="5" t="s">
        <v>42</v>
      </c>
      <c r="T940" s="5">
        <v>1057</v>
      </c>
      <c r="W940" s="5" t="s">
        <v>65</v>
      </c>
      <c r="X940" s="5">
        <v>0</v>
      </c>
      <c r="Y940" s="5">
        <v>0</v>
      </c>
      <c r="Z940" s="5">
        <v>8493.1506850000005</v>
      </c>
      <c r="AA940" s="5">
        <v>400</v>
      </c>
      <c r="AB940" s="5">
        <v>3397260.2740000002</v>
      </c>
      <c r="AC940" s="5" t="str">
        <f t="shared" si="46"/>
        <v>Bonos</v>
      </c>
      <c r="AD940" s="5" t="s">
        <v>43</v>
      </c>
      <c r="AE940" s="5">
        <f t="shared" si="47"/>
        <v>7</v>
      </c>
      <c r="AF940" s="5">
        <f t="shared" si="48"/>
        <v>2025</v>
      </c>
    </row>
    <row r="941" s="5" customFormat="1" ht="13">
      <c r="A941" s="5">
        <v>12316</v>
      </c>
      <c r="B941" s="5" t="s">
        <v>78</v>
      </c>
      <c r="C941" s="5" t="s">
        <v>164</v>
      </c>
      <c r="D941" s="5" t="s">
        <v>21</v>
      </c>
      <c r="E941" s="5" t="s">
        <v>34</v>
      </c>
      <c r="F941" s="5" t="s">
        <v>68</v>
      </c>
      <c r="G941" s="5" t="s">
        <v>91</v>
      </c>
      <c r="H941" s="9" t="s">
        <v>166</v>
      </c>
      <c r="I941" s="10"/>
      <c r="J941" s="10">
        <v>45869</v>
      </c>
      <c r="K941" s="5" t="s">
        <v>124</v>
      </c>
      <c r="L941" s="5" t="s">
        <v>58</v>
      </c>
      <c r="M941" s="11">
        <v>0.092499999999999999</v>
      </c>
      <c r="N941" s="5" t="e">
        <f>IF(AND(M941&gt;#REF!,Cartera!O1878="Guaraníes"),"Rendimiento significativo",IF(AND(M941&gt;#REF!,Cartera!O1878="Dólares americanos"),"Rendimiento significativo","Rendimiento no significativo"))</f>
        <v>#REF!</v>
      </c>
      <c r="O941" s="5" t="s">
        <v>41</v>
      </c>
      <c r="P941" s="12">
        <v>1178424.6576</v>
      </c>
      <c r="Q941" s="12">
        <f>IF(O941="Guaraníes",P941,P941*#REF!)</f>
        <v>1178424.6576</v>
      </c>
      <c r="R941" s="12" t="e">
        <f>IF(O941="Guaraníes",P941/#REF!,P941)</f>
        <v>#REF!</v>
      </c>
      <c r="S941" s="5" t="s">
        <v>42</v>
      </c>
      <c r="T941" s="5">
        <v>3253</v>
      </c>
      <c r="W941" s="5" t="s">
        <v>65</v>
      </c>
      <c r="X941" s="5">
        <v>0</v>
      </c>
      <c r="Y941" s="5">
        <v>0</v>
      </c>
      <c r="Z941" s="5">
        <v>7856.1643839999997</v>
      </c>
      <c r="AA941" s="5">
        <v>150</v>
      </c>
      <c r="AB941" s="5">
        <v>1178424.6576</v>
      </c>
      <c r="AC941" s="5" t="str">
        <f t="shared" si="46"/>
        <v>Bonos</v>
      </c>
      <c r="AD941" s="5" t="s">
        <v>43</v>
      </c>
      <c r="AE941" s="5">
        <f t="shared" si="47"/>
        <v>7</v>
      </c>
      <c r="AF941" s="5">
        <f t="shared" si="48"/>
        <v>2025</v>
      </c>
    </row>
    <row r="942" s="5" customFormat="1" ht="13">
      <c r="A942" s="5">
        <v>12316</v>
      </c>
      <c r="B942" s="5" t="s">
        <v>78</v>
      </c>
      <c r="C942" s="5" t="s">
        <v>164</v>
      </c>
      <c r="D942" s="5" t="s">
        <v>21</v>
      </c>
      <c r="E942" s="5" t="s">
        <v>34</v>
      </c>
      <c r="F942" s="5" t="s">
        <v>68</v>
      </c>
      <c r="G942" s="5" t="s">
        <v>141</v>
      </c>
      <c r="H942" s="9" t="s">
        <v>165</v>
      </c>
      <c r="I942" s="10"/>
      <c r="J942" s="10">
        <v>45869</v>
      </c>
      <c r="K942" s="5" t="s">
        <v>124</v>
      </c>
      <c r="L942" s="5" t="s">
        <v>58</v>
      </c>
      <c r="M942" s="11">
        <v>0.10000000000000001</v>
      </c>
      <c r="N942" s="5" t="e">
        <f>IF(AND(M942&gt;#REF!,Cartera!O2102="Guaraníes"),"Rendimiento significativo",IF(AND(M942&gt;#REF!,Cartera!O2102="Dólares americanos"),"Rendimiento significativo","Rendimiento no significativo"))</f>
        <v>#REF!</v>
      </c>
      <c r="O942" s="5" t="s">
        <v>41</v>
      </c>
      <c r="P942" s="12">
        <v>849315.06850000005</v>
      </c>
      <c r="Q942" s="12">
        <f>IF(O942="Guaraníes",P942,P942*#REF!)</f>
        <v>849315.06850000005</v>
      </c>
      <c r="R942" s="12" t="e">
        <f>IF(O942="Guaraníes",P942/#REF!,P942)</f>
        <v>#REF!</v>
      </c>
      <c r="S942" s="5" t="s">
        <v>42</v>
      </c>
      <c r="T942" s="5">
        <v>9243</v>
      </c>
      <c r="W942" s="5" t="s">
        <v>65</v>
      </c>
      <c r="X942" s="5">
        <v>0</v>
      </c>
      <c r="Y942" s="5">
        <v>0</v>
      </c>
      <c r="Z942" s="5">
        <v>8493.1506850000005</v>
      </c>
      <c r="AA942" s="5">
        <v>100</v>
      </c>
      <c r="AB942" s="5">
        <v>849315.06850000005</v>
      </c>
      <c r="AC942" s="5" t="str">
        <f t="shared" si="46"/>
        <v>Bonos</v>
      </c>
      <c r="AD942" s="5" t="s">
        <v>43</v>
      </c>
      <c r="AE942" s="5">
        <f t="shared" si="47"/>
        <v>7</v>
      </c>
      <c r="AF942" s="5">
        <f t="shared" si="48"/>
        <v>2025</v>
      </c>
    </row>
    <row r="943" s="5" customFormat="1" ht="13">
      <c r="A943" s="5">
        <v>12316</v>
      </c>
      <c r="B943" s="5" t="s">
        <v>78</v>
      </c>
      <c r="C943" s="5" t="s">
        <v>164</v>
      </c>
      <c r="D943" s="5" t="s">
        <v>21</v>
      </c>
      <c r="E943" s="5" t="s">
        <v>34</v>
      </c>
      <c r="F943" s="5" t="s">
        <v>68</v>
      </c>
      <c r="G943" s="5" t="s">
        <v>141</v>
      </c>
      <c r="H943" s="9" t="s">
        <v>167</v>
      </c>
      <c r="I943" s="10"/>
      <c r="J943" s="10">
        <v>45869</v>
      </c>
      <c r="K943" s="5" t="s">
        <v>124</v>
      </c>
      <c r="L943" s="5" t="s">
        <v>58</v>
      </c>
      <c r="M943" s="11">
        <v>0.092499999999999999</v>
      </c>
      <c r="N943" s="5" t="e">
        <f>IF(AND(M943&gt;#REF!,Cartera!O2103="Guaraníes"),"Rendimiento significativo",IF(AND(M943&gt;#REF!,Cartera!O2103="Dólares americanos"),"Rendimiento significativo","Rendimiento no significativo"))</f>
        <v>#REF!</v>
      </c>
      <c r="O943" s="5" t="s">
        <v>41</v>
      </c>
      <c r="P943" s="12">
        <v>785616.43839999998</v>
      </c>
      <c r="Q943" s="12">
        <f>IF(O943="Guaraníes",P943,P943*#REF!)</f>
        <v>785616.43839999998</v>
      </c>
      <c r="R943" s="12" t="e">
        <f>IF(O943="Guaraníes",P943/#REF!,P943)</f>
        <v>#REF!</v>
      </c>
      <c r="S943" s="5" t="s">
        <v>42</v>
      </c>
      <c r="T943" s="5">
        <v>9243</v>
      </c>
      <c r="W943" s="5" t="s">
        <v>65</v>
      </c>
      <c r="X943" s="5">
        <v>0</v>
      </c>
      <c r="Y943" s="5">
        <v>0</v>
      </c>
      <c r="Z943" s="5">
        <v>7856.1643839999997</v>
      </c>
      <c r="AA943" s="5">
        <v>100</v>
      </c>
      <c r="AB943" s="5">
        <v>785616.43839999998</v>
      </c>
      <c r="AC943" s="5" t="str">
        <f t="shared" si="46"/>
        <v>Bonos</v>
      </c>
      <c r="AD943" s="5" t="s">
        <v>43</v>
      </c>
      <c r="AE943" s="5">
        <f t="shared" si="47"/>
        <v>7</v>
      </c>
      <c r="AF943" s="5">
        <f t="shared" si="48"/>
        <v>2025</v>
      </c>
    </row>
    <row r="944" s="5" customFormat="1" ht="13">
      <c r="A944" s="5">
        <v>12315</v>
      </c>
      <c r="B944" s="5" t="s">
        <v>73</v>
      </c>
      <c r="C944" s="5" t="s">
        <v>116</v>
      </c>
      <c r="D944" s="5" t="s">
        <v>21</v>
      </c>
      <c r="E944" s="5" t="s">
        <v>34</v>
      </c>
      <c r="F944" s="5" t="s">
        <v>68</v>
      </c>
      <c r="H944" s="9" t="s">
        <v>117</v>
      </c>
      <c r="I944" s="10">
        <v>45321</v>
      </c>
      <c r="J944" s="10">
        <v>45873</v>
      </c>
      <c r="K944" s="5" t="s">
        <v>118</v>
      </c>
      <c r="L944" s="5" t="s">
        <v>82</v>
      </c>
      <c r="M944" s="11">
        <v>0.055</v>
      </c>
      <c r="N944" s="5" t="e">
        <f>IF(AND(M944&gt;#REF!,Cartera!O3537="Guaraníes"),"Rendimiento significativo",IF(AND(M944&gt;#REF!,Cartera!O3537="Dólares americanos"),"Rendimiento significativo","Rendimiento no significativo"))</f>
        <v>#REF!</v>
      </c>
      <c r="O944" s="5" t="s">
        <v>51</v>
      </c>
      <c r="P944" s="13">
        <v>614.78999999999996</v>
      </c>
      <c r="Q944" s="12" t="e">
        <f>IF(O944="Guaraníes",P944,P944*#REF!)</f>
        <v>#REF!</v>
      </c>
      <c r="R944" s="12">
        <f>IF(O944="Guaraníes",P944/#REF!,P944)</f>
        <v>614.78999999999996</v>
      </c>
      <c r="S944" s="5" t="s">
        <v>42</v>
      </c>
      <c r="AC944" s="5" t="str">
        <f t="shared" si="46"/>
        <v>CDA</v>
      </c>
      <c r="AD944" s="5" t="s">
        <v>43</v>
      </c>
      <c r="AE944" s="5">
        <f t="shared" si="47"/>
        <v>8</v>
      </c>
      <c r="AF944" s="5">
        <f t="shared" si="48"/>
        <v>2025</v>
      </c>
    </row>
    <row r="945" s="5" customFormat="1" ht="13">
      <c r="A945" s="5">
        <v>12315</v>
      </c>
      <c r="B945" s="5" t="s">
        <v>73</v>
      </c>
      <c r="C945" s="5" t="s">
        <v>33</v>
      </c>
      <c r="D945" s="5" t="s">
        <v>21</v>
      </c>
      <c r="E945" s="5" t="s">
        <v>34</v>
      </c>
      <c r="F945" s="5" t="s">
        <v>35</v>
      </c>
      <c r="G945" s="5" t="s">
        <v>75</v>
      </c>
      <c r="H945" s="9" t="s">
        <v>168</v>
      </c>
      <c r="I945" s="10"/>
      <c r="J945" s="10">
        <v>45874</v>
      </c>
      <c r="K945" s="5" t="s">
        <v>39</v>
      </c>
      <c r="L945" s="5" t="s">
        <v>50</v>
      </c>
      <c r="M945" s="11">
        <v>0.070000000000000007</v>
      </c>
      <c r="N945" s="5" t="e">
        <f>IF(AND(M945&gt;#REF!,Cartera!O920="Guaraníes"),"Rendimiento significativo",IF(AND(M945&gt;#REF!,Cartera!O920="Dólares americanos"),"Rendimiento significativo","Rendimiento no significativo"))</f>
        <v>#REF!</v>
      </c>
      <c r="O945" s="5" t="s">
        <v>51</v>
      </c>
      <c r="P945" s="13">
        <v>1221.6438500000002</v>
      </c>
      <c r="Q945" s="12" t="e">
        <f>IF(O945="Guaraníes",P945,P945*#REF!)</f>
        <v>#REF!</v>
      </c>
      <c r="R945" s="12">
        <f>IF(O945="Guaraníes",P945/#REF!,P945)</f>
        <v>1221.6438500000002</v>
      </c>
      <c r="S945" s="5" t="s">
        <v>42</v>
      </c>
      <c r="T945" s="5">
        <v>25</v>
      </c>
      <c r="W945" s="5" t="s">
        <v>65</v>
      </c>
      <c r="X945" s="5">
        <v>0</v>
      </c>
      <c r="Y945" s="5">
        <v>0</v>
      </c>
      <c r="Z945" s="5">
        <v>17.452055000000001</v>
      </c>
      <c r="AA945" s="5">
        <v>70</v>
      </c>
      <c r="AB945" s="5">
        <v>1221.6438499999999</v>
      </c>
      <c r="AC945" s="5" t="str">
        <f t="shared" si="46"/>
        <v>Bonos</v>
      </c>
      <c r="AD945" s="5" t="s">
        <v>43</v>
      </c>
      <c r="AE945" s="5">
        <f t="shared" si="47"/>
        <v>8</v>
      </c>
      <c r="AF945" s="5">
        <f t="shared" si="48"/>
        <v>2025</v>
      </c>
    </row>
    <row r="946" s="5" customFormat="1" ht="13">
      <c r="A946" s="5">
        <v>12316</v>
      </c>
      <c r="B946" s="5" t="s">
        <v>78</v>
      </c>
      <c r="C946" s="5" t="s">
        <v>116</v>
      </c>
      <c r="D946" s="5" t="s">
        <v>21</v>
      </c>
      <c r="E946" s="5" t="s">
        <v>34</v>
      </c>
      <c r="F946" s="5" t="s">
        <v>68</v>
      </c>
      <c r="H946" s="9">
        <v>6208</v>
      </c>
      <c r="I946" s="10"/>
      <c r="J946" s="10">
        <v>45875</v>
      </c>
      <c r="K946" s="5" t="s">
        <v>118</v>
      </c>
      <c r="L946" s="5" t="s">
        <v>82</v>
      </c>
      <c r="M946" s="11">
        <v>0.080000000000000002</v>
      </c>
      <c r="N946" s="5" t="e">
        <f>IF(AND(M946&gt;#REF!,Cartera!O2956="Guaraníes"),"Rendimiento significativo",IF(AND(M946&gt;#REF!,Cartera!O2956="Dólares americanos"),"Rendimiento significativo","Rendimiento no significativo"))</f>
        <v>#REF!</v>
      </c>
      <c r="O946" s="5" t="s">
        <v>41</v>
      </c>
      <c r="P946" s="12">
        <v>1992329</v>
      </c>
      <c r="Q946" s="12">
        <f>IF(O946="Guaraníes",P946,P946*#REF!)</f>
        <v>1992329</v>
      </c>
      <c r="R946" s="12" t="e">
        <f>IF(O946="Guaraníes",P946/#REF!,P946)</f>
        <v>#REF!</v>
      </c>
      <c r="S946" s="5" t="s">
        <v>42</v>
      </c>
      <c r="V946" s="5">
        <v>1992329</v>
      </c>
      <c r="W946" s="5" t="s">
        <v>283</v>
      </c>
      <c r="AC946" s="5" t="str">
        <f t="shared" si="46"/>
        <v>CDA</v>
      </c>
      <c r="AD946" s="5" t="s">
        <v>43</v>
      </c>
      <c r="AE946" s="5">
        <f t="shared" si="47"/>
        <v>8</v>
      </c>
      <c r="AF946" s="5">
        <f t="shared" si="48"/>
        <v>2025</v>
      </c>
    </row>
    <row r="947" s="5" customFormat="1" ht="13">
      <c r="A947" s="5">
        <v>12316</v>
      </c>
      <c r="B947" s="5" t="s">
        <v>78</v>
      </c>
      <c r="C947" s="5" t="s">
        <v>74</v>
      </c>
      <c r="D947" s="5" t="s">
        <v>21</v>
      </c>
      <c r="E947" s="5" t="s">
        <v>34</v>
      </c>
      <c r="F947" s="5" t="s">
        <v>68</v>
      </c>
      <c r="H947" s="9" t="s">
        <v>133</v>
      </c>
      <c r="I947" s="10">
        <v>45329</v>
      </c>
      <c r="J947" s="10">
        <v>45880</v>
      </c>
      <c r="K947" s="5" t="s">
        <v>77</v>
      </c>
      <c r="L947" s="5" t="s">
        <v>82</v>
      </c>
      <c r="M947" s="11">
        <v>0.086499999999999994</v>
      </c>
      <c r="N947" s="5" t="e">
        <f>IF(AND(M947&gt;#REF!,Cartera!O3550="Guaraníes"),"Rendimiento significativo",IF(AND(M947&gt;#REF!,Cartera!O3550="Dólares americanos"),"Rendimiento significativo","Rendimiento no significativo"))</f>
        <v>#REF!</v>
      </c>
      <c r="O947" s="5" t="s">
        <v>41</v>
      </c>
      <c r="P947" s="12">
        <v>3590343</v>
      </c>
      <c r="Q947" s="12">
        <f>IF(O947="Guaraníes",P947,P947*#REF!)</f>
        <v>3590343</v>
      </c>
      <c r="R947" s="12" t="e">
        <f>IF(O947="Guaraníes",P947/#REF!,P947)</f>
        <v>#REF!</v>
      </c>
      <c r="S947" s="5" t="s">
        <v>42</v>
      </c>
      <c r="AC947" s="5" t="str">
        <f t="shared" si="46"/>
        <v>CDA</v>
      </c>
      <c r="AD947" s="5" t="s">
        <v>43</v>
      </c>
      <c r="AE947" s="5">
        <f t="shared" si="47"/>
        <v>8</v>
      </c>
      <c r="AF947" s="5">
        <f t="shared" si="48"/>
        <v>2025</v>
      </c>
    </row>
    <row r="948" s="5" customFormat="1" ht="13">
      <c r="A948" s="5">
        <v>12316</v>
      </c>
      <c r="B948" s="5" t="s">
        <v>78</v>
      </c>
      <c r="C948" s="5" t="s">
        <v>114</v>
      </c>
      <c r="D948" s="5" t="s">
        <v>21</v>
      </c>
      <c r="E948" s="5" t="s">
        <v>34</v>
      </c>
      <c r="F948" s="5" t="s">
        <v>68</v>
      </c>
      <c r="G948" s="5" t="s">
        <v>75</v>
      </c>
      <c r="H948" s="9" t="s">
        <v>170</v>
      </c>
      <c r="I948" s="10"/>
      <c r="J948" s="10">
        <v>45881</v>
      </c>
      <c r="K948" s="5" t="s">
        <v>77</v>
      </c>
      <c r="L948" s="5" t="s">
        <v>50</v>
      </c>
      <c r="M948" s="11">
        <v>0.14000000000000001</v>
      </c>
      <c r="N948" s="5" t="e">
        <f>IF(AND(M948&gt;#REF!,Cartera!O921="Guaraníes"),"Rendimiento significativo",IF(AND(M948&gt;#REF!,Cartera!O921="Dólares americanos"),"Rendimiento significativo","Rendimiento no significativo"))</f>
        <v>#REF!</v>
      </c>
      <c r="O948" s="5" t="s">
        <v>41</v>
      </c>
      <c r="P948" s="12">
        <v>3490410.9589</v>
      </c>
      <c r="Q948" s="12">
        <f>IF(O948="Guaraníes",P948,P948*#REF!)</f>
        <v>3490410.9589</v>
      </c>
      <c r="R948" s="12" t="e">
        <f>IF(O948="Guaraníes",P948/#REF!,P948)</f>
        <v>#REF!</v>
      </c>
      <c r="S948" s="5" t="s">
        <v>42</v>
      </c>
      <c r="T948" s="5">
        <v>25</v>
      </c>
      <c r="W948" s="5" t="s">
        <v>65</v>
      </c>
      <c r="X948" s="5">
        <v>0</v>
      </c>
      <c r="Y948" s="5">
        <v>0</v>
      </c>
      <c r="Z948" s="5">
        <v>34904.109589</v>
      </c>
      <c r="AA948" s="5">
        <v>100</v>
      </c>
      <c r="AB948" s="5">
        <v>3490410.9589</v>
      </c>
      <c r="AC948" s="5" t="str">
        <f t="shared" si="46"/>
        <v>Bonos</v>
      </c>
      <c r="AD948" s="5" t="s">
        <v>43</v>
      </c>
      <c r="AE948" s="5">
        <f t="shared" si="47"/>
        <v>8</v>
      </c>
      <c r="AF948" s="5">
        <f t="shared" si="48"/>
        <v>2025</v>
      </c>
    </row>
    <row r="949" s="5" customFormat="1" ht="13">
      <c r="A949" s="5">
        <v>12316</v>
      </c>
      <c r="B949" s="5" t="s">
        <v>78</v>
      </c>
      <c r="C949" s="5" t="s">
        <v>99</v>
      </c>
      <c r="D949" s="5" t="s">
        <v>21</v>
      </c>
      <c r="E949" s="5" t="s">
        <v>34</v>
      </c>
      <c r="F949" s="5" t="s">
        <v>100</v>
      </c>
      <c r="G949" s="5" t="s">
        <v>91</v>
      </c>
      <c r="H949" s="9" t="s">
        <v>174</v>
      </c>
      <c r="I949" s="10">
        <v>44971</v>
      </c>
      <c r="J949" s="10">
        <v>45884</v>
      </c>
      <c r="K949" s="5" t="s">
        <v>102</v>
      </c>
      <c r="L949" s="5" t="s">
        <v>102</v>
      </c>
      <c r="M949" s="11">
        <v>0.090300000000000005</v>
      </c>
      <c r="N949" s="5" t="e">
        <f>IF(AND(M949&gt;#REF!,Cartera!O3045="Guaraníes"),"Rendimiento significativo",IF(AND(M949&gt;#REF!,Cartera!O3045="Dólares americanos"),"Rendimiento significativo","Rendimiento no significativo"))</f>
        <v>#REF!</v>
      </c>
      <c r="O949" s="5" t="s">
        <v>41</v>
      </c>
      <c r="P949" s="12">
        <v>20407800</v>
      </c>
      <c r="Q949" s="12">
        <f>IF(O949="Guaraníes",P949,P949*#REF!)</f>
        <v>20407800</v>
      </c>
      <c r="R949" s="12" t="e">
        <f>IF(O949="Guaraníes",P949/#REF!,P949)</f>
        <v>#REF!</v>
      </c>
      <c r="S949" s="5" t="s">
        <v>42</v>
      </c>
      <c r="AC949" s="5" t="str">
        <f t="shared" si="46"/>
        <v>Bonos</v>
      </c>
      <c r="AD949" s="5" t="s">
        <v>43</v>
      </c>
      <c r="AE949" s="5">
        <f t="shared" si="47"/>
        <v>8</v>
      </c>
      <c r="AF949" s="5">
        <f t="shared" si="48"/>
        <v>2025</v>
      </c>
    </row>
    <row r="950" s="5" customFormat="1" ht="13">
      <c r="A950" s="5">
        <v>12315</v>
      </c>
      <c r="B950" s="5" t="s">
        <v>73</v>
      </c>
      <c r="C950" s="5" t="s">
        <v>45</v>
      </c>
      <c r="D950" s="5" t="s">
        <v>21</v>
      </c>
      <c r="E950" s="5" t="s">
        <v>34</v>
      </c>
      <c r="F950" s="5" t="s">
        <v>46</v>
      </c>
      <c r="G950" s="5" t="s">
        <v>55</v>
      </c>
      <c r="H950" s="9" t="s">
        <v>108</v>
      </c>
      <c r="I950" s="10">
        <v>44704</v>
      </c>
      <c r="J950" s="10">
        <v>45887</v>
      </c>
      <c r="K950" s="5" t="s">
        <v>49</v>
      </c>
      <c r="L950" s="5" t="s">
        <v>58</v>
      </c>
      <c r="M950" s="11">
        <v>0.059999999999999998</v>
      </c>
      <c r="N950" s="5" t="e">
        <f>IF(AND(M950&gt;#REF!,Cartera!O45="Guaraníes"),"Rendimiento significativo",IF(AND(M950&gt;#REF!,Cartera!O45="Dólares americanos"),"Rendimiento significativo","Rendimiento no significativo"))</f>
        <v>#REF!</v>
      </c>
      <c r="O950" s="5" t="s">
        <v>51</v>
      </c>
      <c r="P950" s="13">
        <v>373.9726</v>
      </c>
      <c r="Q950" s="12" t="e">
        <f>IF(O950="Guaraníes",P950,P950*#REF!)</f>
        <v>#REF!</v>
      </c>
      <c r="R950" s="12">
        <f>IF(O950="Guaraníes",P950/#REF!,P950)</f>
        <v>373.9726</v>
      </c>
      <c r="S950" s="5" t="s">
        <v>42</v>
      </c>
      <c r="V950" s="5">
        <v>14.958904</v>
      </c>
      <c r="AA950" s="5">
        <v>25</v>
      </c>
      <c r="AC950" s="5" t="str">
        <f t="shared" si="46"/>
        <v>Bonos</v>
      </c>
      <c r="AD950" s="5" t="s">
        <v>43</v>
      </c>
      <c r="AE950" s="5">
        <f t="shared" si="47"/>
        <v>8</v>
      </c>
      <c r="AF950" s="5">
        <f t="shared" si="48"/>
        <v>2025</v>
      </c>
    </row>
    <row r="951" s="5" customFormat="1" ht="13">
      <c r="A951" s="5">
        <v>12315</v>
      </c>
      <c r="B951" s="5" t="s">
        <v>73</v>
      </c>
      <c r="C951" s="5" t="s">
        <v>45</v>
      </c>
      <c r="D951" s="5" t="s">
        <v>21</v>
      </c>
      <c r="E951" s="5" t="s">
        <v>34</v>
      </c>
      <c r="F951" s="5" t="s">
        <v>46</v>
      </c>
      <c r="G951" s="5" t="s">
        <v>86</v>
      </c>
      <c r="H951" s="9" t="s">
        <v>108</v>
      </c>
      <c r="I951" s="10">
        <v>44704</v>
      </c>
      <c r="J951" s="10">
        <v>45887</v>
      </c>
      <c r="K951" s="5" t="s">
        <v>49</v>
      </c>
      <c r="L951" s="5" t="s">
        <v>58</v>
      </c>
      <c r="M951" s="11">
        <v>0.059999999999999998</v>
      </c>
      <c r="N951" s="5" t="e">
        <f>IF(AND(M951&gt;#REF!,Cartera!O339="Guaraníes"),"Rendimiento significativo",IF(AND(M951&gt;#REF!,Cartera!O339="Dólares americanos"),"Rendimiento significativo","Rendimiento no significativo"))</f>
        <v>#REF!</v>
      </c>
      <c r="O951" s="5" t="s">
        <v>51</v>
      </c>
      <c r="P951" s="13">
        <v>478.68492800000001</v>
      </c>
      <c r="Q951" s="12" t="e">
        <f>IF(O951="Guaraníes",P951,P951*#REF!)</f>
        <v>#REF!</v>
      </c>
      <c r="R951" s="12">
        <f>IF(O951="Guaraníes",P951/#REF!,P951)</f>
        <v>478.68492800000001</v>
      </c>
      <c r="S951" s="5" t="s">
        <v>42</v>
      </c>
      <c r="AA951" s="5">
        <v>32</v>
      </c>
      <c r="AC951" s="5" t="str">
        <f t="shared" si="46"/>
        <v>Bonos</v>
      </c>
      <c r="AD951" s="5" t="s">
        <v>43</v>
      </c>
      <c r="AE951" s="5">
        <f t="shared" si="47"/>
        <v>8</v>
      </c>
      <c r="AF951" s="5">
        <f t="shared" si="48"/>
        <v>2025</v>
      </c>
    </row>
    <row r="952" s="5" customFormat="1" ht="13">
      <c r="A952" s="5">
        <v>12315</v>
      </c>
      <c r="B952" s="5" t="s">
        <v>73</v>
      </c>
      <c r="C952" s="5" t="s">
        <v>176</v>
      </c>
      <c r="D952" s="5" t="s">
        <v>21</v>
      </c>
      <c r="E952" s="5" t="s">
        <v>34</v>
      </c>
      <c r="F952" s="5" t="s">
        <v>68</v>
      </c>
      <c r="G952" s="5" t="s">
        <v>91</v>
      </c>
      <c r="H952" s="9" t="s">
        <v>177</v>
      </c>
      <c r="I952" s="10"/>
      <c r="J952" s="10">
        <v>45889</v>
      </c>
      <c r="K952" s="5" t="s">
        <v>178</v>
      </c>
      <c r="L952" s="5" t="s">
        <v>58</v>
      </c>
      <c r="M952" s="11">
        <v>0.085000000000000006</v>
      </c>
      <c r="N952" s="5" t="e">
        <f>IF(AND(M952&gt;#REF!,Cartera!O1879="Guaraníes"),"Rendimiento significativo",IF(AND(M952&gt;#REF!,Cartera!O1879="Dólares americanos"),"Rendimiento significativo","Rendimiento no significativo"))</f>
        <v>#REF!</v>
      </c>
      <c r="O952" s="5" t="s">
        <v>51</v>
      </c>
      <c r="P952" s="13">
        <v>560.95890000000009</v>
      </c>
      <c r="Q952" s="12" t="e">
        <f>IF(O952="Guaraníes",P952,P952*#REF!)</f>
        <v>#REF!</v>
      </c>
      <c r="R952" s="12">
        <f>IF(O952="Guaraníes",P952/#REF!,P952)</f>
        <v>560.95890000000009</v>
      </c>
      <c r="S952" s="5" t="s">
        <v>42</v>
      </c>
      <c r="T952" s="5">
        <v>3253</v>
      </c>
      <c r="W952" s="5" t="s">
        <v>65</v>
      </c>
      <c r="X952" s="5">
        <v>0</v>
      </c>
      <c r="Y952" s="5">
        <v>0</v>
      </c>
      <c r="Z952" s="5">
        <v>18.698630000000001</v>
      </c>
      <c r="AA952" s="5">
        <v>30</v>
      </c>
      <c r="AB952" s="5">
        <v>560.95889999999997</v>
      </c>
      <c r="AC952" s="5" t="str">
        <f t="shared" si="46"/>
        <v>Bonos</v>
      </c>
      <c r="AD952" s="5" t="s">
        <v>43</v>
      </c>
      <c r="AE952" s="5">
        <f t="shared" si="47"/>
        <v>8</v>
      </c>
      <c r="AF952" s="5">
        <f t="shared" si="48"/>
        <v>2025</v>
      </c>
    </row>
    <row r="953" s="5" customFormat="1" ht="13">
      <c r="A953" s="5">
        <v>12316</v>
      </c>
      <c r="B953" s="5" t="s">
        <v>78</v>
      </c>
      <c r="C953" s="5" t="s">
        <v>94</v>
      </c>
      <c r="D953" s="5" t="s">
        <v>21</v>
      </c>
      <c r="E953" s="5" t="s">
        <v>34</v>
      </c>
      <c r="F953" s="5" t="s">
        <v>68</v>
      </c>
      <c r="H953" s="9" t="s">
        <v>182</v>
      </c>
      <c r="I953" s="10">
        <v>45530</v>
      </c>
      <c r="J953" s="10">
        <v>45890</v>
      </c>
      <c r="L953" s="5" t="s">
        <v>82</v>
      </c>
      <c r="M953" s="11">
        <v>0.082500000000000004</v>
      </c>
      <c r="N953" s="5"/>
      <c r="O953" s="5" t="s">
        <v>41</v>
      </c>
      <c r="P953" s="13">
        <v>4068493</v>
      </c>
      <c r="Q953" s="12">
        <f>IF(O953="Guaraníes",P953,P953*#REF!)</f>
        <v>4068493</v>
      </c>
      <c r="R953" s="13" t="e">
        <f>IF(O953="Guaraníes",P953/#REF!,P953)</f>
        <v>#REF!</v>
      </c>
      <c r="S953" s="5" t="s">
        <v>120</v>
      </c>
      <c r="AC953" s="5" t="str">
        <f t="shared" si="46"/>
        <v>CDA</v>
      </c>
      <c r="AD953" s="5" t="s">
        <v>43</v>
      </c>
      <c r="AE953" s="5">
        <f t="shared" si="47"/>
        <v>8</v>
      </c>
      <c r="AF953" s="5">
        <f t="shared" si="48"/>
        <v>2025</v>
      </c>
    </row>
    <row r="954" s="5" customFormat="1" ht="13">
      <c r="A954" s="5">
        <v>12315</v>
      </c>
      <c r="B954" s="5" t="s">
        <v>73</v>
      </c>
      <c r="C954" s="5" t="s">
        <v>60</v>
      </c>
      <c r="D954" s="5" t="s">
        <v>21</v>
      </c>
      <c r="E954" s="5" t="s">
        <v>34</v>
      </c>
      <c r="F954" s="5" t="s">
        <v>68</v>
      </c>
      <c r="H954" s="9"/>
      <c r="I954" s="10">
        <v>45527</v>
      </c>
      <c r="J954" s="10">
        <v>45891</v>
      </c>
      <c r="L954" s="5" t="s">
        <v>82</v>
      </c>
      <c r="M954" s="11">
        <v>0.057500000000000002</v>
      </c>
      <c r="N954" s="5"/>
      <c r="O954" s="5" t="s">
        <v>51</v>
      </c>
      <c r="P954" s="13">
        <v>286.70999999999998</v>
      </c>
      <c r="Q954" s="12" t="e">
        <f>IF(O954="Guaraníes",P954,P954*#REF!)</f>
        <v>#REF!</v>
      </c>
      <c r="R954" s="13">
        <f>IF(O954="Guaraníes",P954/#REF!,P954)</f>
        <v>286.70999999999998</v>
      </c>
      <c r="S954" s="5" t="s">
        <v>120</v>
      </c>
      <c r="AC954" s="5" t="str">
        <f t="shared" si="46"/>
        <v>CDA</v>
      </c>
      <c r="AD954" s="5" t="s">
        <v>43</v>
      </c>
      <c r="AE954" s="5">
        <f t="shared" si="47"/>
        <v>8</v>
      </c>
      <c r="AF954" s="5">
        <f t="shared" si="48"/>
        <v>2025</v>
      </c>
    </row>
    <row r="955" s="5" customFormat="1" ht="13">
      <c r="A955" s="5">
        <v>12316</v>
      </c>
      <c r="B955" s="5" t="s">
        <v>78</v>
      </c>
      <c r="C955" s="5" t="s">
        <v>138</v>
      </c>
      <c r="D955" s="5" t="s">
        <v>21</v>
      </c>
      <c r="E955" s="5" t="s">
        <v>34</v>
      </c>
      <c r="F955" s="5" t="s">
        <v>68</v>
      </c>
      <c r="G955" s="5" t="s">
        <v>86</v>
      </c>
      <c r="H955" s="9" t="s">
        <v>139</v>
      </c>
      <c r="I955" s="10">
        <v>43948</v>
      </c>
      <c r="J955" s="10">
        <v>45897</v>
      </c>
      <c r="K955" s="5" t="s">
        <v>140</v>
      </c>
      <c r="L955" s="5" t="s">
        <v>58</v>
      </c>
      <c r="M955" s="11">
        <v>0.11</v>
      </c>
      <c r="N955" s="5" t="e">
        <f>IF(AND(M955&gt;#REF!,Cartera!O3273="Guaraníes"),"Rendimiento significativo",IF(AND(M955&gt;#REF!,Cartera!O3273="Dólares americanos"),"Rendimiento significativo","Rendimiento no significativo"))</f>
        <v>#REF!</v>
      </c>
      <c r="O955" s="5" t="s">
        <v>41</v>
      </c>
      <c r="P955" s="12">
        <v>934246.57530000003</v>
      </c>
      <c r="Q955" s="12">
        <f>IF(O955="Guaraníes",P955,P955*#REF!)</f>
        <v>934246.57530000003</v>
      </c>
      <c r="R955" s="12" t="e">
        <f>IF(O955="Guaraníes",P955/#REF!,P955)</f>
        <v>#REF!</v>
      </c>
      <c r="S955" s="5" t="s">
        <v>42</v>
      </c>
      <c r="AC955" s="5" t="str">
        <f t="shared" si="46"/>
        <v>Bonos</v>
      </c>
      <c r="AD955" s="5" t="s">
        <v>43</v>
      </c>
      <c r="AE955" s="5">
        <f t="shared" si="47"/>
        <v>8</v>
      </c>
      <c r="AF955" s="5">
        <f t="shared" si="48"/>
        <v>2025</v>
      </c>
    </row>
    <row r="956" s="5" customFormat="1" ht="13">
      <c r="A956" s="5">
        <v>12316</v>
      </c>
      <c r="B956" s="5" t="s">
        <v>78</v>
      </c>
      <c r="C956" s="5" t="s">
        <v>164</v>
      </c>
      <c r="D956" s="5" t="s">
        <v>21</v>
      </c>
      <c r="E956" s="5" t="s">
        <v>34</v>
      </c>
      <c r="F956" s="5" t="s">
        <v>68</v>
      </c>
      <c r="G956" s="5" t="s">
        <v>145</v>
      </c>
      <c r="H956" s="9" t="s">
        <v>165</v>
      </c>
      <c r="I956" s="10"/>
      <c r="J956" s="10">
        <v>45898</v>
      </c>
      <c r="K956" s="5" t="s">
        <v>124</v>
      </c>
      <c r="L956" s="5" t="s">
        <v>58</v>
      </c>
      <c r="M956" s="11">
        <v>0.10000000000000001</v>
      </c>
      <c r="N956" s="5" t="e">
        <f>IF(AND(M956&gt;#REF!,Cartera!O1519="Guaraníes"),"Rendimiento significativo",IF(AND(M956&gt;#REF!,Cartera!O1519="Dólares americanos"),"Rendimiento significativo","Rendimiento no significativo"))</f>
        <v>#REF!</v>
      </c>
      <c r="O956" s="5" t="s">
        <v>41</v>
      </c>
      <c r="P956" s="12">
        <v>3178082.1916</v>
      </c>
      <c r="Q956" s="12">
        <f>IF(O956="Guaraníes",P956,P956*#REF!)</f>
        <v>3178082.1916</v>
      </c>
      <c r="R956" s="12" t="e">
        <f>IF(O956="Guaraníes",P956/#REF!,P956)</f>
        <v>#REF!</v>
      </c>
      <c r="S956" s="5" t="s">
        <v>42</v>
      </c>
      <c r="T956" s="5">
        <v>1057</v>
      </c>
      <c r="W956" s="5" t="s">
        <v>65</v>
      </c>
      <c r="X956" s="5">
        <v>0</v>
      </c>
      <c r="Y956" s="5">
        <v>0</v>
      </c>
      <c r="Z956" s="5">
        <v>7945.2054790000002</v>
      </c>
      <c r="AA956" s="5">
        <v>400</v>
      </c>
      <c r="AB956" s="5">
        <v>3178082.1916</v>
      </c>
      <c r="AC956" s="5" t="str">
        <f t="shared" si="46"/>
        <v>Bonos</v>
      </c>
      <c r="AD956" s="5" t="s">
        <v>43</v>
      </c>
      <c r="AE956" s="5">
        <f t="shared" si="47"/>
        <v>8</v>
      </c>
      <c r="AF956" s="5">
        <f t="shared" si="48"/>
        <v>2025</v>
      </c>
    </row>
    <row r="957" s="5" customFormat="1" ht="13">
      <c r="A957" s="5">
        <v>12316</v>
      </c>
      <c r="B957" s="5" t="s">
        <v>78</v>
      </c>
      <c r="C957" s="5" t="s">
        <v>164</v>
      </c>
      <c r="D957" s="5" t="s">
        <v>21</v>
      </c>
      <c r="E957" s="5" t="s">
        <v>34</v>
      </c>
      <c r="F957" s="5" t="s">
        <v>68</v>
      </c>
      <c r="G957" s="5" t="s">
        <v>91</v>
      </c>
      <c r="H957" s="9" t="s">
        <v>166</v>
      </c>
      <c r="I957" s="10"/>
      <c r="J957" s="10">
        <v>45898</v>
      </c>
      <c r="K957" s="5" t="s">
        <v>124</v>
      </c>
      <c r="L957" s="5" t="s">
        <v>58</v>
      </c>
      <c r="M957" s="11">
        <v>0.092499999999999999</v>
      </c>
      <c r="N957" s="5" t="e">
        <f>IF(AND(M957&gt;#REF!,Cartera!O1880="Guaraníes"),"Rendimiento significativo",IF(AND(M957&gt;#REF!,Cartera!O1880="Dólares americanos"),"Rendimiento significativo","Rendimiento no significativo"))</f>
        <v>#REF!</v>
      </c>
      <c r="O957" s="5" t="s">
        <v>41</v>
      </c>
      <c r="P957" s="12">
        <v>1102397.2601999999</v>
      </c>
      <c r="Q957" s="12">
        <f>IF(O957="Guaraníes",P957,P957*#REF!)</f>
        <v>1102397.2601999999</v>
      </c>
      <c r="R957" s="12" t="e">
        <f>IF(O957="Guaraníes",P957/#REF!,P957)</f>
        <v>#REF!</v>
      </c>
      <c r="S957" s="5" t="s">
        <v>42</v>
      </c>
      <c r="T957" s="5">
        <v>3253</v>
      </c>
      <c r="W957" s="5" t="s">
        <v>65</v>
      </c>
      <c r="X957" s="5">
        <v>0</v>
      </c>
      <c r="Y957" s="5">
        <v>0</v>
      </c>
      <c r="Z957" s="5">
        <v>7349.3150679999999</v>
      </c>
      <c r="AA957" s="5">
        <v>150</v>
      </c>
      <c r="AB957" s="5">
        <v>1102397.2601999999</v>
      </c>
      <c r="AC957" s="5" t="str">
        <f t="shared" si="46"/>
        <v>Bonos</v>
      </c>
      <c r="AD957" s="5" t="s">
        <v>43</v>
      </c>
      <c r="AE957" s="5">
        <f t="shared" si="47"/>
        <v>8</v>
      </c>
      <c r="AF957" s="5">
        <f t="shared" si="48"/>
        <v>2025</v>
      </c>
    </row>
    <row r="958" s="5" customFormat="1" ht="13">
      <c r="A958" s="5">
        <v>12316</v>
      </c>
      <c r="B958" s="5" t="s">
        <v>78</v>
      </c>
      <c r="C958" s="5" t="s">
        <v>164</v>
      </c>
      <c r="D958" s="5" t="s">
        <v>21</v>
      </c>
      <c r="E958" s="5" t="s">
        <v>34</v>
      </c>
      <c r="F958" s="5" t="s">
        <v>68</v>
      </c>
      <c r="G958" s="5" t="s">
        <v>141</v>
      </c>
      <c r="H958" s="9" t="s">
        <v>165</v>
      </c>
      <c r="I958" s="10"/>
      <c r="J958" s="10">
        <v>45898</v>
      </c>
      <c r="K958" s="5" t="s">
        <v>124</v>
      </c>
      <c r="L958" s="5" t="s">
        <v>58</v>
      </c>
      <c r="M958" s="11">
        <v>0.10000000000000001</v>
      </c>
      <c r="N958" s="5" t="e">
        <f>IF(AND(M958&gt;#REF!,Cartera!O2105="Guaraníes"),"Rendimiento significativo",IF(AND(M958&gt;#REF!,Cartera!O2105="Dólares americanos"),"Rendimiento significativo","Rendimiento no significativo"))</f>
        <v>#REF!</v>
      </c>
      <c r="O958" s="5" t="s">
        <v>41</v>
      </c>
      <c r="P958" s="12">
        <v>794520.54790000001</v>
      </c>
      <c r="Q958" s="12">
        <f>IF(O958="Guaraníes",P958,P958*#REF!)</f>
        <v>794520.54790000001</v>
      </c>
      <c r="R958" s="12" t="e">
        <f>IF(O958="Guaraníes",P958/#REF!,P958)</f>
        <v>#REF!</v>
      </c>
      <c r="S958" s="5" t="s">
        <v>42</v>
      </c>
      <c r="T958" s="5">
        <v>9243</v>
      </c>
      <c r="W958" s="5" t="s">
        <v>65</v>
      </c>
      <c r="X958" s="5">
        <v>0</v>
      </c>
      <c r="Y958" s="5">
        <v>0</v>
      </c>
      <c r="Z958" s="5">
        <v>7945.2054790000002</v>
      </c>
      <c r="AA958" s="5">
        <v>100</v>
      </c>
      <c r="AB958" s="5">
        <v>794520.54790000001</v>
      </c>
      <c r="AC958" s="5" t="str">
        <f t="shared" si="46"/>
        <v>Bonos</v>
      </c>
      <c r="AD958" s="5" t="s">
        <v>43</v>
      </c>
      <c r="AE958" s="5">
        <f t="shared" si="47"/>
        <v>8</v>
      </c>
      <c r="AF958" s="5">
        <f t="shared" si="48"/>
        <v>2025</v>
      </c>
    </row>
    <row r="959" s="5" customFormat="1" ht="13">
      <c r="A959" s="5">
        <v>12316</v>
      </c>
      <c r="B959" s="5" t="s">
        <v>78</v>
      </c>
      <c r="C959" s="5" t="s">
        <v>164</v>
      </c>
      <c r="D959" s="5" t="s">
        <v>21</v>
      </c>
      <c r="E959" s="5" t="s">
        <v>34</v>
      </c>
      <c r="F959" s="5" t="s">
        <v>68</v>
      </c>
      <c r="G959" s="5" t="s">
        <v>141</v>
      </c>
      <c r="H959" s="9" t="s">
        <v>167</v>
      </c>
      <c r="I959" s="10"/>
      <c r="J959" s="10">
        <v>45898</v>
      </c>
      <c r="K959" s="5" t="s">
        <v>124</v>
      </c>
      <c r="L959" s="5" t="s">
        <v>58</v>
      </c>
      <c r="M959" s="11">
        <v>0.092499999999999999</v>
      </c>
      <c r="N959" s="5" t="e">
        <f>IF(AND(M959&gt;#REF!,Cartera!O2106="Guaraníes"),"Rendimiento significativo",IF(AND(M959&gt;#REF!,Cartera!O2106="Dólares americanos"),"Rendimiento significativo","Rendimiento no significativo"))</f>
        <v>#REF!</v>
      </c>
      <c r="O959" s="5" t="s">
        <v>41</v>
      </c>
      <c r="P959" s="12">
        <v>734931.50679999997</v>
      </c>
      <c r="Q959" s="12">
        <f>IF(O959="Guaraníes",P959,P959*#REF!)</f>
        <v>734931.50679999997</v>
      </c>
      <c r="R959" s="12" t="e">
        <f>IF(O959="Guaraníes",P959/#REF!,P959)</f>
        <v>#REF!</v>
      </c>
      <c r="S959" s="5" t="s">
        <v>42</v>
      </c>
      <c r="T959" s="5">
        <v>9243</v>
      </c>
      <c r="W959" s="5" t="s">
        <v>65</v>
      </c>
      <c r="X959" s="5">
        <v>0</v>
      </c>
      <c r="Y959" s="5">
        <v>0</v>
      </c>
      <c r="Z959" s="5">
        <v>7349.3150679999999</v>
      </c>
      <c r="AA959" s="5">
        <v>100</v>
      </c>
      <c r="AB959" s="5">
        <v>734931.50679999997</v>
      </c>
      <c r="AC959" s="5" t="str">
        <f t="shared" si="46"/>
        <v>Bonos</v>
      </c>
      <c r="AD959" s="5" t="s">
        <v>43</v>
      </c>
      <c r="AE959" s="5">
        <f t="shared" si="47"/>
        <v>8</v>
      </c>
      <c r="AF959" s="5">
        <f t="shared" si="48"/>
        <v>2025</v>
      </c>
    </row>
    <row r="960" s="5" customFormat="1" ht="13">
      <c r="A960" s="5">
        <v>12316</v>
      </c>
      <c r="B960" s="5" t="s">
        <v>78</v>
      </c>
      <c r="C960" s="5" t="s">
        <v>99</v>
      </c>
      <c r="D960" s="5" t="s">
        <v>21</v>
      </c>
      <c r="E960" s="5" t="s">
        <v>34</v>
      </c>
      <c r="F960" s="5" t="s">
        <v>100</v>
      </c>
      <c r="G960" s="5" t="s">
        <v>86</v>
      </c>
      <c r="H960" s="9" t="s">
        <v>155</v>
      </c>
      <c r="I960" s="10"/>
      <c r="J960" s="10">
        <v>45903</v>
      </c>
      <c r="K960" s="5" t="s">
        <v>102</v>
      </c>
      <c r="L960" s="5" t="s">
        <v>102</v>
      </c>
      <c r="M960" s="11">
        <v>0.081000000000000003</v>
      </c>
      <c r="N960" s="5" t="e">
        <f>IF(AND(M960&gt;#REF!,Cartera!O218="Guaraníes"),"Rendimiento significativo",IF(AND(M960&gt;#REF!,Cartera!O218="Dólares americanos"),"Rendimiento significativo","Rendimiento no significativo"))</f>
        <v>#REF!</v>
      </c>
      <c r="O960" s="5" t="s">
        <v>41</v>
      </c>
      <c r="P960" s="12">
        <v>28000000</v>
      </c>
      <c r="Q960" s="12">
        <f>IF(O960="Guaraníes",P960,P960*#REF!)</f>
        <v>28000000</v>
      </c>
      <c r="R960" s="12" t="e">
        <f>IF(O960="Guaraníes",P960/#REF!,P960)</f>
        <v>#REF!</v>
      </c>
      <c r="S960" s="5" t="s">
        <v>42</v>
      </c>
      <c r="T960" s="5">
        <v>10834</v>
      </c>
      <c r="W960" s="5" t="s">
        <v>65</v>
      </c>
      <c r="X960" s="5">
        <v>0</v>
      </c>
      <c r="Y960" s="5">
        <v>0</v>
      </c>
      <c r="Z960" s="5">
        <v>40000</v>
      </c>
      <c r="AA960" s="5">
        <v>700</v>
      </c>
      <c r="AB960" s="5">
        <v>28000000</v>
      </c>
      <c r="AC960" s="5" t="str">
        <f t="shared" ref="AC960:AC1014" si="49">IF(ISNUMBER(SEARCH("Acciones",L960)),"Acciones",IF(ISNUMBER(SEARCH("Bono",L960)),"Bonos",IF(ISNUMBER(SEARCH("CDA",L960)),"CDA",IF(ISNUMBER(SEARCH("Fondo",L960)),"Fondo",0))))</f>
        <v>Bonos</v>
      </c>
      <c r="AD960" s="5" t="s">
        <v>43</v>
      </c>
      <c r="AE960" s="5">
        <f t="shared" si="47"/>
        <v>9</v>
      </c>
      <c r="AF960" s="5">
        <f t="shared" si="48"/>
        <v>2025</v>
      </c>
    </row>
    <row r="961" s="5" customFormat="1" ht="13">
      <c r="A961" s="5">
        <v>12316</v>
      </c>
      <c r="B961" s="5" t="s">
        <v>78</v>
      </c>
      <c r="C961" s="5" t="s">
        <v>99</v>
      </c>
      <c r="D961" s="5" t="s">
        <v>21</v>
      </c>
      <c r="E961" s="5" t="s">
        <v>34</v>
      </c>
      <c r="F961" s="5" t="s">
        <v>100</v>
      </c>
      <c r="G961" s="5" t="s">
        <v>75</v>
      </c>
      <c r="H961" s="9" t="s">
        <v>159</v>
      </c>
      <c r="I961" s="10"/>
      <c r="J961" s="10">
        <v>45903</v>
      </c>
      <c r="K961" s="5" t="s">
        <v>102</v>
      </c>
      <c r="L961" s="5" t="s">
        <v>102</v>
      </c>
      <c r="M961" s="11">
        <v>0.078</v>
      </c>
      <c r="N961" s="5" t="e">
        <f>IF(AND(M961&gt;#REF!,Cartera!O922="Guaraníes"),"Rendimiento significativo",IF(AND(M961&gt;#REF!,Cartera!O922="Dólares americanos"),"Rendimiento significativo","Rendimiento no significativo"))</f>
        <v>#REF!</v>
      </c>
      <c r="O961" s="5" t="s">
        <v>41</v>
      </c>
      <c r="P961" s="12">
        <v>31200000</v>
      </c>
      <c r="Q961" s="12">
        <f>IF(O961="Guaraníes",P961,P961*#REF!)</f>
        <v>31200000</v>
      </c>
      <c r="R961" s="12" t="e">
        <f>IF(O961="Guaraníes",P961/#REF!,P961)</f>
        <v>#REF!</v>
      </c>
      <c r="S961" s="5" t="s">
        <v>42</v>
      </c>
      <c r="T961" s="5">
        <v>25</v>
      </c>
      <c r="W961" s="5" t="s">
        <v>65</v>
      </c>
      <c r="X961" s="5">
        <v>0</v>
      </c>
      <c r="Y961" s="5">
        <v>0</v>
      </c>
      <c r="Z961" s="5">
        <v>39000</v>
      </c>
      <c r="AA961" s="5">
        <v>800</v>
      </c>
      <c r="AB961" s="5">
        <v>31200000</v>
      </c>
      <c r="AC961" s="5" t="str">
        <f t="shared" si="49"/>
        <v>Bonos</v>
      </c>
      <c r="AD961" s="5" t="s">
        <v>43</v>
      </c>
      <c r="AE961" s="5">
        <f t="shared" si="47"/>
        <v>9</v>
      </c>
      <c r="AF961" s="5">
        <f t="shared" si="48"/>
        <v>2025</v>
      </c>
    </row>
    <row r="962" s="5" customFormat="1" ht="13">
      <c r="A962" s="5">
        <v>12316</v>
      </c>
      <c r="B962" s="5" t="s">
        <v>78</v>
      </c>
      <c r="C962" s="5" t="s">
        <v>99</v>
      </c>
      <c r="D962" s="5" t="s">
        <v>21</v>
      </c>
      <c r="E962" s="5" t="s">
        <v>34</v>
      </c>
      <c r="F962" s="5" t="s">
        <v>100</v>
      </c>
      <c r="G962" s="5" t="s">
        <v>145</v>
      </c>
      <c r="H962" s="9" t="s">
        <v>159</v>
      </c>
      <c r="I962" s="10">
        <v>44657</v>
      </c>
      <c r="J962" s="10">
        <v>45903</v>
      </c>
      <c r="K962" s="5" t="s">
        <v>102</v>
      </c>
      <c r="L962" s="5" t="s">
        <v>102</v>
      </c>
      <c r="M962" s="11">
        <v>0.078</v>
      </c>
      <c r="N962" s="5" t="e">
        <f>IF(AND(M962&gt;#REF!,Cartera!O1569="Guaraníes"),"Rendimiento significativo",IF(AND(M962&gt;#REF!,Cartera!O1569="Dólares americanos"),"Rendimiento significativo","Rendimiento no significativo"))</f>
        <v>#REF!</v>
      </c>
      <c r="O962" s="5" t="s">
        <v>41</v>
      </c>
      <c r="P962" s="12">
        <v>35100000</v>
      </c>
      <c r="Q962" s="12">
        <f>IF(O962="Guaraníes",P962,P962*#REF!)</f>
        <v>35100000</v>
      </c>
      <c r="R962" s="12" t="e">
        <f>IF(O962="Guaraníes",P962/#REF!,P962)</f>
        <v>#REF!</v>
      </c>
      <c r="S962" s="5" t="s">
        <v>42</v>
      </c>
      <c r="V962" s="5">
        <v>39000</v>
      </c>
      <c r="AA962" s="5">
        <v>900</v>
      </c>
      <c r="AC962" s="5" t="str">
        <f t="shared" si="49"/>
        <v>Bonos</v>
      </c>
      <c r="AD962" s="5" t="s">
        <v>43</v>
      </c>
      <c r="AE962" s="5">
        <f t="shared" si="47"/>
        <v>9</v>
      </c>
      <c r="AF962" s="5">
        <f t="shared" si="48"/>
        <v>2025</v>
      </c>
    </row>
    <row r="963" s="5" customFormat="1" ht="13">
      <c r="A963" s="5">
        <v>12316</v>
      </c>
      <c r="B963" s="5" t="s">
        <v>78</v>
      </c>
      <c r="C963" s="5" t="s">
        <v>183</v>
      </c>
      <c r="D963" s="5" t="s">
        <v>21</v>
      </c>
      <c r="E963" s="5" t="s">
        <v>34</v>
      </c>
      <c r="F963" s="5" t="s">
        <v>184</v>
      </c>
      <c r="H963" s="9">
        <v>6217</v>
      </c>
      <c r="I963" s="10"/>
      <c r="J963" s="10">
        <v>45908</v>
      </c>
      <c r="K963" s="5" t="s">
        <v>124</v>
      </c>
      <c r="L963" s="5" t="s">
        <v>82</v>
      </c>
      <c r="M963" s="11">
        <v>0.072499999999999995</v>
      </c>
      <c r="N963" s="5" t="e">
        <f>IF(AND(M963&gt;#REF!,Cartera!O2957="Guaraníes"),"Rendimiento significativo",IF(AND(M963&gt;#REF!,Cartera!O2957="Dólares americanos"),"Rendimiento significativo","Rendimiento no significativo"))</f>
        <v>#REF!</v>
      </c>
      <c r="O963" s="5" t="s">
        <v>41</v>
      </c>
      <c r="P963" s="12">
        <v>17537075</v>
      </c>
      <c r="Q963" s="12">
        <f>IF(O963="Guaraníes",P963,P963*#REF!)</f>
        <v>17537075</v>
      </c>
      <c r="R963" s="12" t="e">
        <f>IF(O963="Guaraníes",P963/#REF!,P963)</f>
        <v>#REF!</v>
      </c>
      <c r="S963" s="5" t="s">
        <v>42</v>
      </c>
      <c r="V963" s="5">
        <v>17537075</v>
      </c>
      <c r="W963" s="5" t="s">
        <v>284</v>
      </c>
      <c r="AC963" s="5" t="str">
        <f t="shared" si="49"/>
        <v>CDA</v>
      </c>
      <c r="AD963" s="5" t="s">
        <v>43</v>
      </c>
      <c r="AE963" s="5">
        <f t="shared" si="47"/>
        <v>9</v>
      </c>
      <c r="AF963" s="5">
        <f t="shared" si="48"/>
        <v>2025</v>
      </c>
    </row>
    <row r="964" s="5" customFormat="1" ht="13">
      <c r="A964" s="5">
        <v>12315</v>
      </c>
      <c r="B964" s="5" t="s">
        <v>73</v>
      </c>
      <c r="C964" s="5" t="s">
        <v>33</v>
      </c>
      <c r="D964" s="5" t="s">
        <v>21</v>
      </c>
      <c r="E964" s="5" t="s">
        <v>34</v>
      </c>
      <c r="F964" s="5" t="s">
        <v>35</v>
      </c>
      <c r="G964" s="5" t="s">
        <v>75</v>
      </c>
      <c r="H964" s="9" t="s">
        <v>186</v>
      </c>
      <c r="I964" s="10"/>
      <c r="J964" s="10">
        <v>45910</v>
      </c>
      <c r="K964" s="5" t="s">
        <v>39</v>
      </c>
      <c r="L964" s="5" t="s">
        <v>50</v>
      </c>
      <c r="M964" s="11">
        <v>0.044999999999999998</v>
      </c>
      <c r="N964" s="5" t="e">
        <f>IF(AND(M964&gt;#REF!,Cartera!O923="Guaraníes"),"Rendimiento significativo",IF(AND(M964&gt;#REF!,Cartera!O923="Dólares americanos"),"Rendimiento significativo","Rendimiento no significativo"))</f>
        <v>#REF!</v>
      </c>
      <c r="O964" s="5" t="s">
        <v>51</v>
      </c>
      <c r="P964" s="13">
        <v>336.57533999999998</v>
      </c>
      <c r="Q964" s="12" t="e">
        <f>IF(O964="Guaraníes",P964,P964*#REF!)</f>
        <v>#REF!</v>
      </c>
      <c r="R964" s="12">
        <f>IF(O964="Guaraníes",P964/#REF!,P964)</f>
        <v>336.57533999999998</v>
      </c>
      <c r="S964" s="5" t="s">
        <v>42</v>
      </c>
      <c r="T964" s="5">
        <v>25</v>
      </c>
      <c r="W964" s="5" t="s">
        <v>65</v>
      </c>
      <c r="X964" s="5">
        <v>0</v>
      </c>
      <c r="Y964" s="5">
        <v>0</v>
      </c>
      <c r="Z964" s="5">
        <v>11.219177999999999</v>
      </c>
      <c r="AA964" s="5">
        <v>30</v>
      </c>
      <c r="AB964" s="5">
        <v>336.57533999999998</v>
      </c>
      <c r="AC964" s="5" t="str">
        <f t="shared" si="49"/>
        <v>Bonos</v>
      </c>
      <c r="AD964" s="5" t="s">
        <v>43</v>
      </c>
      <c r="AE964" s="5">
        <f t="shared" si="47"/>
        <v>9</v>
      </c>
      <c r="AF964" s="5">
        <f t="shared" si="48"/>
        <v>2025</v>
      </c>
    </row>
    <row r="965" s="5" customFormat="1" ht="13">
      <c r="A965" s="5">
        <v>12315</v>
      </c>
      <c r="B965" s="5" t="s">
        <v>73</v>
      </c>
      <c r="C965" s="5" t="s">
        <v>33</v>
      </c>
      <c r="D965" s="5" t="s">
        <v>21</v>
      </c>
      <c r="E965" s="5" t="s">
        <v>34</v>
      </c>
      <c r="F965" s="5" t="s">
        <v>35</v>
      </c>
      <c r="G965" s="5" t="s">
        <v>69</v>
      </c>
      <c r="H965" s="9" t="s">
        <v>186</v>
      </c>
      <c r="I965" s="10"/>
      <c r="J965" s="10">
        <v>45910</v>
      </c>
      <c r="K965" s="5" t="s">
        <v>39</v>
      </c>
      <c r="L965" s="5" t="s">
        <v>50</v>
      </c>
      <c r="M965" s="11">
        <v>0.044999999999999998</v>
      </c>
      <c r="N965" s="5" t="e">
        <f>IF(AND(M965&gt;#REF!,Cartera!O2537="Guaraníes"),"Rendimiento significativo",IF(AND(M965&gt;#REF!,Cartera!O2537="Dólares americanos"),"Rendimiento significativo","Rendimiento no significativo"))</f>
        <v>#REF!</v>
      </c>
      <c r="O965" s="5" t="s">
        <v>51</v>
      </c>
      <c r="P965" s="13">
        <v>448.76711999999998</v>
      </c>
      <c r="Q965" s="12" t="e">
        <f>IF(O965="Guaraníes",P965,P965*#REF!)</f>
        <v>#REF!</v>
      </c>
      <c r="R965" s="12">
        <f>IF(O965="Guaraníes",P965/#REF!,P965)</f>
        <v>448.76711999999998</v>
      </c>
      <c r="S965" s="5" t="s">
        <v>42</v>
      </c>
      <c r="T965" s="5">
        <v>593</v>
      </c>
      <c r="W965" s="5" t="s">
        <v>65</v>
      </c>
      <c r="X965" s="5">
        <v>0</v>
      </c>
      <c r="Y965" s="5">
        <v>0</v>
      </c>
      <c r="Z965" s="5">
        <v>11.219177999999999</v>
      </c>
      <c r="AA965" s="5">
        <v>40</v>
      </c>
      <c r="AB965" s="5">
        <v>448.76711999999998</v>
      </c>
      <c r="AC965" s="5" t="str">
        <f t="shared" si="49"/>
        <v>Bonos</v>
      </c>
      <c r="AD965" s="5" t="s">
        <v>43</v>
      </c>
      <c r="AE965" s="5">
        <f t="shared" si="47"/>
        <v>9</v>
      </c>
      <c r="AF965" s="5">
        <f t="shared" si="48"/>
        <v>2025</v>
      </c>
    </row>
    <row r="966" s="5" customFormat="1" ht="13">
      <c r="A966" s="5">
        <v>12316</v>
      </c>
      <c r="B966" s="5" t="s">
        <v>78</v>
      </c>
      <c r="C966" s="5" t="s">
        <v>111</v>
      </c>
      <c r="D966" s="5" t="s">
        <v>21</v>
      </c>
      <c r="E966" s="5" t="s">
        <v>34</v>
      </c>
      <c r="F966" s="5" t="s">
        <v>68</v>
      </c>
      <c r="H966" s="9" t="s">
        <v>187</v>
      </c>
      <c r="I966" s="10">
        <v>45370</v>
      </c>
      <c r="J966" s="10">
        <v>45910</v>
      </c>
      <c r="K966" s="5" t="s">
        <v>140</v>
      </c>
      <c r="L966" s="5" t="s">
        <v>82</v>
      </c>
      <c r="M966" s="11">
        <v>0.086999999999999994</v>
      </c>
      <c r="N966" s="5" t="e">
        <f>IF(AND(M966&gt;#REF!,Cartera!O3557="Guaraníes"),"Rendimiento significativo",IF(AND(M966&gt;#REF!,Cartera!O3557="Dólares americanos"),"Rendimiento significativo","Rendimiento no significativo"))</f>
        <v>#REF!</v>
      </c>
      <c r="O966" s="5" t="s">
        <v>41</v>
      </c>
      <c r="P966" s="12">
        <v>6435616</v>
      </c>
      <c r="Q966" s="12">
        <f>IF(O966="Guaraníes",P966,P966*#REF!)</f>
        <v>6435616</v>
      </c>
      <c r="R966" s="12" t="e">
        <f>IF(O966="Guaraníes",P966/#REF!,P966)</f>
        <v>#REF!</v>
      </c>
      <c r="S966" s="5" t="s">
        <v>42</v>
      </c>
      <c r="AC966" s="5" t="str">
        <f t="shared" si="49"/>
        <v>CDA</v>
      </c>
      <c r="AD966" s="5" t="s">
        <v>43</v>
      </c>
      <c r="AE966" s="5">
        <f t="shared" si="47"/>
        <v>9</v>
      </c>
      <c r="AF966" s="5">
        <f t="shared" si="48"/>
        <v>2025</v>
      </c>
    </row>
    <row r="967" s="5" customFormat="1" ht="13">
      <c r="A967" s="5">
        <v>12315</v>
      </c>
      <c r="B967" s="5" t="s">
        <v>73</v>
      </c>
      <c r="C967" s="5" t="s">
        <v>111</v>
      </c>
      <c r="D967" s="5" t="s">
        <v>21</v>
      </c>
      <c r="E967" s="5" t="s">
        <v>34</v>
      </c>
      <c r="F967" s="5" t="s">
        <v>68</v>
      </c>
      <c r="H967" s="9" t="s">
        <v>188</v>
      </c>
      <c r="I967" s="10">
        <v>45370</v>
      </c>
      <c r="J967" s="10">
        <v>45910</v>
      </c>
      <c r="K967" s="5" t="s">
        <v>140</v>
      </c>
      <c r="L967" s="5" t="s">
        <v>82</v>
      </c>
      <c r="M967" s="11">
        <v>0.057000000000000002</v>
      </c>
      <c r="N967" s="5" t="e">
        <f>IF(AND(M967&gt;#REF!,Cartera!O3567="Guaraníes"),"Rendimiento significativo",IF(AND(M967&gt;#REF!,Cartera!O3567="Dólares americanos"),"Rendimiento significativo","Rendimiento no significativo"))</f>
        <v>#REF!</v>
      </c>
      <c r="O967" s="5" t="s">
        <v>51</v>
      </c>
      <c r="P967" s="13">
        <v>281.10000000000002</v>
      </c>
      <c r="Q967" s="12" t="e">
        <f>IF(O967="Guaraníes",P967,P967*#REF!)</f>
        <v>#REF!</v>
      </c>
      <c r="R967" s="12">
        <f>IF(O967="Guaraníes",P967/#REF!,P967)</f>
        <v>281.10000000000002</v>
      </c>
      <c r="S967" s="5" t="s">
        <v>42</v>
      </c>
      <c r="AC967" s="5" t="str">
        <f t="shared" si="49"/>
        <v>CDA</v>
      </c>
      <c r="AD967" s="5" t="s">
        <v>43</v>
      </c>
      <c r="AE967" s="5">
        <f t="shared" si="47"/>
        <v>9</v>
      </c>
      <c r="AF967" s="5">
        <f t="shared" si="48"/>
        <v>2025</v>
      </c>
    </row>
    <row r="968" s="5" customFormat="1" ht="13">
      <c r="A968" s="5">
        <v>12316</v>
      </c>
      <c r="B968" s="5" t="s">
        <v>78</v>
      </c>
      <c r="C968" s="5" t="s">
        <v>189</v>
      </c>
      <c r="D968" s="5" t="s">
        <v>21</v>
      </c>
      <c r="E968" s="5" t="s">
        <v>34</v>
      </c>
      <c r="F968" s="5" t="s">
        <v>190</v>
      </c>
      <c r="G968" s="5" t="s">
        <v>141</v>
      </c>
      <c r="H968" s="9" t="s">
        <v>191</v>
      </c>
      <c r="I968" s="10"/>
      <c r="J968" s="10">
        <v>45919</v>
      </c>
      <c r="K968" s="5" t="s">
        <v>77</v>
      </c>
      <c r="L968" s="5" t="s">
        <v>58</v>
      </c>
      <c r="M968" s="11">
        <v>0.089999999999999997</v>
      </c>
      <c r="N968" s="5" t="e">
        <f>IF(AND(M968&gt;#REF!,Cartera!O2107="Guaraníes"),"Rendimiento significativo",IF(AND(M968&gt;#REF!,Cartera!O2107="Dólares americanos"),"Rendimiento significativo","Rendimiento no significativo"))</f>
        <v>#REF!</v>
      </c>
      <c r="O968" s="5" t="s">
        <v>41</v>
      </c>
      <c r="P968" s="12">
        <v>6731506.8480000002</v>
      </c>
      <c r="Q968" s="12">
        <f>IF(O968="Guaraníes",P968,P968*#REF!)</f>
        <v>6731506.8480000002</v>
      </c>
      <c r="R968" s="12" t="e">
        <f>IF(O968="Guaraníes",P968/#REF!,P968)</f>
        <v>#REF!</v>
      </c>
      <c r="S968" s="5" t="s">
        <v>42</v>
      </c>
      <c r="T968" s="5">
        <v>9243</v>
      </c>
      <c r="W968" s="5" t="s">
        <v>65</v>
      </c>
      <c r="X968" s="5">
        <v>0</v>
      </c>
      <c r="Y968" s="5">
        <v>0</v>
      </c>
      <c r="Z968" s="5">
        <v>22438.356159999999</v>
      </c>
      <c r="AA968" s="5">
        <v>300</v>
      </c>
      <c r="AB968" s="5">
        <v>6731506.8490000004</v>
      </c>
      <c r="AC968" s="5" t="str">
        <f t="shared" si="49"/>
        <v>Bonos</v>
      </c>
      <c r="AD968" s="5" t="s">
        <v>43</v>
      </c>
      <c r="AE968" s="5">
        <f t="shared" si="47"/>
        <v>9</v>
      </c>
      <c r="AF968" s="5">
        <f t="shared" si="48"/>
        <v>2025</v>
      </c>
    </row>
    <row r="969" s="5" customFormat="1" ht="13">
      <c r="A969" s="5">
        <v>12316</v>
      </c>
      <c r="B969" s="5" t="s">
        <v>78</v>
      </c>
      <c r="C969" s="5" t="s">
        <v>54</v>
      </c>
      <c r="D969" s="5" t="s">
        <v>21</v>
      </c>
      <c r="E969" s="5" t="s">
        <v>34</v>
      </c>
      <c r="F969" s="5" t="s">
        <v>46</v>
      </c>
      <c r="G969" s="5" t="s">
        <v>86</v>
      </c>
      <c r="H969" s="9" t="s">
        <v>147</v>
      </c>
      <c r="I969" s="10"/>
      <c r="J969" s="10">
        <v>45922</v>
      </c>
      <c r="K969" s="5" t="s">
        <v>57</v>
      </c>
      <c r="L969" s="5" t="s">
        <v>58</v>
      </c>
      <c r="M969" s="11">
        <v>0.12</v>
      </c>
      <c r="N969" s="5" t="e">
        <f>IF(AND(M969&gt;#REF!,Cartera!O219="Guaraníes"),"Rendimiento significativo",IF(AND(M969&gt;#REF!,Cartera!O219="Dólares americanos"),"Rendimiento significativo","Rendimiento no significativo"))</f>
        <v>#REF!</v>
      </c>
      <c r="O969" s="5" t="s">
        <v>41</v>
      </c>
      <c r="P969" s="12">
        <v>2991780.8218999999</v>
      </c>
      <c r="Q969" s="12">
        <f>IF(O969="Guaraníes",P969,P969*#REF!)</f>
        <v>2991780.8218999999</v>
      </c>
      <c r="R969" s="12" t="e">
        <f>IF(O969="Guaraníes",P969/#REF!,P969)</f>
        <v>#REF!</v>
      </c>
      <c r="S969" s="5" t="s">
        <v>42</v>
      </c>
      <c r="T969" s="5">
        <v>10834</v>
      </c>
      <c r="W969" s="5" t="s">
        <v>65</v>
      </c>
      <c r="X969" s="5">
        <v>0</v>
      </c>
      <c r="Y969" s="5">
        <v>0</v>
      </c>
      <c r="Z969" s="5">
        <v>29917.808218999999</v>
      </c>
      <c r="AA969" s="5">
        <v>100</v>
      </c>
      <c r="AB969" s="5">
        <v>2991780.8218999999</v>
      </c>
      <c r="AC969" s="5" t="str">
        <f t="shared" si="49"/>
        <v>Bonos</v>
      </c>
      <c r="AD969" s="5" t="s">
        <v>43</v>
      </c>
      <c r="AE969" s="5">
        <f t="shared" si="47"/>
        <v>9</v>
      </c>
      <c r="AF969" s="5">
        <f t="shared" si="48"/>
        <v>2025</v>
      </c>
    </row>
    <row r="970" s="5" customFormat="1" ht="13">
      <c r="A970" s="5">
        <v>12316</v>
      </c>
      <c r="B970" s="5" t="s">
        <v>78</v>
      </c>
      <c r="C970" s="5" t="s">
        <v>54</v>
      </c>
      <c r="D970" s="5" t="s">
        <v>21</v>
      </c>
      <c r="E970" s="5" t="s">
        <v>34</v>
      </c>
      <c r="F970" s="5" t="s">
        <v>46</v>
      </c>
      <c r="G970" s="5" t="s">
        <v>86</v>
      </c>
      <c r="H970" s="9" t="s">
        <v>148</v>
      </c>
      <c r="I970" s="10"/>
      <c r="J970" s="10">
        <v>45922</v>
      </c>
      <c r="K970" s="5" t="s">
        <v>57</v>
      </c>
      <c r="L970" s="5" t="s">
        <v>58</v>
      </c>
      <c r="M970" s="11">
        <v>0.097500000000000003</v>
      </c>
      <c r="N970" s="5" t="e">
        <f>IF(AND(M970&gt;#REF!,Cartera!O220="Guaraníes"),"Rendimiento significativo",IF(AND(M970&gt;#REF!,Cartera!O220="Dólares americanos"),"Rendimiento significativo","Rendimiento no significativo"))</f>
        <v>#REF!</v>
      </c>
      <c r="O970" s="5" t="s">
        <v>41</v>
      </c>
      <c r="P970" s="12">
        <v>12154109.589</v>
      </c>
      <c r="Q970" s="12">
        <f>IF(O970="Guaraníes",P970,P970*#REF!)</f>
        <v>12154109.589</v>
      </c>
      <c r="R970" s="12" t="e">
        <f>IF(O970="Guaraníes",P970/#REF!,P970)</f>
        <v>#REF!</v>
      </c>
      <c r="S970" s="5" t="s">
        <v>42</v>
      </c>
      <c r="T970" s="5">
        <v>10834</v>
      </c>
      <c r="W970" s="5" t="s">
        <v>65</v>
      </c>
      <c r="X970" s="5">
        <v>0</v>
      </c>
      <c r="Y970" s="5">
        <v>0</v>
      </c>
      <c r="Z970" s="5">
        <v>24308.219177999999</v>
      </c>
      <c r="AA970" s="5">
        <v>500</v>
      </c>
      <c r="AB970" s="5">
        <v>12154109.589</v>
      </c>
      <c r="AC970" s="5" t="str">
        <f t="shared" si="49"/>
        <v>Bonos</v>
      </c>
      <c r="AD970" s="5" t="s">
        <v>43</v>
      </c>
      <c r="AE970" s="5">
        <f t="shared" si="47"/>
        <v>9</v>
      </c>
      <c r="AF970" s="5">
        <f t="shared" si="48"/>
        <v>2025</v>
      </c>
    </row>
    <row r="971" s="5" customFormat="1" ht="13">
      <c r="A971" s="5">
        <v>12316</v>
      </c>
      <c r="B971" s="5" t="s">
        <v>78</v>
      </c>
      <c r="C971" s="5" t="s">
        <v>54</v>
      </c>
      <c r="D971" s="5" t="s">
        <v>21</v>
      </c>
      <c r="E971" s="5" t="s">
        <v>34</v>
      </c>
      <c r="F971" s="5" t="s">
        <v>46</v>
      </c>
      <c r="G971" s="5" t="s">
        <v>75</v>
      </c>
      <c r="H971" s="9" t="s">
        <v>147</v>
      </c>
      <c r="I971" s="10"/>
      <c r="J971" s="10">
        <v>45922</v>
      </c>
      <c r="K971" s="5" t="s">
        <v>57</v>
      </c>
      <c r="L971" s="5" t="s">
        <v>58</v>
      </c>
      <c r="M971" s="11">
        <v>0.12</v>
      </c>
      <c r="N971" s="5" t="e">
        <f>IF(AND(M971&gt;#REF!,Cartera!O924="Guaraníes"),"Rendimiento significativo",IF(AND(M971&gt;#REF!,Cartera!O924="Dólares americanos"),"Rendimiento significativo","Rendimiento no significativo"))</f>
        <v>#REF!</v>
      </c>
      <c r="O971" s="5" t="s">
        <v>41</v>
      </c>
      <c r="P971" s="12">
        <v>4487671.2328500003</v>
      </c>
      <c r="Q971" s="12">
        <f>IF(O971="Guaraníes",P971,P971*#REF!)</f>
        <v>4487671.2328500003</v>
      </c>
      <c r="R971" s="12" t="e">
        <f>IF(O971="Guaraníes",P971/#REF!,P971)</f>
        <v>#REF!</v>
      </c>
      <c r="S971" s="5" t="s">
        <v>42</v>
      </c>
      <c r="T971" s="5">
        <v>25</v>
      </c>
      <c r="W971" s="5" t="s">
        <v>192</v>
      </c>
      <c r="X971" s="5">
        <v>0</v>
      </c>
      <c r="Y971" s="5">
        <v>0</v>
      </c>
      <c r="Z971" s="5">
        <v>29917.808218999999</v>
      </c>
      <c r="AA971" s="5">
        <v>150</v>
      </c>
      <c r="AB971" s="5">
        <v>4487671.2328500003</v>
      </c>
      <c r="AC971" s="5" t="str">
        <f t="shared" si="49"/>
        <v>Bonos</v>
      </c>
      <c r="AD971" s="5" t="s">
        <v>43</v>
      </c>
      <c r="AE971" s="5">
        <f t="shared" si="47"/>
        <v>9</v>
      </c>
      <c r="AF971" s="5">
        <f t="shared" si="48"/>
        <v>2025</v>
      </c>
    </row>
    <row r="972" s="5" customFormat="1" ht="13">
      <c r="A972" s="5">
        <v>12316</v>
      </c>
      <c r="B972" s="5" t="s">
        <v>78</v>
      </c>
      <c r="C972" s="5" t="s">
        <v>138</v>
      </c>
      <c r="D972" s="5" t="s">
        <v>21</v>
      </c>
      <c r="E972" s="5" t="s">
        <v>34</v>
      </c>
      <c r="F972" s="5" t="s">
        <v>68</v>
      </c>
      <c r="G972" s="5" t="s">
        <v>86</v>
      </c>
      <c r="H972" s="9" t="s">
        <v>193</v>
      </c>
      <c r="I972" s="10">
        <v>44104</v>
      </c>
      <c r="J972" s="10">
        <v>45923</v>
      </c>
      <c r="K972" s="5" t="s">
        <v>140</v>
      </c>
      <c r="L972" s="5" t="s">
        <v>58</v>
      </c>
      <c r="M972" s="11">
        <v>0.10000000000000001</v>
      </c>
      <c r="N972" s="5" t="e">
        <f>IF(AND(M972&gt;#REF!,Cartera!O3434="Guaraníes"),"Rendimiento significativo",IF(AND(M972&gt;#REF!,Cartera!O3434="Dólares americanos"),"Rendimiento significativo","Rendimiento no significativo"))</f>
        <v>#REF!</v>
      </c>
      <c r="O972" s="5" t="s">
        <v>41</v>
      </c>
      <c r="P972" s="12">
        <v>2493150.6849000002</v>
      </c>
      <c r="Q972" s="12">
        <f>IF(O972="Guaraníes",P972,P972*#REF!)</f>
        <v>2493150.6849000002</v>
      </c>
      <c r="R972" s="12" t="e">
        <f>IF(O972="Guaraníes",P972/#REF!,P972)</f>
        <v>#REF!</v>
      </c>
      <c r="S972" s="5" t="s">
        <v>42</v>
      </c>
      <c r="AC972" s="5" t="str">
        <f t="shared" si="49"/>
        <v>Bonos</v>
      </c>
      <c r="AD972" s="5" t="s">
        <v>43</v>
      </c>
      <c r="AE972" s="5">
        <f t="shared" si="47"/>
        <v>9</v>
      </c>
      <c r="AF972" s="5">
        <f t="shared" si="48"/>
        <v>2025</v>
      </c>
    </row>
    <row r="973" s="5" customFormat="1" ht="13">
      <c r="A973" s="5">
        <v>12315</v>
      </c>
      <c r="B973" s="5" t="s">
        <v>73</v>
      </c>
      <c r="C973" s="5" t="s">
        <v>116</v>
      </c>
      <c r="D973" s="5" t="s">
        <v>21</v>
      </c>
      <c r="E973" s="5" t="s">
        <v>34</v>
      </c>
      <c r="F973" s="5" t="s">
        <v>68</v>
      </c>
      <c r="G973" s="5" t="s">
        <v>69</v>
      </c>
      <c r="H973" s="9" t="s">
        <v>194</v>
      </c>
      <c r="I973" s="10"/>
      <c r="J973" s="10">
        <v>45924</v>
      </c>
      <c r="K973" s="5" t="s">
        <v>118</v>
      </c>
      <c r="L973" s="5" t="s">
        <v>50</v>
      </c>
      <c r="M973" s="11">
        <v>0.065000000000000002</v>
      </c>
      <c r="N973" s="5" t="e">
        <f>IF(AND(M973&gt;#REF!,Cartera!O2539="Guaraníes"),"Rendimiento significativo",IF(AND(M973&gt;#REF!,Cartera!O2539="Dólares americanos"),"Rendimiento significativo","Rendimiento no significativo"))</f>
        <v>#REF!</v>
      </c>
      <c r="O973" s="5" t="s">
        <v>51</v>
      </c>
      <c r="P973" s="13">
        <v>324.10958999999997</v>
      </c>
      <c r="Q973" s="12" t="e">
        <f>IF(O973="Guaraníes",P973,P973*#REF!)</f>
        <v>#REF!</v>
      </c>
      <c r="R973" s="12">
        <f>IF(O973="Guaraníes",P973/#REF!,P973)</f>
        <v>324.10958999999997</v>
      </c>
      <c r="S973" s="5" t="s">
        <v>42</v>
      </c>
      <c r="T973" s="5">
        <v>593</v>
      </c>
      <c r="W973" s="5" t="s">
        <v>195</v>
      </c>
      <c r="X973" s="5">
        <v>0</v>
      </c>
      <c r="Y973" s="5">
        <v>0</v>
      </c>
      <c r="Z973" s="5">
        <v>32.410958999999998</v>
      </c>
      <c r="AA973" s="5">
        <v>10</v>
      </c>
      <c r="AB973" s="5">
        <v>324.10959000000003</v>
      </c>
      <c r="AC973" s="5" t="str">
        <f t="shared" si="49"/>
        <v>Bonos</v>
      </c>
      <c r="AD973" s="5" t="s">
        <v>43</v>
      </c>
      <c r="AE973" s="5">
        <f t="shared" si="47"/>
        <v>9</v>
      </c>
      <c r="AF973" s="5">
        <f t="shared" si="48"/>
        <v>2025</v>
      </c>
    </row>
    <row r="974" s="5" customFormat="1" ht="13">
      <c r="A974" s="5">
        <v>12315</v>
      </c>
      <c r="B974" s="5" t="s">
        <v>73</v>
      </c>
      <c r="C974" s="5" t="s">
        <v>212</v>
      </c>
      <c r="D974" s="5" t="s">
        <v>21</v>
      </c>
      <c r="E974" s="5" t="s">
        <v>34</v>
      </c>
      <c r="F974" s="5" t="s">
        <v>68</v>
      </c>
      <c r="G974" s="5" t="s">
        <v>86</v>
      </c>
      <c r="H974" s="9" t="s">
        <v>213</v>
      </c>
      <c r="I974" s="10">
        <v>44651</v>
      </c>
      <c r="J974" s="10">
        <v>45925</v>
      </c>
      <c r="K974" s="5" t="s">
        <v>81</v>
      </c>
      <c r="L974" s="5" t="s">
        <v>58</v>
      </c>
      <c r="M974" s="11">
        <v>0.053499999999999999</v>
      </c>
      <c r="N974" s="5" t="e">
        <f>IF(AND(M974&gt;#REF!,Cartera!O313="Guaraníes"),"Rendimiento significativo",IF(AND(M974&gt;#REF!,Cartera!O313="Dólares americanos"),"Rendimiento significativo","Rendimiento no significativo"))</f>
        <v>#REF!</v>
      </c>
      <c r="O974" s="5" t="s">
        <v>51</v>
      </c>
      <c r="P974" s="13">
        <v>2667.6712000000002</v>
      </c>
      <c r="Q974" s="12" t="e">
        <f>IF(O974="Guaraníes",P974,P974*#REF!)</f>
        <v>#REF!</v>
      </c>
      <c r="R974" s="12">
        <f>IF(O974="Guaraníes",P974/#REF!,P974)</f>
        <v>2667.6712000000002</v>
      </c>
      <c r="S974" s="5" t="s">
        <v>42</v>
      </c>
      <c r="V974" s="5">
        <v>26.676711999999998</v>
      </c>
      <c r="AA974" s="5">
        <v>100</v>
      </c>
      <c r="AC974" s="5" t="str">
        <f t="shared" si="49"/>
        <v>Bonos</v>
      </c>
      <c r="AD974" s="5" t="s">
        <v>43</v>
      </c>
      <c r="AE974" s="5">
        <f t="shared" si="47"/>
        <v>9</v>
      </c>
      <c r="AF974" s="5">
        <f t="shared" si="48"/>
        <v>2025</v>
      </c>
    </row>
    <row r="975" s="5" customFormat="1" ht="13">
      <c r="A975" s="5">
        <v>12316</v>
      </c>
      <c r="B975" s="5" t="s">
        <v>78</v>
      </c>
      <c r="C975" s="5" t="s">
        <v>33</v>
      </c>
      <c r="D975" s="5" t="s">
        <v>21</v>
      </c>
      <c r="E975" s="5" t="s">
        <v>34</v>
      </c>
      <c r="F975" s="5" t="s">
        <v>35</v>
      </c>
      <c r="G975" s="5" t="s">
        <v>141</v>
      </c>
      <c r="H975" s="9" t="s">
        <v>214</v>
      </c>
      <c r="I975" s="10">
        <v>45015</v>
      </c>
      <c r="J975" s="10">
        <v>45925</v>
      </c>
      <c r="K975" s="5" t="s">
        <v>39</v>
      </c>
      <c r="L975" s="5" t="s">
        <v>106</v>
      </c>
      <c r="M975" s="11">
        <v>0.092700000000000005</v>
      </c>
      <c r="N975" s="5" t="e">
        <f>IF(AND(M975&gt;#REF!,Cartera!O3095="Guaraníes"),"Rendimiento significativo",IF(AND(M975&gt;#REF!,Cartera!O3095="Dólares americanos"),"Rendimiento significativo","Rendimiento no significativo"))</f>
        <v>#REF!</v>
      </c>
      <c r="O975" s="5" t="s">
        <v>41</v>
      </c>
      <c r="P975" s="12">
        <v>6933452.0547000002</v>
      </c>
      <c r="Q975" s="12">
        <f>IF(O975="Guaraníes",P975,P975*#REF!)</f>
        <v>6933452.0547000002</v>
      </c>
      <c r="R975" s="12" t="e">
        <f>IF(O975="Guaraníes",P975/#REF!,P975)</f>
        <v>#REF!</v>
      </c>
      <c r="S975" s="5" t="s">
        <v>42</v>
      </c>
      <c r="AC975" s="5" t="str">
        <f t="shared" si="49"/>
        <v>Bonos</v>
      </c>
      <c r="AD975" s="5" t="s">
        <v>43</v>
      </c>
      <c r="AE975" s="5">
        <f t="shared" si="47"/>
        <v>9</v>
      </c>
      <c r="AF975" s="5">
        <f t="shared" si="48"/>
        <v>2025</v>
      </c>
    </row>
    <row r="976" s="5" customFormat="1" ht="13">
      <c r="A976" s="5">
        <v>12301</v>
      </c>
      <c r="B976" s="5" t="s">
        <v>107</v>
      </c>
      <c r="C976" s="5" t="s">
        <v>99</v>
      </c>
      <c r="D976" s="5" t="s">
        <v>20</v>
      </c>
      <c r="E976" s="5" t="s">
        <v>34</v>
      </c>
      <c r="F976" s="5" t="s">
        <v>100</v>
      </c>
      <c r="G976" s="5" t="s">
        <v>75</v>
      </c>
      <c r="H976" s="9" t="s">
        <v>217</v>
      </c>
      <c r="I976" s="10">
        <v>43530</v>
      </c>
      <c r="J976" s="10">
        <v>47050</v>
      </c>
      <c r="K976" s="5" t="s">
        <v>102</v>
      </c>
      <c r="L976" s="5" t="s">
        <v>102</v>
      </c>
      <c r="M976" s="11">
        <v>0.080000000000000002</v>
      </c>
      <c r="N976" s="5" t="e">
        <f>IF(AND(M976&gt;#REF!,Cartera!O976="Guaraníes"),"Rendimiento significativo",IF(AND(M976&gt;#REF!,Cartera!O976="Dólares americanos"),"Rendimiento significativo","Rendimiento no significativo"))</f>
        <v>#REF!</v>
      </c>
      <c r="O976" s="5" t="s">
        <v>41</v>
      </c>
      <c r="P976" s="12">
        <v>146000000</v>
      </c>
      <c r="Q976" s="12">
        <f>IF(O976="Guaraníes",P976,P976*#REF!)</f>
        <v>146000000</v>
      </c>
      <c r="R976" s="12" t="e">
        <f>IF(O976="Guaraníes",P976/#REF!,P976)</f>
        <v>#REF!</v>
      </c>
      <c r="S976" s="5" t="s">
        <v>42</v>
      </c>
      <c r="AC976" s="5" t="str">
        <f t="shared" si="49"/>
        <v>Bonos</v>
      </c>
      <c r="AD976" s="5" t="s">
        <v>43</v>
      </c>
      <c r="AE976" s="5">
        <f t="shared" si="47"/>
        <v>10</v>
      </c>
      <c r="AF976" s="5">
        <f t="shared" si="48"/>
        <v>2028</v>
      </c>
    </row>
    <row r="977" s="5" customFormat="1" ht="13">
      <c r="A977" s="5">
        <v>12316</v>
      </c>
      <c r="B977" s="5" t="s">
        <v>78</v>
      </c>
      <c r="C977" s="5" t="s">
        <v>183</v>
      </c>
      <c r="D977" s="5" t="s">
        <v>21</v>
      </c>
      <c r="E977" s="5" t="s">
        <v>34</v>
      </c>
      <c r="H977" s="9" t="s">
        <v>210</v>
      </c>
      <c r="I977" s="10">
        <v>45562</v>
      </c>
      <c r="J977" s="10">
        <v>45926</v>
      </c>
      <c r="L977" s="11" t="s">
        <v>82</v>
      </c>
      <c r="M977" s="11">
        <v>0.053800000000000001</v>
      </c>
      <c r="N977" s="11"/>
      <c r="O977" s="5" t="s">
        <v>41</v>
      </c>
      <c r="P977" s="13">
        <v>2712068</v>
      </c>
      <c r="Q977" s="12">
        <f>IF(O977="Guaraníes",P977,P977*#REF!)</f>
        <v>2712068</v>
      </c>
      <c r="R977" s="13">
        <v>348.15183763591318</v>
      </c>
      <c r="S977" s="5" t="s">
        <v>42</v>
      </c>
      <c r="AC977" s="5" t="str">
        <f t="shared" si="49"/>
        <v>CDA</v>
      </c>
      <c r="AD977" s="5" t="s">
        <v>43</v>
      </c>
    </row>
    <row r="978" s="5" customFormat="1" ht="13">
      <c r="A978" s="5">
        <v>12315</v>
      </c>
      <c r="B978" s="5" t="s">
        <v>73</v>
      </c>
      <c r="C978" s="5" t="s">
        <v>183</v>
      </c>
      <c r="D978" s="5" t="s">
        <v>21</v>
      </c>
      <c r="E978" s="5" t="s">
        <v>34</v>
      </c>
      <c r="F978" s="23"/>
      <c r="G978" s="23"/>
      <c r="H978" s="9" t="s">
        <v>211</v>
      </c>
      <c r="I978" s="10">
        <v>45562</v>
      </c>
      <c r="J978" s="10">
        <v>45926</v>
      </c>
      <c r="K978" s="23"/>
      <c r="L978" s="11" t="s">
        <v>82</v>
      </c>
      <c r="M978" s="11">
        <v>0.026800000000000001</v>
      </c>
      <c r="N978" s="11" t="e">
        <f>IF(AND(M978&gt;#REF!,Cartera!O978="Guaraníes"),"Rendimiento significativo",IF(AND(M978&gt;#REF!,Cartera!O978="Dólares americanos"),"Rendimiento significativo","Rendimiento no significativo"))</f>
        <v>#REF!</v>
      </c>
      <c r="O978" s="5" t="s">
        <v>51</v>
      </c>
      <c r="P978" s="13">
        <v>135.09999999999999</v>
      </c>
      <c r="Q978" s="12" t="e">
        <f>IF(O978="Guaraníes",P978,P978*#REF!)</f>
        <v>#REF!</v>
      </c>
      <c r="R978" s="17">
        <v>135.09999999999999</v>
      </c>
      <c r="S978" s="5" t="s">
        <v>42</v>
      </c>
      <c r="AC978" s="5" t="str">
        <f t="shared" si="49"/>
        <v>CDA</v>
      </c>
      <c r="AD978" s="5" t="s">
        <v>43</v>
      </c>
    </row>
    <row r="979" s="5" customFormat="1" ht="13">
      <c r="A979" s="5">
        <v>12316</v>
      </c>
      <c r="B979" s="5" t="s">
        <v>78</v>
      </c>
      <c r="C979" s="5" t="s">
        <v>164</v>
      </c>
      <c r="D979" s="5" t="s">
        <v>21</v>
      </c>
      <c r="E979" s="5" t="s">
        <v>34</v>
      </c>
      <c r="F979" s="5" t="s">
        <v>68</v>
      </c>
      <c r="G979" s="5" t="s">
        <v>145</v>
      </c>
      <c r="H979" s="9" t="s">
        <v>165</v>
      </c>
      <c r="I979" s="10"/>
      <c r="J979" s="10">
        <v>45930</v>
      </c>
      <c r="K979" s="5" t="s">
        <v>124</v>
      </c>
      <c r="L979" s="5" t="s">
        <v>58</v>
      </c>
      <c r="M979" s="11">
        <v>0.10000000000000001</v>
      </c>
      <c r="N979" s="5" t="e">
        <f>IF(AND(M979&gt;#REF!,Cartera!O1520="Guaraníes"),"Rendimiento significativo",IF(AND(M979&gt;#REF!,Cartera!O1520="Dólares americanos"),"Rendimiento significativo","Rendimiento no significativo"))</f>
        <v>#REF!</v>
      </c>
      <c r="O979" s="5" t="s">
        <v>41</v>
      </c>
      <c r="P979" s="12">
        <v>3506849.3152000001</v>
      </c>
      <c r="Q979" s="12">
        <f>IF(O979="Guaraníes",P979,P979*#REF!)</f>
        <v>3506849.3152000001</v>
      </c>
      <c r="R979" s="12" t="e">
        <f>IF(O979="Guaraníes",P979/#REF!,P979)</f>
        <v>#REF!</v>
      </c>
      <c r="S979" s="5" t="s">
        <v>42</v>
      </c>
      <c r="T979" s="5">
        <v>1057</v>
      </c>
      <c r="W979" s="5" t="s">
        <v>65</v>
      </c>
      <c r="X979" s="5">
        <v>0</v>
      </c>
      <c r="Y979" s="5">
        <v>0</v>
      </c>
      <c r="Z979" s="5">
        <v>8767.1232880000007</v>
      </c>
      <c r="AA979" s="5">
        <v>400</v>
      </c>
      <c r="AB979" s="5">
        <v>3506849.3152000001</v>
      </c>
      <c r="AC979" s="5" t="str">
        <f t="shared" si="49"/>
        <v>Bonos</v>
      </c>
      <c r="AD979" s="5" t="s">
        <v>43</v>
      </c>
      <c r="AE979" s="5">
        <f t="shared" si="47"/>
        <v>9</v>
      </c>
      <c r="AF979" s="5">
        <f t="shared" si="48"/>
        <v>2025</v>
      </c>
    </row>
    <row r="980" s="5" customFormat="1" ht="13">
      <c r="A980" s="5">
        <v>12316</v>
      </c>
      <c r="B980" s="5" t="s">
        <v>78</v>
      </c>
      <c r="C980" s="5" t="s">
        <v>164</v>
      </c>
      <c r="D980" s="5" t="s">
        <v>21</v>
      </c>
      <c r="E980" s="5" t="s">
        <v>34</v>
      </c>
      <c r="F980" s="5" t="s">
        <v>68</v>
      </c>
      <c r="G980" s="5" t="s">
        <v>91</v>
      </c>
      <c r="H980" s="9" t="s">
        <v>166</v>
      </c>
      <c r="I980" s="10"/>
      <c r="J980" s="10">
        <v>45930</v>
      </c>
      <c r="K980" s="5" t="s">
        <v>124</v>
      </c>
      <c r="L980" s="5" t="s">
        <v>58</v>
      </c>
      <c r="M980" s="11">
        <v>0.092499999999999999</v>
      </c>
      <c r="N980" s="5" t="e">
        <f>IF(AND(M980&gt;#REF!,Cartera!O1881="Guaraníes"),"Rendimiento significativo",IF(AND(M980&gt;#REF!,Cartera!O1881="Dólares americanos"),"Rendimiento significativo","Rendimiento no significativo"))</f>
        <v>#REF!</v>
      </c>
      <c r="O980" s="5" t="s">
        <v>41</v>
      </c>
      <c r="P980" s="12">
        <v>1216438.3561500001</v>
      </c>
      <c r="Q980" s="12">
        <f>IF(O980="Guaraníes",P980,P980*#REF!)</f>
        <v>1216438.3561500001</v>
      </c>
      <c r="R980" s="12" t="e">
        <f>IF(O980="Guaraníes",P980/#REF!,P980)</f>
        <v>#REF!</v>
      </c>
      <c r="S980" s="5" t="s">
        <v>42</v>
      </c>
      <c r="T980" s="5">
        <v>3253</v>
      </c>
      <c r="W980" s="5" t="s">
        <v>65</v>
      </c>
      <c r="X980" s="5">
        <v>0</v>
      </c>
      <c r="Y980" s="5">
        <v>0</v>
      </c>
      <c r="Z980" s="5">
        <v>8109.5890410000002</v>
      </c>
      <c r="AA980" s="5">
        <v>150</v>
      </c>
      <c r="AB980" s="5">
        <v>1216438.3561499999</v>
      </c>
      <c r="AC980" s="5" t="str">
        <f t="shared" si="49"/>
        <v>Bonos</v>
      </c>
      <c r="AD980" s="5" t="s">
        <v>43</v>
      </c>
      <c r="AE980" s="5">
        <f t="shared" si="47"/>
        <v>9</v>
      </c>
      <c r="AF980" s="5">
        <f t="shared" si="48"/>
        <v>2025</v>
      </c>
    </row>
    <row r="981" s="5" customFormat="1" ht="13">
      <c r="A981" s="5">
        <v>12316</v>
      </c>
      <c r="B981" s="5" t="s">
        <v>78</v>
      </c>
      <c r="C981" s="5" t="s">
        <v>164</v>
      </c>
      <c r="D981" s="5" t="s">
        <v>21</v>
      </c>
      <c r="E981" s="5" t="s">
        <v>34</v>
      </c>
      <c r="F981" s="5" t="s">
        <v>68</v>
      </c>
      <c r="G981" s="5" t="s">
        <v>141</v>
      </c>
      <c r="H981" s="9" t="s">
        <v>165</v>
      </c>
      <c r="I981" s="10"/>
      <c r="J981" s="10">
        <v>45930</v>
      </c>
      <c r="K981" s="5" t="s">
        <v>124</v>
      </c>
      <c r="L981" s="5" t="s">
        <v>58</v>
      </c>
      <c r="M981" s="11">
        <v>0.10000000000000001</v>
      </c>
      <c r="N981" s="5" t="e">
        <f>IF(AND(M981&gt;#REF!,Cartera!O2108="Guaraníes"),"Rendimiento significativo",IF(AND(M981&gt;#REF!,Cartera!O2108="Dólares americanos"),"Rendimiento significativo","Rendimiento no significativo"))</f>
        <v>#REF!</v>
      </c>
      <c r="O981" s="5" t="s">
        <v>41</v>
      </c>
      <c r="P981" s="12">
        <v>876712.32880000002</v>
      </c>
      <c r="Q981" s="12">
        <f>IF(O981="Guaraníes",P981,P981*#REF!)</f>
        <v>876712.32880000002</v>
      </c>
      <c r="R981" s="12" t="e">
        <f>IF(O981="Guaraníes",P981/#REF!,P981)</f>
        <v>#REF!</v>
      </c>
      <c r="S981" s="5" t="s">
        <v>42</v>
      </c>
      <c r="T981" s="5">
        <v>9243</v>
      </c>
      <c r="W981" s="5" t="s">
        <v>65</v>
      </c>
      <c r="X981" s="5">
        <v>0</v>
      </c>
      <c r="Y981" s="5">
        <v>0</v>
      </c>
      <c r="Z981" s="5">
        <v>8767.1232880000007</v>
      </c>
      <c r="AA981" s="5">
        <v>100</v>
      </c>
      <c r="AB981" s="5">
        <v>876712.32880000002</v>
      </c>
      <c r="AC981" s="5" t="str">
        <f t="shared" si="49"/>
        <v>Bonos</v>
      </c>
      <c r="AD981" s="5" t="s">
        <v>43</v>
      </c>
      <c r="AE981" s="5">
        <f t="shared" si="47"/>
        <v>9</v>
      </c>
      <c r="AF981" s="5">
        <f t="shared" si="48"/>
        <v>2025</v>
      </c>
    </row>
    <row r="982" s="5" customFormat="1" ht="13">
      <c r="A982" s="5">
        <v>12316</v>
      </c>
      <c r="B982" s="5" t="s">
        <v>78</v>
      </c>
      <c r="C982" s="5" t="s">
        <v>164</v>
      </c>
      <c r="D982" s="5" t="s">
        <v>21</v>
      </c>
      <c r="E982" s="5" t="s">
        <v>34</v>
      </c>
      <c r="F982" s="5" t="s">
        <v>68</v>
      </c>
      <c r="G982" s="5" t="s">
        <v>141</v>
      </c>
      <c r="H982" s="9" t="s">
        <v>167</v>
      </c>
      <c r="I982" s="10"/>
      <c r="J982" s="10">
        <v>45930</v>
      </c>
      <c r="K982" s="5" t="s">
        <v>124</v>
      </c>
      <c r="L982" s="5" t="s">
        <v>58</v>
      </c>
      <c r="M982" s="11">
        <v>0.092499999999999999</v>
      </c>
      <c r="N982" s="5" t="e">
        <f>IF(AND(M982&gt;#REF!,Cartera!O2109="Guaraníes"),"Rendimiento significativo",IF(AND(M982&gt;#REF!,Cartera!O2109="Dólares americanos"),"Rendimiento significativo","Rendimiento no significativo"))</f>
        <v>#REF!</v>
      </c>
      <c r="O982" s="5" t="s">
        <v>41</v>
      </c>
      <c r="P982" s="12">
        <v>810958.90410000004</v>
      </c>
      <c r="Q982" s="12">
        <f>IF(O982="Guaraníes",P982,P982*#REF!)</f>
        <v>810958.90410000004</v>
      </c>
      <c r="R982" s="12" t="e">
        <f>IF(O982="Guaraníes",P982/#REF!,P982)</f>
        <v>#REF!</v>
      </c>
      <c r="S982" s="5" t="s">
        <v>42</v>
      </c>
      <c r="T982" s="5">
        <v>9243</v>
      </c>
      <c r="W982" s="5" t="s">
        <v>65</v>
      </c>
      <c r="X982" s="5">
        <v>0</v>
      </c>
      <c r="Y982" s="5">
        <v>0</v>
      </c>
      <c r="Z982" s="5">
        <v>8109.5890410000002</v>
      </c>
      <c r="AA982" s="5">
        <v>100</v>
      </c>
      <c r="AB982" s="5">
        <v>810958.90410000004</v>
      </c>
      <c r="AC982" s="5" t="str">
        <f t="shared" si="49"/>
        <v>Bonos</v>
      </c>
      <c r="AD982" s="5" t="s">
        <v>43</v>
      </c>
      <c r="AE982" s="5">
        <f t="shared" si="47"/>
        <v>9</v>
      </c>
      <c r="AF982" s="5">
        <f t="shared" si="48"/>
        <v>2025</v>
      </c>
    </row>
    <row r="983" s="5" customFormat="1" ht="13">
      <c r="A983" s="5">
        <v>12316</v>
      </c>
      <c r="B983" s="5" t="s">
        <v>78</v>
      </c>
      <c r="C983" s="5" t="s">
        <v>138</v>
      </c>
      <c r="D983" s="5" t="s">
        <v>21</v>
      </c>
      <c r="E983" s="5" t="s">
        <v>34</v>
      </c>
      <c r="F983" s="5" t="s">
        <v>68</v>
      </c>
      <c r="G983" s="5" t="s">
        <v>86</v>
      </c>
      <c r="H983" s="9" t="s">
        <v>139</v>
      </c>
      <c r="I983" s="10">
        <v>43948</v>
      </c>
      <c r="J983" s="10">
        <v>45930</v>
      </c>
      <c r="K983" s="5" t="s">
        <v>140</v>
      </c>
      <c r="L983" s="5" t="s">
        <v>58</v>
      </c>
      <c r="M983" s="11">
        <v>0.11</v>
      </c>
      <c r="N983" s="5" t="e">
        <f>IF(AND(M983&gt;#REF!,Cartera!O3272="Guaraníes"),"Rendimiento significativo",IF(AND(M983&gt;#REF!,Cartera!O3272="Dólares americanos"),"Rendimiento significativo","Rendimiento no significativo"))</f>
        <v>#REF!</v>
      </c>
      <c r="O983" s="5" t="s">
        <v>41</v>
      </c>
      <c r="P983" s="12">
        <v>994520.54790000001</v>
      </c>
      <c r="Q983" s="12">
        <f>IF(O983="Guaraníes",P983,P983*#REF!)</f>
        <v>994520.54790000001</v>
      </c>
      <c r="R983" s="12" t="e">
        <f>IF(O983="Guaraníes",P983/#REF!,P983)</f>
        <v>#REF!</v>
      </c>
      <c r="S983" s="5" t="s">
        <v>42</v>
      </c>
      <c r="AC983" s="5" t="str">
        <f t="shared" si="49"/>
        <v>Bonos</v>
      </c>
      <c r="AD983" s="5" t="s">
        <v>43</v>
      </c>
      <c r="AE983" s="5">
        <f t="shared" si="47"/>
        <v>9</v>
      </c>
      <c r="AF983" s="5">
        <f t="shared" si="48"/>
        <v>2025</v>
      </c>
    </row>
    <row r="984" s="5" customFormat="1" ht="13">
      <c r="A984" s="5">
        <v>12315</v>
      </c>
      <c r="B984" s="5" t="s">
        <v>73</v>
      </c>
      <c r="C984" s="5" t="s">
        <v>74</v>
      </c>
      <c r="D984" s="5" t="s">
        <v>21</v>
      </c>
      <c r="E984" s="5" t="s">
        <v>34</v>
      </c>
      <c r="F984" s="5" t="s">
        <v>68</v>
      </c>
      <c r="G984" s="5" t="s">
        <v>75</v>
      </c>
      <c r="H984" s="9" t="s">
        <v>76</v>
      </c>
      <c r="I984" s="10"/>
      <c r="J984" s="10">
        <v>45931</v>
      </c>
      <c r="K984" s="5" t="s">
        <v>77</v>
      </c>
      <c r="L984" s="5" t="s">
        <v>50</v>
      </c>
      <c r="M984" s="11">
        <v>0.055</v>
      </c>
      <c r="N984" s="5" t="e">
        <f>IF(AND(M984&gt;#REF!,Cartera!O925="Guaraníes"),"Rendimiento significativo",IF(AND(M984&gt;#REF!,Cartera!O925="Dólares americanos"),"Rendimiento significativo","Rendimiento no significativo"))</f>
        <v>#REF!</v>
      </c>
      <c r="O984" s="5" t="s">
        <v>51</v>
      </c>
      <c r="P984" s="13">
        <v>415.89042000000001</v>
      </c>
      <c r="Q984" s="12" t="e">
        <f>IF(O984="Guaraníes",P984,P984*#REF!)</f>
        <v>#REF!</v>
      </c>
      <c r="R984" s="12">
        <f>IF(O984="Guaraníes",P984/#REF!,P984)</f>
        <v>415.89042000000001</v>
      </c>
      <c r="S984" s="5" t="s">
        <v>42</v>
      </c>
      <c r="T984" s="5">
        <v>25</v>
      </c>
      <c r="W984" s="5" t="s">
        <v>65</v>
      </c>
      <c r="X984" s="5">
        <v>0</v>
      </c>
      <c r="Y984" s="5">
        <v>0</v>
      </c>
      <c r="Z984" s="5">
        <v>13.863014</v>
      </c>
      <c r="AA984" s="5">
        <v>30</v>
      </c>
      <c r="AB984" s="5">
        <v>415.88999999999999</v>
      </c>
      <c r="AC984" s="5" t="str">
        <f t="shared" si="49"/>
        <v>Bonos</v>
      </c>
      <c r="AD984" s="5" t="s">
        <v>43</v>
      </c>
      <c r="AE984" s="5">
        <f t="shared" si="47"/>
        <v>10</v>
      </c>
      <c r="AF984" s="5">
        <f t="shared" si="48"/>
        <v>2025</v>
      </c>
    </row>
    <row r="985" s="5" customFormat="1" ht="13">
      <c r="A985" s="5">
        <v>12316</v>
      </c>
      <c r="B985" s="5" t="s">
        <v>78</v>
      </c>
      <c r="C985" s="5" t="s">
        <v>116</v>
      </c>
      <c r="D985" s="5" t="s">
        <v>21</v>
      </c>
      <c r="E985" s="5" t="s">
        <v>34</v>
      </c>
      <c r="F985" s="5" t="s">
        <v>68</v>
      </c>
      <c r="H985" s="9" t="s">
        <v>209</v>
      </c>
      <c r="I985" s="10">
        <v>45393</v>
      </c>
      <c r="J985" s="10">
        <v>45933</v>
      </c>
      <c r="K985" s="5" t="s">
        <v>118</v>
      </c>
      <c r="L985" s="5" t="s">
        <v>82</v>
      </c>
      <c r="M985" s="11">
        <v>0.087499999999999994</v>
      </c>
      <c r="N985" s="5" t="e">
        <f>IF(AND(M985&gt;#REF!,Cartera!O3583="Guaraníes"),"Rendimiento significativo",IF(AND(M985&gt;#REF!,Cartera!O3583="Dólares americanos"),"Rendimiento significativo","Rendimiento no significativo"))</f>
        <v>#REF!</v>
      </c>
      <c r="O985" s="5" t="s">
        <v>41</v>
      </c>
      <c r="P985" s="12">
        <v>19309932</v>
      </c>
      <c r="Q985" s="12">
        <f>IF(O985="Guaraníes",P985,P985*#REF!)</f>
        <v>19309932</v>
      </c>
      <c r="R985" s="12" t="e">
        <f>IF(O985="Guaraníes",P985/#REF!,P985)</f>
        <v>#REF!</v>
      </c>
      <c r="S985" s="5" t="s">
        <v>42</v>
      </c>
      <c r="AC985" s="5" t="str">
        <f t="shared" si="49"/>
        <v>CDA</v>
      </c>
      <c r="AD985" s="5" t="s">
        <v>43</v>
      </c>
      <c r="AE985" s="5">
        <f t="shared" si="47"/>
        <v>10</v>
      </c>
      <c r="AF985" s="5">
        <f t="shared" si="48"/>
        <v>2025</v>
      </c>
    </row>
    <row r="986" s="5" customFormat="1" ht="13">
      <c r="A986" s="5">
        <v>12316</v>
      </c>
      <c r="B986" s="5" t="s">
        <v>78</v>
      </c>
      <c r="C986" s="5" t="s">
        <v>74</v>
      </c>
      <c r="D986" s="5" t="s">
        <v>21</v>
      </c>
      <c r="E986" s="5" t="s">
        <v>34</v>
      </c>
      <c r="F986" s="5" t="s">
        <v>68</v>
      </c>
      <c r="H986" s="9">
        <v>1093</v>
      </c>
      <c r="I986" s="10"/>
      <c r="J986" s="10">
        <v>45937</v>
      </c>
      <c r="K986" s="5" t="s">
        <v>77</v>
      </c>
      <c r="L986" s="5" t="s">
        <v>82</v>
      </c>
      <c r="M986" s="11">
        <v>0.065000000000000002</v>
      </c>
      <c r="N986" s="5" t="e">
        <f>IF(AND(M986&gt;#REF!,Cartera!O2958="Guaraníes"),"Rendimiento significativo",IF(AND(M986&gt;#REF!,Cartera!O2958="Dólares americanos"),"Rendimiento significativo","Rendimiento no significativo"))</f>
        <v>#REF!</v>
      </c>
      <c r="O986" s="5" t="s">
        <v>41</v>
      </c>
      <c r="P986" s="12">
        <v>3205479</v>
      </c>
      <c r="Q986" s="12">
        <f>IF(O986="Guaraníes",P986,P986*#REF!)</f>
        <v>3205479</v>
      </c>
      <c r="R986" s="12" t="e">
        <f>IF(O986="Guaraníes",P986/#REF!,P986)</f>
        <v>#REF!</v>
      </c>
      <c r="S986" s="5" t="s">
        <v>42</v>
      </c>
      <c r="V986" s="5">
        <v>3205479</v>
      </c>
      <c r="W986" s="5" t="s">
        <v>285</v>
      </c>
      <c r="AC986" s="5" t="str">
        <f t="shared" si="49"/>
        <v>CDA</v>
      </c>
      <c r="AD986" s="5" t="s">
        <v>43</v>
      </c>
      <c r="AE986" s="5">
        <f t="shared" si="47"/>
        <v>10</v>
      </c>
      <c r="AF986" s="5">
        <f t="shared" si="48"/>
        <v>2025</v>
      </c>
    </row>
    <row r="987" s="5" customFormat="1" ht="13">
      <c r="A987" s="5">
        <v>12316</v>
      </c>
      <c r="B987" s="5" t="s">
        <v>78</v>
      </c>
      <c r="C987" s="5" t="s">
        <v>94</v>
      </c>
      <c r="D987" s="5" t="s">
        <v>21</v>
      </c>
      <c r="E987" s="5" t="s">
        <v>34</v>
      </c>
      <c r="F987" s="5" t="s">
        <v>68</v>
      </c>
      <c r="H987" s="9" t="s">
        <v>95</v>
      </c>
      <c r="I987" s="10">
        <v>45404</v>
      </c>
      <c r="J987" s="10">
        <v>45944</v>
      </c>
      <c r="K987" s="5" t="s">
        <v>96</v>
      </c>
      <c r="L987" s="5" t="s">
        <v>82</v>
      </c>
      <c r="M987" s="11">
        <v>0.085000000000000006</v>
      </c>
      <c r="N987" s="5" t="e">
        <f>IF(AND(M987&gt;#REF!,Cartera!O3591="Guaraníes"),"Rendimiento significativo",IF(AND(M987&gt;#REF!,Cartera!O3591="Dólares americanos"),"Rendimiento significativo","Rendimiento no significativo"))</f>
        <v>#REF!</v>
      </c>
      <c r="O987" s="5" t="s">
        <v>41</v>
      </c>
      <c r="P987" s="12">
        <v>4191781</v>
      </c>
      <c r="Q987" s="12">
        <f>IF(O987="Guaraníes",P987,P987*#REF!)</f>
        <v>4191781</v>
      </c>
      <c r="R987" s="12" t="e">
        <f>IF(O987="Guaraníes",P987/#REF!,P987)</f>
        <v>#REF!</v>
      </c>
      <c r="S987" s="5" t="s">
        <v>42</v>
      </c>
      <c r="AC987" s="5" t="str">
        <f t="shared" si="49"/>
        <v>CDA</v>
      </c>
      <c r="AD987" s="5" t="s">
        <v>43</v>
      </c>
      <c r="AE987" s="5">
        <f t="shared" si="47"/>
        <v>10</v>
      </c>
      <c r="AF987" s="5">
        <f t="shared" si="48"/>
        <v>2025</v>
      </c>
    </row>
    <row r="988" s="5" customFormat="1" ht="13">
      <c r="A988" s="5">
        <v>12315</v>
      </c>
      <c r="B988" s="5" t="s">
        <v>73</v>
      </c>
      <c r="C988" s="5" t="s">
        <v>60</v>
      </c>
      <c r="D988" s="5" t="s">
        <v>21</v>
      </c>
      <c r="E988" s="5" t="s">
        <v>34</v>
      </c>
      <c r="F988" s="5" t="s">
        <v>68</v>
      </c>
      <c r="H988" s="9" t="s">
        <v>84</v>
      </c>
      <c r="I988" s="10">
        <v>45393</v>
      </c>
      <c r="J988" s="10">
        <v>45945</v>
      </c>
      <c r="K988" s="5" t="s">
        <v>64</v>
      </c>
      <c r="L988" s="5" t="s">
        <v>82</v>
      </c>
      <c r="M988" s="11">
        <v>0.055</v>
      </c>
      <c r="N988" s="5" t="e">
        <f>IF(AND(M988&gt;#REF!,Cartera!O3577="Guaraníes"),"Rendimiento significativo",IF(AND(M988&gt;#REF!,Cartera!O3577="Dólares americanos"),"Rendimiento significativo","Rendimiento no significativo"))</f>
        <v>#REF!</v>
      </c>
      <c r="O988" s="5" t="s">
        <v>51</v>
      </c>
      <c r="P988" s="13">
        <v>291.12</v>
      </c>
      <c r="Q988" s="12" t="e">
        <f>IF(O988="Guaraníes",P988,P988*#REF!)</f>
        <v>#REF!</v>
      </c>
      <c r="R988" s="12">
        <f>IF(O988="Guaraníes",P988/#REF!,P988)</f>
        <v>291.12</v>
      </c>
      <c r="S988" s="5" t="s">
        <v>42</v>
      </c>
      <c r="AC988" s="5" t="str">
        <f t="shared" si="49"/>
        <v>CDA</v>
      </c>
      <c r="AD988" s="5" t="s">
        <v>43</v>
      </c>
      <c r="AE988" s="5">
        <f t="shared" si="47"/>
        <v>10</v>
      </c>
      <c r="AF988" s="5">
        <f t="shared" si="48"/>
        <v>2025</v>
      </c>
    </row>
    <row r="989" s="5" customFormat="1" ht="13">
      <c r="A989" s="5">
        <v>12315</v>
      </c>
      <c r="B989" s="5" t="s">
        <v>73</v>
      </c>
      <c r="C989" s="5" t="s">
        <v>85</v>
      </c>
      <c r="D989" s="5" t="s">
        <v>21</v>
      </c>
      <c r="E989" s="5" t="s">
        <v>34</v>
      </c>
      <c r="F989" s="5" t="s">
        <v>68</v>
      </c>
      <c r="G989" s="5" t="s">
        <v>86</v>
      </c>
      <c r="H989" s="9" t="s">
        <v>87</v>
      </c>
      <c r="I989" s="10"/>
      <c r="J989" s="10">
        <v>45946</v>
      </c>
      <c r="K989" s="5" t="s">
        <v>39</v>
      </c>
      <c r="L989" s="5" t="s">
        <v>58</v>
      </c>
      <c r="M989" s="11">
        <v>0.059999999999999998</v>
      </c>
      <c r="N989" s="5" t="e">
        <f>IF(AND(M989&gt;#REF!,Cartera!O266="Guaraníes"),"Rendimiento significativo",IF(AND(M989&gt;#REF!,Cartera!O266="Dólares americanos"),"Rendimiento significativo","Rendimiento no significativo"))</f>
        <v>#REF!</v>
      </c>
      <c r="O989" s="5" t="s">
        <v>51</v>
      </c>
      <c r="P989" s="13">
        <v>747.9452</v>
      </c>
      <c r="Q989" s="12" t="e">
        <f>IF(O989="Guaraníes",P989,P989*#REF!)</f>
        <v>#REF!</v>
      </c>
      <c r="R989" s="12">
        <f>IF(O989="Guaraníes",P989/#REF!,P989)</f>
        <v>747.9452</v>
      </c>
      <c r="S989" s="5" t="s">
        <v>42</v>
      </c>
      <c r="T989" s="5">
        <v>10834</v>
      </c>
      <c r="W989" s="5" t="s">
        <v>286</v>
      </c>
      <c r="X989" s="5">
        <v>0</v>
      </c>
      <c r="Y989" s="5">
        <v>0</v>
      </c>
      <c r="Z989" s="5">
        <v>14.958904</v>
      </c>
      <c r="AA989" s="5">
        <v>50</v>
      </c>
      <c r="AB989" s="5">
        <v>747.9452</v>
      </c>
      <c r="AC989" s="5" t="str">
        <f t="shared" si="49"/>
        <v>Bonos</v>
      </c>
      <c r="AD989" s="5" t="s">
        <v>43</v>
      </c>
      <c r="AE989" s="5">
        <f t="shared" si="47"/>
        <v>10</v>
      </c>
      <c r="AF989" s="5">
        <f t="shared" si="48"/>
        <v>2025</v>
      </c>
    </row>
    <row r="990" s="5" customFormat="1" ht="13">
      <c r="A990" s="5">
        <v>12315</v>
      </c>
      <c r="B990" s="5" t="s">
        <v>73</v>
      </c>
      <c r="C990" s="5" t="s">
        <v>89</v>
      </c>
      <c r="D990" s="5" t="s">
        <v>21</v>
      </c>
      <c r="E990" s="5" t="s">
        <v>34</v>
      </c>
      <c r="F990" s="5" t="s">
        <v>90</v>
      </c>
      <c r="G990" s="5" t="s">
        <v>91</v>
      </c>
      <c r="H990" s="9" t="s">
        <v>92</v>
      </c>
      <c r="I990" s="10"/>
      <c r="J990" s="10">
        <v>45946</v>
      </c>
      <c r="K990" s="5" t="s">
        <v>93</v>
      </c>
      <c r="L990" s="5" t="s">
        <v>58</v>
      </c>
      <c r="M990" s="11">
        <v>0.080000000000000002</v>
      </c>
      <c r="N990" s="5" t="e">
        <f>IF(AND(M990&gt;#REF!,Cartera!O1882="Guaraníes"),"Rendimiento significativo",IF(AND(M990&gt;#REF!,Cartera!O1882="Dólares americanos"),"Rendimiento significativo","Rendimiento no significativo"))</f>
        <v>#REF!</v>
      </c>
      <c r="O990" s="5" t="s">
        <v>51</v>
      </c>
      <c r="P990" s="13">
        <v>299.17807500000004</v>
      </c>
      <c r="Q990" s="12" t="e">
        <f>IF(O990="Guaraníes",P990,P990*#REF!)</f>
        <v>#REF!</v>
      </c>
      <c r="R990" s="12">
        <f>IF(O990="Guaraníes",P990/#REF!,P990)</f>
        <v>299.17807500000004</v>
      </c>
      <c r="S990" s="5" t="s">
        <v>42</v>
      </c>
      <c r="T990" s="5">
        <v>3253</v>
      </c>
      <c r="W990" s="5" t="s">
        <v>65</v>
      </c>
      <c r="X990" s="5">
        <v>0</v>
      </c>
      <c r="Y990" s="5">
        <v>0</v>
      </c>
      <c r="Z990" s="5">
        <v>19.945205000000001</v>
      </c>
      <c r="AA990" s="5">
        <v>15</v>
      </c>
      <c r="AB990" s="5">
        <v>299.17807499999998</v>
      </c>
      <c r="AC990" s="5" t="str">
        <f t="shared" si="49"/>
        <v>Bonos</v>
      </c>
      <c r="AD990" s="5" t="s">
        <v>43</v>
      </c>
      <c r="AE990" s="5">
        <f t="shared" si="47"/>
        <v>10</v>
      </c>
      <c r="AF990" s="5">
        <f t="shared" si="48"/>
        <v>2025</v>
      </c>
    </row>
    <row r="991" s="5" customFormat="1" ht="13">
      <c r="A991" s="5">
        <v>12315</v>
      </c>
      <c r="B991" s="5" t="s">
        <v>73</v>
      </c>
      <c r="C991" s="5" t="s">
        <v>111</v>
      </c>
      <c r="D991" s="5" t="s">
        <v>21</v>
      </c>
      <c r="E991" s="5" t="s">
        <v>34</v>
      </c>
      <c r="F991" s="5" t="s">
        <v>68</v>
      </c>
      <c r="H991" s="9"/>
      <c r="I991" s="10">
        <v>45497</v>
      </c>
      <c r="J991" s="10">
        <v>45947</v>
      </c>
      <c r="L991" s="5" t="s">
        <v>82</v>
      </c>
      <c r="M991" s="11">
        <v>0.058000000000000003</v>
      </c>
      <c r="N991" s="5"/>
      <c r="O991" s="5" t="s">
        <v>51</v>
      </c>
      <c r="P991" s="18">
        <v>279.67000000000002</v>
      </c>
      <c r="Q991" s="12" t="e">
        <f>IF(O991="Guaraníes",P991,P991*#REF!)</f>
        <v>#REF!</v>
      </c>
      <c r="R991" s="12">
        <f>IF(O991="Guaraníes",P991/#REF!,P991)</f>
        <v>279.67000000000002</v>
      </c>
      <c r="S991" s="5" t="s">
        <v>42</v>
      </c>
      <c r="AC991" s="5" t="str">
        <f t="shared" si="49"/>
        <v>CDA</v>
      </c>
      <c r="AD991" s="5" t="s">
        <v>43</v>
      </c>
      <c r="AE991" s="5">
        <f t="shared" ref="AE991:AE1041" si="50">IFERROR((MONTH(J991)),0)</f>
        <v>10</v>
      </c>
      <c r="AF991" s="5">
        <f t="shared" ref="AF991:AF1041" si="51">IFERROR((YEAR(J991)),0)</f>
        <v>2025</v>
      </c>
    </row>
    <row r="992" s="5" customFormat="1" ht="13">
      <c r="A992" s="5">
        <v>12316</v>
      </c>
      <c r="B992" s="5" t="s">
        <v>78</v>
      </c>
      <c r="C992" s="5" t="s">
        <v>111</v>
      </c>
      <c r="D992" s="5" t="s">
        <v>21</v>
      </c>
      <c r="E992" s="5" t="s">
        <v>34</v>
      </c>
      <c r="F992" s="12" t="s">
        <v>68</v>
      </c>
      <c r="G992" s="12"/>
      <c r="H992" s="19"/>
      <c r="I992" s="10">
        <v>45497</v>
      </c>
      <c r="J992" s="10">
        <v>45947</v>
      </c>
      <c r="K992" s="12"/>
      <c r="L992" s="5" t="s">
        <v>82</v>
      </c>
      <c r="M992" s="11">
        <v>0.073999999999999996</v>
      </c>
      <c r="N992" s="5"/>
      <c r="O992" s="5" t="s">
        <v>41</v>
      </c>
      <c r="P992" s="15">
        <v>3122192</v>
      </c>
      <c r="Q992" s="12">
        <f>IF(O992="Guaraníes",P992,P992*#REF!)</f>
        <v>3122192</v>
      </c>
      <c r="R992" s="12" t="e">
        <f>IF(O992="Guaraníes",P992/#REF!,P992)</f>
        <v>#REF!</v>
      </c>
      <c r="S992" s="5" t="s">
        <v>42</v>
      </c>
      <c r="AC992" s="5" t="str">
        <f t="shared" si="49"/>
        <v>CDA</v>
      </c>
      <c r="AD992" s="5" t="s">
        <v>43</v>
      </c>
      <c r="AE992" s="5">
        <f t="shared" si="50"/>
        <v>10</v>
      </c>
      <c r="AF992" s="5">
        <f t="shared" si="51"/>
        <v>2025</v>
      </c>
    </row>
    <row r="993" s="5" customFormat="1" ht="13">
      <c r="A993" s="5">
        <v>12315</v>
      </c>
      <c r="B993" s="5" t="s">
        <v>73</v>
      </c>
      <c r="C993" s="5" t="s">
        <v>122</v>
      </c>
      <c r="D993" s="5" t="s">
        <v>21</v>
      </c>
      <c r="E993" s="5" t="s">
        <v>34</v>
      </c>
      <c r="F993" s="5" t="s">
        <v>61</v>
      </c>
      <c r="G993" s="5" t="s">
        <v>91</v>
      </c>
      <c r="H993" s="9" t="s">
        <v>132</v>
      </c>
      <c r="I993" s="10"/>
      <c r="J993" s="10">
        <v>45952</v>
      </c>
      <c r="K993" s="5" t="s">
        <v>124</v>
      </c>
      <c r="L993" s="5" t="s">
        <v>50</v>
      </c>
      <c r="M993" s="11">
        <v>0.059999999999999998</v>
      </c>
      <c r="N993" s="5" t="e">
        <f>IF(AND(M993&gt;#REF!,Cartera!O1883="Guaraníes"),"Rendimiento significativo",IF(AND(M993&gt;#REF!,Cartera!O1883="Dólares americanos"),"Rendimiento significativo","Rendimiento no significativo"))</f>
        <v>#REF!</v>
      </c>
      <c r="O993" s="5" t="s">
        <v>51</v>
      </c>
      <c r="P993" s="13">
        <v>299.17808000000002</v>
      </c>
      <c r="Q993" s="12" t="e">
        <f>IF(O993="Guaraníes",P993,P993*#REF!)</f>
        <v>#REF!</v>
      </c>
      <c r="R993" s="12">
        <f>IF(O993="Guaraníes",P993/#REF!,P993)</f>
        <v>299.17808000000002</v>
      </c>
      <c r="S993" s="5" t="s">
        <v>42</v>
      </c>
      <c r="T993" s="5">
        <v>3253</v>
      </c>
      <c r="W993" s="5" t="s">
        <v>65</v>
      </c>
      <c r="X993" s="5">
        <v>0</v>
      </c>
      <c r="Y993" s="5">
        <v>0</v>
      </c>
      <c r="Z993" s="5">
        <v>29.917808000000001</v>
      </c>
      <c r="AA993" s="5">
        <v>10</v>
      </c>
      <c r="AB993" s="5">
        <v>299.17808000000002</v>
      </c>
      <c r="AC993" s="5" t="str">
        <f t="shared" si="49"/>
        <v>Bonos</v>
      </c>
      <c r="AD993" s="5" t="s">
        <v>43</v>
      </c>
      <c r="AE993" s="5">
        <f t="shared" si="50"/>
        <v>10</v>
      </c>
      <c r="AF993" s="5">
        <f t="shared" si="51"/>
        <v>2025</v>
      </c>
    </row>
    <row r="994" s="5" customFormat="1" ht="13">
      <c r="A994" s="5">
        <v>12315</v>
      </c>
      <c r="B994" s="5" t="s">
        <v>73</v>
      </c>
      <c r="C994" s="5" t="s">
        <v>54</v>
      </c>
      <c r="D994" s="5" t="s">
        <v>21</v>
      </c>
      <c r="E994" s="5" t="s">
        <v>34</v>
      </c>
      <c r="F994" s="5" t="s">
        <v>46</v>
      </c>
      <c r="G994" s="5" t="s">
        <v>55</v>
      </c>
      <c r="H994" s="9" t="s">
        <v>56</v>
      </c>
      <c r="I994" s="10">
        <v>44680</v>
      </c>
      <c r="J994" s="10">
        <v>45954</v>
      </c>
      <c r="K994" s="5" t="s">
        <v>57</v>
      </c>
      <c r="L994" s="5" t="s">
        <v>58</v>
      </c>
      <c r="M994" s="11">
        <v>0.059999999999999998</v>
      </c>
      <c r="N994" s="5" t="e">
        <f>IF(AND(M994&gt;#REF!,Cartera!O17="Guaraníes"),"Rendimiento significativo",IF(AND(M994&gt;#REF!,Cartera!O17="Dólares americanos"),"Rendimiento significativo","Rendimiento no significativo"))</f>
        <v>#REF!</v>
      </c>
      <c r="O994" s="5" t="s">
        <v>51</v>
      </c>
      <c r="P994" s="13">
        <v>747.9452</v>
      </c>
      <c r="Q994" s="12" t="e">
        <f>IF(O994="Guaraníes",P994,P994*#REF!)</f>
        <v>#REF!</v>
      </c>
      <c r="R994" s="12">
        <f>IF(O994="Guaraníes",P994/#REF!,P994)</f>
        <v>747.9452</v>
      </c>
      <c r="S994" s="5" t="s">
        <v>42</v>
      </c>
      <c r="T994" s="5">
        <v>17035</v>
      </c>
      <c r="V994" s="5">
        <v>14.960000000000001</v>
      </c>
      <c r="AA994" s="5">
        <v>50</v>
      </c>
      <c r="AC994" s="5" t="str">
        <f t="shared" si="49"/>
        <v>Bonos</v>
      </c>
      <c r="AD994" s="5" t="s">
        <v>43</v>
      </c>
      <c r="AE994" s="5">
        <f t="shared" si="50"/>
        <v>10</v>
      </c>
      <c r="AF994" s="5">
        <f t="shared" si="51"/>
        <v>2025</v>
      </c>
    </row>
    <row r="995" s="5" customFormat="1" ht="13">
      <c r="A995" s="5">
        <v>12301</v>
      </c>
      <c r="B995" s="5" t="s">
        <v>107</v>
      </c>
      <c r="C995" s="5" t="s">
        <v>54</v>
      </c>
      <c r="D995" s="5" t="s">
        <v>20</v>
      </c>
      <c r="E995" s="5" t="s">
        <v>34</v>
      </c>
      <c r="F995" s="5" t="s">
        <v>46</v>
      </c>
      <c r="G995" s="5" t="s">
        <v>75</v>
      </c>
      <c r="H995" s="9" t="s">
        <v>147</v>
      </c>
      <c r="I995" s="10">
        <v>43924</v>
      </c>
      <c r="J995" s="10">
        <v>47560</v>
      </c>
      <c r="K995" s="5" t="s">
        <v>57</v>
      </c>
      <c r="L995" s="5" t="s">
        <v>58</v>
      </c>
      <c r="M995" s="11">
        <v>0.12</v>
      </c>
      <c r="N995" s="5" t="e">
        <f>IF(AND(M995&gt;#REF!,Cartera!O995="Guaraníes"),"Rendimiento significativo",IF(AND(M995&gt;#REF!,Cartera!O995="Dólares americanos"),"Rendimiento significativo","Rendimiento no significativo"))</f>
        <v>#REF!</v>
      </c>
      <c r="O995" s="5" t="s">
        <v>41</v>
      </c>
      <c r="P995" s="12">
        <v>150000000</v>
      </c>
      <c r="Q995" s="12">
        <f>IF(O995="Guaraníes",P995,P995*#REF!)</f>
        <v>150000000</v>
      </c>
      <c r="R995" s="12" t="e">
        <f>IF(O995="Guaraníes",P995/#REF!,P995)</f>
        <v>#REF!</v>
      </c>
      <c r="S995" s="5" t="s">
        <v>42</v>
      </c>
      <c r="T995" s="5">
        <v>25</v>
      </c>
      <c r="AC995" s="5" t="str">
        <f t="shared" si="49"/>
        <v>Bonos</v>
      </c>
      <c r="AD995" s="5" t="s">
        <v>43</v>
      </c>
      <c r="AE995" s="5">
        <f t="shared" si="50"/>
        <v>3</v>
      </c>
      <c r="AF995" s="5">
        <f t="shared" si="51"/>
        <v>2030</v>
      </c>
    </row>
    <row r="996" s="5" customFormat="1" ht="13">
      <c r="A996" s="5">
        <v>12316</v>
      </c>
      <c r="B996" s="5" t="s">
        <v>78</v>
      </c>
      <c r="C996" s="5" t="s">
        <v>99</v>
      </c>
      <c r="D996" s="5" t="s">
        <v>21</v>
      </c>
      <c r="E996" s="5" t="s">
        <v>34</v>
      </c>
      <c r="F996" s="5" t="s">
        <v>100</v>
      </c>
      <c r="G996" s="5" t="s">
        <v>75</v>
      </c>
      <c r="H996" s="9" t="s">
        <v>217</v>
      </c>
      <c r="I996" s="10"/>
      <c r="J996" s="10">
        <v>45954</v>
      </c>
      <c r="K996" s="5" t="s">
        <v>102</v>
      </c>
      <c r="L996" s="5" t="s">
        <v>102</v>
      </c>
      <c r="M996" s="11">
        <v>0.080000000000000002</v>
      </c>
      <c r="N996" s="5" t="e">
        <f>IF(AND(M996&gt;#REF!,Cartera!O926="Guaraníes"),"Rendimiento significativo",IF(AND(M996&gt;#REF!,Cartera!O926="Dólares americanos"),"Rendimiento significativo","Rendimiento no significativo"))</f>
        <v>#REF!</v>
      </c>
      <c r="O996" s="5" t="s">
        <v>41</v>
      </c>
      <c r="P996" s="12">
        <v>5767000</v>
      </c>
      <c r="Q996" s="12">
        <f>IF(O996="Guaraníes",P996,P996*#REF!)</f>
        <v>5767000</v>
      </c>
      <c r="R996" s="12" t="e">
        <f>IF(O996="Guaraníes",P996/#REF!,P996)</f>
        <v>#REF!</v>
      </c>
      <c r="S996" s="5" t="s">
        <v>42</v>
      </c>
      <c r="T996" s="5">
        <v>25</v>
      </c>
      <c r="W996" s="5" t="s">
        <v>218</v>
      </c>
      <c r="X996" s="5">
        <v>0</v>
      </c>
      <c r="Y996" s="5">
        <v>0</v>
      </c>
      <c r="Z996" s="5">
        <v>39500</v>
      </c>
      <c r="AA996" s="5">
        <v>146</v>
      </c>
      <c r="AB996" s="5">
        <v>5767000</v>
      </c>
      <c r="AC996" s="5" t="str">
        <f t="shared" si="49"/>
        <v>Bonos</v>
      </c>
      <c r="AD996" s="5" t="s">
        <v>43</v>
      </c>
      <c r="AE996" s="5">
        <f t="shared" si="50"/>
        <v>10</v>
      </c>
      <c r="AF996" s="5">
        <f t="shared" si="51"/>
        <v>2025</v>
      </c>
    </row>
    <row r="997" s="5" customFormat="1" ht="13">
      <c r="A997" s="5">
        <v>12316</v>
      </c>
      <c r="B997" s="5" t="s">
        <v>78</v>
      </c>
      <c r="C997" s="5" t="s">
        <v>79</v>
      </c>
      <c r="D997" s="5" t="s">
        <v>21</v>
      </c>
      <c r="E997" s="5" t="s">
        <v>34</v>
      </c>
      <c r="F997" s="12" t="s">
        <v>68</v>
      </c>
      <c r="G997" s="12"/>
      <c r="H997" s="9" t="s">
        <v>119</v>
      </c>
      <c r="I997" s="10">
        <v>45497</v>
      </c>
      <c r="J997" s="10">
        <v>45954</v>
      </c>
      <c r="K997" s="12"/>
      <c r="L997" s="5" t="s">
        <v>82</v>
      </c>
      <c r="M997" s="11">
        <v>0.083500000000000005</v>
      </c>
      <c r="N997" s="5"/>
      <c r="O997" s="5" t="s">
        <v>41</v>
      </c>
      <c r="P997" s="12">
        <v>3151267</v>
      </c>
      <c r="Q997" s="12">
        <f>IF(O997="Guaraníes",P997,P997*#REF!)</f>
        <v>3151267</v>
      </c>
      <c r="R997" s="13" t="e">
        <f>IF(O997="Guaraníes",P997/#REF!,P997)</f>
        <v>#REF!</v>
      </c>
      <c r="S997" s="5" t="s">
        <v>120</v>
      </c>
      <c r="AC997" s="5" t="str">
        <f t="shared" si="49"/>
        <v>CDA</v>
      </c>
      <c r="AD997" s="5" t="s">
        <v>43</v>
      </c>
      <c r="AE997" s="5">
        <f t="shared" si="50"/>
        <v>10</v>
      </c>
      <c r="AF997" s="5">
        <f t="shared" si="51"/>
        <v>2025</v>
      </c>
    </row>
    <row r="998" s="5" customFormat="1" ht="13">
      <c r="A998" s="5">
        <v>12315</v>
      </c>
      <c r="B998" s="5" t="s">
        <v>73</v>
      </c>
      <c r="C998" s="5" t="s">
        <v>79</v>
      </c>
      <c r="D998" s="5" t="s">
        <v>21</v>
      </c>
      <c r="E998" s="5" t="s">
        <v>34</v>
      </c>
      <c r="F998" s="5" t="s">
        <v>68</v>
      </c>
      <c r="H998" s="9" t="s">
        <v>121</v>
      </c>
      <c r="I998" s="10">
        <v>45497</v>
      </c>
      <c r="J998" s="10">
        <v>45954</v>
      </c>
      <c r="L998" s="5" t="s">
        <v>82</v>
      </c>
      <c r="M998" s="11">
        <v>0.042000000000000003</v>
      </c>
      <c r="N998" s="5"/>
      <c r="O998" s="5" t="s">
        <v>51</v>
      </c>
      <c r="P998" s="13">
        <v>211</v>
      </c>
      <c r="Q998" s="12" t="e">
        <f>IF(O998="Guaraníes",P998,P998*#REF!)</f>
        <v>#REF!</v>
      </c>
      <c r="R998" s="13">
        <f>IF(O998="Guaraníes",P998/#REF!,P998)</f>
        <v>211</v>
      </c>
      <c r="S998" s="5" t="s">
        <v>120</v>
      </c>
      <c r="AC998" s="5" t="str">
        <f t="shared" si="49"/>
        <v>CDA</v>
      </c>
      <c r="AD998" s="5" t="s">
        <v>43</v>
      </c>
      <c r="AE998" s="5">
        <f t="shared" si="50"/>
        <v>10</v>
      </c>
      <c r="AF998" s="5">
        <f t="shared" si="51"/>
        <v>2025</v>
      </c>
    </row>
    <row r="999" s="5" customFormat="1" ht="13">
      <c r="A999" s="5">
        <v>12316</v>
      </c>
      <c r="B999" s="5" t="s">
        <v>78</v>
      </c>
      <c r="C999" s="5" t="s">
        <v>74</v>
      </c>
      <c r="D999" s="5" t="s">
        <v>21</v>
      </c>
      <c r="E999" s="5" t="s">
        <v>34</v>
      </c>
      <c r="F999" s="5" t="s">
        <v>68</v>
      </c>
      <c r="H999" s="9">
        <v>1093</v>
      </c>
      <c r="I999" s="10"/>
      <c r="J999" s="10">
        <v>45957</v>
      </c>
      <c r="K999" s="5" t="s">
        <v>77</v>
      </c>
      <c r="L999" s="5" t="s">
        <v>82</v>
      </c>
      <c r="M999" s="11">
        <v>0.065000000000000002</v>
      </c>
      <c r="N999" s="5" t="e">
        <f>IF(AND(M999&gt;#REF!,Cartera!O2960="Guaraníes"),"Rendimiento significativo",IF(AND(M999&gt;#REF!,Cartera!O2960="Dólares americanos"),"Rendimiento significativo","Rendimiento no significativo"))</f>
        <v>#REF!</v>
      </c>
      <c r="O999" s="5" t="s">
        <v>41</v>
      </c>
      <c r="P999" s="12">
        <v>712332</v>
      </c>
      <c r="Q999" s="12">
        <f>IF(O999="Guaraníes",P999,P999*#REF!)</f>
        <v>712332</v>
      </c>
      <c r="R999" s="12" t="e">
        <f>IF(O999="Guaraníes",P999/#REF!,P999)</f>
        <v>#REF!</v>
      </c>
      <c r="S999" s="5" t="s">
        <v>42</v>
      </c>
      <c r="V999" s="5">
        <v>712332</v>
      </c>
      <c r="W999" s="5" t="s">
        <v>287</v>
      </c>
      <c r="AC999" s="5" t="str">
        <f t="shared" si="49"/>
        <v>CDA</v>
      </c>
      <c r="AD999" s="5" t="s">
        <v>43</v>
      </c>
      <c r="AE999" s="5">
        <f t="shared" si="50"/>
        <v>10</v>
      </c>
      <c r="AF999" s="5">
        <f t="shared" si="51"/>
        <v>2025</v>
      </c>
    </row>
    <row r="1000" s="5" customFormat="1" ht="13">
      <c r="A1000" s="5">
        <v>12315</v>
      </c>
      <c r="B1000" s="5" t="s">
        <v>73</v>
      </c>
      <c r="C1000" s="5" t="s">
        <v>33</v>
      </c>
      <c r="D1000" s="5" t="s">
        <v>21</v>
      </c>
      <c r="E1000" s="5" t="s">
        <v>34</v>
      </c>
      <c r="F1000" s="5" t="s">
        <v>35</v>
      </c>
      <c r="G1000" s="5" t="s">
        <v>141</v>
      </c>
      <c r="H1000" s="9" t="s">
        <v>142</v>
      </c>
      <c r="I1000" s="10">
        <v>44956</v>
      </c>
      <c r="J1000" s="10">
        <v>45958</v>
      </c>
      <c r="K1000" s="5" t="s">
        <v>39</v>
      </c>
      <c r="L1000" s="5" t="s">
        <v>50</v>
      </c>
      <c r="M1000" s="11">
        <v>0.065000000000000002</v>
      </c>
      <c r="N1000" s="5" t="e">
        <f>IF(AND(M1000&gt;#REF!,Cartera!O3067="Guaraníes"),"Rendimiento significativo",IF(AND(M1000&gt;#REF!,Cartera!O3067="Dólares americanos"),"Rendimiento significativo","Rendimiento no significativo"))</f>
        <v>#REF!</v>
      </c>
      <c r="O1000" s="5" t="s">
        <v>51</v>
      </c>
      <c r="P1000" s="13">
        <v>1296.43832</v>
      </c>
      <c r="Q1000" s="12" t="e">
        <f>IF(O1000="Guaraníes",P1000,P1000*#REF!)</f>
        <v>#REF!</v>
      </c>
      <c r="R1000" s="12">
        <f>IF(O1000="Guaraníes",P1000/#REF!,P1000)</f>
        <v>1296.43832</v>
      </c>
      <c r="S1000" s="5" t="s">
        <v>42</v>
      </c>
      <c r="AC1000" s="5" t="str">
        <f t="shared" si="49"/>
        <v>Bonos</v>
      </c>
      <c r="AD1000" s="5" t="s">
        <v>43</v>
      </c>
      <c r="AE1000" s="5">
        <f t="shared" si="50"/>
        <v>10</v>
      </c>
      <c r="AF1000" s="5">
        <f t="shared" si="51"/>
        <v>2025</v>
      </c>
    </row>
    <row r="1001" s="5" customFormat="1" ht="13">
      <c r="A1001" s="5">
        <v>12316</v>
      </c>
      <c r="B1001" s="5" t="s">
        <v>78</v>
      </c>
      <c r="C1001" s="5" t="s">
        <v>138</v>
      </c>
      <c r="D1001" s="5" t="s">
        <v>21</v>
      </c>
      <c r="E1001" s="5" t="s">
        <v>34</v>
      </c>
      <c r="F1001" s="5" t="s">
        <v>68</v>
      </c>
      <c r="G1001" s="5" t="s">
        <v>86</v>
      </c>
      <c r="H1001" s="9" t="s">
        <v>139</v>
      </c>
      <c r="I1001" s="10">
        <v>43948</v>
      </c>
      <c r="J1001" s="10">
        <v>45960</v>
      </c>
      <c r="K1001" s="5" t="s">
        <v>140</v>
      </c>
      <c r="L1001" s="5" t="s">
        <v>58</v>
      </c>
      <c r="M1001" s="11">
        <v>0.11</v>
      </c>
      <c r="N1001" s="5" t="e">
        <f>IF(AND(M1001&gt;#REF!,Cartera!O3271="Guaraníes"),"Rendimiento significativo",IF(AND(M1001&gt;#REF!,Cartera!O3271="Dólares americanos"),"Rendimiento significativo","Rendimiento no significativo"))</f>
        <v>#REF!</v>
      </c>
      <c r="O1001" s="5" t="s">
        <v>41</v>
      </c>
      <c r="P1001" s="12">
        <v>904109.58900000004</v>
      </c>
      <c r="Q1001" s="12">
        <f>IF(O1001="Guaraníes",P1001,P1001*#REF!)</f>
        <v>904109.58900000004</v>
      </c>
      <c r="R1001" s="12" t="e">
        <f>IF(O1001="Guaraníes",P1001/#REF!,P1001)</f>
        <v>#REF!</v>
      </c>
      <c r="S1001" s="5" t="s">
        <v>42</v>
      </c>
      <c r="AC1001" s="5" t="str">
        <f t="shared" si="49"/>
        <v>Bonos</v>
      </c>
      <c r="AD1001" s="5" t="s">
        <v>43</v>
      </c>
      <c r="AE1001" s="5">
        <f t="shared" si="50"/>
        <v>10</v>
      </c>
      <c r="AF1001" s="5">
        <f t="shared" si="51"/>
        <v>2025</v>
      </c>
    </row>
    <row r="1002" s="5" customFormat="1" ht="13">
      <c r="A1002" s="5">
        <v>12316</v>
      </c>
      <c r="B1002" s="5" t="s">
        <v>78</v>
      </c>
      <c r="C1002" s="5" t="s">
        <v>164</v>
      </c>
      <c r="D1002" s="5" t="s">
        <v>21</v>
      </c>
      <c r="E1002" s="5" t="s">
        <v>34</v>
      </c>
      <c r="F1002" s="5" t="s">
        <v>68</v>
      </c>
      <c r="G1002" s="5" t="s">
        <v>145</v>
      </c>
      <c r="H1002" s="9" t="s">
        <v>165</v>
      </c>
      <c r="I1002" s="10"/>
      <c r="J1002" s="10">
        <v>45961</v>
      </c>
      <c r="K1002" s="5" t="s">
        <v>124</v>
      </c>
      <c r="L1002" s="5" t="s">
        <v>58</v>
      </c>
      <c r="M1002" s="11">
        <v>0.10000000000000001</v>
      </c>
      <c r="N1002" s="5" t="e">
        <f>IF(AND(M1002&gt;#REF!,Cartera!O1521="Guaraníes"),"Rendimiento significativo",IF(AND(M1002&gt;#REF!,Cartera!O1521="Dólares americanos"),"Rendimiento significativo","Rendimiento no significativo"))</f>
        <v>#REF!</v>
      </c>
      <c r="O1002" s="5" t="s">
        <v>41</v>
      </c>
      <c r="P1002" s="12">
        <v>3397260.2740000002</v>
      </c>
      <c r="Q1002" s="12">
        <f>IF(O1002="Guaraníes",P1002,P1002*#REF!)</f>
        <v>3397260.2740000002</v>
      </c>
      <c r="R1002" s="12" t="e">
        <f>IF(O1002="Guaraníes",P1002/#REF!,P1002)</f>
        <v>#REF!</v>
      </c>
      <c r="S1002" s="5" t="s">
        <v>42</v>
      </c>
      <c r="T1002" s="5">
        <v>1057</v>
      </c>
      <c r="W1002" s="5" t="s">
        <v>65</v>
      </c>
      <c r="X1002" s="5">
        <v>0</v>
      </c>
      <c r="Y1002" s="5">
        <v>0</v>
      </c>
      <c r="Z1002" s="5">
        <v>8493.1506850000005</v>
      </c>
      <c r="AA1002" s="5">
        <v>400</v>
      </c>
      <c r="AB1002" s="5">
        <v>3397260.2740000002</v>
      </c>
      <c r="AC1002" s="5" t="str">
        <f t="shared" si="49"/>
        <v>Bonos</v>
      </c>
      <c r="AD1002" s="5" t="s">
        <v>43</v>
      </c>
      <c r="AE1002" s="5">
        <f t="shared" si="50"/>
        <v>10</v>
      </c>
      <c r="AF1002" s="5">
        <f t="shared" si="51"/>
        <v>2025</v>
      </c>
    </row>
    <row r="1003" s="5" customFormat="1" ht="13">
      <c r="A1003" s="5">
        <v>12302</v>
      </c>
      <c r="B1003" s="5" t="s">
        <v>98</v>
      </c>
      <c r="C1003" s="5" t="s">
        <v>74</v>
      </c>
      <c r="D1003" s="5" t="s">
        <v>20</v>
      </c>
      <c r="E1003" s="5" t="s">
        <v>34</v>
      </c>
      <c r="F1003" s="5" t="s">
        <v>68</v>
      </c>
      <c r="G1003" s="5" t="s">
        <v>75</v>
      </c>
      <c r="H1003" s="9" t="s">
        <v>76</v>
      </c>
      <c r="I1003" s="10">
        <v>44285</v>
      </c>
      <c r="J1003" s="10">
        <v>47819</v>
      </c>
      <c r="K1003" s="5" t="s">
        <v>77</v>
      </c>
      <c r="L1003" s="5" t="s">
        <v>50</v>
      </c>
      <c r="M1003" s="11">
        <v>0.055</v>
      </c>
      <c r="N1003" s="5" t="e">
        <f>IF(AND(M1003&gt;#REF!,Cartera!O1003="Guaraníes"),"Rendimiento significativo",IF(AND(M1003&gt;#REF!,Cartera!O1003="Dólares americanos"),"Rendimiento significativo","Rendimiento no significativo"))</f>
        <v>#REF!</v>
      </c>
      <c r="O1003" s="5" t="s">
        <v>51</v>
      </c>
      <c r="P1003" s="13">
        <v>30000</v>
      </c>
      <c r="Q1003" s="12" t="e">
        <f>IF(O1003="Guaraníes",P1003,P1003*#REF!)</f>
        <v>#REF!</v>
      </c>
      <c r="R1003" s="12">
        <f>IF(O1003="Guaraníes",P1003/#REF!,P1003)</f>
        <v>30000</v>
      </c>
      <c r="S1003" s="5" t="s">
        <v>42</v>
      </c>
      <c r="AC1003" s="5" t="str">
        <f t="shared" si="49"/>
        <v>Bonos</v>
      </c>
      <c r="AD1003" s="5" t="s">
        <v>43</v>
      </c>
      <c r="AE1003" s="5">
        <f t="shared" si="50"/>
        <v>12</v>
      </c>
      <c r="AF1003" s="5">
        <f t="shared" si="51"/>
        <v>2030</v>
      </c>
    </row>
    <row r="1004" s="5" customFormat="1" ht="13">
      <c r="A1004" s="5">
        <v>12316</v>
      </c>
      <c r="B1004" s="5" t="s">
        <v>78</v>
      </c>
      <c r="C1004" s="5" t="s">
        <v>164</v>
      </c>
      <c r="D1004" s="5" t="s">
        <v>21</v>
      </c>
      <c r="E1004" s="5" t="s">
        <v>34</v>
      </c>
      <c r="F1004" s="5" t="s">
        <v>68</v>
      </c>
      <c r="G1004" s="5" t="s">
        <v>91</v>
      </c>
      <c r="H1004" s="9" t="s">
        <v>166</v>
      </c>
      <c r="I1004" s="10"/>
      <c r="J1004" s="10">
        <v>45961</v>
      </c>
      <c r="K1004" s="5" t="s">
        <v>124</v>
      </c>
      <c r="L1004" s="5" t="s">
        <v>58</v>
      </c>
      <c r="M1004" s="11">
        <v>0.092499999999999999</v>
      </c>
      <c r="N1004" s="5" t="e">
        <f>IF(AND(M1004&gt;#REF!,Cartera!O1884="Guaraníes"),"Rendimiento significativo",IF(AND(M1004&gt;#REF!,Cartera!O1884="Dólares americanos"),"Rendimiento significativo","Rendimiento no significativo"))</f>
        <v>#REF!</v>
      </c>
      <c r="O1004" s="5" t="s">
        <v>41</v>
      </c>
      <c r="P1004" s="12">
        <v>1178424.6576</v>
      </c>
      <c r="Q1004" s="12">
        <f>IF(O1004="Guaraníes",P1004,P1004*#REF!)</f>
        <v>1178424.6576</v>
      </c>
      <c r="R1004" s="12" t="e">
        <f>IF(O1004="Guaraníes",P1004/#REF!,P1004)</f>
        <v>#REF!</v>
      </c>
      <c r="S1004" s="5" t="s">
        <v>42</v>
      </c>
      <c r="T1004" s="5">
        <v>3253</v>
      </c>
      <c r="W1004" s="5" t="s">
        <v>65</v>
      </c>
      <c r="X1004" s="5">
        <v>0</v>
      </c>
      <c r="Y1004" s="5">
        <v>0</v>
      </c>
      <c r="Z1004" s="5">
        <v>7856.1643839999997</v>
      </c>
      <c r="AA1004" s="5">
        <v>150</v>
      </c>
      <c r="AB1004" s="5">
        <v>1178424.6576</v>
      </c>
      <c r="AC1004" s="5" t="str">
        <f t="shared" si="49"/>
        <v>Bonos</v>
      </c>
      <c r="AD1004" s="5" t="s">
        <v>43</v>
      </c>
      <c r="AE1004" s="5">
        <f t="shared" si="50"/>
        <v>10</v>
      </c>
      <c r="AF1004" s="5">
        <f t="shared" si="51"/>
        <v>2025</v>
      </c>
    </row>
    <row r="1005" s="5" customFormat="1" ht="13">
      <c r="A1005" s="5">
        <v>12301</v>
      </c>
      <c r="B1005" s="5" t="s">
        <v>107</v>
      </c>
      <c r="C1005" s="5" t="s">
        <v>99</v>
      </c>
      <c r="D1005" s="5" t="s">
        <v>20</v>
      </c>
      <c r="E1005" s="5" t="s">
        <v>34</v>
      </c>
      <c r="F1005" s="5" t="s">
        <v>100</v>
      </c>
      <c r="G1005" s="5" t="s">
        <v>75</v>
      </c>
      <c r="H1005" s="9" t="s">
        <v>159</v>
      </c>
      <c r="I1005" s="10">
        <v>44482</v>
      </c>
      <c r="J1005" s="10">
        <v>47910</v>
      </c>
      <c r="K1005" s="5" t="s">
        <v>102</v>
      </c>
      <c r="L1005" s="5" t="s">
        <v>102</v>
      </c>
      <c r="M1005" s="11">
        <v>0.078</v>
      </c>
      <c r="N1005" s="5" t="e">
        <f>IF(AND(M1005&gt;#REF!,Cartera!O1005="Guaraníes"),"Rendimiento significativo",IF(AND(M1005&gt;#REF!,Cartera!O1005="Dólares americanos"),"Rendimiento significativo","Rendimiento no significativo"))</f>
        <v>#REF!</v>
      </c>
      <c r="O1005" s="5" t="s">
        <v>41</v>
      </c>
      <c r="P1005" s="12">
        <v>800000000</v>
      </c>
      <c r="Q1005" s="12">
        <f>IF(O1005="Guaraníes",P1005,P1005*#REF!)</f>
        <v>800000000</v>
      </c>
      <c r="R1005" s="12" t="e">
        <f>IF(O1005="Guaraníes",P1005/#REF!,P1005)</f>
        <v>#REF!</v>
      </c>
      <c r="S1005" s="5" t="s">
        <v>42</v>
      </c>
      <c r="AC1005" s="5" t="str">
        <f t="shared" si="49"/>
        <v>Bonos</v>
      </c>
      <c r="AD1005" s="5" t="s">
        <v>43</v>
      </c>
      <c r="AE1005" s="5">
        <f t="shared" si="50"/>
        <v>3</v>
      </c>
      <c r="AF1005" s="5">
        <f t="shared" si="51"/>
        <v>2031</v>
      </c>
    </row>
    <row r="1006" s="5" customFormat="1" ht="13">
      <c r="A1006" s="5">
        <v>12316</v>
      </c>
      <c r="B1006" s="5" t="s">
        <v>78</v>
      </c>
      <c r="C1006" s="5" t="s">
        <v>164</v>
      </c>
      <c r="D1006" s="5" t="s">
        <v>21</v>
      </c>
      <c r="E1006" s="5" t="s">
        <v>34</v>
      </c>
      <c r="F1006" s="5" t="s">
        <v>68</v>
      </c>
      <c r="G1006" s="5" t="s">
        <v>141</v>
      </c>
      <c r="H1006" s="9" t="s">
        <v>165</v>
      </c>
      <c r="I1006" s="10"/>
      <c r="J1006" s="10">
        <v>45961</v>
      </c>
      <c r="K1006" s="5" t="s">
        <v>124</v>
      </c>
      <c r="L1006" s="5" t="s">
        <v>58</v>
      </c>
      <c r="M1006" s="11">
        <v>0.10000000000000001</v>
      </c>
      <c r="N1006" s="5" t="e">
        <f>IF(AND(M1006&gt;#REF!,Cartera!O2110="Guaraníes"),"Rendimiento significativo",IF(AND(M1006&gt;#REF!,Cartera!O2110="Dólares americanos"),"Rendimiento significativo","Rendimiento no significativo"))</f>
        <v>#REF!</v>
      </c>
      <c r="O1006" s="5" t="s">
        <v>41</v>
      </c>
      <c r="P1006" s="12">
        <v>849315.06850000005</v>
      </c>
      <c r="Q1006" s="12">
        <f>IF(O1006="Guaraníes",P1006,P1006*#REF!)</f>
        <v>849315.06850000005</v>
      </c>
      <c r="R1006" s="12" t="e">
        <f>IF(O1006="Guaraníes",P1006/#REF!,P1006)</f>
        <v>#REF!</v>
      </c>
      <c r="S1006" s="5" t="s">
        <v>42</v>
      </c>
      <c r="T1006" s="5">
        <v>9243</v>
      </c>
      <c r="W1006" s="5" t="s">
        <v>65</v>
      </c>
      <c r="X1006" s="5">
        <v>0</v>
      </c>
      <c r="Y1006" s="5">
        <v>0</v>
      </c>
      <c r="Z1006" s="5">
        <v>8493.1506850000005</v>
      </c>
      <c r="AA1006" s="5">
        <v>100</v>
      </c>
      <c r="AB1006" s="5">
        <v>849315.06850000005</v>
      </c>
      <c r="AC1006" s="5" t="str">
        <f t="shared" si="49"/>
        <v>Bonos</v>
      </c>
      <c r="AD1006" s="5" t="s">
        <v>43</v>
      </c>
      <c r="AE1006" s="5">
        <f t="shared" si="50"/>
        <v>10</v>
      </c>
      <c r="AF1006" s="5">
        <f t="shared" si="51"/>
        <v>2025</v>
      </c>
    </row>
    <row r="1007" s="5" customFormat="1" ht="13">
      <c r="A1007" s="5">
        <v>12316</v>
      </c>
      <c r="B1007" s="5" t="s">
        <v>78</v>
      </c>
      <c r="C1007" s="5" t="s">
        <v>164</v>
      </c>
      <c r="D1007" s="5" t="s">
        <v>21</v>
      </c>
      <c r="E1007" s="5" t="s">
        <v>34</v>
      </c>
      <c r="F1007" s="5" t="s">
        <v>68</v>
      </c>
      <c r="G1007" s="5" t="s">
        <v>141</v>
      </c>
      <c r="H1007" s="9" t="s">
        <v>167</v>
      </c>
      <c r="I1007" s="10"/>
      <c r="J1007" s="10">
        <v>45961</v>
      </c>
      <c r="K1007" s="5" t="s">
        <v>124</v>
      </c>
      <c r="L1007" s="5" t="s">
        <v>58</v>
      </c>
      <c r="M1007" s="11">
        <v>0.092499999999999999</v>
      </c>
      <c r="N1007" s="5" t="e">
        <f>IF(AND(M1007&gt;#REF!,Cartera!O2111="Guaraníes"),"Rendimiento significativo",IF(AND(M1007&gt;#REF!,Cartera!O2111="Dólares americanos"),"Rendimiento significativo","Rendimiento no significativo"))</f>
        <v>#REF!</v>
      </c>
      <c r="O1007" s="5" t="s">
        <v>41</v>
      </c>
      <c r="P1007" s="12">
        <v>785616.43839999998</v>
      </c>
      <c r="Q1007" s="12">
        <f>IF(O1007="Guaraníes",P1007,P1007*#REF!)</f>
        <v>785616.43839999998</v>
      </c>
      <c r="R1007" s="12" t="e">
        <f>IF(O1007="Guaraníes",P1007/#REF!,P1007)</f>
        <v>#REF!</v>
      </c>
      <c r="S1007" s="5" t="s">
        <v>42</v>
      </c>
      <c r="T1007" s="5">
        <v>9243</v>
      </c>
      <c r="W1007" s="5" t="s">
        <v>65</v>
      </c>
      <c r="X1007" s="5">
        <v>0</v>
      </c>
      <c r="Y1007" s="5">
        <v>0</v>
      </c>
      <c r="Z1007" s="5">
        <v>7856.1643839999997</v>
      </c>
      <c r="AA1007" s="5">
        <v>100</v>
      </c>
      <c r="AB1007" s="5">
        <v>785616.43839999998</v>
      </c>
      <c r="AC1007" s="5" t="str">
        <f t="shared" si="49"/>
        <v>Bonos</v>
      </c>
      <c r="AD1007" s="5" t="s">
        <v>43</v>
      </c>
      <c r="AE1007" s="5">
        <f t="shared" si="50"/>
        <v>10</v>
      </c>
      <c r="AF1007" s="5">
        <f t="shared" si="51"/>
        <v>2025</v>
      </c>
    </row>
    <row r="1008" s="5" customFormat="1" ht="13">
      <c r="A1008" s="5">
        <v>12316</v>
      </c>
      <c r="B1008" s="5" t="s">
        <v>78</v>
      </c>
      <c r="C1008" s="5" t="s">
        <v>33</v>
      </c>
      <c r="D1008" s="5" t="s">
        <v>21</v>
      </c>
      <c r="E1008" s="5" t="s">
        <v>34</v>
      </c>
      <c r="F1008" s="5" t="s">
        <v>35</v>
      </c>
      <c r="H1008" s="9">
        <v>86</v>
      </c>
      <c r="I1008" s="10">
        <v>45043</v>
      </c>
      <c r="J1008" s="10">
        <v>45964</v>
      </c>
      <c r="K1008" s="5" t="s">
        <v>39</v>
      </c>
      <c r="L1008" s="5" t="s">
        <v>82</v>
      </c>
      <c r="M1008" s="11">
        <v>0.089999999999999997</v>
      </c>
      <c r="N1008" s="5" t="e">
        <f>IF(AND(M1008&gt;#REF!,Cartera!O3189="Guaraníes"),"Rendimiento significativo",IF(AND(M1008&gt;#REF!,Cartera!O3189="Dólares americanos"),"Rendimiento significativo","Rendimiento no significativo"))</f>
        <v>#REF!</v>
      </c>
      <c r="O1008" s="5" t="s">
        <v>41</v>
      </c>
      <c r="P1008" s="12">
        <v>13684934</v>
      </c>
      <c r="Q1008" s="12">
        <f>IF(O1008="Guaraníes",P1008,P1008*#REF!)</f>
        <v>13684934</v>
      </c>
      <c r="R1008" s="12" t="e">
        <f>IF(O1008="Guaraníes",P1008/#REF!,P1008)</f>
        <v>#REF!</v>
      </c>
      <c r="S1008" s="5" t="s">
        <v>42</v>
      </c>
      <c r="AC1008" s="5" t="str">
        <f t="shared" si="49"/>
        <v>CDA</v>
      </c>
      <c r="AD1008" s="5" t="s">
        <v>43</v>
      </c>
      <c r="AE1008" s="5">
        <f t="shared" si="50"/>
        <v>11</v>
      </c>
      <c r="AF1008" s="5">
        <f t="shared" si="51"/>
        <v>2025</v>
      </c>
    </row>
    <row r="1009" s="5" customFormat="1" ht="13">
      <c r="A1009" s="5">
        <v>12302</v>
      </c>
      <c r="B1009" s="5" t="s">
        <v>98</v>
      </c>
      <c r="C1009" s="5" t="s">
        <v>33</v>
      </c>
      <c r="D1009" s="5" t="s">
        <v>20</v>
      </c>
      <c r="E1009" s="5" t="s">
        <v>34</v>
      </c>
      <c r="F1009" s="5" t="s">
        <v>35</v>
      </c>
      <c r="G1009" s="5" t="s">
        <v>75</v>
      </c>
      <c r="H1009" s="9" t="s">
        <v>186</v>
      </c>
      <c r="I1009" s="10">
        <v>44454</v>
      </c>
      <c r="J1009" s="10">
        <v>48094</v>
      </c>
      <c r="K1009" s="5" t="s">
        <v>39</v>
      </c>
      <c r="L1009" s="5" t="s">
        <v>50</v>
      </c>
      <c r="M1009" s="11">
        <v>0.044999999999999998</v>
      </c>
      <c r="N1009" s="5" t="e">
        <f>IF(AND(M1009&gt;#REF!,Cartera!O1009="Guaraníes"),"Rendimiento significativo",IF(AND(M1009&gt;#REF!,Cartera!O1009="Dólares americanos"),"Rendimiento significativo","Rendimiento no significativo"))</f>
        <v>#REF!</v>
      </c>
      <c r="O1009" s="5" t="s">
        <v>51</v>
      </c>
      <c r="P1009" s="13">
        <v>30000</v>
      </c>
      <c r="Q1009" s="12" t="e">
        <f>IF(O1009="Guaraníes",P1009,P1009*#REF!)</f>
        <v>#REF!</v>
      </c>
      <c r="R1009" s="12">
        <f>IF(O1009="Guaraníes",P1009/#REF!,P1009)</f>
        <v>30000</v>
      </c>
      <c r="S1009" s="5" t="s">
        <v>42</v>
      </c>
      <c r="AC1009" s="5" t="str">
        <f t="shared" si="49"/>
        <v>Bonos</v>
      </c>
      <c r="AD1009" s="5" t="s">
        <v>43</v>
      </c>
      <c r="AE1009" s="5">
        <f t="shared" si="50"/>
        <v>9</v>
      </c>
      <c r="AF1009" s="5">
        <f t="shared" si="51"/>
        <v>2031</v>
      </c>
    </row>
    <row r="1010" s="5" customFormat="1" ht="13">
      <c r="A1010" s="5" t="s">
        <v>44</v>
      </c>
      <c r="B1010" s="5" t="s">
        <v>44</v>
      </c>
      <c r="C1010" s="5" t="s">
        <v>99</v>
      </c>
      <c r="D1010" s="5" t="s">
        <v>21</v>
      </c>
      <c r="E1010" s="5" t="s">
        <v>44</v>
      </c>
      <c r="F1010" s="5" t="s">
        <v>100</v>
      </c>
      <c r="G1010" s="5" t="s">
        <v>47</v>
      </c>
      <c r="H1010" s="9" t="s">
        <v>238</v>
      </c>
      <c r="I1010" s="10"/>
      <c r="J1010" s="10">
        <v>42584</v>
      </c>
      <c r="K1010" s="5" t="s">
        <v>102</v>
      </c>
      <c r="L1010" s="5" t="s">
        <v>102</v>
      </c>
      <c r="M1010" s="11">
        <v>0.081000000000000003</v>
      </c>
      <c r="N1010" s="5" t="e">
        <f>IF(AND(M1010&gt;#REF!,Cartera!O1010="Guaraníes"),"Rendimiento significativo",IF(AND(M1010&gt;#REF!,Cartera!O1010="Dólares americanos"),"Rendimiento significativo","Rendimiento no significativo"))</f>
        <v>#REF!</v>
      </c>
      <c r="O1010" s="5" t="s">
        <v>41</v>
      </c>
      <c r="P1010" s="12">
        <v>6058356.1644000001</v>
      </c>
      <c r="Q1010" s="12">
        <f>IF(O1010="Guaraníes",P1010,P1010*#REF!)</f>
        <v>6058356.1644000001</v>
      </c>
      <c r="R1010" s="12" t="e">
        <f>IF(O1010="Guaraníes",P1010/#REF!,P1010)</f>
        <v>#REF!</v>
      </c>
      <c r="S1010" s="5" t="s">
        <v>52</v>
      </c>
      <c r="T1010" s="5">
        <v>4</v>
      </c>
      <c r="W1010" s="5" t="s">
        <v>230</v>
      </c>
      <c r="X1010" s="5">
        <v>0</v>
      </c>
      <c r="Y1010" s="5">
        <v>0</v>
      </c>
      <c r="Z1010" s="5">
        <v>40389.041096000001</v>
      </c>
      <c r="AA1010" s="5">
        <v>150</v>
      </c>
      <c r="AB1010" s="5">
        <v>6058356.1644000001</v>
      </c>
      <c r="AC1010" s="5" t="str">
        <f t="shared" si="49"/>
        <v>Bonos</v>
      </c>
      <c r="AD1010" s="5" t="s">
        <v>43</v>
      </c>
      <c r="AE1010" s="5">
        <f t="shared" si="50"/>
        <v>8</v>
      </c>
      <c r="AF1010" s="5">
        <f t="shared" si="51"/>
        <v>2016</v>
      </c>
    </row>
    <row r="1011" s="5" customFormat="1" ht="13">
      <c r="A1011" s="5" t="s">
        <v>44</v>
      </c>
      <c r="B1011" s="5" t="s">
        <v>44</v>
      </c>
      <c r="C1011" s="5" t="s">
        <v>288</v>
      </c>
      <c r="D1011" s="5" t="s">
        <v>21</v>
      </c>
      <c r="E1011" s="5" t="s">
        <v>44</v>
      </c>
      <c r="F1011" s="5" t="s">
        <v>68</v>
      </c>
      <c r="G1011" s="5" t="s">
        <v>47</v>
      </c>
      <c r="H1011" s="9" t="s">
        <v>289</v>
      </c>
      <c r="I1011" s="10"/>
      <c r="J1011" s="10">
        <v>42634</v>
      </c>
      <c r="K1011" s="5" t="s">
        <v>71</v>
      </c>
      <c r="L1011" s="5" t="s">
        <v>58</v>
      </c>
      <c r="M1011" s="11">
        <v>0.10000000000000001</v>
      </c>
      <c r="N1011" s="5" t="e">
        <f>IF(AND(M1011&gt;#REF!,Cartera!O1011="Guaraníes"),"Rendimiento significativo",IF(AND(M1011&gt;#REF!,Cartera!O1011="Dólares americanos"),"Rendimiento significativo","Rendimiento no significativo"))</f>
        <v>#REF!</v>
      </c>
      <c r="O1011" s="5" t="s">
        <v>51</v>
      </c>
      <c r="P1011" s="13">
        <v>75.342465000000004</v>
      </c>
      <c r="Q1011" s="12" t="e">
        <f>IF(O1011="Guaraníes",P1011,P1011*#REF!)</f>
        <v>#REF!</v>
      </c>
      <c r="R1011" s="12">
        <f>IF(O1011="Guaraníes",P1011/#REF!,P1011)</f>
        <v>75.342465000000004</v>
      </c>
      <c r="S1011" s="5" t="s">
        <v>52</v>
      </c>
      <c r="T1011" s="5">
        <v>4</v>
      </c>
      <c r="W1011" s="5" t="s">
        <v>230</v>
      </c>
      <c r="X1011" s="5">
        <v>0</v>
      </c>
      <c r="Y1011" s="5">
        <v>0</v>
      </c>
      <c r="Z1011" s="5">
        <v>15.068493</v>
      </c>
      <c r="AA1011" s="5">
        <v>5</v>
      </c>
      <c r="AB1011" s="5">
        <v>75.342465000000004</v>
      </c>
      <c r="AC1011" s="5" t="str">
        <f t="shared" si="49"/>
        <v>Bonos</v>
      </c>
      <c r="AD1011" s="5" t="s">
        <v>43</v>
      </c>
      <c r="AE1011" s="5">
        <f t="shared" si="50"/>
        <v>9</v>
      </c>
      <c r="AF1011" s="5">
        <f t="shared" si="51"/>
        <v>2016</v>
      </c>
    </row>
    <row r="1012" s="5" customFormat="1" ht="13">
      <c r="A1012" s="5" t="s">
        <v>44</v>
      </c>
      <c r="B1012" s="5" t="s">
        <v>44</v>
      </c>
      <c r="C1012" s="5" t="s">
        <v>99</v>
      </c>
      <c r="D1012" s="5" t="s">
        <v>21</v>
      </c>
      <c r="E1012" s="5" t="s">
        <v>44</v>
      </c>
      <c r="F1012" s="5" t="s">
        <v>100</v>
      </c>
      <c r="G1012" s="5" t="s">
        <v>47</v>
      </c>
      <c r="H1012" s="9" t="s">
        <v>238</v>
      </c>
      <c r="I1012" s="10"/>
      <c r="J1012" s="10">
        <v>42768</v>
      </c>
      <c r="K1012" s="5" t="s">
        <v>102</v>
      </c>
      <c r="L1012" s="5" t="s">
        <v>102</v>
      </c>
      <c r="M1012" s="11">
        <v>0.081000000000000003</v>
      </c>
      <c r="N1012" s="5" t="e">
        <f>IF(AND(M1012&gt;#REF!,Cartera!O1012="Guaraníes"),"Rendimiento significativo",IF(AND(M1012&gt;#REF!,Cartera!O1012="Dólares americanos"),"Rendimiento significativo","Rendimiento no significativo"))</f>
        <v>#REF!</v>
      </c>
      <c r="O1012" s="5" t="s">
        <v>41</v>
      </c>
      <c r="P1012" s="12">
        <v>6124931.5067999996</v>
      </c>
      <c r="Q1012" s="12">
        <f>IF(O1012="Guaraníes",P1012,P1012*#REF!)</f>
        <v>6124931.5067999996</v>
      </c>
      <c r="R1012" s="12" t="e">
        <f>IF(O1012="Guaraníes",P1012/#REF!,P1012)</f>
        <v>#REF!</v>
      </c>
      <c r="S1012" s="5" t="s">
        <v>52</v>
      </c>
      <c r="T1012" s="5">
        <v>4</v>
      </c>
      <c r="W1012" s="5" t="s">
        <v>250</v>
      </c>
      <c r="X1012" s="5">
        <v>0</v>
      </c>
      <c r="Y1012" s="5">
        <v>0</v>
      </c>
      <c r="Z1012" s="5">
        <v>40832.876711999997</v>
      </c>
      <c r="AA1012" s="5">
        <v>150</v>
      </c>
      <c r="AB1012" s="5">
        <v>6124931.5067999996</v>
      </c>
      <c r="AC1012" s="5" t="str">
        <f t="shared" si="49"/>
        <v>Bonos</v>
      </c>
      <c r="AD1012" s="5" t="s">
        <v>43</v>
      </c>
      <c r="AE1012" s="5">
        <f t="shared" si="50"/>
        <v>2</v>
      </c>
      <c r="AF1012" s="5">
        <f t="shared" si="51"/>
        <v>2017</v>
      </c>
    </row>
    <row r="1013" s="5" customFormat="1" ht="13">
      <c r="A1013" s="5" t="s">
        <v>44</v>
      </c>
      <c r="B1013" s="5" t="s">
        <v>44</v>
      </c>
      <c r="C1013" s="5" t="s">
        <v>288</v>
      </c>
      <c r="D1013" s="5" t="s">
        <v>21</v>
      </c>
      <c r="E1013" s="5" t="s">
        <v>44</v>
      </c>
      <c r="F1013" s="5" t="s">
        <v>68</v>
      </c>
      <c r="G1013" s="5" t="s">
        <v>47</v>
      </c>
      <c r="H1013" s="9" t="s">
        <v>290</v>
      </c>
      <c r="I1013" s="10"/>
      <c r="J1013" s="10">
        <v>42846</v>
      </c>
      <c r="K1013" s="5" t="s">
        <v>71</v>
      </c>
      <c r="L1013" s="5" t="s">
        <v>58</v>
      </c>
      <c r="M1013" s="11">
        <v>0.087499999999999994</v>
      </c>
      <c r="N1013" s="5" t="e">
        <f>IF(AND(M1013&gt;#REF!,Cartera!O1013="Guaraníes"),"Rendimiento significativo",IF(AND(M1013&gt;#REF!,Cartera!O1013="Dólares americanos"),"Rendimiento significativo","Rendimiento no significativo"))</f>
        <v>#REF!</v>
      </c>
      <c r="O1013" s="5" t="s">
        <v>51</v>
      </c>
      <c r="P1013" s="13">
        <v>1524.6575399999999</v>
      </c>
      <c r="Q1013" s="12" t="e">
        <f>IF(O1013="Guaraníes",P1013,P1013*#REF!)</f>
        <v>#REF!</v>
      </c>
      <c r="R1013" s="12">
        <f>IF(O1013="Guaraníes",P1013/#REF!,P1013)</f>
        <v>1524.6575399999999</v>
      </c>
      <c r="S1013" s="5" t="s">
        <v>52</v>
      </c>
      <c r="T1013" s="5">
        <v>4</v>
      </c>
      <c r="W1013" s="5" t="s">
        <v>291</v>
      </c>
      <c r="X1013" s="5">
        <v>0</v>
      </c>
      <c r="Y1013" s="5">
        <v>0</v>
      </c>
      <c r="Z1013" s="5">
        <v>50.821917999999997</v>
      </c>
      <c r="AA1013" s="5">
        <v>30</v>
      </c>
      <c r="AB1013" s="5">
        <v>1524.6575399999999</v>
      </c>
      <c r="AC1013" s="5" t="str">
        <f t="shared" si="49"/>
        <v>Bonos</v>
      </c>
      <c r="AD1013" s="5" t="s">
        <v>43</v>
      </c>
      <c r="AE1013" s="5">
        <f t="shared" si="50"/>
        <v>4</v>
      </c>
      <c r="AF1013" s="5">
        <f t="shared" si="51"/>
        <v>2017</v>
      </c>
    </row>
    <row r="1014" s="5" customFormat="1" ht="13">
      <c r="A1014" s="5" t="s">
        <v>44</v>
      </c>
      <c r="B1014" s="5" t="s">
        <v>44</v>
      </c>
      <c r="C1014" s="5" t="s">
        <v>288</v>
      </c>
      <c r="D1014" s="5" t="s">
        <v>21</v>
      </c>
      <c r="E1014" s="5" t="s">
        <v>44</v>
      </c>
      <c r="F1014" s="5" t="s">
        <v>68</v>
      </c>
      <c r="G1014" s="5" t="s">
        <v>47</v>
      </c>
      <c r="H1014" s="9" t="s">
        <v>289</v>
      </c>
      <c r="I1014" s="10"/>
      <c r="J1014" s="10">
        <v>42846</v>
      </c>
      <c r="K1014" s="5" t="s">
        <v>71</v>
      </c>
      <c r="L1014" s="5" t="s">
        <v>58</v>
      </c>
      <c r="M1014" s="11">
        <v>0.10000000000000001</v>
      </c>
      <c r="N1014" s="5" t="e">
        <f>IF(AND(M1014&gt;#REF!,Cartera!O1014="Guaraníes"),"Rendimiento significativo",IF(AND(M1014&gt;#REF!,Cartera!O1014="Dólares americanos"),"Rendimiento significativo","Rendimiento no significativo"))</f>
        <v>#REF!</v>
      </c>
      <c r="O1014" s="5" t="s">
        <v>51</v>
      </c>
      <c r="P1014" s="13">
        <v>290.41095999999999</v>
      </c>
      <c r="Q1014" s="12" t="e">
        <f>IF(O1014="Guaraníes",P1014,P1014*#REF!)</f>
        <v>#REF!</v>
      </c>
      <c r="R1014" s="12">
        <f>IF(O1014="Guaraníes",P1014/#REF!,P1014)</f>
        <v>290.41095999999999</v>
      </c>
      <c r="S1014" s="5" t="s">
        <v>52</v>
      </c>
      <c r="T1014" s="5">
        <v>4</v>
      </c>
      <c r="W1014" s="5" t="s">
        <v>250</v>
      </c>
      <c r="X1014" s="5">
        <v>0</v>
      </c>
      <c r="Y1014" s="5">
        <v>0</v>
      </c>
      <c r="Z1014" s="5">
        <v>58.082191999999999</v>
      </c>
      <c r="AA1014" s="5">
        <v>5</v>
      </c>
      <c r="AB1014" s="5">
        <v>290.41095999999999</v>
      </c>
      <c r="AC1014" s="5" t="str">
        <f t="shared" si="49"/>
        <v>Bonos</v>
      </c>
      <c r="AD1014" s="5" t="s">
        <v>43</v>
      </c>
      <c r="AE1014" s="5">
        <f t="shared" si="50"/>
        <v>4</v>
      </c>
      <c r="AF1014" s="5">
        <f t="shared" si="51"/>
        <v>2017</v>
      </c>
    </row>
    <row r="1015" s="5" customFormat="1" ht="13">
      <c r="A1015" s="5" t="s">
        <v>44</v>
      </c>
      <c r="B1015" s="5" t="s">
        <v>44</v>
      </c>
      <c r="C1015" s="5" t="s">
        <v>99</v>
      </c>
      <c r="D1015" s="5" t="s">
        <v>21</v>
      </c>
      <c r="E1015" s="5" t="s">
        <v>44</v>
      </c>
      <c r="F1015" s="5" t="s">
        <v>100</v>
      </c>
      <c r="G1015" s="5" t="s">
        <v>47</v>
      </c>
      <c r="H1015" s="9" t="s">
        <v>238</v>
      </c>
      <c r="I1015" s="10"/>
      <c r="J1015" s="10">
        <v>42949</v>
      </c>
      <c r="K1015" s="5" t="s">
        <v>102</v>
      </c>
      <c r="L1015" s="5" t="s">
        <v>102</v>
      </c>
      <c r="M1015" s="11">
        <v>0.081000000000000003</v>
      </c>
      <c r="N1015" s="5" t="e">
        <f>IF(AND(M1015&gt;#REF!,Cartera!O1015="Guaraníes"),"Rendimiento significativo",IF(AND(M1015&gt;#REF!,Cartera!O1015="Dólares americanos"),"Rendimiento significativo","Rendimiento no significativo"))</f>
        <v>#REF!</v>
      </c>
      <c r="O1015" s="5" t="s">
        <v>41</v>
      </c>
      <c r="P1015" s="12">
        <v>6025068.4932000004</v>
      </c>
      <c r="Q1015" s="12">
        <f>IF(O1015="Guaraníes",P1015,P1015*#REF!)</f>
        <v>6025068.4932000004</v>
      </c>
      <c r="R1015" s="12" t="e">
        <f>IF(O1015="Guaraníes",P1015/#REF!,P1015)</f>
        <v>#REF!</v>
      </c>
      <c r="S1015" s="5" t="s">
        <v>52</v>
      </c>
      <c r="T1015" s="5">
        <v>4</v>
      </c>
      <c r="W1015" s="5" t="s">
        <v>233</v>
      </c>
      <c r="X1015" s="5">
        <v>0</v>
      </c>
      <c r="Y1015" s="5">
        <v>0</v>
      </c>
      <c r="Z1015" s="5">
        <v>40167.123288000003</v>
      </c>
      <c r="AA1015" s="5">
        <v>150</v>
      </c>
      <c r="AB1015" s="5">
        <v>6025068.4932000004</v>
      </c>
      <c r="AC1015" s="5" t="str">
        <f t="shared" ref="AC1015:AC1078" si="52">IF(ISNUMBER(SEARCH("Acciones",L1015)),"Acciones",IF(ISNUMBER(SEARCH("Bono",L1015)),"Bonos",IF(ISNUMBER(SEARCH("CDA",L1015)),"CDA",IF(ISNUMBER(SEARCH("Fondo",L1015)),"Fondo",0))))</f>
        <v>Bonos</v>
      </c>
      <c r="AD1015" s="5" t="s">
        <v>43</v>
      </c>
      <c r="AE1015" s="5">
        <f t="shared" si="50"/>
        <v>8</v>
      </c>
      <c r="AF1015" s="5">
        <f t="shared" si="51"/>
        <v>2017</v>
      </c>
    </row>
    <row r="1016" s="5" customFormat="1" ht="13">
      <c r="A1016" s="5" t="s">
        <v>44</v>
      </c>
      <c r="B1016" s="5" t="s">
        <v>44</v>
      </c>
      <c r="C1016" s="5" t="s">
        <v>288</v>
      </c>
      <c r="D1016" s="5" t="s">
        <v>21</v>
      </c>
      <c r="E1016" s="5" t="s">
        <v>44</v>
      </c>
      <c r="F1016" s="5" t="s">
        <v>68</v>
      </c>
      <c r="G1016" s="5" t="s">
        <v>47</v>
      </c>
      <c r="H1016" s="9" t="s">
        <v>290</v>
      </c>
      <c r="I1016" s="10"/>
      <c r="J1016" s="10">
        <v>42999</v>
      </c>
      <c r="K1016" s="5" t="s">
        <v>71</v>
      </c>
      <c r="L1016" s="5" t="s">
        <v>58</v>
      </c>
      <c r="M1016" s="11">
        <v>0.087499999999999994</v>
      </c>
      <c r="N1016" s="5" t="e">
        <f>IF(AND(M1016&gt;#REF!,Cartera!O1016="Guaraníes"),"Rendimiento significativo",IF(AND(M1016&gt;#REF!,Cartera!O1016="Dólares americanos"),"Rendimiento significativo","Rendimiento no significativo"))</f>
        <v>#REF!</v>
      </c>
      <c r="O1016" s="5" t="s">
        <v>51</v>
      </c>
      <c r="P1016" s="13">
        <v>1100.3424600000001</v>
      </c>
      <c r="Q1016" s="12" t="e">
        <f>IF(O1016="Guaraníes",P1016,P1016*#REF!)</f>
        <v>#REF!</v>
      </c>
      <c r="R1016" s="12">
        <f>IF(O1016="Guaraníes",P1016/#REF!,P1016)</f>
        <v>1100.3424600000001</v>
      </c>
      <c r="S1016" s="5" t="s">
        <v>52</v>
      </c>
      <c r="T1016" s="5">
        <v>4</v>
      </c>
      <c r="W1016" s="5" t="s">
        <v>292</v>
      </c>
      <c r="X1016" s="5">
        <v>0</v>
      </c>
      <c r="Y1016" s="5">
        <v>0</v>
      </c>
      <c r="Z1016" s="5">
        <v>36.678082000000003</v>
      </c>
      <c r="AA1016" s="5">
        <v>30</v>
      </c>
      <c r="AB1016" s="5">
        <v>1100.3424600000001</v>
      </c>
      <c r="AC1016" s="5" t="str">
        <f t="shared" si="52"/>
        <v>Bonos</v>
      </c>
      <c r="AD1016" s="5" t="s">
        <v>43</v>
      </c>
      <c r="AE1016" s="5">
        <f t="shared" si="50"/>
        <v>9</v>
      </c>
      <c r="AF1016" s="5">
        <f t="shared" si="51"/>
        <v>2017</v>
      </c>
    </row>
    <row r="1017" s="5" customFormat="1" ht="13">
      <c r="A1017" s="5" t="s">
        <v>44</v>
      </c>
      <c r="B1017" s="5" t="s">
        <v>44</v>
      </c>
      <c r="C1017" s="5" t="s">
        <v>288</v>
      </c>
      <c r="D1017" s="5" t="s">
        <v>21</v>
      </c>
      <c r="E1017" s="5" t="s">
        <v>44</v>
      </c>
      <c r="F1017" s="5" t="s">
        <v>68</v>
      </c>
      <c r="G1017" s="5" t="s">
        <v>47</v>
      </c>
      <c r="H1017" s="9" t="s">
        <v>293</v>
      </c>
      <c r="I1017" s="10"/>
      <c r="J1017" s="10">
        <v>42999</v>
      </c>
      <c r="K1017" s="5" t="s">
        <v>71</v>
      </c>
      <c r="L1017" s="5" t="s">
        <v>58</v>
      </c>
      <c r="M1017" s="11">
        <v>0.089999999999999997</v>
      </c>
      <c r="N1017" s="5" t="e">
        <f>IF(AND(M1017&gt;#REF!,Cartera!O1017="Guaraníes"),"Rendimiento significativo",IF(AND(M1017&gt;#REF!,Cartera!O1017="Dólares americanos"),"Rendimiento significativo","Rendimiento no significativo"))</f>
        <v>#REF!</v>
      </c>
      <c r="O1017" s="5" t="s">
        <v>51</v>
      </c>
      <c r="P1017" s="13">
        <v>188.630135</v>
      </c>
      <c r="Q1017" s="12" t="e">
        <f>IF(O1017="Guaraníes",P1017,P1017*#REF!)</f>
        <v>#REF!</v>
      </c>
      <c r="R1017" s="12">
        <f>IF(O1017="Guaraníes",P1017/#REF!,P1017)</f>
        <v>188.630135</v>
      </c>
      <c r="S1017" s="5" t="s">
        <v>52</v>
      </c>
      <c r="T1017" s="5">
        <v>4</v>
      </c>
      <c r="W1017" s="5" t="s">
        <v>137</v>
      </c>
      <c r="X1017" s="5">
        <v>0</v>
      </c>
      <c r="Y1017" s="5">
        <v>0</v>
      </c>
      <c r="Z1017" s="5">
        <v>37.726027000000002</v>
      </c>
      <c r="AA1017" s="5">
        <v>5</v>
      </c>
      <c r="AB1017" s="5">
        <v>188.630135</v>
      </c>
      <c r="AC1017" s="5" t="str">
        <f t="shared" si="52"/>
        <v>Bonos</v>
      </c>
      <c r="AD1017" s="5" t="s">
        <v>43</v>
      </c>
      <c r="AE1017" s="5">
        <f t="shared" si="50"/>
        <v>9</v>
      </c>
      <c r="AF1017" s="5">
        <f t="shared" si="51"/>
        <v>2017</v>
      </c>
    </row>
    <row r="1018" s="5" customFormat="1" ht="13">
      <c r="A1018" s="5" t="s">
        <v>44</v>
      </c>
      <c r="B1018" s="5" t="s">
        <v>44</v>
      </c>
      <c r="C1018" s="5" t="s">
        <v>288</v>
      </c>
      <c r="D1018" s="5" t="s">
        <v>21</v>
      </c>
      <c r="E1018" s="5" t="s">
        <v>44</v>
      </c>
      <c r="F1018" s="5" t="s">
        <v>68</v>
      </c>
      <c r="G1018" s="5" t="s">
        <v>47</v>
      </c>
      <c r="H1018" s="9" t="s">
        <v>289</v>
      </c>
      <c r="I1018" s="10"/>
      <c r="J1018" s="10">
        <v>42999</v>
      </c>
      <c r="K1018" s="5" t="s">
        <v>71</v>
      </c>
      <c r="L1018" s="5" t="s">
        <v>58</v>
      </c>
      <c r="M1018" s="11">
        <v>0.10000000000000001</v>
      </c>
      <c r="N1018" s="5" t="e">
        <f>IF(AND(M1018&gt;#REF!,Cartera!O1018="Guaraníes"),"Rendimiento significativo",IF(AND(M1018&gt;#REF!,Cartera!O1018="Dólares americanos"),"Rendimiento significativo","Rendimiento no significativo"))</f>
        <v>#REF!</v>
      </c>
      <c r="O1018" s="5" t="s">
        <v>51</v>
      </c>
      <c r="P1018" s="13">
        <v>209.58904000000001</v>
      </c>
      <c r="Q1018" s="12" t="e">
        <f>IF(O1018="Guaraníes",P1018,P1018*#REF!)</f>
        <v>#REF!</v>
      </c>
      <c r="R1018" s="12">
        <f>IF(O1018="Guaraníes",P1018/#REF!,P1018)</f>
        <v>209.58904000000001</v>
      </c>
      <c r="S1018" s="5" t="s">
        <v>52</v>
      </c>
      <c r="T1018" s="5">
        <v>4</v>
      </c>
      <c r="W1018" s="5" t="s">
        <v>250</v>
      </c>
      <c r="X1018" s="5">
        <v>0</v>
      </c>
      <c r="Y1018" s="5">
        <v>0</v>
      </c>
      <c r="Z1018" s="5">
        <v>41.917808000000001</v>
      </c>
      <c r="AA1018" s="5">
        <v>5</v>
      </c>
      <c r="AB1018" s="5">
        <v>209.58904000000001</v>
      </c>
      <c r="AC1018" s="5" t="str">
        <f t="shared" si="52"/>
        <v>Bonos</v>
      </c>
      <c r="AD1018" s="5" t="s">
        <v>43</v>
      </c>
      <c r="AE1018" s="5">
        <f t="shared" si="50"/>
        <v>9</v>
      </c>
      <c r="AF1018" s="5">
        <f t="shared" si="51"/>
        <v>2017</v>
      </c>
    </row>
    <row r="1019" s="5" customFormat="1" ht="13">
      <c r="A1019" s="5" t="s">
        <v>44</v>
      </c>
      <c r="B1019" s="5" t="s">
        <v>44</v>
      </c>
      <c r="C1019" s="5" t="s">
        <v>99</v>
      </c>
      <c r="D1019" s="5" t="s">
        <v>21</v>
      </c>
      <c r="E1019" s="5" t="s">
        <v>44</v>
      </c>
      <c r="F1019" s="5" t="s">
        <v>100</v>
      </c>
      <c r="G1019" s="5" t="s">
        <v>47</v>
      </c>
      <c r="H1019" s="9" t="s">
        <v>238</v>
      </c>
      <c r="I1019" s="10"/>
      <c r="J1019" s="10">
        <v>43133</v>
      </c>
      <c r="K1019" s="5" t="s">
        <v>102</v>
      </c>
      <c r="L1019" s="5" t="s">
        <v>102</v>
      </c>
      <c r="M1019" s="11">
        <v>0.081000000000000003</v>
      </c>
      <c r="N1019" s="5" t="e">
        <f>IF(AND(M1019&gt;#REF!,Cartera!O1019="Guaraníes"),"Rendimiento significativo",IF(AND(M1019&gt;#REF!,Cartera!O1019="Dólares americanos"),"Rendimiento significativo","Rendimiento no significativo"))</f>
        <v>#REF!</v>
      </c>
      <c r="O1019" s="5" t="s">
        <v>41</v>
      </c>
      <c r="P1019" s="12">
        <v>6124931.5067999996</v>
      </c>
      <c r="Q1019" s="12">
        <f>IF(O1019="Guaraníes",P1019,P1019*#REF!)</f>
        <v>6124931.5067999996</v>
      </c>
      <c r="R1019" s="12" t="e">
        <f>IF(O1019="Guaraníes",P1019/#REF!,P1019)</f>
        <v>#REF!</v>
      </c>
      <c r="S1019" s="5" t="s">
        <v>52</v>
      </c>
      <c r="T1019" s="5">
        <v>4</v>
      </c>
      <c r="W1019" s="5" t="s">
        <v>233</v>
      </c>
      <c r="X1019" s="5">
        <v>0</v>
      </c>
      <c r="Y1019" s="5">
        <v>0</v>
      </c>
      <c r="Z1019" s="5">
        <v>40832.876711999997</v>
      </c>
      <c r="AA1019" s="5">
        <v>150</v>
      </c>
      <c r="AB1019" s="5">
        <v>6124931.5067999996</v>
      </c>
      <c r="AC1019" s="5" t="str">
        <f t="shared" si="52"/>
        <v>Bonos</v>
      </c>
      <c r="AD1019" s="5" t="s">
        <v>43</v>
      </c>
      <c r="AE1019" s="5">
        <f t="shared" si="50"/>
        <v>2</v>
      </c>
      <c r="AF1019" s="5">
        <f t="shared" si="51"/>
        <v>2018</v>
      </c>
    </row>
    <row r="1020" s="5" customFormat="1" ht="13">
      <c r="A1020" s="5" t="s">
        <v>44</v>
      </c>
      <c r="B1020" s="5" t="s">
        <v>44</v>
      </c>
      <c r="C1020" s="5" t="s">
        <v>288</v>
      </c>
      <c r="D1020" s="5" t="s">
        <v>21</v>
      </c>
      <c r="E1020" s="5" t="s">
        <v>44</v>
      </c>
      <c r="F1020" s="5" t="s">
        <v>68</v>
      </c>
      <c r="G1020" s="5" t="s">
        <v>47</v>
      </c>
      <c r="H1020" s="9" t="s">
        <v>290</v>
      </c>
      <c r="I1020" s="10"/>
      <c r="J1020" s="10">
        <v>43210</v>
      </c>
      <c r="K1020" s="5" t="s">
        <v>71</v>
      </c>
      <c r="L1020" s="5" t="s">
        <v>58</v>
      </c>
      <c r="M1020" s="11">
        <v>0.087499999999999994</v>
      </c>
      <c r="N1020" s="5" t="e">
        <f>IF(AND(M1020&gt;#REF!,Cartera!O1020="Guaraníes"),"Rendimiento significativo",IF(AND(M1020&gt;#REF!,Cartera!O1020="Dólares americanos"),"Rendimiento significativo","Rendimiento no significativo"))</f>
        <v>#REF!</v>
      </c>
      <c r="O1020" s="5" t="s">
        <v>51</v>
      </c>
      <c r="P1020" s="13">
        <v>1517.46576</v>
      </c>
      <c r="Q1020" s="12" t="e">
        <f>IF(O1020="Guaraníes",P1020,P1020*#REF!)</f>
        <v>#REF!</v>
      </c>
      <c r="R1020" s="12">
        <f>IF(O1020="Guaraníes",P1020/#REF!,P1020)</f>
        <v>1517.46576</v>
      </c>
      <c r="S1020" s="5" t="s">
        <v>52</v>
      </c>
      <c r="T1020" s="5">
        <v>4</v>
      </c>
      <c r="W1020" s="5" t="s">
        <v>292</v>
      </c>
      <c r="X1020" s="5">
        <v>0</v>
      </c>
      <c r="Y1020" s="5">
        <v>0</v>
      </c>
      <c r="Z1020" s="5">
        <v>50.582191999999999</v>
      </c>
      <c r="AA1020" s="5">
        <v>30</v>
      </c>
      <c r="AB1020" s="5">
        <v>1517.46576</v>
      </c>
      <c r="AC1020" s="5" t="str">
        <f t="shared" si="52"/>
        <v>Bonos</v>
      </c>
      <c r="AD1020" s="5" t="s">
        <v>43</v>
      </c>
      <c r="AE1020" s="5">
        <f t="shared" si="50"/>
        <v>4</v>
      </c>
      <c r="AF1020" s="5">
        <f t="shared" si="51"/>
        <v>2018</v>
      </c>
    </row>
    <row r="1021" s="5" customFormat="1" ht="13">
      <c r="A1021" s="5" t="s">
        <v>44</v>
      </c>
      <c r="B1021" s="5" t="s">
        <v>44</v>
      </c>
      <c r="C1021" s="5" t="s">
        <v>288</v>
      </c>
      <c r="D1021" s="5" t="s">
        <v>21</v>
      </c>
      <c r="E1021" s="5" t="s">
        <v>44</v>
      </c>
      <c r="F1021" s="5" t="s">
        <v>68</v>
      </c>
      <c r="G1021" s="5" t="s">
        <v>47</v>
      </c>
      <c r="H1021" s="9" t="s">
        <v>293</v>
      </c>
      <c r="I1021" s="10"/>
      <c r="J1021" s="10">
        <v>43210</v>
      </c>
      <c r="K1021" s="5" t="s">
        <v>71</v>
      </c>
      <c r="L1021" s="5" t="s">
        <v>58</v>
      </c>
      <c r="M1021" s="11">
        <v>0.089999999999999997</v>
      </c>
      <c r="N1021" s="5" t="e">
        <f>IF(AND(M1021&gt;#REF!,Cartera!O1021="Guaraníes"),"Rendimiento significativo",IF(AND(M1021&gt;#REF!,Cartera!O1021="Dólares americanos"),"Rendimiento significativo","Rendimiento no significativo"))</f>
        <v>#REF!</v>
      </c>
      <c r="O1021" s="5" t="s">
        <v>51</v>
      </c>
      <c r="P1021" s="13">
        <v>260.13698499999998</v>
      </c>
      <c r="Q1021" s="12" t="e">
        <f>IF(O1021="Guaraníes",P1021,P1021*#REF!)</f>
        <v>#REF!</v>
      </c>
      <c r="R1021" s="12">
        <f>IF(O1021="Guaraníes",P1021/#REF!,P1021)</f>
        <v>260.13698499999998</v>
      </c>
      <c r="S1021" s="5" t="s">
        <v>52</v>
      </c>
      <c r="T1021" s="5">
        <v>4</v>
      </c>
      <c r="W1021" s="5" t="s">
        <v>294</v>
      </c>
      <c r="X1021" s="5">
        <v>0</v>
      </c>
      <c r="Y1021" s="5">
        <v>0</v>
      </c>
      <c r="Z1021" s="5">
        <v>52.027397000000001</v>
      </c>
      <c r="AA1021" s="5">
        <v>5</v>
      </c>
      <c r="AB1021" s="5">
        <v>260.13698499999998</v>
      </c>
      <c r="AC1021" s="5" t="str">
        <f t="shared" si="52"/>
        <v>Bonos</v>
      </c>
      <c r="AD1021" s="5" t="s">
        <v>43</v>
      </c>
      <c r="AE1021" s="5">
        <f t="shared" si="50"/>
        <v>4</v>
      </c>
      <c r="AF1021" s="5">
        <f t="shared" si="51"/>
        <v>2018</v>
      </c>
    </row>
    <row r="1022" s="5" customFormat="1" ht="13">
      <c r="A1022" s="5" t="s">
        <v>44</v>
      </c>
      <c r="B1022" s="5" t="s">
        <v>44</v>
      </c>
      <c r="C1022" s="5" t="s">
        <v>288</v>
      </c>
      <c r="D1022" s="5" t="s">
        <v>21</v>
      </c>
      <c r="E1022" s="5" t="s">
        <v>44</v>
      </c>
      <c r="F1022" s="5" t="s">
        <v>68</v>
      </c>
      <c r="G1022" s="5" t="s">
        <v>47</v>
      </c>
      <c r="H1022" s="9" t="s">
        <v>289</v>
      </c>
      <c r="I1022" s="10"/>
      <c r="J1022" s="10">
        <v>43210</v>
      </c>
      <c r="K1022" s="5" t="s">
        <v>71</v>
      </c>
      <c r="L1022" s="5" t="s">
        <v>58</v>
      </c>
      <c r="M1022" s="11">
        <v>0.10000000000000001</v>
      </c>
      <c r="N1022" s="5" t="e">
        <f>IF(AND(M1022&gt;#REF!,Cartera!O1022="Guaraníes"),"Rendimiento significativo",IF(AND(M1022&gt;#REF!,Cartera!O1022="Dólares americanos"),"Rendimiento significativo","Rendimiento no significativo"))</f>
        <v>#REF!</v>
      </c>
      <c r="O1022" s="5" t="s">
        <v>51</v>
      </c>
      <c r="P1022" s="13">
        <v>289.04109499999998</v>
      </c>
      <c r="Q1022" s="12" t="e">
        <f>IF(O1022="Guaraníes",P1022,P1022*#REF!)</f>
        <v>#REF!</v>
      </c>
      <c r="R1022" s="12">
        <f>IF(O1022="Guaraníes",P1022/#REF!,P1022)</f>
        <v>289.04109499999998</v>
      </c>
      <c r="S1022" s="5" t="s">
        <v>52</v>
      </c>
      <c r="T1022" s="5">
        <v>4</v>
      </c>
      <c r="W1022" s="5" t="s">
        <v>295</v>
      </c>
      <c r="X1022" s="5">
        <v>0</v>
      </c>
      <c r="Y1022" s="5">
        <v>0</v>
      </c>
      <c r="Z1022" s="5">
        <v>57.808219000000001</v>
      </c>
      <c r="AA1022" s="5">
        <v>5</v>
      </c>
      <c r="AB1022" s="5">
        <v>289.04109499999998</v>
      </c>
      <c r="AC1022" s="5" t="str">
        <f t="shared" si="52"/>
        <v>Bonos</v>
      </c>
      <c r="AD1022" s="5" t="s">
        <v>43</v>
      </c>
      <c r="AE1022" s="5">
        <f t="shared" si="50"/>
        <v>4</v>
      </c>
      <c r="AF1022" s="5">
        <f t="shared" si="51"/>
        <v>2018</v>
      </c>
    </row>
    <row r="1023" s="5" customFormat="1" ht="13">
      <c r="A1023" s="5" t="s">
        <v>44</v>
      </c>
      <c r="B1023" s="5" t="s">
        <v>44</v>
      </c>
      <c r="C1023" s="5" t="s">
        <v>99</v>
      </c>
      <c r="D1023" s="5" t="s">
        <v>21</v>
      </c>
      <c r="E1023" s="5" t="s">
        <v>44</v>
      </c>
      <c r="F1023" s="5" t="s">
        <v>100</v>
      </c>
      <c r="G1023" s="5" t="s">
        <v>47</v>
      </c>
      <c r="H1023" s="9" t="s">
        <v>238</v>
      </c>
      <c r="I1023" s="10"/>
      <c r="J1023" s="10">
        <v>43314</v>
      </c>
      <c r="K1023" s="5" t="s">
        <v>102</v>
      </c>
      <c r="L1023" s="5" t="s">
        <v>102</v>
      </c>
      <c r="M1023" s="11">
        <v>0.081000000000000003</v>
      </c>
      <c r="N1023" s="5" t="e">
        <f>IF(AND(M1023&gt;#REF!,Cartera!O1023="Guaraníes"),"Rendimiento significativo",IF(AND(M1023&gt;#REF!,Cartera!O1023="Dólares americanos"),"Rendimiento significativo","Rendimiento no significativo"))</f>
        <v>#REF!</v>
      </c>
      <c r="O1023" s="5" t="s">
        <v>41</v>
      </c>
      <c r="P1023" s="12">
        <v>6025068.4932000004</v>
      </c>
      <c r="Q1023" s="12">
        <f>IF(O1023="Guaraníes",P1023,P1023*#REF!)</f>
        <v>6025068.4932000004</v>
      </c>
      <c r="R1023" s="12" t="e">
        <f>IF(O1023="Guaraníes",P1023/#REF!,P1023)</f>
        <v>#REF!</v>
      </c>
      <c r="S1023" s="5" t="s">
        <v>52</v>
      </c>
      <c r="T1023" s="5">
        <v>4</v>
      </c>
      <c r="W1023" s="5" t="s">
        <v>296</v>
      </c>
      <c r="X1023" s="5">
        <v>0</v>
      </c>
      <c r="Y1023" s="5">
        <v>0</v>
      </c>
      <c r="Z1023" s="5">
        <v>40167.123288000003</v>
      </c>
      <c r="AA1023" s="5">
        <v>150</v>
      </c>
      <c r="AB1023" s="5">
        <v>6025068.4932000004</v>
      </c>
      <c r="AC1023" s="5" t="str">
        <f t="shared" si="52"/>
        <v>Bonos</v>
      </c>
      <c r="AD1023" s="5" t="s">
        <v>43</v>
      </c>
      <c r="AE1023" s="5">
        <f t="shared" si="50"/>
        <v>8</v>
      </c>
      <c r="AF1023" s="5">
        <f t="shared" si="51"/>
        <v>2018</v>
      </c>
    </row>
    <row r="1024" s="5" customFormat="1" ht="13">
      <c r="A1024" s="5">
        <v>12303</v>
      </c>
      <c r="B1024" s="5" t="s">
        <v>32</v>
      </c>
      <c r="C1024" s="5" t="s">
        <v>33</v>
      </c>
      <c r="D1024" s="5" t="s">
        <v>20</v>
      </c>
      <c r="E1024" s="5" t="s">
        <v>34</v>
      </c>
      <c r="F1024" s="5" t="s">
        <v>35</v>
      </c>
      <c r="G1024" s="5" t="s">
        <v>47</v>
      </c>
      <c r="H1024" s="9" t="s">
        <v>37</v>
      </c>
      <c r="I1024" s="10">
        <v>43336</v>
      </c>
      <c r="J1024" s="10" t="s">
        <v>38</v>
      </c>
      <c r="K1024" s="5" t="s">
        <v>39</v>
      </c>
      <c r="L1024" s="5" t="s">
        <v>40</v>
      </c>
      <c r="M1024" s="11">
        <v>0.070000000000000007</v>
      </c>
      <c r="N1024" s="5" t="e">
        <f>IF(AND(M1024&gt;#REF!,Cartera!O1024="Guaraníes"),"Rendimiento significativo",IF(AND(M1024&gt;#REF!,Cartera!O1024="Dólares americanos"),"Rendimiento significativo","Rendimiento no significativo"))</f>
        <v>#REF!</v>
      </c>
      <c r="O1024" s="5" t="s">
        <v>41</v>
      </c>
      <c r="P1024" s="12">
        <v>55400000</v>
      </c>
      <c r="Q1024" s="12">
        <f>IF(O1024="Guaraníes",P1024,P1024*#REF!)</f>
        <v>55400000</v>
      </c>
      <c r="R1024" s="12" t="e">
        <f>IF(O1024="Guaraníes",P1024/#REF!,P1024)</f>
        <v>#REF!</v>
      </c>
      <c r="S1024" s="5" t="s">
        <v>42</v>
      </c>
      <c r="AC1024" s="5" t="str">
        <f t="shared" si="52"/>
        <v>Acciones</v>
      </c>
      <c r="AD1024" s="5" t="s">
        <v>43</v>
      </c>
      <c r="AE1024" s="5">
        <f t="shared" si="50"/>
        <v>0</v>
      </c>
      <c r="AF1024" s="5">
        <f t="shared" si="51"/>
        <v>0</v>
      </c>
    </row>
    <row r="1025" s="5" customFormat="1" ht="13">
      <c r="A1025" s="5" t="s">
        <v>44</v>
      </c>
      <c r="B1025" s="5" t="s">
        <v>44</v>
      </c>
      <c r="C1025" s="5" t="s">
        <v>288</v>
      </c>
      <c r="D1025" s="5" t="s">
        <v>21</v>
      </c>
      <c r="E1025" s="5" t="s">
        <v>44</v>
      </c>
      <c r="F1025" s="5" t="s">
        <v>68</v>
      </c>
      <c r="G1025" s="5" t="s">
        <v>47</v>
      </c>
      <c r="H1025" s="9" t="s">
        <v>290</v>
      </c>
      <c r="I1025" s="10"/>
      <c r="J1025" s="10">
        <v>43364</v>
      </c>
      <c r="K1025" s="5" t="s">
        <v>71</v>
      </c>
      <c r="L1025" s="5" t="s">
        <v>58</v>
      </c>
      <c r="M1025" s="11">
        <v>0.087499999999999994</v>
      </c>
      <c r="N1025" s="5" t="e">
        <f>IF(AND(M1025&gt;#REF!,Cartera!O1025="Guaraníes"),"Rendimiento significativo",IF(AND(M1025&gt;#REF!,Cartera!O1025="Dólares americanos"),"Rendimiento significativo","Rendimiento no significativo"))</f>
        <v>#REF!</v>
      </c>
      <c r="O1025" s="5" t="s">
        <v>51</v>
      </c>
      <c r="P1025" s="13">
        <v>1107.53424</v>
      </c>
      <c r="Q1025" s="12" t="e">
        <f>IF(O1025="Guaraníes",P1025,P1025*#REF!)</f>
        <v>#REF!</v>
      </c>
      <c r="R1025" s="12">
        <f>IF(O1025="Guaraníes",P1025/#REF!,P1025)</f>
        <v>1107.53424</v>
      </c>
      <c r="S1025" s="5" t="s">
        <v>52</v>
      </c>
      <c r="T1025" s="5">
        <v>4</v>
      </c>
      <c r="W1025" s="5" t="s">
        <v>291</v>
      </c>
      <c r="X1025" s="5">
        <v>0</v>
      </c>
      <c r="Y1025" s="5">
        <v>0</v>
      </c>
      <c r="Z1025" s="5">
        <v>36.917808000000001</v>
      </c>
      <c r="AA1025" s="5">
        <v>30</v>
      </c>
      <c r="AB1025" s="5">
        <v>1107.53424</v>
      </c>
      <c r="AC1025" s="5" t="str">
        <f t="shared" si="52"/>
        <v>Bonos</v>
      </c>
      <c r="AD1025" s="5" t="s">
        <v>43</v>
      </c>
      <c r="AE1025" s="5">
        <f t="shared" si="50"/>
        <v>9</v>
      </c>
      <c r="AF1025" s="5">
        <f t="shared" si="51"/>
        <v>2018</v>
      </c>
    </row>
    <row r="1026" s="5" customFormat="1" ht="13">
      <c r="A1026" s="5" t="s">
        <v>44</v>
      </c>
      <c r="B1026" s="5" t="s">
        <v>44</v>
      </c>
      <c r="C1026" s="5" t="s">
        <v>288</v>
      </c>
      <c r="D1026" s="5" t="s">
        <v>21</v>
      </c>
      <c r="E1026" s="5" t="s">
        <v>44</v>
      </c>
      <c r="F1026" s="5" t="s">
        <v>68</v>
      </c>
      <c r="G1026" s="5" t="s">
        <v>47</v>
      </c>
      <c r="H1026" s="9" t="s">
        <v>293</v>
      </c>
      <c r="I1026" s="10"/>
      <c r="J1026" s="10">
        <v>43364</v>
      </c>
      <c r="K1026" s="5" t="s">
        <v>71</v>
      </c>
      <c r="L1026" s="5" t="s">
        <v>58</v>
      </c>
      <c r="M1026" s="11">
        <v>0.089999999999999997</v>
      </c>
      <c r="N1026" s="5" t="e">
        <f>IF(AND(M1026&gt;#REF!,Cartera!O1026="Guaraníes"),"Rendimiento significativo",IF(AND(M1026&gt;#REF!,Cartera!O1026="Dólares americanos"),"Rendimiento significativo","Rendimiento no significativo"))</f>
        <v>#REF!</v>
      </c>
      <c r="O1026" s="5" t="s">
        <v>51</v>
      </c>
      <c r="P1026" s="13">
        <v>189.86301499999999</v>
      </c>
      <c r="Q1026" s="12" t="e">
        <f>IF(O1026="Guaraníes",P1026,P1026*#REF!)</f>
        <v>#REF!</v>
      </c>
      <c r="R1026" s="12">
        <f>IF(O1026="Guaraníes",P1026/#REF!,P1026)</f>
        <v>189.86301499999999</v>
      </c>
      <c r="S1026" s="5" t="s">
        <v>52</v>
      </c>
      <c r="T1026" s="5">
        <v>4</v>
      </c>
      <c r="W1026" s="5" t="s">
        <v>271</v>
      </c>
      <c r="X1026" s="5">
        <v>0</v>
      </c>
      <c r="Y1026" s="5">
        <v>0</v>
      </c>
      <c r="Z1026" s="5">
        <v>37.972602999999999</v>
      </c>
      <c r="AA1026" s="5">
        <v>5</v>
      </c>
      <c r="AB1026" s="5">
        <v>189.86301499999999</v>
      </c>
      <c r="AC1026" s="5" t="str">
        <f t="shared" si="52"/>
        <v>Bonos</v>
      </c>
      <c r="AD1026" s="5" t="s">
        <v>43</v>
      </c>
      <c r="AE1026" s="5">
        <f t="shared" si="50"/>
        <v>9</v>
      </c>
      <c r="AF1026" s="5">
        <f t="shared" si="51"/>
        <v>2018</v>
      </c>
    </row>
    <row r="1027" s="5" customFormat="1" ht="13">
      <c r="A1027" s="5" t="s">
        <v>44</v>
      </c>
      <c r="B1027" s="5" t="s">
        <v>44</v>
      </c>
      <c r="C1027" s="5" t="s">
        <v>288</v>
      </c>
      <c r="D1027" s="5" t="s">
        <v>21</v>
      </c>
      <c r="E1027" s="5" t="s">
        <v>44</v>
      </c>
      <c r="F1027" s="5" t="s">
        <v>68</v>
      </c>
      <c r="G1027" s="5" t="s">
        <v>47</v>
      </c>
      <c r="H1027" s="9" t="s">
        <v>289</v>
      </c>
      <c r="I1027" s="10"/>
      <c r="J1027" s="10">
        <v>43364</v>
      </c>
      <c r="K1027" s="5" t="s">
        <v>71</v>
      </c>
      <c r="L1027" s="5" t="s">
        <v>58</v>
      </c>
      <c r="M1027" s="11">
        <v>0.10000000000000001</v>
      </c>
      <c r="N1027" s="5" t="e">
        <f>IF(AND(M1027&gt;#REF!,Cartera!O1027="Guaraníes"),"Rendimiento significativo",IF(AND(M1027&gt;#REF!,Cartera!O1027="Dólares americanos"),"Rendimiento significativo","Rendimiento no significativo"))</f>
        <v>#REF!</v>
      </c>
      <c r="O1027" s="5" t="s">
        <v>51</v>
      </c>
      <c r="P1027" s="13">
        <v>210.95890499999999</v>
      </c>
      <c r="Q1027" s="12" t="e">
        <f>IF(O1027="Guaraníes",P1027,P1027*#REF!)</f>
        <v>#REF!</v>
      </c>
      <c r="R1027" s="12">
        <f>IF(O1027="Guaraníes",P1027/#REF!,P1027)</f>
        <v>210.95890499999999</v>
      </c>
      <c r="S1027" s="5" t="s">
        <v>52</v>
      </c>
      <c r="T1027" s="5">
        <v>4</v>
      </c>
      <c r="W1027" s="5" t="s">
        <v>233</v>
      </c>
      <c r="X1027" s="5">
        <v>0</v>
      </c>
      <c r="Y1027" s="5">
        <v>0</v>
      </c>
      <c r="Z1027" s="5">
        <v>42.191780999999999</v>
      </c>
      <c r="AA1027" s="5">
        <v>5</v>
      </c>
      <c r="AB1027" s="5">
        <v>210.95890499999999</v>
      </c>
      <c r="AC1027" s="5" t="str">
        <f t="shared" si="52"/>
        <v>Bonos</v>
      </c>
      <c r="AD1027" s="5" t="s">
        <v>43</v>
      </c>
      <c r="AE1027" s="5">
        <f t="shared" si="50"/>
        <v>9</v>
      </c>
      <c r="AF1027" s="5">
        <f t="shared" si="51"/>
        <v>2018</v>
      </c>
    </row>
    <row r="1028" s="5" customFormat="1" ht="13">
      <c r="A1028" s="5" t="s">
        <v>44</v>
      </c>
      <c r="B1028" s="5" t="s">
        <v>44</v>
      </c>
      <c r="C1028" s="5" t="s">
        <v>99</v>
      </c>
      <c r="D1028" s="5" t="s">
        <v>21</v>
      </c>
      <c r="E1028" s="5" t="s">
        <v>44</v>
      </c>
      <c r="F1028" s="5" t="s">
        <v>100</v>
      </c>
      <c r="G1028" s="5" t="s">
        <v>47</v>
      </c>
      <c r="H1028" s="9" t="s">
        <v>238</v>
      </c>
      <c r="I1028" s="10"/>
      <c r="J1028" s="10">
        <v>43498</v>
      </c>
      <c r="K1028" s="5" t="s">
        <v>102</v>
      </c>
      <c r="L1028" s="5" t="s">
        <v>102</v>
      </c>
      <c r="M1028" s="11">
        <v>0.081000000000000003</v>
      </c>
      <c r="N1028" s="5" t="e">
        <f>IF(AND(M1028&gt;#REF!,Cartera!O1028="Guaraníes"),"Rendimiento significativo",IF(AND(M1028&gt;#REF!,Cartera!O1028="Dólares americanos"),"Rendimiento significativo","Rendimiento no significativo"))</f>
        <v>#REF!</v>
      </c>
      <c r="O1028" s="5" t="s">
        <v>41</v>
      </c>
      <c r="P1028" s="12">
        <v>6124931.5067999996</v>
      </c>
      <c r="Q1028" s="12">
        <f>IF(O1028="Guaraníes",P1028,P1028*#REF!)</f>
        <v>6124931.5067999996</v>
      </c>
      <c r="R1028" s="12" t="e">
        <f>IF(O1028="Guaraníes",P1028/#REF!,P1028)</f>
        <v>#REF!</v>
      </c>
      <c r="S1028" s="5" t="s">
        <v>52</v>
      </c>
      <c r="T1028" s="5">
        <v>4</v>
      </c>
      <c r="W1028" s="5" t="s">
        <v>297</v>
      </c>
      <c r="X1028" s="5">
        <v>0</v>
      </c>
      <c r="Y1028" s="5">
        <v>0</v>
      </c>
      <c r="Z1028" s="5">
        <v>40832.876711999997</v>
      </c>
      <c r="AA1028" s="5">
        <v>150</v>
      </c>
      <c r="AB1028" s="5">
        <v>6124931.5067999996</v>
      </c>
      <c r="AC1028" s="5" t="str">
        <f t="shared" si="52"/>
        <v>Bonos</v>
      </c>
      <c r="AD1028" s="5" t="s">
        <v>43</v>
      </c>
      <c r="AE1028" s="5">
        <f t="shared" si="50"/>
        <v>2</v>
      </c>
      <c r="AF1028" s="5">
        <f t="shared" si="51"/>
        <v>2019</v>
      </c>
    </row>
    <row r="1029" s="5" customFormat="1" ht="13">
      <c r="A1029" s="5" t="s">
        <v>44</v>
      </c>
      <c r="B1029" s="5" t="s">
        <v>44</v>
      </c>
      <c r="C1029" s="5" t="s">
        <v>288</v>
      </c>
      <c r="D1029" s="5" t="s">
        <v>21</v>
      </c>
      <c r="E1029" s="5" t="s">
        <v>44</v>
      </c>
      <c r="F1029" s="5" t="s">
        <v>68</v>
      </c>
      <c r="G1029" s="5" t="s">
        <v>47</v>
      </c>
      <c r="H1029" s="9" t="s">
        <v>290</v>
      </c>
      <c r="I1029" s="10"/>
      <c r="J1029" s="10">
        <v>43577</v>
      </c>
      <c r="K1029" s="5" t="s">
        <v>71</v>
      </c>
      <c r="L1029" s="5" t="s">
        <v>58</v>
      </c>
      <c r="M1029" s="11">
        <v>0.087499999999999994</v>
      </c>
      <c r="N1029" s="5" t="e">
        <f>IF(AND(M1029&gt;#REF!,Cartera!O1029="Guaraníes"),"Rendimiento significativo",IF(AND(M1029&gt;#REF!,Cartera!O1029="Dólares americanos"),"Rendimiento significativo","Rendimiento no significativo"))</f>
        <v>#REF!</v>
      </c>
      <c r="O1029" s="5" t="s">
        <v>51</v>
      </c>
      <c r="P1029" s="13">
        <v>1531.84932</v>
      </c>
      <c r="Q1029" s="12" t="e">
        <f>IF(O1029="Guaraníes",P1029,P1029*#REF!)</f>
        <v>#REF!</v>
      </c>
      <c r="R1029" s="12">
        <f>IF(O1029="Guaraníes",P1029/#REF!,P1029)</f>
        <v>1531.84932</v>
      </c>
      <c r="S1029" s="5" t="s">
        <v>52</v>
      </c>
      <c r="T1029" s="5">
        <v>4</v>
      </c>
      <c r="W1029" s="5" t="s">
        <v>298</v>
      </c>
      <c r="X1029" s="5">
        <v>0</v>
      </c>
      <c r="Y1029" s="5">
        <v>0</v>
      </c>
      <c r="Z1029" s="5">
        <v>51.061644000000001</v>
      </c>
      <c r="AA1029" s="5">
        <v>30</v>
      </c>
      <c r="AB1029" s="5">
        <v>1531.84932</v>
      </c>
      <c r="AC1029" s="5" t="str">
        <f t="shared" si="52"/>
        <v>Bonos</v>
      </c>
      <c r="AD1029" s="5" t="s">
        <v>43</v>
      </c>
      <c r="AE1029" s="5">
        <f t="shared" si="50"/>
        <v>4</v>
      </c>
      <c r="AF1029" s="5">
        <f t="shared" si="51"/>
        <v>2019</v>
      </c>
    </row>
    <row r="1030" s="5" customFormat="1" ht="13">
      <c r="A1030" s="5" t="s">
        <v>44</v>
      </c>
      <c r="B1030" s="5" t="s">
        <v>44</v>
      </c>
      <c r="C1030" s="5" t="s">
        <v>288</v>
      </c>
      <c r="D1030" s="5" t="s">
        <v>21</v>
      </c>
      <c r="E1030" s="5" t="s">
        <v>44</v>
      </c>
      <c r="F1030" s="5" t="s">
        <v>68</v>
      </c>
      <c r="G1030" s="5" t="s">
        <v>47</v>
      </c>
      <c r="H1030" s="9" t="s">
        <v>293</v>
      </c>
      <c r="I1030" s="10"/>
      <c r="J1030" s="10">
        <v>43577</v>
      </c>
      <c r="K1030" s="5" t="s">
        <v>71</v>
      </c>
      <c r="L1030" s="5" t="s">
        <v>58</v>
      </c>
      <c r="M1030" s="11">
        <v>0.089999999999999997</v>
      </c>
      <c r="N1030" s="5" t="e">
        <f>IF(AND(M1030&gt;#REF!,Cartera!O1030="Guaraníes"),"Rendimiento significativo",IF(AND(M1030&gt;#REF!,Cartera!O1030="Dólares americanos"),"Rendimiento significativo","Rendimiento no significativo"))</f>
        <v>#REF!</v>
      </c>
      <c r="O1030" s="5" t="s">
        <v>51</v>
      </c>
      <c r="P1030" s="13">
        <v>262.60273999999998</v>
      </c>
      <c r="Q1030" s="12" t="e">
        <f>IF(O1030="Guaraníes",P1030,P1030*#REF!)</f>
        <v>#REF!</v>
      </c>
      <c r="R1030" s="12">
        <f>IF(O1030="Guaraníes",P1030/#REF!,P1030)</f>
        <v>262.60273999999998</v>
      </c>
      <c r="S1030" s="5" t="s">
        <v>52</v>
      </c>
      <c r="T1030" s="5">
        <v>4</v>
      </c>
      <c r="W1030" s="5" t="s">
        <v>299</v>
      </c>
      <c r="X1030" s="5">
        <v>0</v>
      </c>
      <c r="Y1030" s="5">
        <v>0</v>
      </c>
      <c r="Z1030" s="5">
        <v>52.520547999999998</v>
      </c>
      <c r="AA1030" s="5">
        <v>5</v>
      </c>
      <c r="AB1030" s="5">
        <v>262.60273999999998</v>
      </c>
      <c r="AC1030" s="5" t="str">
        <f t="shared" si="52"/>
        <v>Bonos</v>
      </c>
      <c r="AD1030" s="5" t="s">
        <v>43</v>
      </c>
      <c r="AE1030" s="5">
        <f t="shared" si="50"/>
        <v>4</v>
      </c>
      <c r="AF1030" s="5">
        <f t="shared" si="51"/>
        <v>2019</v>
      </c>
    </row>
    <row r="1031" s="5" customFormat="1" ht="13">
      <c r="A1031" s="5" t="s">
        <v>44</v>
      </c>
      <c r="B1031" s="5" t="s">
        <v>44</v>
      </c>
      <c r="C1031" s="5" t="s">
        <v>288</v>
      </c>
      <c r="D1031" s="5" t="s">
        <v>21</v>
      </c>
      <c r="E1031" s="5" t="s">
        <v>44</v>
      </c>
      <c r="F1031" s="5" t="s">
        <v>68</v>
      </c>
      <c r="G1031" s="5" t="s">
        <v>47</v>
      </c>
      <c r="H1031" s="9" t="s">
        <v>289</v>
      </c>
      <c r="I1031" s="10"/>
      <c r="J1031" s="10">
        <v>43577</v>
      </c>
      <c r="K1031" s="5" t="s">
        <v>71</v>
      </c>
      <c r="L1031" s="5" t="s">
        <v>58</v>
      </c>
      <c r="M1031" s="11">
        <v>0.10000000000000001</v>
      </c>
      <c r="N1031" s="5" t="e">
        <f>IF(AND(M1031&gt;#REF!,Cartera!O1031="Guaraníes"),"Rendimiento significativo",IF(AND(M1031&gt;#REF!,Cartera!O1031="Dólares americanos"),"Rendimiento significativo","Rendimiento no significativo"))</f>
        <v>#REF!</v>
      </c>
      <c r="O1031" s="5" t="s">
        <v>51</v>
      </c>
      <c r="P1031" s="13">
        <v>291.78082000000001</v>
      </c>
      <c r="Q1031" s="12" t="e">
        <f>IF(O1031="Guaraníes",P1031,P1031*#REF!)</f>
        <v>#REF!</v>
      </c>
      <c r="R1031" s="12">
        <f>IF(O1031="Guaraníes",P1031/#REF!,P1031)</f>
        <v>291.78082000000001</v>
      </c>
      <c r="S1031" s="5" t="s">
        <v>52</v>
      </c>
      <c r="T1031" s="5">
        <v>4</v>
      </c>
      <c r="W1031" s="5" t="s">
        <v>296</v>
      </c>
      <c r="X1031" s="5">
        <v>0</v>
      </c>
      <c r="Y1031" s="5">
        <v>0</v>
      </c>
      <c r="Z1031" s="5">
        <v>58.356164</v>
      </c>
      <c r="AA1031" s="5">
        <v>5</v>
      </c>
      <c r="AB1031" s="5">
        <v>291.78082000000001</v>
      </c>
      <c r="AC1031" s="5" t="str">
        <f t="shared" si="52"/>
        <v>Bonos</v>
      </c>
      <c r="AD1031" s="5" t="s">
        <v>43</v>
      </c>
      <c r="AE1031" s="5">
        <f t="shared" si="50"/>
        <v>4</v>
      </c>
      <c r="AF1031" s="5">
        <f t="shared" si="51"/>
        <v>2019</v>
      </c>
    </row>
    <row r="1032" s="5" customFormat="1" ht="13">
      <c r="A1032" s="5" t="s">
        <v>44</v>
      </c>
      <c r="B1032" s="5" t="s">
        <v>44</v>
      </c>
      <c r="C1032" s="5" t="s">
        <v>45</v>
      </c>
      <c r="D1032" s="5" t="s">
        <v>21</v>
      </c>
      <c r="E1032" s="5" t="s">
        <v>44</v>
      </c>
      <c r="F1032" s="5" t="s">
        <v>46</v>
      </c>
      <c r="G1032" s="5" t="s">
        <v>47</v>
      </c>
      <c r="H1032" s="9" t="s">
        <v>48</v>
      </c>
      <c r="I1032" s="10"/>
      <c r="J1032" s="10">
        <v>43675</v>
      </c>
      <c r="K1032" s="5" t="s">
        <v>49</v>
      </c>
      <c r="L1032" s="5" t="s">
        <v>50</v>
      </c>
      <c r="M1032" s="11">
        <v>0.052499999999999998</v>
      </c>
      <c r="N1032" s="5" t="e">
        <f>IF(AND(M1032&gt;#REF!,Cartera!O1032="Guaraníes"),"Rendimiento significativo",IF(AND(M1032&gt;#REF!,Cartera!O1032="Dólares americanos"),"Rendimiento significativo","Rendimiento no significativo"))</f>
        <v>#REF!</v>
      </c>
      <c r="O1032" s="5" t="s">
        <v>51</v>
      </c>
      <c r="P1032" s="13">
        <v>174.52055000000001</v>
      </c>
      <c r="Q1032" s="12" t="e">
        <f>IF(O1032="Guaraníes",P1032,P1032*#REF!)</f>
        <v>#REF!</v>
      </c>
      <c r="R1032" s="12">
        <f>IF(O1032="Guaraníes",P1032/#REF!,P1032)</f>
        <v>174.52055000000001</v>
      </c>
      <c r="S1032" s="5" t="s">
        <v>52</v>
      </c>
      <c r="T1032" s="5">
        <v>4</v>
      </c>
      <c r="W1032" s="5" t="s">
        <v>53</v>
      </c>
      <c r="X1032" s="5">
        <v>0</v>
      </c>
      <c r="Y1032" s="5">
        <v>0</v>
      </c>
      <c r="Z1032" s="5">
        <v>17.452055000000001</v>
      </c>
      <c r="AA1032" s="5">
        <v>10</v>
      </c>
      <c r="AB1032" s="5">
        <v>174.52054999999999</v>
      </c>
      <c r="AC1032" s="5" t="str">
        <f t="shared" si="52"/>
        <v>Bonos</v>
      </c>
      <c r="AD1032" s="5" t="s">
        <v>43</v>
      </c>
      <c r="AE1032" s="5">
        <f t="shared" si="50"/>
        <v>7</v>
      </c>
      <c r="AF1032" s="5">
        <f t="shared" si="51"/>
        <v>2019</v>
      </c>
    </row>
    <row r="1033" s="5" customFormat="1" ht="13">
      <c r="A1033" s="5" t="s">
        <v>44</v>
      </c>
      <c r="B1033" s="5" t="s">
        <v>44</v>
      </c>
      <c r="C1033" s="5" t="s">
        <v>99</v>
      </c>
      <c r="D1033" s="5" t="s">
        <v>21</v>
      </c>
      <c r="E1033" s="5" t="s">
        <v>44</v>
      </c>
      <c r="F1033" s="5" t="s">
        <v>100</v>
      </c>
      <c r="G1033" s="5" t="s">
        <v>47</v>
      </c>
      <c r="H1033" s="9" t="s">
        <v>238</v>
      </c>
      <c r="I1033" s="10"/>
      <c r="J1033" s="10">
        <v>43679</v>
      </c>
      <c r="K1033" s="5" t="s">
        <v>102</v>
      </c>
      <c r="L1033" s="5" t="s">
        <v>102</v>
      </c>
      <c r="M1033" s="11">
        <v>0.081000000000000003</v>
      </c>
      <c r="N1033" s="5" t="e">
        <f>IF(AND(M1033&gt;#REF!,Cartera!O1033="Guaraníes"),"Rendimiento significativo",IF(AND(M1033&gt;#REF!,Cartera!O1033="Dólares americanos"),"Rendimiento significativo","Rendimiento no significativo"))</f>
        <v>#REF!</v>
      </c>
      <c r="O1033" s="5" t="s">
        <v>41</v>
      </c>
      <c r="P1033" s="12">
        <v>6025068.4932000004</v>
      </c>
      <c r="Q1033" s="12">
        <f>IF(O1033="Guaraníes",P1033,P1033*#REF!)</f>
        <v>6025068.4932000004</v>
      </c>
      <c r="R1033" s="12" t="e">
        <f>IF(O1033="Guaraníes",P1033/#REF!,P1033)</f>
        <v>#REF!</v>
      </c>
      <c r="S1033" s="5" t="s">
        <v>52</v>
      </c>
      <c r="T1033" s="5">
        <v>4</v>
      </c>
      <c r="W1033" s="5" t="s">
        <v>250</v>
      </c>
      <c r="X1033" s="5">
        <v>0</v>
      </c>
      <c r="Y1033" s="5">
        <v>0</v>
      </c>
      <c r="Z1033" s="5">
        <v>40167.123288000003</v>
      </c>
      <c r="AA1033" s="5">
        <v>150</v>
      </c>
      <c r="AB1033" s="5">
        <v>6025068.4932000004</v>
      </c>
      <c r="AC1033" s="5" t="str">
        <f t="shared" si="52"/>
        <v>Bonos</v>
      </c>
      <c r="AD1033" s="5" t="s">
        <v>43</v>
      </c>
      <c r="AE1033" s="5">
        <f t="shared" si="50"/>
        <v>8</v>
      </c>
      <c r="AF1033" s="5">
        <f t="shared" si="51"/>
        <v>2019</v>
      </c>
    </row>
    <row r="1034" s="5" customFormat="1" ht="13">
      <c r="A1034" s="5" t="s">
        <v>44</v>
      </c>
      <c r="B1034" s="5" t="s">
        <v>44</v>
      </c>
      <c r="C1034" s="5" t="s">
        <v>288</v>
      </c>
      <c r="D1034" s="5" t="s">
        <v>21</v>
      </c>
      <c r="E1034" s="5" t="s">
        <v>44</v>
      </c>
      <c r="F1034" s="5" t="s">
        <v>68</v>
      </c>
      <c r="G1034" s="5" t="s">
        <v>47</v>
      </c>
      <c r="H1034" s="9" t="s">
        <v>290</v>
      </c>
      <c r="I1034" s="10"/>
      <c r="J1034" s="10">
        <v>43728</v>
      </c>
      <c r="K1034" s="5" t="s">
        <v>71</v>
      </c>
      <c r="L1034" s="5" t="s">
        <v>58</v>
      </c>
      <c r="M1034" s="11">
        <v>0.087499999999999994</v>
      </c>
      <c r="N1034" s="5" t="e">
        <f>IF(AND(M1034&gt;#REF!,Cartera!O1034="Guaraníes"),"Rendimiento significativo",IF(AND(M1034&gt;#REF!,Cartera!O1034="Dólares americanos"),"Rendimiento significativo","Rendimiento no significativo"))</f>
        <v>#REF!</v>
      </c>
      <c r="O1034" s="5" t="s">
        <v>51</v>
      </c>
      <c r="P1034" s="13">
        <v>1085.9589000000001</v>
      </c>
      <c r="Q1034" s="12" t="e">
        <f>IF(O1034="Guaraníes",P1034,P1034*#REF!)</f>
        <v>#REF!</v>
      </c>
      <c r="R1034" s="12">
        <f>IF(O1034="Guaraníes",P1034/#REF!,P1034)</f>
        <v>1085.9589000000001</v>
      </c>
      <c r="S1034" s="5" t="s">
        <v>52</v>
      </c>
      <c r="T1034" s="5">
        <v>4</v>
      </c>
      <c r="W1034" s="5" t="s">
        <v>300</v>
      </c>
      <c r="X1034" s="5">
        <v>0</v>
      </c>
      <c r="Y1034" s="5">
        <v>0</v>
      </c>
      <c r="Z1034" s="5">
        <v>36.198630000000001</v>
      </c>
      <c r="AA1034" s="5">
        <v>30</v>
      </c>
      <c r="AB1034" s="5">
        <v>1085.9589000000001</v>
      </c>
      <c r="AC1034" s="5" t="str">
        <f t="shared" si="52"/>
        <v>Bonos</v>
      </c>
      <c r="AD1034" s="5" t="s">
        <v>43</v>
      </c>
      <c r="AE1034" s="5">
        <f t="shared" si="50"/>
        <v>9</v>
      </c>
      <c r="AF1034" s="5">
        <f t="shared" si="51"/>
        <v>2019</v>
      </c>
    </row>
    <row r="1035" s="5" customFormat="1" ht="13">
      <c r="A1035" s="5" t="s">
        <v>44</v>
      </c>
      <c r="B1035" s="5" t="s">
        <v>44</v>
      </c>
      <c r="C1035" s="5" t="s">
        <v>288</v>
      </c>
      <c r="D1035" s="5" t="s">
        <v>21</v>
      </c>
      <c r="E1035" s="5" t="s">
        <v>44</v>
      </c>
      <c r="F1035" s="5" t="s">
        <v>68</v>
      </c>
      <c r="G1035" s="5" t="s">
        <v>47</v>
      </c>
      <c r="H1035" s="9" t="s">
        <v>293</v>
      </c>
      <c r="I1035" s="10"/>
      <c r="J1035" s="10">
        <v>43728</v>
      </c>
      <c r="K1035" s="5" t="s">
        <v>71</v>
      </c>
      <c r="L1035" s="5" t="s">
        <v>58</v>
      </c>
      <c r="M1035" s="11">
        <v>0.089999999999999997</v>
      </c>
      <c r="N1035" s="5" t="e">
        <f>IF(AND(M1035&gt;#REF!,Cartera!O1035="Guaraníes"),"Rendimiento significativo",IF(AND(M1035&gt;#REF!,Cartera!O1035="Dólares americanos"),"Rendimiento significativo","Rendimiento no significativo"))</f>
        <v>#REF!</v>
      </c>
      <c r="O1035" s="5" t="s">
        <v>51</v>
      </c>
      <c r="P1035" s="13">
        <v>186.16438500000001</v>
      </c>
      <c r="Q1035" s="12" t="e">
        <f>IF(O1035="Guaraníes",P1035,P1035*#REF!)</f>
        <v>#REF!</v>
      </c>
      <c r="R1035" s="12">
        <f>IF(O1035="Guaraníes",P1035/#REF!,P1035)</f>
        <v>186.16438500000001</v>
      </c>
      <c r="S1035" s="5" t="s">
        <v>52</v>
      </c>
      <c r="T1035" s="5">
        <v>4</v>
      </c>
      <c r="W1035" s="5" t="s">
        <v>301</v>
      </c>
      <c r="X1035" s="5">
        <v>0</v>
      </c>
      <c r="Y1035" s="5">
        <v>0</v>
      </c>
      <c r="Z1035" s="5">
        <v>37.232877000000002</v>
      </c>
      <c r="AA1035" s="5">
        <v>5</v>
      </c>
      <c r="AB1035" s="5">
        <v>186.16438500000001</v>
      </c>
      <c r="AC1035" s="5" t="str">
        <f t="shared" si="52"/>
        <v>Bonos</v>
      </c>
      <c r="AD1035" s="5" t="s">
        <v>43</v>
      </c>
      <c r="AE1035" s="5">
        <f t="shared" si="50"/>
        <v>9</v>
      </c>
      <c r="AF1035" s="5">
        <f t="shared" si="51"/>
        <v>2019</v>
      </c>
    </row>
    <row r="1036" s="5" customFormat="1" ht="13">
      <c r="A1036" s="5" t="s">
        <v>44</v>
      </c>
      <c r="B1036" s="5" t="s">
        <v>44</v>
      </c>
      <c r="C1036" s="5" t="s">
        <v>288</v>
      </c>
      <c r="D1036" s="5" t="s">
        <v>21</v>
      </c>
      <c r="E1036" s="5" t="s">
        <v>44</v>
      </c>
      <c r="F1036" s="5" t="s">
        <v>68</v>
      </c>
      <c r="G1036" s="5" t="s">
        <v>47</v>
      </c>
      <c r="H1036" s="9" t="s">
        <v>289</v>
      </c>
      <c r="I1036" s="10"/>
      <c r="J1036" s="10">
        <v>43728</v>
      </c>
      <c r="K1036" s="5" t="s">
        <v>71</v>
      </c>
      <c r="L1036" s="5" t="s">
        <v>58</v>
      </c>
      <c r="M1036" s="11">
        <v>0.10000000000000001</v>
      </c>
      <c r="N1036" s="5" t="e">
        <f>IF(AND(M1036&gt;#REF!,Cartera!O1036="Guaraníes"),"Rendimiento significativo",IF(AND(M1036&gt;#REF!,Cartera!O1036="Dólares americanos"),"Rendimiento significativo","Rendimiento no significativo"))</f>
        <v>#REF!</v>
      </c>
      <c r="O1036" s="5" t="s">
        <v>51</v>
      </c>
      <c r="P1036" s="13">
        <v>206.84931500000002</v>
      </c>
      <c r="Q1036" s="12" t="e">
        <f>IF(O1036="Guaraníes",P1036,P1036*#REF!)</f>
        <v>#REF!</v>
      </c>
      <c r="R1036" s="12">
        <f>IF(O1036="Guaraníes",P1036/#REF!,P1036)</f>
        <v>206.84931500000002</v>
      </c>
      <c r="S1036" s="5" t="s">
        <v>52</v>
      </c>
      <c r="T1036" s="5">
        <v>4</v>
      </c>
      <c r="W1036" s="5" t="s">
        <v>302</v>
      </c>
      <c r="X1036" s="5">
        <v>0</v>
      </c>
      <c r="Y1036" s="5">
        <v>0</v>
      </c>
      <c r="Z1036" s="5">
        <v>41.369863000000002</v>
      </c>
      <c r="AA1036" s="5">
        <v>5</v>
      </c>
      <c r="AB1036" s="5">
        <v>206.84931499999999</v>
      </c>
      <c r="AC1036" s="5" t="str">
        <f t="shared" si="52"/>
        <v>Bonos</v>
      </c>
      <c r="AD1036" s="5" t="s">
        <v>43</v>
      </c>
      <c r="AE1036" s="5">
        <f t="shared" si="50"/>
        <v>9</v>
      </c>
      <c r="AF1036" s="5">
        <f t="shared" si="51"/>
        <v>2019</v>
      </c>
    </row>
    <row r="1037" s="5" customFormat="1" ht="13">
      <c r="A1037" s="5" t="s">
        <v>44</v>
      </c>
      <c r="B1037" s="5" t="s">
        <v>44</v>
      </c>
      <c r="C1037" s="5" t="s">
        <v>33</v>
      </c>
      <c r="D1037" s="5" t="s">
        <v>21</v>
      </c>
      <c r="E1037" s="5" t="s">
        <v>44</v>
      </c>
      <c r="F1037" s="5" t="s">
        <v>35</v>
      </c>
      <c r="G1037" s="5" t="s">
        <v>47</v>
      </c>
      <c r="H1037" s="9" t="s">
        <v>303</v>
      </c>
      <c r="I1037" s="10"/>
      <c r="J1037" s="10">
        <v>43734</v>
      </c>
      <c r="K1037" s="5" t="s">
        <v>39</v>
      </c>
      <c r="L1037" s="5" t="s">
        <v>58</v>
      </c>
      <c r="M1037" s="11">
        <v>0.0625</v>
      </c>
      <c r="N1037" s="5" t="e">
        <f>IF(AND(M1037&gt;#REF!,Cartera!O1037="Guaraníes"),"Rendimiento significativo",IF(AND(M1037&gt;#REF!,Cartera!O1037="Dólares americanos"),"Rendimiento significativo","Rendimiento no significativo"))</f>
        <v>#REF!</v>
      </c>
      <c r="O1037" s="5" t="s">
        <v>51</v>
      </c>
      <c r="P1037" s="13">
        <v>623.28767999999991</v>
      </c>
      <c r="Q1037" s="12" t="e">
        <f>IF(O1037="Guaraníes",P1037,P1037*#REF!)</f>
        <v>#REF!</v>
      </c>
      <c r="R1037" s="12">
        <f>IF(O1037="Guaraníes",P1037/#REF!,P1037)</f>
        <v>623.28767999999991</v>
      </c>
      <c r="S1037" s="5" t="s">
        <v>52</v>
      </c>
      <c r="T1037" s="5">
        <v>4</v>
      </c>
      <c r="W1037" s="5" t="s">
        <v>218</v>
      </c>
      <c r="X1037" s="5">
        <v>0</v>
      </c>
      <c r="Y1037" s="5">
        <v>0</v>
      </c>
      <c r="Z1037" s="5">
        <v>15.582191999999999</v>
      </c>
      <c r="AA1037" s="5">
        <v>40</v>
      </c>
      <c r="AB1037" s="5">
        <v>623.28768000000002</v>
      </c>
      <c r="AC1037" s="5" t="str">
        <f t="shared" si="52"/>
        <v>Bonos</v>
      </c>
      <c r="AD1037" s="5" t="s">
        <v>43</v>
      </c>
      <c r="AE1037" s="5">
        <f t="shared" si="50"/>
        <v>9</v>
      </c>
      <c r="AF1037" s="5">
        <f t="shared" si="51"/>
        <v>2019</v>
      </c>
    </row>
    <row r="1038" s="5" customFormat="1" ht="13">
      <c r="A1038" s="5" t="s">
        <v>44</v>
      </c>
      <c r="B1038" s="5" t="s">
        <v>44</v>
      </c>
      <c r="C1038" s="5" t="s">
        <v>304</v>
      </c>
      <c r="D1038" s="5" t="s">
        <v>21</v>
      </c>
      <c r="E1038" s="5" t="s">
        <v>44</v>
      </c>
      <c r="F1038" s="5" t="s">
        <v>68</v>
      </c>
      <c r="G1038" s="5" t="s">
        <v>47</v>
      </c>
      <c r="H1038" s="9" t="s">
        <v>305</v>
      </c>
      <c r="I1038" s="10"/>
      <c r="J1038" s="10">
        <v>43734</v>
      </c>
      <c r="K1038" s="5" t="s">
        <v>39</v>
      </c>
      <c r="L1038" s="5" t="s">
        <v>58</v>
      </c>
      <c r="M1038" s="11">
        <v>0.089999999999999997</v>
      </c>
      <c r="N1038" s="5" t="e">
        <f>IF(AND(M1038&gt;#REF!,Cartera!O1038="Guaraníes"),"Rendimiento significativo",IF(AND(M1038&gt;#REF!,Cartera!O1038="Dólares americanos"),"Rendimiento significativo","Rendimiento no significativo"))</f>
        <v>#REF!</v>
      </c>
      <c r="O1038" s="5" t="s">
        <v>41</v>
      </c>
      <c r="P1038" s="12">
        <v>2243835.6164000002</v>
      </c>
      <c r="Q1038" s="12">
        <f>IF(O1038="Guaraníes",P1038,P1038*#REF!)</f>
        <v>2243835.6164000002</v>
      </c>
      <c r="R1038" s="12" t="e">
        <f>IF(O1038="Guaraníes",P1038/#REF!,P1038)</f>
        <v>#REF!</v>
      </c>
      <c r="S1038" s="5" t="s">
        <v>52</v>
      </c>
      <c r="T1038" s="5">
        <v>4</v>
      </c>
      <c r="W1038" s="5" t="s">
        <v>306</v>
      </c>
      <c r="X1038" s="5">
        <v>0</v>
      </c>
      <c r="Y1038" s="5">
        <v>0</v>
      </c>
      <c r="Z1038" s="5">
        <v>22438.356164000001</v>
      </c>
      <c r="AA1038" s="5">
        <v>100</v>
      </c>
      <c r="AB1038" s="5">
        <v>2243835.6164000002</v>
      </c>
      <c r="AC1038" s="5" t="str">
        <f t="shared" si="52"/>
        <v>Bonos</v>
      </c>
      <c r="AD1038" s="5" t="s">
        <v>43</v>
      </c>
      <c r="AE1038" s="5">
        <f t="shared" si="50"/>
        <v>9</v>
      </c>
      <c r="AF1038" s="5">
        <f t="shared" si="51"/>
        <v>2019</v>
      </c>
    </row>
    <row r="1039" s="5" customFormat="1" ht="13">
      <c r="A1039" s="5" t="s">
        <v>44</v>
      </c>
      <c r="B1039" s="5" t="s">
        <v>44</v>
      </c>
      <c r="C1039" s="5" t="s">
        <v>45</v>
      </c>
      <c r="D1039" s="5" t="s">
        <v>21</v>
      </c>
      <c r="E1039" s="5" t="s">
        <v>44</v>
      </c>
      <c r="F1039" s="5" t="s">
        <v>46</v>
      </c>
      <c r="G1039" s="5" t="s">
        <v>47</v>
      </c>
      <c r="H1039" s="9" t="s">
        <v>48</v>
      </c>
      <c r="I1039" s="10"/>
      <c r="J1039" s="10">
        <v>43766</v>
      </c>
      <c r="K1039" s="5" t="s">
        <v>49</v>
      </c>
      <c r="L1039" s="5" t="s">
        <v>50</v>
      </c>
      <c r="M1039" s="11">
        <v>0.052499999999999998</v>
      </c>
      <c r="N1039" s="5" t="e">
        <f>IF(AND(M1039&gt;#REF!,Cartera!O1039="Guaraníes"),"Rendimiento significativo",IF(AND(M1039&gt;#REF!,Cartera!O1039="Dólares americanos"),"Rendimiento significativo","Rendimiento no significativo"))</f>
        <v>#REF!</v>
      </c>
      <c r="O1039" s="5" t="s">
        <v>51</v>
      </c>
      <c r="P1039" s="13">
        <v>174.52055000000001</v>
      </c>
      <c r="Q1039" s="12" t="e">
        <f>IF(O1039="Guaraníes",P1039,P1039*#REF!)</f>
        <v>#REF!</v>
      </c>
      <c r="R1039" s="12">
        <f>IF(O1039="Guaraníes",P1039/#REF!,P1039)</f>
        <v>174.52055000000001</v>
      </c>
      <c r="S1039" s="5" t="s">
        <v>52</v>
      </c>
      <c r="T1039" s="5">
        <v>4</v>
      </c>
      <c r="W1039" s="5" t="s">
        <v>232</v>
      </c>
      <c r="X1039" s="5">
        <v>0</v>
      </c>
      <c r="Y1039" s="5">
        <v>0</v>
      </c>
      <c r="Z1039" s="5">
        <v>17.452055000000001</v>
      </c>
      <c r="AA1039" s="5">
        <v>10</v>
      </c>
      <c r="AB1039" s="5">
        <v>174.52054999999999</v>
      </c>
      <c r="AC1039" s="5" t="str">
        <f t="shared" si="52"/>
        <v>Bonos</v>
      </c>
      <c r="AD1039" s="5" t="s">
        <v>43</v>
      </c>
      <c r="AE1039" s="5">
        <f t="shared" si="50"/>
        <v>10</v>
      </c>
      <c r="AF1039" s="5">
        <f t="shared" si="51"/>
        <v>2019</v>
      </c>
    </row>
    <row r="1040" s="5" customFormat="1" ht="13">
      <c r="A1040" s="5" t="s">
        <v>44</v>
      </c>
      <c r="B1040" s="5" t="s">
        <v>44</v>
      </c>
      <c r="C1040" s="5" t="s">
        <v>99</v>
      </c>
      <c r="D1040" s="5" t="s">
        <v>21</v>
      </c>
      <c r="E1040" s="5" t="s">
        <v>44</v>
      </c>
      <c r="F1040" s="5" t="s">
        <v>100</v>
      </c>
      <c r="G1040" s="5" t="s">
        <v>47</v>
      </c>
      <c r="H1040" s="9" t="s">
        <v>101</v>
      </c>
      <c r="I1040" s="10"/>
      <c r="J1040" s="10">
        <v>43819</v>
      </c>
      <c r="K1040" s="5" t="s">
        <v>102</v>
      </c>
      <c r="L1040" s="5" t="s">
        <v>102</v>
      </c>
      <c r="M1040" s="11">
        <v>0.079000000000000001</v>
      </c>
      <c r="N1040" s="5" t="e">
        <f>IF(AND(M1040&gt;#REF!,Cartera!O1040="Guaraníes"),"Rendimiento significativo",IF(AND(M1040&gt;#REF!,Cartera!O1040="Dólares americanos"),"Rendimiento significativo","Rendimiento no significativo"))</f>
        <v>#REF!</v>
      </c>
      <c r="O1040" s="5" t="s">
        <v>41</v>
      </c>
      <c r="P1040" s="12">
        <v>1937500</v>
      </c>
      <c r="Q1040" s="12">
        <f>IF(O1040="Guaraníes",P1040,P1040*#REF!)</f>
        <v>1937500</v>
      </c>
      <c r="R1040" s="12" t="e">
        <f>IF(O1040="Guaraníes",P1040/#REF!,P1040)</f>
        <v>#REF!</v>
      </c>
      <c r="S1040" s="5" t="s">
        <v>52</v>
      </c>
      <c r="T1040" s="5">
        <v>4</v>
      </c>
      <c r="W1040" s="5" t="s">
        <v>264</v>
      </c>
      <c r="X1040" s="5">
        <v>0</v>
      </c>
      <c r="Y1040" s="5">
        <v>0</v>
      </c>
      <c r="Z1040" s="5">
        <v>38750</v>
      </c>
      <c r="AA1040" s="5">
        <v>50</v>
      </c>
      <c r="AB1040" s="5">
        <v>1937500</v>
      </c>
      <c r="AC1040" s="5" t="str">
        <f t="shared" si="52"/>
        <v>Bonos</v>
      </c>
      <c r="AD1040" s="5" t="s">
        <v>43</v>
      </c>
      <c r="AE1040" s="5">
        <f t="shared" si="50"/>
        <v>12</v>
      </c>
      <c r="AF1040" s="5">
        <f t="shared" si="51"/>
        <v>2019</v>
      </c>
    </row>
    <row r="1041" s="5" customFormat="1" ht="13">
      <c r="A1041" s="5" t="s">
        <v>44</v>
      </c>
      <c r="B1041" s="5" t="s">
        <v>44</v>
      </c>
      <c r="C1041" s="5" t="s">
        <v>33</v>
      </c>
      <c r="D1041" s="5" t="s">
        <v>21</v>
      </c>
      <c r="E1041" s="5" t="s">
        <v>44</v>
      </c>
      <c r="F1041" s="5" t="s">
        <v>35</v>
      </c>
      <c r="G1041" s="5" t="s">
        <v>47</v>
      </c>
      <c r="H1041" s="9" t="s">
        <v>303</v>
      </c>
      <c r="I1041" s="10"/>
      <c r="J1041" s="10">
        <v>43825</v>
      </c>
      <c r="K1041" s="5" t="s">
        <v>39</v>
      </c>
      <c r="L1041" s="5" t="s">
        <v>58</v>
      </c>
      <c r="M1041" s="11">
        <v>0.0625</v>
      </c>
      <c r="N1041" s="5" t="e">
        <f>IF(AND(M1041&gt;#REF!,Cartera!O1041="Guaraníes"),"Rendimiento significativo",IF(AND(M1041&gt;#REF!,Cartera!O1041="Dólares americanos"),"Rendimiento significativo","Rendimiento no significativo"))</f>
        <v>#REF!</v>
      </c>
      <c r="O1041" s="5" t="s">
        <v>51</v>
      </c>
      <c r="P1041" s="13">
        <v>623.28767999999991</v>
      </c>
      <c r="Q1041" s="12" t="e">
        <f>IF(O1041="Guaraníes",P1041,P1041*#REF!)</f>
        <v>#REF!</v>
      </c>
      <c r="R1041" s="12">
        <f>IF(O1041="Guaraníes",P1041/#REF!,P1041)</f>
        <v>623.28767999999991</v>
      </c>
      <c r="S1041" s="5" t="s">
        <v>52</v>
      </c>
      <c r="T1041" s="5">
        <v>4</v>
      </c>
      <c r="W1041" s="5" t="s">
        <v>195</v>
      </c>
      <c r="X1041" s="5">
        <v>0</v>
      </c>
      <c r="Y1041" s="5">
        <v>0</v>
      </c>
      <c r="Z1041" s="5">
        <v>15.582191999999999</v>
      </c>
      <c r="AA1041" s="5">
        <v>40</v>
      </c>
      <c r="AB1041" s="5">
        <v>623.28768000000002</v>
      </c>
      <c r="AC1041" s="5" t="str">
        <f t="shared" si="52"/>
        <v>Bonos</v>
      </c>
      <c r="AD1041" s="5" t="s">
        <v>43</v>
      </c>
      <c r="AE1041" s="5">
        <f t="shared" si="50"/>
        <v>12</v>
      </c>
      <c r="AF1041" s="5">
        <f t="shared" si="51"/>
        <v>2019</v>
      </c>
    </row>
    <row r="1042" s="5" customFormat="1" ht="13">
      <c r="A1042" s="5" t="s">
        <v>44</v>
      </c>
      <c r="B1042" s="5" t="s">
        <v>44</v>
      </c>
      <c r="C1042" s="5" t="s">
        <v>304</v>
      </c>
      <c r="D1042" s="5" t="s">
        <v>21</v>
      </c>
      <c r="E1042" s="5" t="s">
        <v>44</v>
      </c>
      <c r="F1042" s="5" t="s">
        <v>68</v>
      </c>
      <c r="G1042" s="5" t="s">
        <v>47</v>
      </c>
      <c r="H1042" s="9" t="s">
        <v>305</v>
      </c>
      <c r="I1042" s="10"/>
      <c r="J1042" s="10">
        <v>43825</v>
      </c>
      <c r="K1042" s="5" t="s">
        <v>39</v>
      </c>
      <c r="L1042" s="5" t="s">
        <v>58</v>
      </c>
      <c r="M1042" s="11">
        <v>0.089999999999999997</v>
      </c>
      <c r="N1042" s="5" t="e">
        <f>IF(AND(M1042&gt;#REF!,Cartera!O1042="Guaraníes"),"Rendimiento significativo",IF(AND(M1042&gt;#REF!,Cartera!O1042="Dólares americanos"),"Rendimiento significativo","Rendimiento no significativo"))</f>
        <v>#REF!</v>
      </c>
      <c r="O1042" s="5" t="s">
        <v>41</v>
      </c>
      <c r="P1042" s="12">
        <v>2243835.6164000002</v>
      </c>
      <c r="Q1042" s="12">
        <f>IF(O1042="Guaraníes",P1042,P1042*#REF!)</f>
        <v>2243835.6164000002</v>
      </c>
      <c r="R1042" s="12" t="e">
        <f>IF(O1042="Guaraníes",P1042/#REF!,P1042)</f>
        <v>#REF!</v>
      </c>
      <c r="S1042" s="5" t="s">
        <v>52</v>
      </c>
      <c r="T1042" s="5">
        <v>4</v>
      </c>
      <c r="W1042" s="5" t="s">
        <v>307</v>
      </c>
      <c r="X1042" s="5">
        <v>0</v>
      </c>
      <c r="Y1042" s="5">
        <v>0</v>
      </c>
      <c r="Z1042" s="5">
        <v>22438.356164000001</v>
      </c>
      <c r="AA1042" s="5">
        <v>100</v>
      </c>
      <c r="AB1042" s="5">
        <v>2243835.6164000002</v>
      </c>
      <c r="AC1042" s="5" t="str">
        <f t="shared" si="52"/>
        <v>Bonos</v>
      </c>
      <c r="AD1042" s="5" t="s">
        <v>43</v>
      </c>
      <c r="AE1042" s="5">
        <f t="shared" ref="AE1042:AE1105" si="53">IFERROR((MONTH(J1042)),0)</f>
        <v>12</v>
      </c>
      <c r="AF1042" s="5">
        <f t="shared" ref="AF1042:AF1105" si="54">IFERROR((YEAR(J1042)),0)</f>
        <v>2019</v>
      </c>
    </row>
    <row r="1043" s="5" customFormat="1" ht="13">
      <c r="A1043" s="5" t="s">
        <v>44</v>
      </c>
      <c r="B1043" s="5" t="s">
        <v>44</v>
      </c>
      <c r="C1043" s="5" t="s">
        <v>45</v>
      </c>
      <c r="D1043" s="5" t="s">
        <v>21</v>
      </c>
      <c r="E1043" s="5" t="s">
        <v>44</v>
      </c>
      <c r="F1043" s="5" t="s">
        <v>46</v>
      </c>
      <c r="G1043" s="5" t="s">
        <v>47</v>
      </c>
      <c r="H1043" s="9" t="s">
        <v>48</v>
      </c>
      <c r="I1043" s="10"/>
      <c r="J1043" s="10">
        <v>43857</v>
      </c>
      <c r="K1043" s="5" t="s">
        <v>49</v>
      </c>
      <c r="L1043" s="5" t="s">
        <v>50</v>
      </c>
      <c r="M1043" s="11">
        <v>0.052499999999999998</v>
      </c>
      <c r="N1043" s="5" t="e">
        <f>IF(AND(M1043&gt;#REF!,Cartera!O1043="Guaraníes"),"Rendimiento significativo",IF(AND(M1043&gt;#REF!,Cartera!O1043="Dólares americanos"),"Rendimiento significativo","Rendimiento no significativo"))</f>
        <v>#REF!</v>
      </c>
      <c r="O1043" s="5" t="s">
        <v>51</v>
      </c>
      <c r="P1043" s="13">
        <v>174.52055000000001</v>
      </c>
      <c r="Q1043" s="12" t="e">
        <f>IF(O1043="Guaraníes",P1043,P1043*#REF!)</f>
        <v>#REF!</v>
      </c>
      <c r="R1043" s="12">
        <f>IF(O1043="Guaraníes",P1043/#REF!,P1043)</f>
        <v>174.52055000000001</v>
      </c>
      <c r="S1043" s="5" t="s">
        <v>52</v>
      </c>
      <c r="T1043" s="5">
        <v>4</v>
      </c>
      <c r="W1043" s="5" t="s">
        <v>97</v>
      </c>
      <c r="X1043" s="5">
        <v>0</v>
      </c>
      <c r="Y1043" s="5">
        <v>0</v>
      </c>
      <c r="Z1043" s="5">
        <v>17.452055000000001</v>
      </c>
      <c r="AA1043" s="5">
        <v>10</v>
      </c>
      <c r="AB1043" s="5">
        <v>174.52054999999999</v>
      </c>
      <c r="AC1043" s="5" t="str">
        <f t="shared" si="52"/>
        <v>Bonos</v>
      </c>
      <c r="AD1043" s="5" t="s">
        <v>43</v>
      </c>
      <c r="AE1043" s="5">
        <f t="shared" si="53"/>
        <v>1</v>
      </c>
      <c r="AF1043" s="5">
        <f t="shared" si="54"/>
        <v>2020</v>
      </c>
    </row>
    <row r="1044" s="5" customFormat="1" ht="13">
      <c r="A1044" s="5" t="s">
        <v>44</v>
      </c>
      <c r="B1044" s="5" t="s">
        <v>44</v>
      </c>
      <c r="C1044" s="5" t="s">
        <v>99</v>
      </c>
      <c r="D1044" s="5" t="s">
        <v>21</v>
      </c>
      <c r="E1044" s="5" t="s">
        <v>44</v>
      </c>
      <c r="F1044" s="5" t="s">
        <v>100</v>
      </c>
      <c r="G1044" s="5" t="s">
        <v>47</v>
      </c>
      <c r="H1044" s="9" t="s">
        <v>238</v>
      </c>
      <c r="I1044" s="10"/>
      <c r="J1044" s="10">
        <v>43863</v>
      </c>
      <c r="K1044" s="5" t="s">
        <v>102</v>
      </c>
      <c r="L1044" s="5" t="s">
        <v>102</v>
      </c>
      <c r="M1044" s="11">
        <v>0.081000000000000003</v>
      </c>
      <c r="N1044" s="5" t="e">
        <f>IF(AND(M1044&gt;#REF!,Cartera!O1044="Guaraníes"),"Rendimiento significativo",IF(AND(M1044&gt;#REF!,Cartera!O1044="Dólares americanos"),"Rendimiento significativo","Rendimiento no significativo"))</f>
        <v>#REF!</v>
      </c>
      <c r="O1044" s="5" t="s">
        <v>41</v>
      </c>
      <c r="P1044" s="12">
        <v>6124931.5067999996</v>
      </c>
      <c r="Q1044" s="12">
        <f>IF(O1044="Guaraníes",P1044,P1044*#REF!)</f>
        <v>6124931.5067999996</v>
      </c>
      <c r="R1044" s="12" t="e">
        <f>IF(O1044="Guaraníes",P1044/#REF!,P1044)</f>
        <v>#REF!</v>
      </c>
      <c r="S1044" s="5" t="s">
        <v>52</v>
      </c>
      <c r="T1044" s="5">
        <v>4</v>
      </c>
      <c r="W1044" s="5" t="s">
        <v>302</v>
      </c>
      <c r="X1044" s="5">
        <v>0</v>
      </c>
      <c r="Y1044" s="5">
        <v>0</v>
      </c>
      <c r="Z1044" s="5">
        <v>40832.876711999997</v>
      </c>
      <c r="AA1044" s="5">
        <v>150</v>
      </c>
      <c r="AB1044" s="5">
        <v>6124931.5067999996</v>
      </c>
      <c r="AC1044" s="5" t="str">
        <f t="shared" si="52"/>
        <v>Bonos</v>
      </c>
      <c r="AD1044" s="5" t="s">
        <v>43</v>
      </c>
      <c r="AE1044" s="5">
        <f t="shared" si="53"/>
        <v>2</v>
      </c>
      <c r="AF1044" s="5">
        <f t="shared" si="54"/>
        <v>2020</v>
      </c>
    </row>
    <row r="1045" s="5" customFormat="1" ht="13">
      <c r="A1045" s="5" t="s">
        <v>44</v>
      </c>
      <c r="B1045" s="5" t="s">
        <v>44</v>
      </c>
      <c r="C1045" s="5" t="s">
        <v>33</v>
      </c>
      <c r="D1045" s="5" t="s">
        <v>21</v>
      </c>
      <c r="E1045" s="5" t="s">
        <v>44</v>
      </c>
      <c r="F1045" s="5" t="s">
        <v>35</v>
      </c>
      <c r="G1045" s="5" t="s">
        <v>47</v>
      </c>
      <c r="H1045" s="9" t="s">
        <v>303</v>
      </c>
      <c r="I1045" s="10"/>
      <c r="J1045" s="10">
        <v>43916</v>
      </c>
      <c r="K1045" s="5" t="s">
        <v>39</v>
      </c>
      <c r="L1045" s="5" t="s">
        <v>58</v>
      </c>
      <c r="M1045" s="11">
        <v>0.0625</v>
      </c>
      <c r="N1045" s="5" t="e">
        <f>IF(AND(M1045&gt;#REF!,Cartera!O1045="Guaraníes"),"Rendimiento significativo",IF(AND(M1045&gt;#REF!,Cartera!O1045="Dólares americanos"),"Rendimiento significativo","Rendimiento no significativo"))</f>
        <v>#REF!</v>
      </c>
      <c r="O1045" s="5" t="s">
        <v>51</v>
      </c>
      <c r="P1045" s="13">
        <v>623.28767999999991</v>
      </c>
      <c r="Q1045" s="12" t="e">
        <f>IF(O1045="Guaraníes",P1045,P1045*#REF!)</f>
        <v>#REF!</v>
      </c>
      <c r="R1045" s="12">
        <f>IF(O1045="Guaraníes",P1045/#REF!,P1045)</f>
        <v>623.28767999999991</v>
      </c>
      <c r="S1045" s="5" t="s">
        <v>52</v>
      </c>
      <c r="T1045" s="5">
        <v>4</v>
      </c>
      <c r="W1045" s="5" t="s">
        <v>279</v>
      </c>
      <c r="X1045" s="5">
        <v>0</v>
      </c>
      <c r="Y1045" s="5">
        <v>0</v>
      </c>
      <c r="Z1045" s="5">
        <v>15.582191999999999</v>
      </c>
      <c r="AA1045" s="5">
        <v>40</v>
      </c>
      <c r="AB1045" s="5">
        <v>623.28768000000002</v>
      </c>
      <c r="AC1045" s="5" t="str">
        <f t="shared" si="52"/>
        <v>Bonos</v>
      </c>
      <c r="AD1045" s="5" t="s">
        <v>43</v>
      </c>
      <c r="AE1045" s="5">
        <f t="shared" si="53"/>
        <v>3</v>
      </c>
      <c r="AF1045" s="5">
        <f t="shared" si="54"/>
        <v>2020</v>
      </c>
    </row>
    <row r="1046" s="5" customFormat="1" ht="13">
      <c r="A1046" s="5" t="s">
        <v>44</v>
      </c>
      <c r="B1046" s="5" t="s">
        <v>44</v>
      </c>
      <c r="C1046" s="5" t="s">
        <v>304</v>
      </c>
      <c r="D1046" s="5" t="s">
        <v>21</v>
      </c>
      <c r="E1046" s="5" t="s">
        <v>44</v>
      </c>
      <c r="F1046" s="5" t="s">
        <v>68</v>
      </c>
      <c r="G1046" s="5" t="s">
        <v>47</v>
      </c>
      <c r="H1046" s="9" t="s">
        <v>305</v>
      </c>
      <c r="I1046" s="10"/>
      <c r="J1046" s="10">
        <v>43916</v>
      </c>
      <c r="K1046" s="5" t="s">
        <v>39</v>
      </c>
      <c r="L1046" s="5" t="s">
        <v>58</v>
      </c>
      <c r="M1046" s="11">
        <v>0.089999999999999997</v>
      </c>
      <c r="N1046" s="5" t="e">
        <f>IF(AND(M1046&gt;#REF!,Cartera!O1046="Guaraníes"),"Rendimiento significativo",IF(AND(M1046&gt;#REF!,Cartera!O1046="Dólares americanos"),"Rendimiento significativo","Rendimiento no significativo"))</f>
        <v>#REF!</v>
      </c>
      <c r="O1046" s="5" t="s">
        <v>41</v>
      </c>
      <c r="P1046" s="12">
        <v>2243835.6164000002</v>
      </c>
      <c r="Q1046" s="12">
        <f>IF(O1046="Guaraníes",P1046,P1046*#REF!)</f>
        <v>2243835.6164000002</v>
      </c>
      <c r="R1046" s="12" t="e">
        <f>IF(O1046="Guaraníes",P1046/#REF!,P1046)</f>
        <v>#REF!</v>
      </c>
      <c r="S1046" s="5" t="s">
        <v>52</v>
      </c>
      <c r="T1046" s="5">
        <v>4</v>
      </c>
      <c r="W1046" s="5" t="s">
        <v>308</v>
      </c>
      <c r="X1046" s="5">
        <v>0</v>
      </c>
      <c r="Y1046" s="5">
        <v>0</v>
      </c>
      <c r="Z1046" s="5">
        <v>22438.356164000001</v>
      </c>
      <c r="AA1046" s="5">
        <v>100</v>
      </c>
      <c r="AB1046" s="5">
        <v>2243835.6164000002</v>
      </c>
      <c r="AC1046" s="5" t="str">
        <f t="shared" si="52"/>
        <v>Bonos</v>
      </c>
      <c r="AD1046" s="5" t="s">
        <v>43</v>
      </c>
      <c r="AE1046" s="5">
        <f t="shared" si="53"/>
        <v>3</v>
      </c>
      <c r="AF1046" s="5">
        <f t="shared" si="54"/>
        <v>2020</v>
      </c>
    </row>
    <row r="1047" s="5" customFormat="1" ht="13">
      <c r="A1047" s="5" t="s">
        <v>44</v>
      </c>
      <c r="B1047" s="5" t="s">
        <v>44</v>
      </c>
      <c r="C1047" s="5" t="s">
        <v>288</v>
      </c>
      <c r="D1047" s="5" t="s">
        <v>21</v>
      </c>
      <c r="E1047" s="5" t="s">
        <v>44</v>
      </c>
      <c r="F1047" s="5" t="s">
        <v>68</v>
      </c>
      <c r="G1047" s="5" t="s">
        <v>47</v>
      </c>
      <c r="H1047" s="9" t="s">
        <v>290</v>
      </c>
      <c r="I1047" s="10"/>
      <c r="J1047" s="10">
        <v>43942</v>
      </c>
      <c r="K1047" s="5" t="s">
        <v>71</v>
      </c>
      <c r="L1047" s="5" t="s">
        <v>58</v>
      </c>
      <c r="M1047" s="11">
        <v>0.087499999999999994</v>
      </c>
      <c r="N1047" s="5" t="e">
        <f>IF(AND(M1047&gt;#REF!,Cartera!O1047="Guaraníes"),"Rendimiento significativo",IF(AND(M1047&gt;#REF!,Cartera!O1047="Dólares americanos"),"Rendimiento significativo","Rendimiento no significativo"))</f>
        <v>#REF!</v>
      </c>
      <c r="O1047" s="5" t="s">
        <v>51</v>
      </c>
      <c r="P1047" s="13">
        <v>1539.0410999999999</v>
      </c>
      <c r="Q1047" s="12" t="e">
        <f>IF(O1047="Guaraníes",P1047,P1047*#REF!)</f>
        <v>#REF!</v>
      </c>
      <c r="R1047" s="12">
        <f>IF(O1047="Guaraníes",P1047/#REF!,P1047)</f>
        <v>1539.0410999999999</v>
      </c>
      <c r="S1047" s="5" t="s">
        <v>52</v>
      </c>
      <c r="T1047" s="5">
        <v>4</v>
      </c>
      <c r="W1047" s="5" t="s">
        <v>309</v>
      </c>
      <c r="X1047" s="5">
        <v>0</v>
      </c>
      <c r="Y1047" s="5">
        <v>0</v>
      </c>
      <c r="Z1047" s="5">
        <v>51.301369999999999</v>
      </c>
      <c r="AA1047" s="5">
        <v>30</v>
      </c>
      <c r="AB1047" s="5">
        <v>1539.0410999999999</v>
      </c>
      <c r="AC1047" s="5" t="str">
        <f t="shared" si="52"/>
        <v>Bonos</v>
      </c>
      <c r="AD1047" s="5" t="s">
        <v>43</v>
      </c>
      <c r="AE1047" s="5">
        <f t="shared" si="53"/>
        <v>4</v>
      </c>
      <c r="AF1047" s="5">
        <f t="shared" si="54"/>
        <v>2020</v>
      </c>
    </row>
    <row r="1048" s="5" customFormat="1" ht="13">
      <c r="A1048" s="5" t="s">
        <v>44</v>
      </c>
      <c r="B1048" s="5" t="s">
        <v>44</v>
      </c>
      <c r="C1048" s="5" t="s">
        <v>288</v>
      </c>
      <c r="D1048" s="5" t="s">
        <v>21</v>
      </c>
      <c r="E1048" s="5" t="s">
        <v>44</v>
      </c>
      <c r="F1048" s="5" t="s">
        <v>68</v>
      </c>
      <c r="G1048" s="5" t="s">
        <v>47</v>
      </c>
      <c r="H1048" s="9" t="s">
        <v>293</v>
      </c>
      <c r="I1048" s="10"/>
      <c r="J1048" s="10">
        <v>43942</v>
      </c>
      <c r="K1048" s="5" t="s">
        <v>71</v>
      </c>
      <c r="L1048" s="5" t="s">
        <v>58</v>
      </c>
      <c r="M1048" s="11">
        <v>0.089999999999999997</v>
      </c>
      <c r="N1048" s="5" t="e">
        <f>IF(AND(M1048&gt;#REF!,Cartera!O1048="Guaraníes"),"Rendimiento significativo",IF(AND(M1048&gt;#REF!,Cartera!O1048="Dólares americanos"),"Rendimiento significativo","Rendimiento no significativo"))</f>
        <v>#REF!</v>
      </c>
      <c r="O1048" s="5" t="s">
        <v>51</v>
      </c>
      <c r="P1048" s="13">
        <v>263.83561499999996</v>
      </c>
      <c r="Q1048" s="12" t="e">
        <f>IF(O1048="Guaraníes",P1048,P1048*#REF!)</f>
        <v>#REF!</v>
      </c>
      <c r="R1048" s="12">
        <f>IF(O1048="Guaraníes",P1048/#REF!,P1048)</f>
        <v>263.83561499999996</v>
      </c>
      <c r="S1048" s="5" t="s">
        <v>52</v>
      </c>
      <c r="T1048" s="5">
        <v>4</v>
      </c>
      <c r="W1048" s="5" t="s">
        <v>310</v>
      </c>
      <c r="X1048" s="5">
        <v>0</v>
      </c>
      <c r="Y1048" s="5">
        <v>0</v>
      </c>
      <c r="Z1048" s="5">
        <v>52.767122999999998</v>
      </c>
      <c r="AA1048" s="5">
        <v>5</v>
      </c>
      <c r="AB1048" s="5">
        <v>263.83561500000002</v>
      </c>
      <c r="AC1048" s="5" t="str">
        <f t="shared" si="52"/>
        <v>Bonos</v>
      </c>
      <c r="AD1048" s="5" t="s">
        <v>43</v>
      </c>
      <c r="AE1048" s="5">
        <f t="shared" si="53"/>
        <v>4</v>
      </c>
      <c r="AF1048" s="5">
        <f t="shared" si="54"/>
        <v>2020</v>
      </c>
    </row>
    <row r="1049" s="5" customFormat="1" ht="13">
      <c r="A1049" s="5" t="s">
        <v>44</v>
      </c>
      <c r="B1049" s="5" t="s">
        <v>44</v>
      </c>
      <c r="C1049" s="5" t="s">
        <v>288</v>
      </c>
      <c r="D1049" s="5" t="s">
        <v>21</v>
      </c>
      <c r="E1049" s="5" t="s">
        <v>44</v>
      </c>
      <c r="F1049" s="5" t="s">
        <v>68</v>
      </c>
      <c r="G1049" s="5" t="s">
        <v>47</v>
      </c>
      <c r="H1049" s="9" t="s">
        <v>289</v>
      </c>
      <c r="I1049" s="10"/>
      <c r="J1049" s="10">
        <v>43942</v>
      </c>
      <c r="K1049" s="5" t="s">
        <v>71</v>
      </c>
      <c r="L1049" s="5" t="s">
        <v>58</v>
      </c>
      <c r="M1049" s="11">
        <v>0.10000000000000001</v>
      </c>
      <c r="N1049" s="5" t="e">
        <f>IF(AND(M1049&gt;#REF!,Cartera!O1049="Guaraníes"),"Rendimiento significativo",IF(AND(M1049&gt;#REF!,Cartera!O1049="Dólares americanos"),"Rendimiento significativo","Rendimiento no significativo"))</f>
        <v>#REF!</v>
      </c>
      <c r="O1049" s="5" t="s">
        <v>51</v>
      </c>
      <c r="P1049" s="13">
        <v>293.15068500000001</v>
      </c>
      <c r="Q1049" s="12" t="e">
        <f>IF(O1049="Guaraníes",P1049,P1049*#REF!)</f>
        <v>#REF!</v>
      </c>
      <c r="R1049" s="12">
        <f>IF(O1049="Guaraníes",P1049/#REF!,P1049)</f>
        <v>293.15068500000001</v>
      </c>
      <c r="S1049" s="5" t="s">
        <v>52</v>
      </c>
      <c r="T1049" s="5">
        <v>4</v>
      </c>
      <c r="W1049" s="5" t="s">
        <v>311</v>
      </c>
      <c r="X1049" s="5">
        <v>0</v>
      </c>
      <c r="Y1049" s="5">
        <v>0</v>
      </c>
      <c r="Z1049" s="5">
        <v>58.630136999999998</v>
      </c>
      <c r="AA1049" s="5">
        <v>5</v>
      </c>
      <c r="AB1049" s="5">
        <v>293.15068500000001</v>
      </c>
      <c r="AC1049" s="5" t="str">
        <f t="shared" si="52"/>
        <v>Bonos</v>
      </c>
      <c r="AD1049" s="5" t="s">
        <v>43</v>
      </c>
      <c r="AE1049" s="5">
        <f t="shared" si="53"/>
        <v>4</v>
      </c>
      <c r="AF1049" s="5">
        <f t="shared" si="54"/>
        <v>2020</v>
      </c>
    </row>
    <row r="1050" s="5" customFormat="1" ht="13">
      <c r="A1050" s="5" t="s">
        <v>44</v>
      </c>
      <c r="B1050" s="5" t="s">
        <v>44</v>
      </c>
      <c r="C1050" s="5" t="s">
        <v>45</v>
      </c>
      <c r="D1050" s="5" t="s">
        <v>21</v>
      </c>
      <c r="E1050" s="5" t="s">
        <v>44</v>
      </c>
      <c r="F1050" s="5" t="s">
        <v>46</v>
      </c>
      <c r="G1050" s="5" t="s">
        <v>47</v>
      </c>
      <c r="H1050" s="9" t="s">
        <v>48</v>
      </c>
      <c r="I1050" s="10"/>
      <c r="J1050" s="10">
        <v>43948</v>
      </c>
      <c r="K1050" s="5" t="s">
        <v>49</v>
      </c>
      <c r="L1050" s="5" t="s">
        <v>50</v>
      </c>
      <c r="M1050" s="11">
        <v>0.052499999999999998</v>
      </c>
      <c r="N1050" s="5" t="e">
        <f>IF(AND(M1050&gt;#REF!,Cartera!O1050="Guaraníes"),"Rendimiento significativo",IF(AND(M1050&gt;#REF!,Cartera!O1050="Dólares americanos"),"Rendimiento significativo","Rendimiento no significativo"))</f>
        <v>#REF!</v>
      </c>
      <c r="O1050" s="5" t="s">
        <v>51</v>
      </c>
      <c r="P1050" s="13">
        <v>174.52055000000001</v>
      </c>
      <c r="Q1050" s="12" t="e">
        <f>IF(O1050="Guaraníes",P1050,P1050*#REF!)</f>
        <v>#REF!</v>
      </c>
      <c r="R1050" s="12">
        <f>IF(O1050="Guaraníes",P1050/#REF!,P1050)</f>
        <v>174.52055000000001</v>
      </c>
      <c r="S1050" s="5" t="s">
        <v>52</v>
      </c>
      <c r="T1050" s="5">
        <v>4</v>
      </c>
      <c r="W1050" s="5" t="s">
        <v>312</v>
      </c>
      <c r="X1050" s="5">
        <v>0</v>
      </c>
      <c r="Y1050" s="5">
        <v>0</v>
      </c>
      <c r="Z1050" s="5">
        <v>17.452055000000001</v>
      </c>
      <c r="AA1050" s="5">
        <v>10</v>
      </c>
      <c r="AB1050" s="5">
        <v>174.52054999999999</v>
      </c>
      <c r="AC1050" s="5" t="str">
        <f t="shared" si="52"/>
        <v>Bonos</v>
      </c>
      <c r="AD1050" s="5" t="s">
        <v>43</v>
      </c>
      <c r="AE1050" s="5">
        <f t="shared" si="53"/>
        <v>4</v>
      </c>
      <c r="AF1050" s="5">
        <f t="shared" si="54"/>
        <v>2020</v>
      </c>
    </row>
    <row r="1051" s="5" customFormat="1" ht="13">
      <c r="A1051" s="5" t="s">
        <v>44</v>
      </c>
      <c r="B1051" s="5" t="s">
        <v>44</v>
      </c>
      <c r="C1051" s="5" t="s">
        <v>99</v>
      </c>
      <c r="D1051" s="5" t="s">
        <v>21</v>
      </c>
      <c r="E1051" s="5" t="s">
        <v>44</v>
      </c>
      <c r="F1051" s="5" t="s">
        <v>100</v>
      </c>
      <c r="G1051" s="5" t="s">
        <v>47</v>
      </c>
      <c r="H1051" s="9" t="s">
        <v>101</v>
      </c>
      <c r="I1051" s="10"/>
      <c r="J1051" s="10">
        <v>44002</v>
      </c>
      <c r="K1051" s="5" t="s">
        <v>102</v>
      </c>
      <c r="L1051" s="5" t="s">
        <v>102</v>
      </c>
      <c r="M1051" s="11">
        <v>0.079000000000000001</v>
      </c>
      <c r="N1051" s="5" t="e">
        <f>IF(AND(M1051&gt;#REF!,Cartera!O1051="Guaraníes"),"Rendimiento significativo",IF(AND(M1051&gt;#REF!,Cartera!O1051="Dólares americanos"),"Rendimiento significativo","Rendimiento no significativo"))</f>
        <v>#REF!</v>
      </c>
      <c r="O1051" s="5" t="s">
        <v>41</v>
      </c>
      <c r="P1051" s="12">
        <v>1937500</v>
      </c>
      <c r="Q1051" s="12">
        <f>IF(O1051="Guaraníes",P1051,P1051*#REF!)</f>
        <v>1937500</v>
      </c>
      <c r="R1051" s="12" t="e">
        <f>IF(O1051="Guaraníes",P1051/#REF!,P1051)</f>
        <v>#REF!</v>
      </c>
      <c r="S1051" s="5" t="s">
        <v>52</v>
      </c>
      <c r="T1051" s="5">
        <v>4</v>
      </c>
      <c r="W1051" s="5" t="s">
        <v>275</v>
      </c>
      <c r="X1051" s="5">
        <v>0</v>
      </c>
      <c r="Y1051" s="5">
        <v>0</v>
      </c>
      <c r="Z1051" s="5">
        <v>38750</v>
      </c>
      <c r="AA1051" s="5">
        <v>50</v>
      </c>
      <c r="AB1051" s="5">
        <v>1937500</v>
      </c>
      <c r="AC1051" s="5" t="str">
        <f t="shared" si="52"/>
        <v>Bonos</v>
      </c>
      <c r="AD1051" s="5" t="s">
        <v>43</v>
      </c>
      <c r="AE1051" s="5">
        <f t="shared" si="53"/>
        <v>6</v>
      </c>
      <c r="AF1051" s="5">
        <f t="shared" si="54"/>
        <v>2020</v>
      </c>
    </row>
    <row r="1052" s="5" customFormat="1" ht="13">
      <c r="A1052" s="5" t="s">
        <v>44</v>
      </c>
      <c r="B1052" s="5" t="s">
        <v>44</v>
      </c>
      <c r="C1052" s="5" t="s">
        <v>33</v>
      </c>
      <c r="D1052" s="5" t="s">
        <v>21</v>
      </c>
      <c r="E1052" s="5" t="s">
        <v>44</v>
      </c>
      <c r="F1052" s="5" t="s">
        <v>35</v>
      </c>
      <c r="G1052" s="5" t="s">
        <v>47</v>
      </c>
      <c r="H1052" s="9" t="s">
        <v>303</v>
      </c>
      <c r="I1052" s="10"/>
      <c r="J1052" s="10">
        <v>44007</v>
      </c>
      <c r="K1052" s="5" t="s">
        <v>39</v>
      </c>
      <c r="L1052" s="5" t="s">
        <v>58</v>
      </c>
      <c r="M1052" s="11">
        <v>0.0625</v>
      </c>
      <c r="N1052" s="5" t="e">
        <f>IF(AND(M1052&gt;#REF!,Cartera!O1052="Guaraníes"),"Rendimiento significativo",IF(AND(M1052&gt;#REF!,Cartera!O1052="Dólares americanos"),"Rendimiento significativo","Rendimiento no significativo"))</f>
        <v>#REF!</v>
      </c>
      <c r="O1052" s="5" t="s">
        <v>51</v>
      </c>
      <c r="P1052" s="13">
        <v>623.28767999999991</v>
      </c>
      <c r="Q1052" s="12" t="e">
        <f>IF(O1052="Guaraníes",P1052,P1052*#REF!)</f>
        <v>#REF!</v>
      </c>
      <c r="R1052" s="12">
        <f>IF(O1052="Guaraníes",P1052/#REF!,P1052)</f>
        <v>623.28767999999991</v>
      </c>
      <c r="S1052" s="5" t="s">
        <v>52</v>
      </c>
      <c r="T1052" s="5">
        <v>4</v>
      </c>
      <c r="W1052" s="5" t="s">
        <v>313</v>
      </c>
      <c r="X1052" s="5">
        <v>0</v>
      </c>
      <c r="Y1052" s="5">
        <v>0</v>
      </c>
      <c r="Z1052" s="5">
        <v>15.582191999999999</v>
      </c>
      <c r="AA1052" s="5">
        <v>40</v>
      </c>
      <c r="AB1052" s="5">
        <v>623.28768000000002</v>
      </c>
      <c r="AC1052" s="5" t="str">
        <f t="shared" si="52"/>
        <v>Bonos</v>
      </c>
      <c r="AD1052" s="5" t="s">
        <v>43</v>
      </c>
      <c r="AE1052" s="5">
        <f t="shared" si="53"/>
        <v>6</v>
      </c>
      <c r="AF1052" s="5">
        <f t="shared" si="54"/>
        <v>2020</v>
      </c>
    </row>
    <row r="1053" s="5" customFormat="1" ht="13">
      <c r="A1053" s="5" t="s">
        <v>44</v>
      </c>
      <c r="B1053" s="5" t="s">
        <v>44</v>
      </c>
      <c r="C1053" s="5" t="s">
        <v>304</v>
      </c>
      <c r="D1053" s="5" t="s">
        <v>21</v>
      </c>
      <c r="E1053" s="5" t="s">
        <v>44</v>
      </c>
      <c r="F1053" s="5" t="s">
        <v>68</v>
      </c>
      <c r="G1053" s="5" t="s">
        <v>47</v>
      </c>
      <c r="H1053" s="9" t="s">
        <v>305</v>
      </c>
      <c r="I1053" s="10"/>
      <c r="J1053" s="10">
        <v>44007</v>
      </c>
      <c r="K1053" s="5" t="s">
        <v>39</v>
      </c>
      <c r="L1053" s="5" t="s">
        <v>58</v>
      </c>
      <c r="M1053" s="11">
        <v>0.089999999999999997</v>
      </c>
      <c r="N1053" s="5" t="e">
        <f>IF(AND(M1053&gt;#REF!,Cartera!O1053="Guaraníes"),"Rendimiento significativo",IF(AND(M1053&gt;#REF!,Cartera!O1053="Dólares americanos"),"Rendimiento significativo","Rendimiento no significativo"))</f>
        <v>#REF!</v>
      </c>
      <c r="O1053" s="5" t="s">
        <v>41</v>
      </c>
      <c r="P1053" s="12">
        <v>2243835.6164000002</v>
      </c>
      <c r="Q1053" s="12">
        <f>IF(O1053="Guaraníes",P1053,P1053*#REF!)</f>
        <v>2243835.6164000002</v>
      </c>
      <c r="R1053" s="12" t="e">
        <f>IF(O1053="Guaraníes",P1053/#REF!,P1053)</f>
        <v>#REF!</v>
      </c>
      <c r="S1053" s="5" t="s">
        <v>52</v>
      </c>
      <c r="T1053" s="5">
        <v>4</v>
      </c>
      <c r="W1053" s="5" t="s">
        <v>314</v>
      </c>
      <c r="X1053" s="5">
        <v>0</v>
      </c>
      <c r="Y1053" s="5">
        <v>0</v>
      </c>
      <c r="Z1053" s="5">
        <v>22438.356164000001</v>
      </c>
      <c r="AA1053" s="5">
        <v>100</v>
      </c>
      <c r="AB1053" s="5">
        <v>2243835.6164000002</v>
      </c>
      <c r="AC1053" s="5" t="str">
        <f t="shared" si="52"/>
        <v>Bonos</v>
      </c>
      <c r="AD1053" s="5" t="s">
        <v>43</v>
      </c>
      <c r="AE1053" s="5">
        <f t="shared" si="53"/>
        <v>6</v>
      </c>
      <c r="AF1053" s="5">
        <f t="shared" si="54"/>
        <v>2020</v>
      </c>
    </row>
    <row r="1054" s="5" customFormat="1" ht="13">
      <c r="A1054" s="5" t="s">
        <v>44</v>
      </c>
      <c r="B1054" s="5" t="s">
        <v>44</v>
      </c>
      <c r="C1054" s="5" t="s">
        <v>45</v>
      </c>
      <c r="D1054" s="5" t="s">
        <v>21</v>
      </c>
      <c r="E1054" s="5" t="s">
        <v>44</v>
      </c>
      <c r="F1054" s="5" t="s">
        <v>46</v>
      </c>
      <c r="G1054" s="5" t="s">
        <v>47</v>
      </c>
      <c r="H1054" s="9" t="s">
        <v>48</v>
      </c>
      <c r="I1054" s="10"/>
      <c r="J1054" s="10">
        <v>44039</v>
      </c>
      <c r="K1054" s="5" t="s">
        <v>49</v>
      </c>
      <c r="L1054" s="5" t="s">
        <v>50</v>
      </c>
      <c r="M1054" s="11">
        <v>0.052499999999999998</v>
      </c>
      <c r="N1054" s="5" t="e">
        <f>IF(AND(M1054&gt;#REF!,Cartera!O1054="Guaraníes"),"Rendimiento significativo",IF(AND(M1054&gt;#REF!,Cartera!O1054="Dólares americanos"),"Rendimiento significativo","Rendimiento no significativo"))</f>
        <v>#REF!</v>
      </c>
      <c r="O1054" s="5" t="s">
        <v>51</v>
      </c>
      <c r="P1054" s="13">
        <v>174.52055000000001</v>
      </c>
      <c r="Q1054" s="12" t="e">
        <f>IF(O1054="Guaraníes",P1054,P1054*#REF!)</f>
        <v>#REF!</v>
      </c>
      <c r="R1054" s="12">
        <f>IF(O1054="Guaraníes",P1054/#REF!,P1054)</f>
        <v>174.52055000000001</v>
      </c>
      <c r="S1054" s="5" t="s">
        <v>52</v>
      </c>
      <c r="T1054" s="5">
        <v>4</v>
      </c>
      <c r="W1054" s="5" t="s">
        <v>315</v>
      </c>
      <c r="X1054" s="5">
        <v>0</v>
      </c>
      <c r="Y1054" s="5">
        <v>0</v>
      </c>
      <c r="Z1054" s="5">
        <v>17.452055000000001</v>
      </c>
      <c r="AA1054" s="5">
        <v>10</v>
      </c>
      <c r="AB1054" s="5">
        <v>174.52054999999999</v>
      </c>
      <c r="AC1054" s="5" t="str">
        <f t="shared" si="52"/>
        <v>Bonos</v>
      </c>
      <c r="AD1054" s="5" t="s">
        <v>43</v>
      </c>
      <c r="AE1054" s="5">
        <f t="shared" si="53"/>
        <v>7</v>
      </c>
      <c r="AF1054" s="5">
        <f t="shared" si="54"/>
        <v>2020</v>
      </c>
    </row>
    <row r="1055" s="5" customFormat="1" ht="13">
      <c r="A1055" s="5" t="s">
        <v>44</v>
      </c>
      <c r="B1055" s="5" t="s">
        <v>44</v>
      </c>
      <c r="C1055" s="5" t="s">
        <v>99</v>
      </c>
      <c r="D1055" s="5" t="s">
        <v>21</v>
      </c>
      <c r="E1055" s="5" t="s">
        <v>44</v>
      </c>
      <c r="F1055" s="5" t="s">
        <v>100</v>
      </c>
      <c r="G1055" s="5" t="s">
        <v>47</v>
      </c>
      <c r="H1055" s="9" t="s">
        <v>238</v>
      </c>
      <c r="I1055" s="10"/>
      <c r="J1055" s="10">
        <v>44045</v>
      </c>
      <c r="K1055" s="5" t="s">
        <v>102</v>
      </c>
      <c r="L1055" s="5" t="s">
        <v>102</v>
      </c>
      <c r="M1055" s="11">
        <v>0.081000000000000003</v>
      </c>
      <c r="N1055" s="5" t="e">
        <f>IF(AND(M1055&gt;#REF!,Cartera!O1055="Guaraníes"),"Rendimiento significativo",IF(AND(M1055&gt;#REF!,Cartera!O1055="Dólares americanos"),"Rendimiento significativo","Rendimiento no significativo"))</f>
        <v>#REF!</v>
      </c>
      <c r="O1055" s="5" t="s">
        <v>41</v>
      </c>
      <c r="P1055" s="12">
        <v>6058356.1644000001</v>
      </c>
      <c r="Q1055" s="12">
        <f>IF(O1055="Guaraníes",P1055,P1055*#REF!)</f>
        <v>6058356.1644000001</v>
      </c>
      <c r="R1055" s="12" t="e">
        <f>IF(O1055="Guaraníes",P1055/#REF!,P1055)</f>
        <v>#REF!</v>
      </c>
      <c r="S1055" s="5" t="s">
        <v>52</v>
      </c>
      <c r="T1055" s="5">
        <v>4</v>
      </c>
      <c r="W1055" s="5" t="s">
        <v>316</v>
      </c>
      <c r="X1055" s="5">
        <v>0</v>
      </c>
      <c r="Y1055" s="5">
        <v>0</v>
      </c>
      <c r="Z1055" s="5">
        <v>40389.041096000001</v>
      </c>
      <c r="AA1055" s="5">
        <v>150</v>
      </c>
      <c r="AB1055" s="5">
        <v>6058356.1644000001</v>
      </c>
      <c r="AC1055" s="5" t="str">
        <f t="shared" si="52"/>
        <v>Bonos</v>
      </c>
      <c r="AD1055" s="5" t="s">
        <v>43</v>
      </c>
      <c r="AE1055" s="5">
        <f t="shared" si="53"/>
        <v>8</v>
      </c>
      <c r="AF1055" s="5">
        <f t="shared" si="54"/>
        <v>2020</v>
      </c>
    </row>
    <row r="1056" s="5" customFormat="1" ht="13">
      <c r="A1056" s="5" t="s">
        <v>44</v>
      </c>
      <c r="B1056" s="5" t="s">
        <v>44</v>
      </c>
      <c r="C1056" s="5" t="s">
        <v>288</v>
      </c>
      <c r="D1056" s="5" t="s">
        <v>21</v>
      </c>
      <c r="E1056" s="5" t="s">
        <v>44</v>
      </c>
      <c r="F1056" s="5" t="s">
        <v>68</v>
      </c>
      <c r="G1056" s="5" t="s">
        <v>47</v>
      </c>
      <c r="H1056" s="9" t="s">
        <v>290</v>
      </c>
      <c r="I1056" s="10"/>
      <c r="J1056" s="10">
        <v>44095</v>
      </c>
      <c r="K1056" s="5" t="s">
        <v>71</v>
      </c>
      <c r="L1056" s="5" t="s">
        <v>58</v>
      </c>
      <c r="M1056" s="11">
        <v>0.087499999999999994</v>
      </c>
      <c r="N1056" s="5" t="e">
        <f>IF(AND(M1056&gt;#REF!,Cartera!O1056="Guaraníes"),"Rendimiento significativo",IF(AND(M1056&gt;#REF!,Cartera!O1056="Dólares americanos"),"Rendimiento significativo","Rendimiento no significativo"))</f>
        <v>#REF!</v>
      </c>
      <c r="O1056" s="5" t="s">
        <v>51</v>
      </c>
      <c r="P1056" s="13">
        <v>1100.3424600000001</v>
      </c>
      <c r="Q1056" s="12" t="e">
        <f>IF(O1056="Guaraníes",P1056,P1056*#REF!)</f>
        <v>#REF!</v>
      </c>
      <c r="R1056" s="12">
        <f>IF(O1056="Guaraníes",P1056/#REF!,P1056)</f>
        <v>1100.3424600000001</v>
      </c>
      <c r="S1056" s="5" t="s">
        <v>52</v>
      </c>
      <c r="T1056" s="5">
        <v>4</v>
      </c>
      <c r="W1056" s="5" t="s">
        <v>317</v>
      </c>
      <c r="X1056" s="5">
        <v>0</v>
      </c>
      <c r="Y1056" s="5">
        <v>0</v>
      </c>
      <c r="Z1056" s="5">
        <v>36.678082000000003</v>
      </c>
      <c r="AA1056" s="5">
        <v>30</v>
      </c>
      <c r="AB1056" s="5">
        <v>1100.3424600000001</v>
      </c>
      <c r="AC1056" s="5" t="str">
        <f t="shared" si="52"/>
        <v>Bonos</v>
      </c>
      <c r="AD1056" s="5" t="s">
        <v>43</v>
      </c>
      <c r="AE1056" s="5">
        <f t="shared" si="53"/>
        <v>9</v>
      </c>
      <c r="AF1056" s="5">
        <f t="shared" si="54"/>
        <v>2020</v>
      </c>
    </row>
    <row r="1057" s="5" customFormat="1" ht="13">
      <c r="A1057" s="5" t="s">
        <v>44</v>
      </c>
      <c r="B1057" s="5" t="s">
        <v>44</v>
      </c>
      <c r="C1057" s="5" t="s">
        <v>288</v>
      </c>
      <c r="D1057" s="5" t="s">
        <v>21</v>
      </c>
      <c r="E1057" s="5" t="s">
        <v>44</v>
      </c>
      <c r="F1057" s="5" t="s">
        <v>68</v>
      </c>
      <c r="G1057" s="5" t="s">
        <v>47</v>
      </c>
      <c r="H1057" s="9" t="s">
        <v>293</v>
      </c>
      <c r="I1057" s="10"/>
      <c r="J1057" s="10">
        <v>44095</v>
      </c>
      <c r="K1057" s="5" t="s">
        <v>71</v>
      </c>
      <c r="L1057" s="5" t="s">
        <v>58</v>
      </c>
      <c r="M1057" s="11">
        <v>0.089999999999999997</v>
      </c>
      <c r="N1057" s="5" t="e">
        <f>IF(AND(M1057&gt;#REF!,Cartera!O1057="Guaraníes"),"Rendimiento significativo",IF(AND(M1057&gt;#REF!,Cartera!O1057="Dólares americanos"),"Rendimiento significativo","Rendimiento no significativo"))</f>
        <v>#REF!</v>
      </c>
      <c r="O1057" s="5" t="s">
        <v>51</v>
      </c>
      <c r="P1057" s="13">
        <v>188.630135</v>
      </c>
      <c r="Q1057" s="12" t="e">
        <f>IF(O1057="Guaraníes",P1057,P1057*#REF!)</f>
        <v>#REF!</v>
      </c>
      <c r="R1057" s="12">
        <f>IF(O1057="Guaraníes",P1057/#REF!,P1057)</f>
        <v>188.630135</v>
      </c>
      <c r="S1057" s="5" t="s">
        <v>52</v>
      </c>
      <c r="T1057" s="5">
        <v>4</v>
      </c>
      <c r="W1057" s="5" t="s">
        <v>318</v>
      </c>
      <c r="X1057" s="5">
        <v>0</v>
      </c>
      <c r="Y1057" s="5">
        <v>0</v>
      </c>
      <c r="Z1057" s="5">
        <v>37.726027000000002</v>
      </c>
      <c r="AA1057" s="5">
        <v>5</v>
      </c>
      <c r="AB1057" s="5">
        <v>188.630135</v>
      </c>
      <c r="AC1057" s="5" t="str">
        <f t="shared" si="52"/>
        <v>Bonos</v>
      </c>
      <c r="AD1057" s="5" t="s">
        <v>43</v>
      </c>
      <c r="AE1057" s="5">
        <f t="shared" si="53"/>
        <v>9</v>
      </c>
      <c r="AF1057" s="5">
        <f t="shared" si="54"/>
        <v>2020</v>
      </c>
    </row>
    <row r="1058" s="5" customFormat="1" ht="13">
      <c r="A1058" s="5" t="s">
        <v>44</v>
      </c>
      <c r="B1058" s="5" t="s">
        <v>44</v>
      </c>
      <c r="C1058" s="5" t="s">
        <v>288</v>
      </c>
      <c r="D1058" s="5" t="s">
        <v>21</v>
      </c>
      <c r="E1058" s="5" t="s">
        <v>44</v>
      </c>
      <c r="F1058" s="5" t="s">
        <v>68</v>
      </c>
      <c r="G1058" s="5" t="s">
        <v>47</v>
      </c>
      <c r="H1058" s="9" t="s">
        <v>289</v>
      </c>
      <c r="I1058" s="10"/>
      <c r="J1058" s="10">
        <v>44095</v>
      </c>
      <c r="K1058" s="5" t="s">
        <v>71</v>
      </c>
      <c r="L1058" s="5" t="s">
        <v>58</v>
      </c>
      <c r="M1058" s="11">
        <v>0.10000000000000001</v>
      </c>
      <c r="N1058" s="5" t="e">
        <f>IF(AND(M1058&gt;#REF!,Cartera!O1058="Guaraníes"),"Rendimiento significativo",IF(AND(M1058&gt;#REF!,Cartera!O1058="Dólares americanos"),"Rendimiento significativo","Rendimiento no significativo"))</f>
        <v>#REF!</v>
      </c>
      <c r="O1058" s="5" t="s">
        <v>51</v>
      </c>
      <c r="P1058" s="13">
        <v>209.58904000000001</v>
      </c>
      <c r="Q1058" s="12" t="e">
        <f>IF(O1058="Guaraníes",P1058,P1058*#REF!)</f>
        <v>#REF!</v>
      </c>
      <c r="R1058" s="12">
        <f>IF(O1058="Guaraníes",P1058/#REF!,P1058)</f>
        <v>209.58904000000001</v>
      </c>
      <c r="S1058" s="5" t="s">
        <v>52</v>
      </c>
      <c r="T1058" s="5">
        <v>4</v>
      </c>
      <c r="W1058" s="5" t="s">
        <v>319</v>
      </c>
      <c r="X1058" s="5">
        <v>0</v>
      </c>
      <c r="Y1058" s="5">
        <v>0</v>
      </c>
      <c r="Z1058" s="5">
        <v>41.917808000000001</v>
      </c>
      <c r="AA1058" s="5">
        <v>5</v>
      </c>
      <c r="AB1058" s="5">
        <v>209.58904000000001</v>
      </c>
      <c r="AC1058" s="5" t="str">
        <f t="shared" si="52"/>
        <v>Bonos</v>
      </c>
      <c r="AD1058" s="5" t="s">
        <v>43</v>
      </c>
      <c r="AE1058" s="5">
        <f t="shared" si="53"/>
        <v>9</v>
      </c>
      <c r="AF1058" s="5">
        <f t="shared" si="54"/>
        <v>2020</v>
      </c>
    </row>
    <row r="1059" s="5" customFormat="1" ht="13">
      <c r="A1059" s="5" t="s">
        <v>44</v>
      </c>
      <c r="B1059" s="5" t="s">
        <v>44</v>
      </c>
      <c r="C1059" s="5" t="s">
        <v>33</v>
      </c>
      <c r="D1059" s="5" t="s">
        <v>21</v>
      </c>
      <c r="E1059" s="5" t="s">
        <v>44</v>
      </c>
      <c r="F1059" s="5" t="s">
        <v>35</v>
      </c>
      <c r="G1059" s="5" t="s">
        <v>47</v>
      </c>
      <c r="H1059" s="9" t="s">
        <v>303</v>
      </c>
      <c r="I1059" s="10"/>
      <c r="J1059" s="10">
        <v>44098</v>
      </c>
      <c r="K1059" s="5" t="s">
        <v>39</v>
      </c>
      <c r="L1059" s="5" t="s">
        <v>58</v>
      </c>
      <c r="M1059" s="11">
        <v>0.0625</v>
      </c>
      <c r="N1059" s="5" t="e">
        <f>IF(AND(M1059&gt;#REF!,Cartera!O1059="Guaraníes"),"Rendimiento significativo",IF(AND(M1059&gt;#REF!,Cartera!O1059="Dólares americanos"),"Rendimiento significativo","Rendimiento no significativo"))</f>
        <v>#REF!</v>
      </c>
      <c r="O1059" s="5" t="s">
        <v>51</v>
      </c>
      <c r="P1059" s="13">
        <v>623.28767999999991</v>
      </c>
      <c r="Q1059" s="12" t="e">
        <f>IF(O1059="Guaraníes",P1059,P1059*#REF!)</f>
        <v>#REF!</v>
      </c>
      <c r="R1059" s="12">
        <f>IF(O1059="Guaraníes",P1059/#REF!,P1059)</f>
        <v>623.28767999999991</v>
      </c>
      <c r="S1059" s="5" t="s">
        <v>52</v>
      </c>
      <c r="T1059" s="5">
        <v>4</v>
      </c>
      <c r="W1059" s="5" t="s">
        <v>320</v>
      </c>
      <c r="X1059" s="5">
        <v>0</v>
      </c>
      <c r="Y1059" s="5">
        <v>0</v>
      </c>
      <c r="Z1059" s="5">
        <v>15.582191999999999</v>
      </c>
      <c r="AA1059" s="5">
        <v>40</v>
      </c>
      <c r="AB1059" s="5">
        <v>623.28768000000002</v>
      </c>
      <c r="AC1059" s="5" t="str">
        <f t="shared" si="52"/>
        <v>Bonos</v>
      </c>
      <c r="AD1059" s="5" t="s">
        <v>43</v>
      </c>
      <c r="AE1059" s="5">
        <f t="shared" si="53"/>
        <v>9</v>
      </c>
      <c r="AF1059" s="5">
        <f t="shared" si="54"/>
        <v>2020</v>
      </c>
    </row>
    <row r="1060" s="5" customFormat="1" ht="13">
      <c r="A1060" s="5" t="s">
        <v>44</v>
      </c>
      <c r="B1060" s="5" t="s">
        <v>44</v>
      </c>
      <c r="C1060" s="5" t="s">
        <v>304</v>
      </c>
      <c r="D1060" s="5" t="s">
        <v>21</v>
      </c>
      <c r="E1060" s="5" t="s">
        <v>44</v>
      </c>
      <c r="F1060" s="5" t="s">
        <v>68</v>
      </c>
      <c r="G1060" s="5" t="s">
        <v>47</v>
      </c>
      <c r="H1060" s="9" t="s">
        <v>305</v>
      </c>
      <c r="I1060" s="10"/>
      <c r="J1060" s="10">
        <v>44098</v>
      </c>
      <c r="K1060" s="5" t="s">
        <v>39</v>
      </c>
      <c r="L1060" s="5" t="s">
        <v>58</v>
      </c>
      <c r="M1060" s="11">
        <v>0.089999999999999997</v>
      </c>
      <c r="N1060" s="5" t="e">
        <f>IF(AND(M1060&gt;#REF!,Cartera!O1060="Guaraníes"),"Rendimiento significativo",IF(AND(M1060&gt;#REF!,Cartera!O1060="Dólares americanos"),"Rendimiento significativo","Rendimiento no significativo"))</f>
        <v>#REF!</v>
      </c>
      <c r="O1060" s="5" t="s">
        <v>41</v>
      </c>
      <c r="P1060" s="12">
        <v>2243835.6164000002</v>
      </c>
      <c r="Q1060" s="12">
        <f>IF(O1060="Guaraníes",P1060,P1060*#REF!)</f>
        <v>2243835.6164000002</v>
      </c>
      <c r="R1060" s="12" t="e">
        <f>IF(O1060="Guaraníes",P1060/#REF!,P1060)</f>
        <v>#REF!</v>
      </c>
      <c r="S1060" s="5" t="s">
        <v>52</v>
      </c>
      <c r="T1060" s="5">
        <v>4</v>
      </c>
      <c r="W1060" s="5" t="s">
        <v>321</v>
      </c>
      <c r="X1060" s="5">
        <v>0</v>
      </c>
      <c r="Y1060" s="5">
        <v>0</v>
      </c>
      <c r="Z1060" s="5">
        <v>22438.356164000001</v>
      </c>
      <c r="AA1060" s="5">
        <v>100</v>
      </c>
      <c r="AB1060" s="5">
        <v>2243835.6164000002</v>
      </c>
      <c r="AC1060" s="5" t="str">
        <f t="shared" si="52"/>
        <v>Bonos</v>
      </c>
      <c r="AD1060" s="5" t="s">
        <v>43</v>
      </c>
      <c r="AE1060" s="5">
        <f t="shared" si="53"/>
        <v>9</v>
      </c>
      <c r="AF1060" s="5">
        <f t="shared" si="54"/>
        <v>2020</v>
      </c>
    </row>
    <row r="1061" s="5" customFormat="1" ht="13">
      <c r="A1061" s="5" t="s">
        <v>44</v>
      </c>
      <c r="B1061" s="5" t="s">
        <v>44</v>
      </c>
      <c r="C1061" s="5" t="s">
        <v>45</v>
      </c>
      <c r="D1061" s="5" t="s">
        <v>21</v>
      </c>
      <c r="E1061" s="5" t="s">
        <v>44</v>
      </c>
      <c r="F1061" s="5" t="s">
        <v>46</v>
      </c>
      <c r="G1061" s="5" t="s">
        <v>47</v>
      </c>
      <c r="H1061" s="9" t="s">
        <v>48</v>
      </c>
      <c r="I1061" s="10"/>
      <c r="J1061" s="10">
        <v>44130</v>
      </c>
      <c r="K1061" s="5" t="s">
        <v>49</v>
      </c>
      <c r="L1061" s="5" t="s">
        <v>50</v>
      </c>
      <c r="M1061" s="11">
        <v>0.052499999999999998</v>
      </c>
      <c r="N1061" s="5" t="e">
        <f>IF(AND(M1061&gt;#REF!,Cartera!O1061="Guaraníes"),"Rendimiento significativo",IF(AND(M1061&gt;#REF!,Cartera!O1061="Dólares americanos"),"Rendimiento significativo","Rendimiento no significativo"))</f>
        <v>#REF!</v>
      </c>
      <c r="O1061" s="5" t="s">
        <v>51</v>
      </c>
      <c r="P1061" s="13">
        <v>174.52055000000001</v>
      </c>
      <c r="Q1061" s="12" t="e">
        <f>IF(O1061="Guaraníes",P1061,P1061*#REF!)</f>
        <v>#REF!</v>
      </c>
      <c r="R1061" s="12">
        <f>IF(O1061="Guaraníes",P1061/#REF!,P1061)</f>
        <v>174.52055000000001</v>
      </c>
      <c r="S1061" s="5" t="s">
        <v>52</v>
      </c>
      <c r="T1061" s="5">
        <v>4</v>
      </c>
      <c r="W1061" s="5" t="s">
        <v>322</v>
      </c>
      <c r="X1061" s="5">
        <v>0</v>
      </c>
      <c r="Y1061" s="5">
        <v>0</v>
      </c>
      <c r="Z1061" s="5">
        <v>17.452055000000001</v>
      </c>
      <c r="AA1061" s="5">
        <v>10</v>
      </c>
      <c r="AB1061" s="5">
        <v>174.52054999999999</v>
      </c>
      <c r="AC1061" s="5" t="str">
        <f t="shared" si="52"/>
        <v>Bonos</v>
      </c>
      <c r="AD1061" s="5" t="s">
        <v>43</v>
      </c>
      <c r="AE1061" s="5">
        <f t="shared" si="53"/>
        <v>10</v>
      </c>
      <c r="AF1061" s="5">
        <f t="shared" si="54"/>
        <v>2020</v>
      </c>
    </row>
    <row r="1062" s="5" customFormat="1" ht="13">
      <c r="A1062" s="5" t="s">
        <v>44</v>
      </c>
      <c r="B1062" s="5" t="s">
        <v>44</v>
      </c>
      <c r="C1062" s="5" t="s">
        <v>99</v>
      </c>
      <c r="D1062" s="5" t="s">
        <v>21</v>
      </c>
      <c r="E1062" s="5" t="s">
        <v>44</v>
      </c>
      <c r="F1062" s="5" t="s">
        <v>100</v>
      </c>
      <c r="G1062" s="5" t="s">
        <v>47</v>
      </c>
      <c r="H1062" s="9" t="s">
        <v>101</v>
      </c>
      <c r="I1062" s="10"/>
      <c r="J1062" s="10">
        <v>44185</v>
      </c>
      <c r="K1062" s="5" t="s">
        <v>102</v>
      </c>
      <c r="L1062" s="5" t="s">
        <v>102</v>
      </c>
      <c r="M1062" s="11">
        <v>0.079000000000000001</v>
      </c>
      <c r="N1062" s="5" t="e">
        <f>IF(AND(M1062&gt;#REF!,Cartera!O1062="Guaraníes"),"Rendimiento significativo",IF(AND(M1062&gt;#REF!,Cartera!O1062="Dólares americanos"),"Rendimiento significativo","Rendimiento no significativo"))</f>
        <v>#REF!</v>
      </c>
      <c r="O1062" s="5" t="s">
        <v>41</v>
      </c>
      <c r="P1062" s="12">
        <v>1937500</v>
      </c>
      <c r="Q1062" s="12">
        <f>IF(O1062="Guaraníes",P1062,P1062*#REF!)</f>
        <v>1937500</v>
      </c>
      <c r="R1062" s="12" t="e">
        <f>IF(O1062="Guaraníes",P1062/#REF!,P1062)</f>
        <v>#REF!</v>
      </c>
      <c r="S1062" s="5" t="s">
        <v>52</v>
      </c>
      <c r="T1062" s="5">
        <v>4</v>
      </c>
      <c r="W1062" s="5" t="s">
        <v>323</v>
      </c>
      <c r="X1062" s="5">
        <v>0</v>
      </c>
      <c r="Y1062" s="5">
        <v>0</v>
      </c>
      <c r="Z1062" s="5">
        <v>38750</v>
      </c>
      <c r="AA1062" s="5">
        <v>50</v>
      </c>
      <c r="AB1062" s="5">
        <v>1937500</v>
      </c>
      <c r="AC1062" s="5" t="str">
        <f t="shared" si="52"/>
        <v>Bonos</v>
      </c>
      <c r="AD1062" s="5" t="s">
        <v>43</v>
      </c>
      <c r="AE1062" s="5">
        <f t="shared" si="53"/>
        <v>12</v>
      </c>
      <c r="AF1062" s="5">
        <f t="shared" si="54"/>
        <v>2020</v>
      </c>
    </row>
    <row r="1063" s="5" customFormat="1" ht="13">
      <c r="A1063" s="5" t="s">
        <v>44</v>
      </c>
      <c r="B1063" s="5" t="s">
        <v>44</v>
      </c>
      <c r="C1063" s="5" t="s">
        <v>304</v>
      </c>
      <c r="D1063" s="5" t="s">
        <v>21</v>
      </c>
      <c r="E1063" s="5" t="s">
        <v>44</v>
      </c>
      <c r="F1063" s="5" t="s">
        <v>68</v>
      </c>
      <c r="G1063" s="5" t="s">
        <v>47</v>
      </c>
      <c r="H1063" s="9" t="s">
        <v>305</v>
      </c>
      <c r="I1063" s="10"/>
      <c r="J1063" s="10">
        <v>44188</v>
      </c>
      <c r="K1063" s="5" t="s">
        <v>39</v>
      </c>
      <c r="L1063" s="5" t="s">
        <v>58</v>
      </c>
      <c r="M1063" s="11">
        <v>0.089999999999999997</v>
      </c>
      <c r="N1063" s="5" t="e">
        <f>IF(AND(M1063&gt;#REF!,Cartera!O1063="Guaraníes"),"Rendimiento significativo",IF(AND(M1063&gt;#REF!,Cartera!O1063="Dólares americanos"),"Rendimiento significativo","Rendimiento no significativo"))</f>
        <v>#REF!</v>
      </c>
      <c r="O1063" s="5" t="s">
        <v>41</v>
      </c>
      <c r="P1063" s="12">
        <v>2219178.0822000001</v>
      </c>
      <c r="Q1063" s="12">
        <f>IF(O1063="Guaraníes",P1063,P1063*#REF!)</f>
        <v>2219178.0822000001</v>
      </c>
      <c r="R1063" s="12" t="e">
        <f>IF(O1063="Guaraníes",P1063/#REF!,P1063)</f>
        <v>#REF!</v>
      </c>
      <c r="S1063" s="5" t="s">
        <v>52</v>
      </c>
      <c r="T1063" s="5">
        <v>4</v>
      </c>
      <c r="W1063" s="5" t="s">
        <v>324</v>
      </c>
      <c r="X1063" s="5">
        <v>0</v>
      </c>
      <c r="Y1063" s="5">
        <v>0</v>
      </c>
      <c r="Z1063" s="5">
        <v>22191.780822000001</v>
      </c>
      <c r="AA1063" s="5">
        <v>100</v>
      </c>
      <c r="AB1063" s="5">
        <v>2219178.0822000001</v>
      </c>
      <c r="AC1063" s="5" t="str">
        <f t="shared" si="52"/>
        <v>Bonos</v>
      </c>
      <c r="AD1063" s="5" t="s">
        <v>43</v>
      </c>
      <c r="AE1063" s="5">
        <f t="shared" si="53"/>
        <v>12</v>
      </c>
      <c r="AF1063" s="5">
        <f t="shared" si="54"/>
        <v>2020</v>
      </c>
    </row>
    <row r="1064" s="5" customFormat="1" ht="13">
      <c r="A1064" s="5" t="s">
        <v>44</v>
      </c>
      <c r="B1064" s="5" t="s">
        <v>44</v>
      </c>
      <c r="C1064" s="5" t="s">
        <v>33</v>
      </c>
      <c r="D1064" s="5" t="s">
        <v>21</v>
      </c>
      <c r="E1064" s="5" t="s">
        <v>44</v>
      </c>
      <c r="F1064" s="5" t="s">
        <v>35</v>
      </c>
      <c r="G1064" s="5" t="s">
        <v>47</v>
      </c>
      <c r="H1064" s="9" t="s">
        <v>303</v>
      </c>
      <c r="I1064" s="10"/>
      <c r="J1064" s="10">
        <v>44189</v>
      </c>
      <c r="K1064" s="5" t="s">
        <v>39</v>
      </c>
      <c r="L1064" s="5" t="s">
        <v>58</v>
      </c>
      <c r="M1064" s="11">
        <v>0.0625</v>
      </c>
      <c r="N1064" s="5" t="e">
        <f>IF(AND(M1064&gt;#REF!,Cartera!O1064="Guaraníes"),"Rendimiento significativo",IF(AND(M1064&gt;#REF!,Cartera!O1064="Dólares americanos"),"Rendimiento significativo","Rendimiento no significativo"))</f>
        <v>#REF!</v>
      </c>
      <c r="O1064" s="5" t="s">
        <v>51</v>
      </c>
      <c r="P1064" s="13">
        <v>623.28767999999991</v>
      </c>
      <c r="Q1064" s="12" t="e">
        <f>IF(O1064="Guaraníes",P1064,P1064*#REF!)</f>
        <v>#REF!</v>
      </c>
      <c r="R1064" s="12">
        <f>IF(O1064="Guaraníes",P1064/#REF!,P1064)</f>
        <v>623.28767999999991</v>
      </c>
      <c r="S1064" s="5" t="s">
        <v>52</v>
      </c>
      <c r="T1064" s="5">
        <v>4</v>
      </c>
      <c r="W1064" s="5" t="s">
        <v>325</v>
      </c>
      <c r="X1064" s="5">
        <v>0</v>
      </c>
      <c r="Y1064" s="5">
        <v>0</v>
      </c>
      <c r="Z1064" s="5">
        <v>15.582191999999999</v>
      </c>
      <c r="AA1064" s="5">
        <v>40</v>
      </c>
      <c r="AB1064" s="5">
        <v>623.28768000000002</v>
      </c>
      <c r="AC1064" s="5" t="str">
        <f t="shared" si="52"/>
        <v>Bonos</v>
      </c>
      <c r="AD1064" s="5" t="s">
        <v>43</v>
      </c>
      <c r="AE1064" s="5">
        <f t="shared" si="53"/>
        <v>12</v>
      </c>
      <c r="AF1064" s="5">
        <f t="shared" si="54"/>
        <v>2020</v>
      </c>
    </row>
    <row r="1065" s="5" customFormat="1" ht="13">
      <c r="A1065" s="5" t="s">
        <v>44</v>
      </c>
      <c r="B1065" s="5" t="s">
        <v>44</v>
      </c>
      <c r="C1065" s="5" t="s">
        <v>45</v>
      </c>
      <c r="D1065" s="5" t="s">
        <v>21</v>
      </c>
      <c r="E1065" s="5" t="s">
        <v>44</v>
      </c>
      <c r="F1065" s="5" t="s">
        <v>46</v>
      </c>
      <c r="G1065" s="5" t="s">
        <v>47</v>
      </c>
      <c r="H1065" s="9" t="s">
        <v>48</v>
      </c>
      <c r="I1065" s="10"/>
      <c r="J1065" s="10">
        <v>44221</v>
      </c>
      <c r="K1065" s="5" t="s">
        <v>49</v>
      </c>
      <c r="L1065" s="5" t="s">
        <v>50</v>
      </c>
      <c r="M1065" s="11">
        <v>0.052499999999999998</v>
      </c>
      <c r="N1065" s="5" t="e">
        <f>IF(AND(M1065&gt;#REF!,Cartera!O1065="Guaraníes"),"Rendimiento significativo",IF(AND(M1065&gt;#REF!,Cartera!O1065="Dólares americanos"),"Rendimiento significativo","Rendimiento no significativo"))</f>
        <v>#REF!</v>
      </c>
      <c r="O1065" s="5" t="s">
        <v>51</v>
      </c>
      <c r="P1065" s="13">
        <v>174.52055000000001</v>
      </c>
      <c r="Q1065" s="12" t="e">
        <f>IF(O1065="Guaraníes",P1065,P1065*#REF!)</f>
        <v>#REF!</v>
      </c>
      <c r="R1065" s="12">
        <f>IF(O1065="Guaraníes",P1065/#REF!,P1065)</f>
        <v>174.52055000000001</v>
      </c>
      <c r="S1065" s="5" t="s">
        <v>52</v>
      </c>
      <c r="T1065" s="5">
        <v>4</v>
      </c>
      <c r="W1065" s="5" t="s">
        <v>326</v>
      </c>
      <c r="X1065" s="5">
        <v>0</v>
      </c>
      <c r="Y1065" s="5">
        <v>0</v>
      </c>
      <c r="Z1065" s="5">
        <v>17.452055000000001</v>
      </c>
      <c r="AA1065" s="5">
        <v>10</v>
      </c>
      <c r="AB1065" s="5">
        <v>174.52054999999999</v>
      </c>
      <c r="AC1065" s="5" t="str">
        <f t="shared" si="52"/>
        <v>Bonos</v>
      </c>
      <c r="AD1065" s="5" t="s">
        <v>43</v>
      </c>
      <c r="AE1065" s="5">
        <f t="shared" si="53"/>
        <v>1</v>
      </c>
      <c r="AF1065" s="5">
        <f t="shared" si="54"/>
        <v>2021</v>
      </c>
    </row>
    <row r="1066" s="5" customFormat="1" ht="13">
      <c r="A1066" s="5" t="s">
        <v>44</v>
      </c>
      <c r="B1066" s="5" t="s">
        <v>44</v>
      </c>
      <c r="C1066" s="5" t="s">
        <v>99</v>
      </c>
      <c r="D1066" s="5" t="s">
        <v>21</v>
      </c>
      <c r="E1066" s="5" t="s">
        <v>44</v>
      </c>
      <c r="F1066" s="5" t="s">
        <v>100</v>
      </c>
      <c r="G1066" s="5" t="s">
        <v>47</v>
      </c>
      <c r="H1066" s="9" t="s">
        <v>238</v>
      </c>
      <c r="I1066" s="10"/>
      <c r="J1066" s="10">
        <v>44229</v>
      </c>
      <c r="K1066" s="5" t="s">
        <v>102</v>
      </c>
      <c r="L1066" s="5" t="s">
        <v>102</v>
      </c>
      <c r="M1066" s="11">
        <v>0.081000000000000003</v>
      </c>
      <c r="N1066" s="5" t="e">
        <f>IF(AND(M1066&gt;#REF!,Cartera!O1066="Guaraníes"),"Rendimiento significativo",IF(AND(M1066&gt;#REF!,Cartera!O1066="Dólares americanos"),"Rendimiento significativo","Rendimiento no significativo"))</f>
        <v>#REF!</v>
      </c>
      <c r="O1066" s="5" t="s">
        <v>41</v>
      </c>
      <c r="P1066" s="12">
        <v>6124931.5067999996</v>
      </c>
      <c r="Q1066" s="12">
        <f>IF(O1066="Guaraníes",P1066,P1066*#REF!)</f>
        <v>6124931.5067999996</v>
      </c>
      <c r="R1066" s="12" t="e">
        <f>IF(O1066="Guaraníes",P1066/#REF!,P1066)</f>
        <v>#REF!</v>
      </c>
      <c r="S1066" s="5" t="s">
        <v>52</v>
      </c>
      <c r="T1066" s="5">
        <v>4</v>
      </c>
      <c r="W1066" s="5" t="s">
        <v>327</v>
      </c>
      <c r="X1066" s="5">
        <v>0</v>
      </c>
      <c r="Y1066" s="5">
        <v>0</v>
      </c>
      <c r="Z1066" s="5">
        <v>40832.876711999997</v>
      </c>
      <c r="AA1066" s="5">
        <v>150</v>
      </c>
      <c r="AB1066" s="5">
        <v>6124931.5067999996</v>
      </c>
      <c r="AC1066" s="5" t="str">
        <f t="shared" si="52"/>
        <v>Bonos</v>
      </c>
      <c r="AD1066" s="5" t="s">
        <v>43</v>
      </c>
      <c r="AE1066" s="5">
        <f t="shared" si="53"/>
        <v>2</v>
      </c>
      <c r="AF1066" s="5">
        <f t="shared" si="54"/>
        <v>2021</v>
      </c>
    </row>
    <row r="1067" s="5" customFormat="1" ht="13">
      <c r="A1067" s="5" t="s">
        <v>44</v>
      </c>
      <c r="B1067" s="5" t="s">
        <v>44</v>
      </c>
      <c r="C1067" s="5" t="s">
        <v>304</v>
      </c>
      <c r="D1067" s="5" t="s">
        <v>21</v>
      </c>
      <c r="E1067" s="5" t="s">
        <v>44</v>
      </c>
      <c r="F1067" s="5" t="s">
        <v>68</v>
      </c>
      <c r="G1067" s="5" t="s">
        <v>47</v>
      </c>
      <c r="H1067" s="9" t="s">
        <v>305</v>
      </c>
      <c r="I1067" s="10"/>
      <c r="J1067" s="10">
        <v>44279</v>
      </c>
      <c r="K1067" s="5" t="s">
        <v>39</v>
      </c>
      <c r="L1067" s="5" t="s">
        <v>58</v>
      </c>
      <c r="M1067" s="11">
        <v>0.089999999999999997</v>
      </c>
      <c r="N1067" s="5" t="e">
        <f>IF(AND(M1067&gt;#REF!,Cartera!O1067="Guaraníes"),"Rendimiento significativo",IF(AND(M1067&gt;#REF!,Cartera!O1067="Dólares americanos"),"Rendimiento significativo","Rendimiento no significativo"))</f>
        <v>#REF!</v>
      </c>
      <c r="O1067" s="5" t="s">
        <v>41</v>
      </c>
      <c r="P1067" s="12">
        <v>2243835.6164000002</v>
      </c>
      <c r="Q1067" s="12">
        <f>IF(O1067="Guaraníes",P1067,P1067*#REF!)</f>
        <v>2243835.6164000002</v>
      </c>
      <c r="R1067" s="12" t="e">
        <f>IF(O1067="Guaraníes",P1067/#REF!,P1067)</f>
        <v>#REF!</v>
      </c>
      <c r="S1067" s="5" t="s">
        <v>52</v>
      </c>
      <c r="T1067" s="5">
        <v>4</v>
      </c>
      <c r="W1067" s="5" t="s">
        <v>328</v>
      </c>
      <c r="X1067" s="5">
        <v>0</v>
      </c>
      <c r="Y1067" s="5">
        <v>0</v>
      </c>
      <c r="Z1067" s="5">
        <v>22438.356164000001</v>
      </c>
      <c r="AA1067" s="5">
        <v>100</v>
      </c>
      <c r="AB1067" s="5">
        <v>2243835.6164000002</v>
      </c>
      <c r="AC1067" s="5" t="str">
        <f t="shared" si="52"/>
        <v>Bonos</v>
      </c>
      <c r="AD1067" s="5" t="s">
        <v>43</v>
      </c>
      <c r="AE1067" s="5">
        <f t="shared" si="53"/>
        <v>3</v>
      </c>
      <c r="AF1067" s="5">
        <f t="shared" si="54"/>
        <v>2021</v>
      </c>
    </row>
    <row r="1068" s="5" customFormat="1" ht="13">
      <c r="A1068" s="5" t="s">
        <v>44</v>
      </c>
      <c r="B1068" s="5" t="s">
        <v>44</v>
      </c>
      <c r="C1068" s="5" t="s">
        <v>33</v>
      </c>
      <c r="D1068" s="5" t="s">
        <v>21</v>
      </c>
      <c r="E1068" s="5" t="s">
        <v>44</v>
      </c>
      <c r="F1068" s="5" t="s">
        <v>35</v>
      </c>
      <c r="G1068" s="5" t="s">
        <v>47</v>
      </c>
      <c r="H1068" s="9" t="s">
        <v>303</v>
      </c>
      <c r="I1068" s="10"/>
      <c r="J1068" s="10">
        <v>44280</v>
      </c>
      <c r="K1068" s="5" t="s">
        <v>39</v>
      </c>
      <c r="L1068" s="5" t="s">
        <v>58</v>
      </c>
      <c r="M1068" s="11">
        <v>0.0625</v>
      </c>
      <c r="N1068" s="5" t="e">
        <f>IF(AND(M1068&gt;#REF!,Cartera!O1068="Guaraníes"),"Rendimiento significativo",IF(AND(M1068&gt;#REF!,Cartera!O1068="Dólares americanos"),"Rendimiento significativo","Rendimiento no significativo"))</f>
        <v>#REF!</v>
      </c>
      <c r="O1068" s="5" t="s">
        <v>51</v>
      </c>
      <c r="P1068" s="13">
        <v>623.28767999999991</v>
      </c>
      <c r="Q1068" s="12" t="e">
        <f>IF(O1068="Guaraníes",P1068,P1068*#REF!)</f>
        <v>#REF!</v>
      </c>
      <c r="R1068" s="12">
        <f>IF(O1068="Guaraníes",P1068/#REF!,P1068)</f>
        <v>623.28767999999991</v>
      </c>
      <c r="S1068" s="5" t="s">
        <v>52</v>
      </c>
      <c r="T1068" s="5">
        <v>4</v>
      </c>
      <c r="W1068" s="5" t="s">
        <v>329</v>
      </c>
      <c r="X1068" s="5">
        <v>0</v>
      </c>
      <c r="Y1068" s="5">
        <v>0</v>
      </c>
      <c r="Z1068" s="5">
        <v>15.582191999999999</v>
      </c>
      <c r="AA1068" s="5">
        <v>40</v>
      </c>
      <c r="AB1068" s="5">
        <v>623.28768000000002</v>
      </c>
      <c r="AC1068" s="5" t="str">
        <f t="shared" si="52"/>
        <v>Bonos</v>
      </c>
      <c r="AD1068" s="5" t="s">
        <v>43</v>
      </c>
      <c r="AE1068" s="5">
        <f t="shared" si="53"/>
        <v>3</v>
      </c>
      <c r="AF1068" s="5">
        <f t="shared" si="54"/>
        <v>2021</v>
      </c>
    </row>
    <row r="1069" s="5" customFormat="1" ht="13">
      <c r="A1069" s="5" t="s">
        <v>44</v>
      </c>
      <c r="B1069" s="5" t="s">
        <v>44</v>
      </c>
      <c r="C1069" s="5" t="s">
        <v>288</v>
      </c>
      <c r="D1069" s="5" t="s">
        <v>21</v>
      </c>
      <c r="E1069" s="5" t="s">
        <v>44</v>
      </c>
      <c r="F1069" s="5" t="s">
        <v>68</v>
      </c>
      <c r="G1069" s="5" t="s">
        <v>47</v>
      </c>
      <c r="H1069" s="9" t="s">
        <v>290</v>
      </c>
      <c r="I1069" s="10"/>
      <c r="J1069" s="10">
        <v>44307</v>
      </c>
      <c r="K1069" s="5" t="s">
        <v>71</v>
      </c>
      <c r="L1069" s="5" t="s">
        <v>58</v>
      </c>
      <c r="M1069" s="11">
        <v>0.087499999999999994</v>
      </c>
      <c r="N1069" s="5" t="e">
        <f>IF(AND(M1069&gt;#REF!,Cartera!O1069="Guaraníes"),"Rendimiento significativo",IF(AND(M1069&gt;#REF!,Cartera!O1069="Dólares americanos"),"Rendimiento significativo","Rendimiento no significativo"))</f>
        <v>#REF!</v>
      </c>
      <c r="O1069" s="5" t="s">
        <v>51</v>
      </c>
      <c r="P1069" s="13">
        <v>31524.657540000004</v>
      </c>
      <c r="Q1069" s="12" t="e">
        <f>IF(O1069="Guaraníes",P1069,P1069*#REF!)</f>
        <v>#REF!</v>
      </c>
      <c r="R1069" s="12">
        <f>IF(O1069="Guaraníes",P1069/#REF!,P1069)</f>
        <v>31524.657540000004</v>
      </c>
      <c r="S1069" s="5" t="s">
        <v>52</v>
      </c>
      <c r="T1069" s="5">
        <v>4</v>
      </c>
      <c r="U1069" s="5">
        <v>30000</v>
      </c>
      <c r="V1069" s="5">
        <v>1524.6575400000002</v>
      </c>
      <c r="W1069" s="5" t="s">
        <v>330</v>
      </c>
      <c r="X1069" s="5">
        <v>100</v>
      </c>
      <c r="Y1069" s="5">
        <v>1000</v>
      </c>
      <c r="Z1069" s="5">
        <v>1050.8219180000001</v>
      </c>
      <c r="AA1069" s="5">
        <v>30</v>
      </c>
      <c r="AB1069" s="5">
        <v>31524.65754</v>
      </c>
      <c r="AC1069" s="5" t="str">
        <f t="shared" si="52"/>
        <v>Bonos</v>
      </c>
      <c r="AD1069" s="5" t="s">
        <v>43</v>
      </c>
      <c r="AE1069" s="5">
        <f t="shared" si="53"/>
        <v>4</v>
      </c>
      <c r="AF1069" s="5">
        <f t="shared" si="54"/>
        <v>2021</v>
      </c>
    </row>
    <row r="1070" s="5" customFormat="1" ht="13">
      <c r="A1070" s="5" t="s">
        <v>44</v>
      </c>
      <c r="B1070" s="5" t="s">
        <v>44</v>
      </c>
      <c r="C1070" s="5" t="s">
        <v>288</v>
      </c>
      <c r="D1070" s="5" t="s">
        <v>21</v>
      </c>
      <c r="E1070" s="5" t="s">
        <v>44</v>
      </c>
      <c r="F1070" s="5" t="s">
        <v>68</v>
      </c>
      <c r="G1070" s="5" t="s">
        <v>47</v>
      </c>
      <c r="H1070" s="9" t="s">
        <v>293</v>
      </c>
      <c r="I1070" s="10"/>
      <c r="J1070" s="10">
        <v>44307</v>
      </c>
      <c r="K1070" s="5" t="s">
        <v>71</v>
      </c>
      <c r="L1070" s="5" t="s">
        <v>58</v>
      </c>
      <c r="M1070" s="11">
        <v>0.089999999999999997</v>
      </c>
      <c r="N1070" s="5" t="e">
        <f>IF(AND(M1070&gt;#REF!,Cartera!O1070="Guaraníes"),"Rendimiento significativo",IF(AND(M1070&gt;#REF!,Cartera!O1070="Dólares americanos"),"Rendimiento significativo","Rendimiento no significativo"))</f>
        <v>#REF!</v>
      </c>
      <c r="O1070" s="5" t="s">
        <v>51</v>
      </c>
      <c r="P1070" s="13">
        <v>261.369865</v>
      </c>
      <c r="Q1070" s="12" t="e">
        <f>IF(O1070="Guaraníes",P1070,P1070*#REF!)</f>
        <v>#REF!</v>
      </c>
      <c r="R1070" s="12">
        <f>IF(O1070="Guaraníes",P1070/#REF!,P1070)</f>
        <v>261.369865</v>
      </c>
      <c r="S1070" s="5" t="s">
        <v>52</v>
      </c>
      <c r="T1070" s="5">
        <v>4</v>
      </c>
      <c r="W1070" s="5" t="s">
        <v>331</v>
      </c>
      <c r="X1070" s="5">
        <v>0</v>
      </c>
      <c r="Y1070" s="5">
        <v>0</v>
      </c>
      <c r="Z1070" s="5">
        <v>52.273972999999998</v>
      </c>
      <c r="AA1070" s="5">
        <v>5</v>
      </c>
      <c r="AB1070" s="5">
        <v>261.369865</v>
      </c>
      <c r="AC1070" s="5" t="str">
        <f t="shared" si="52"/>
        <v>Bonos</v>
      </c>
      <c r="AD1070" s="5" t="s">
        <v>43</v>
      </c>
      <c r="AE1070" s="5">
        <f t="shared" si="53"/>
        <v>4</v>
      </c>
      <c r="AF1070" s="5">
        <f t="shared" si="54"/>
        <v>2021</v>
      </c>
    </row>
    <row r="1071" s="5" customFormat="1" ht="13">
      <c r="A1071" s="5" t="s">
        <v>44</v>
      </c>
      <c r="B1071" s="5" t="s">
        <v>44</v>
      </c>
      <c r="C1071" s="5" t="s">
        <v>288</v>
      </c>
      <c r="D1071" s="5" t="s">
        <v>21</v>
      </c>
      <c r="E1071" s="5" t="s">
        <v>44</v>
      </c>
      <c r="F1071" s="5" t="s">
        <v>68</v>
      </c>
      <c r="G1071" s="5" t="s">
        <v>47</v>
      </c>
      <c r="H1071" s="9" t="s">
        <v>289</v>
      </c>
      <c r="I1071" s="10"/>
      <c r="J1071" s="10">
        <v>44307</v>
      </c>
      <c r="K1071" s="5" t="s">
        <v>71</v>
      </c>
      <c r="L1071" s="5" t="s">
        <v>58</v>
      </c>
      <c r="M1071" s="11">
        <v>0.10000000000000001</v>
      </c>
      <c r="N1071" s="5" t="e">
        <f>IF(AND(M1071&gt;#REF!,Cartera!O1071="Guaraníes"),"Rendimiento significativo",IF(AND(M1071&gt;#REF!,Cartera!O1071="Dólares americanos"),"Rendimiento significativo","Rendimiento no significativo"))</f>
        <v>#REF!</v>
      </c>
      <c r="O1071" s="5" t="s">
        <v>51</v>
      </c>
      <c r="P1071" s="13">
        <v>290.41095999999999</v>
      </c>
      <c r="Q1071" s="12" t="e">
        <f>IF(O1071="Guaraníes",P1071,P1071*#REF!)</f>
        <v>#REF!</v>
      </c>
      <c r="R1071" s="12">
        <f>IF(O1071="Guaraníes",P1071/#REF!,P1071)</f>
        <v>290.41095999999999</v>
      </c>
      <c r="S1071" s="5" t="s">
        <v>52</v>
      </c>
      <c r="T1071" s="5">
        <v>4</v>
      </c>
      <c r="W1071" s="5" t="s">
        <v>332</v>
      </c>
      <c r="X1071" s="5">
        <v>0</v>
      </c>
      <c r="Y1071" s="5">
        <v>0</v>
      </c>
      <c r="Z1071" s="5">
        <v>58.082191999999999</v>
      </c>
      <c r="AA1071" s="5">
        <v>5</v>
      </c>
      <c r="AB1071" s="5">
        <v>290.41095999999999</v>
      </c>
      <c r="AC1071" s="5" t="str">
        <f t="shared" si="52"/>
        <v>Bonos</v>
      </c>
      <c r="AD1071" s="5" t="s">
        <v>43</v>
      </c>
      <c r="AE1071" s="5">
        <f t="shared" si="53"/>
        <v>4</v>
      </c>
      <c r="AF1071" s="5">
        <f t="shared" si="54"/>
        <v>2021</v>
      </c>
    </row>
    <row r="1072" s="5" customFormat="1" ht="13">
      <c r="A1072" s="5" t="s">
        <v>44</v>
      </c>
      <c r="B1072" s="5" t="s">
        <v>44</v>
      </c>
      <c r="C1072" s="5" t="s">
        <v>45</v>
      </c>
      <c r="D1072" s="5" t="s">
        <v>21</v>
      </c>
      <c r="E1072" s="5" t="s">
        <v>44</v>
      </c>
      <c r="F1072" s="5" t="s">
        <v>46</v>
      </c>
      <c r="G1072" s="5" t="s">
        <v>47</v>
      </c>
      <c r="H1072" s="9" t="s">
        <v>48</v>
      </c>
      <c r="I1072" s="10"/>
      <c r="J1072" s="10">
        <v>44312</v>
      </c>
      <c r="K1072" s="5" t="s">
        <v>49</v>
      </c>
      <c r="L1072" s="5" t="s">
        <v>50</v>
      </c>
      <c r="M1072" s="11">
        <v>0.052499999999999998</v>
      </c>
      <c r="N1072" s="5" t="e">
        <f>IF(AND(M1072&gt;#REF!,Cartera!O1072="Guaraníes"),"Rendimiento significativo",IF(AND(M1072&gt;#REF!,Cartera!O1072="Dólares americanos"),"Rendimiento significativo","Rendimiento no significativo"))</f>
        <v>#REF!</v>
      </c>
      <c r="O1072" s="5" t="s">
        <v>51</v>
      </c>
      <c r="P1072" s="13">
        <v>174.52055000000001</v>
      </c>
      <c r="Q1072" s="12" t="e">
        <f>IF(O1072="Guaraníes",P1072,P1072*#REF!)</f>
        <v>#REF!</v>
      </c>
      <c r="R1072" s="12">
        <f>IF(O1072="Guaraníes",P1072/#REF!,P1072)</f>
        <v>174.52055000000001</v>
      </c>
      <c r="S1072" s="5" t="s">
        <v>52</v>
      </c>
      <c r="T1072" s="5">
        <v>4</v>
      </c>
      <c r="W1072" s="5" t="s">
        <v>333</v>
      </c>
      <c r="X1072" s="5">
        <v>0</v>
      </c>
      <c r="Y1072" s="5">
        <v>0</v>
      </c>
      <c r="Z1072" s="5">
        <v>17.452055000000001</v>
      </c>
      <c r="AA1072" s="5">
        <v>10</v>
      </c>
      <c r="AB1072" s="5">
        <v>174.52054999999999</v>
      </c>
      <c r="AC1072" s="5" t="str">
        <f t="shared" si="52"/>
        <v>Bonos</v>
      </c>
      <c r="AD1072" s="5" t="s">
        <v>43</v>
      </c>
      <c r="AE1072" s="5">
        <f t="shared" si="53"/>
        <v>4</v>
      </c>
      <c r="AF1072" s="5">
        <f t="shared" si="54"/>
        <v>2021</v>
      </c>
    </row>
    <row r="1073" s="5" customFormat="1" ht="13">
      <c r="A1073" s="5" t="s">
        <v>44</v>
      </c>
      <c r="B1073" s="5" t="s">
        <v>44</v>
      </c>
      <c r="C1073" s="5" t="s">
        <v>99</v>
      </c>
      <c r="D1073" s="5" t="s">
        <v>21</v>
      </c>
      <c r="E1073" s="5" t="s">
        <v>44</v>
      </c>
      <c r="F1073" s="5" t="s">
        <v>100</v>
      </c>
      <c r="G1073" s="5" t="s">
        <v>47</v>
      </c>
      <c r="H1073" s="9" t="s">
        <v>101</v>
      </c>
      <c r="I1073" s="10"/>
      <c r="J1073" s="10">
        <v>44367</v>
      </c>
      <c r="K1073" s="5" t="s">
        <v>102</v>
      </c>
      <c r="L1073" s="5" t="s">
        <v>102</v>
      </c>
      <c r="M1073" s="11">
        <v>0.079000000000000001</v>
      </c>
      <c r="N1073" s="5" t="e">
        <f>IF(AND(M1073&gt;#REF!,Cartera!O1073="Guaraníes"),"Rendimiento significativo",IF(AND(M1073&gt;#REF!,Cartera!O1073="Dólares americanos"),"Rendimiento significativo","Rendimiento no significativo"))</f>
        <v>#REF!</v>
      </c>
      <c r="O1073" s="5" t="s">
        <v>41</v>
      </c>
      <c r="P1073" s="12">
        <v>1937500</v>
      </c>
      <c r="Q1073" s="12">
        <f>IF(O1073="Guaraníes",P1073,P1073*#REF!)</f>
        <v>1937500</v>
      </c>
      <c r="R1073" s="12" t="e">
        <f>IF(O1073="Guaraníes",P1073/#REF!,P1073)</f>
        <v>#REF!</v>
      </c>
      <c r="S1073" s="5" t="s">
        <v>52</v>
      </c>
      <c r="T1073" s="5">
        <v>4</v>
      </c>
      <c r="W1073" s="5" t="s">
        <v>334</v>
      </c>
      <c r="X1073" s="5">
        <v>0</v>
      </c>
      <c r="Y1073" s="5">
        <v>0</v>
      </c>
      <c r="Z1073" s="5">
        <v>38750</v>
      </c>
      <c r="AA1073" s="5">
        <v>50</v>
      </c>
      <c r="AB1073" s="5">
        <v>1937500</v>
      </c>
      <c r="AC1073" s="5" t="str">
        <f t="shared" si="52"/>
        <v>Bonos</v>
      </c>
      <c r="AD1073" s="5" t="s">
        <v>43</v>
      </c>
      <c r="AE1073" s="5">
        <f t="shared" si="53"/>
        <v>6</v>
      </c>
      <c r="AF1073" s="5">
        <f t="shared" si="54"/>
        <v>2021</v>
      </c>
    </row>
    <row r="1074" s="5" customFormat="1" ht="13">
      <c r="A1074" s="5" t="s">
        <v>44</v>
      </c>
      <c r="B1074" s="5" t="s">
        <v>44</v>
      </c>
      <c r="C1074" s="5" t="s">
        <v>304</v>
      </c>
      <c r="D1074" s="5" t="s">
        <v>21</v>
      </c>
      <c r="E1074" s="5" t="s">
        <v>44</v>
      </c>
      <c r="F1074" s="5" t="s">
        <v>68</v>
      </c>
      <c r="G1074" s="5" t="s">
        <v>47</v>
      </c>
      <c r="H1074" s="9" t="s">
        <v>305</v>
      </c>
      <c r="I1074" s="10"/>
      <c r="J1074" s="10">
        <v>44370</v>
      </c>
      <c r="K1074" s="5" t="s">
        <v>39</v>
      </c>
      <c r="L1074" s="5" t="s">
        <v>58</v>
      </c>
      <c r="M1074" s="11">
        <v>0.089999999999999997</v>
      </c>
      <c r="N1074" s="5" t="e">
        <f>IF(AND(M1074&gt;#REF!,Cartera!O1074="Guaraníes"),"Rendimiento significativo",IF(AND(M1074&gt;#REF!,Cartera!O1074="Dólares americanos"),"Rendimiento significativo","Rendimiento no significativo"))</f>
        <v>#REF!</v>
      </c>
      <c r="O1074" s="5" t="s">
        <v>41</v>
      </c>
      <c r="P1074" s="12">
        <v>2243835.6164000002</v>
      </c>
      <c r="Q1074" s="12">
        <f>IF(O1074="Guaraníes",P1074,P1074*#REF!)</f>
        <v>2243835.6164000002</v>
      </c>
      <c r="R1074" s="12" t="e">
        <f>IF(O1074="Guaraníes",P1074/#REF!,P1074)</f>
        <v>#REF!</v>
      </c>
      <c r="S1074" s="5" t="s">
        <v>52</v>
      </c>
      <c r="T1074" s="5">
        <v>4</v>
      </c>
      <c r="W1074" s="5" t="s">
        <v>335</v>
      </c>
      <c r="X1074" s="5">
        <v>0</v>
      </c>
      <c r="Y1074" s="5">
        <v>0</v>
      </c>
      <c r="Z1074" s="5">
        <v>22438.356164000001</v>
      </c>
      <c r="AA1074" s="5">
        <v>100</v>
      </c>
      <c r="AB1074" s="5">
        <v>2243835.6164000002</v>
      </c>
      <c r="AC1074" s="5" t="str">
        <f t="shared" si="52"/>
        <v>Bonos</v>
      </c>
      <c r="AD1074" s="5" t="s">
        <v>43</v>
      </c>
      <c r="AE1074" s="5">
        <f t="shared" si="53"/>
        <v>6</v>
      </c>
      <c r="AF1074" s="5">
        <f t="shared" si="54"/>
        <v>2021</v>
      </c>
    </row>
    <row r="1075" s="5" customFormat="1" ht="13">
      <c r="A1075" s="5" t="s">
        <v>44</v>
      </c>
      <c r="B1075" s="5" t="s">
        <v>44</v>
      </c>
      <c r="C1075" s="5" t="s">
        <v>33</v>
      </c>
      <c r="D1075" s="5" t="s">
        <v>21</v>
      </c>
      <c r="E1075" s="5" t="s">
        <v>44</v>
      </c>
      <c r="F1075" s="5" t="s">
        <v>35</v>
      </c>
      <c r="G1075" s="5" t="s">
        <v>47</v>
      </c>
      <c r="H1075" s="9" t="s">
        <v>303</v>
      </c>
      <c r="I1075" s="10"/>
      <c r="J1075" s="10">
        <v>44371</v>
      </c>
      <c r="K1075" s="5" t="s">
        <v>39</v>
      </c>
      <c r="L1075" s="5" t="s">
        <v>58</v>
      </c>
      <c r="M1075" s="11">
        <v>0.0625</v>
      </c>
      <c r="N1075" s="5" t="e">
        <f>IF(AND(M1075&gt;#REF!,Cartera!O1075="Guaraníes"),"Rendimiento significativo",IF(AND(M1075&gt;#REF!,Cartera!O1075="Dólares americanos"),"Rendimiento significativo","Rendimiento no significativo"))</f>
        <v>#REF!</v>
      </c>
      <c r="O1075" s="5" t="s">
        <v>51</v>
      </c>
      <c r="P1075" s="13">
        <v>623.28767999999991</v>
      </c>
      <c r="Q1075" s="12" t="e">
        <f>IF(O1075="Guaraníes",P1075,P1075*#REF!)</f>
        <v>#REF!</v>
      </c>
      <c r="R1075" s="12">
        <f>IF(O1075="Guaraníes",P1075/#REF!,P1075)</f>
        <v>623.28767999999991</v>
      </c>
      <c r="S1075" s="5" t="s">
        <v>52</v>
      </c>
      <c r="T1075" s="5">
        <v>4</v>
      </c>
      <c r="W1075" s="5" t="s">
        <v>336</v>
      </c>
      <c r="X1075" s="5">
        <v>0</v>
      </c>
      <c r="Y1075" s="5">
        <v>0</v>
      </c>
      <c r="Z1075" s="5">
        <v>15.582191999999999</v>
      </c>
      <c r="AA1075" s="5">
        <v>40</v>
      </c>
      <c r="AB1075" s="5">
        <v>623.28768000000002</v>
      </c>
      <c r="AC1075" s="5" t="str">
        <f t="shared" si="52"/>
        <v>Bonos</v>
      </c>
      <c r="AD1075" s="5" t="s">
        <v>43</v>
      </c>
      <c r="AE1075" s="5">
        <f t="shared" si="53"/>
        <v>6</v>
      </c>
      <c r="AF1075" s="5">
        <f t="shared" si="54"/>
        <v>2021</v>
      </c>
    </row>
    <row r="1076" s="5" customFormat="1" ht="13">
      <c r="A1076" s="5" t="s">
        <v>44</v>
      </c>
      <c r="B1076" s="5" t="s">
        <v>44</v>
      </c>
      <c r="C1076" s="5" t="s">
        <v>45</v>
      </c>
      <c r="D1076" s="5" t="s">
        <v>21</v>
      </c>
      <c r="E1076" s="5" t="s">
        <v>44</v>
      </c>
      <c r="F1076" s="5" t="s">
        <v>46</v>
      </c>
      <c r="G1076" s="5" t="s">
        <v>47</v>
      </c>
      <c r="H1076" s="9" t="s">
        <v>48</v>
      </c>
      <c r="I1076" s="10"/>
      <c r="J1076" s="10">
        <v>44403</v>
      </c>
      <c r="K1076" s="5" t="s">
        <v>49</v>
      </c>
      <c r="L1076" s="5" t="s">
        <v>50</v>
      </c>
      <c r="M1076" s="11">
        <v>0.052499999999999998</v>
      </c>
      <c r="N1076" s="5" t="e">
        <f>IF(AND(M1076&gt;#REF!,Cartera!O1076="Guaraníes"),"Rendimiento significativo",IF(AND(M1076&gt;#REF!,Cartera!O1076="Dólares americanos"),"Rendimiento significativo","Rendimiento no significativo"))</f>
        <v>#REF!</v>
      </c>
      <c r="O1076" s="5" t="s">
        <v>51</v>
      </c>
      <c r="P1076" s="13">
        <v>174.52055000000001</v>
      </c>
      <c r="Q1076" s="12" t="e">
        <f>IF(O1076="Guaraníes",P1076,P1076*#REF!)</f>
        <v>#REF!</v>
      </c>
      <c r="R1076" s="12">
        <f>IF(O1076="Guaraníes",P1076/#REF!,P1076)</f>
        <v>174.52055000000001</v>
      </c>
      <c r="S1076" s="5" t="s">
        <v>52</v>
      </c>
      <c r="T1076" s="5">
        <v>4</v>
      </c>
      <c r="W1076" s="5" t="s">
        <v>337</v>
      </c>
      <c r="X1076" s="5">
        <v>0</v>
      </c>
      <c r="Y1076" s="5">
        <v>0</v>
      </c>
      <c r="Z1076" s="5">
        <v>17.452055000000001</v>
      </c>
      <c r="AA1076" s="5">
        <v>10</v>
      </c>
      <c r="AB1076" s="5">
        <v>174.52054999999999</v>
      </c>
      <c r="AC1076" s="5" t="str">
        <f t="shared" si="52"/>
        <v>Bonos</v>
      </c>
      <c r="AD1076" s="5" t="s">
        <v>43</v>
      </c>
      <c r="AE1076" s="5">
        <f t="shared" si="53"/>
        <v>7</v>
      </c>
      <c r="AF1076" s="5">
        <f t="shared" si="54"/>
        <v>2021</v>
      </c>
    </row>
    <row r="1077" s="5" customFormat="1" ht="13">
      <c r="A1077" s="5" t="s">
        <v>44</v>
      </c>
      <c r="B1077" s="5" t="s">
        <v>44</v>
      </c>
      <c r="C1077" s="5" t="s">
        <v>99</v>
      </c>
      <c r="D1077" s="5" t="s">
        <v>21</v>
      </c>
      <c r="E1077" s="5" t="s">
        <v>44</v>
      </c>
      <c r="F1077" s="5" t="s">
        <v>100</v>
      </c>
      <c r="G1077" s="5" t="s">
        <v>47</v>
      </c>
      <c r="H1077" s="9" t="s">
        <v>238</v>
      </c>
      <c r="I1077" s="10"/>
      <c r="J1077" s="10">
        <v>44410</v>
      </c>
      <c r="K1077" s="5" t="s">
        <v>102</v>
      </c>
      <c r="L1077" s="5" t="s">
        <v>102</v>
      </c>
      <c r="M1077" s="11">
        <v>0.081000000000000003</v>
      </c>
      <c r="N1077" s="5" t="e">
        <f>IF(AND(M1077&gt;#REF!,Cartera!O1077="Guaraníes"),"Rendimiento significativo",IF(AND(M1077&gt;#REF!,Cartera!O1077="Dólares americanos"),"Rendimiento significativo","Rendimiento no significativo"))</f>
        <v>#REF!</v>
      </c>
      <c r="O1077" s="5" t="s">
        <v>41</v>
      </c>
      <c r="P1077" s="12">
        <v>6025068.4932000004</v>
      </c>
      <c r="Q1077" s="12">
        <f>IF(O1077="Guaraníes",P1077,P1077*#REF!)</f>
        <v>6025068.4932000004</v>
      </c>
      <c r="R1077" s="12" t="e">
        <f>IF(O1077="Guaraníes",P1077/#REF!,P1077)</f>
        <v>#REF!</v>
      </c>
      <c r="S1077" s="5" t="s">
        <v>52</v>
      </c>
      <c r="T1077" s="5">
        <v>4</v>
      </c>
      <c r="W1077" s="5" t="s">
        <v>338</v>
      </c>
      <c r="X1077" s="5">
        <v>0</v>
      </c>
      <c r="Y1077" s="5">
        <v>0</v>
      </c>
      <c r="Z1077" s="5">
        <v>40167.123288000003</v>
      </c>
      <c r="AA1077" s="5">
        <v>150</v>
      </c>
      <c r="AB1077" s="5">
        <v>6025068.4932000004</v>
      </c>
      <c r="AC1077" s="5" t="str">
        <f t="shared" si="52"/>
        <v>Bonos</v>
      </c>
      <c r="AD1077" s="5" t="s">
        <v>43</v>
      </c>
      <c r="AE1077" s="5">
        <f t="shared" si="53"/>
        <v>8</v>
      </c>
      <c r="AF1077" s="5">
        <f t="shared" si="54"/>
        <v>2021</v>
      </c>
    </row>
    <row r="1078" s="5" customFormat="1" ht="13">
      <c r="A1078" s="5" t="s">
        <v>44</v>
      </c>
      <c r="B1078" s="5" t="s">
        <v>44</v>
      </c>
      <c r="C1078" s="5" t="s">
        <v>288</v>
      </c>
      <c r="D1078" s="5" t="s">
        <v>21</v>
      </c>
      <c r="E1078" s="5" t="s">
        <v>44</v>
      </c>
      <c r="F1078" s="5" t="s">
        <v>68</v>
      </c>
      <c r="G1078" s="5" t="s">
        <v>47</v>
      </c>
      <c r="H1078" s="9" t="s">
        <v>293</v>
      </c>
      <c r="I1078" s="10"/>
      <c r="J1078" s="10">
        <v>44460</v>
      </c>
      <c r="K1078" s="5" t="s">
        <v>71</v>
      </c>
      <c r="L1078" s="5" t="s">
        <v>58</v>
      </c>
      <c r="M1078" s="11">
        <v>0.089999999999999997</v>
      </c>
      <c r="N1078" s="5" t="e">
        <f>IF(AND(M1078&gt;#REF!,Cartera!O1078="Guaraníes"),"Rendimiento significativo",IF(AND(M1078&gt;#REF!,Cartera!O1078="Dólares americanos"),"Rendimiento significativo","Rendimiento no significativo"))</f>
        <v>#REF!</v>
      </c>
      <c r="O1078" s="5" t="s">
        <v>51</v>
      </c>
      <c r="P1078" s="13">
        <v>188.630135</v>
      </c>
      <c r="Q1078" s="12" t="e">
        <f>IF(O1078="Guaraníes",P1078,P1078*#REF!)</f>
        <v>#REF!</v>
      </c>
      <c r="R1078" s="12">
        <f>IF(O1078="Guaraníes",P1078/#REF!,P1078)</f>
        <v>188.630135</v>
      </c>
      <c r="S1078" s="5" t="s">
        <v>52</v>
      </c>
      <c r="T1078" s="5">
        <v>4</v>
      </c>
      <c r="W1078" s="5" t="s">
        <v>339</v>
      </c>
      <c r="X1078" s="5">
        <v>0</v>
      </c>
      <c r="Y1078" s="5">
        <v>0</v>
      </c>
      <c r="Z1078" s="5">
        <v>37.726027000000002</v>
      </c>
      <c r="AA1078" s="5">
        <v>5</v>
      </c>
      <c r="AB1078" s="5">
        <v>188.630135</v>
      </c>
      <c r="AC1078" s="5" t="str">
        <f t="shared" si="52"/>
        <v>Bonos</v>
      </c>
      <c r="AD1078" s="5" t="s">
        <v>43</v>
      </c>
      <c r="AE1078" s="5">
        <f t="shared" si="53"/>
        <v>9</v>
      </c>
      <c r="AF1078" s="5">
        <f t="shared" si="54"/>
        <v>2021</v>
      </c>
    </row>
    <row r="1079" s="5" customFormat="1" ht="13">
      <c r="A1079" s="5" t="s">
        <v>44</v>
      </c>
      <c r="B1079" s="5" t="s">
        <v>44</v>
      </c>
      <c r="C1079" s="5" t="s">
        <v>288</v>
      </c>
      <c r="D1079" s="5" t="s">
        <v>21</v>
      </c>
      <c r="E1079" s="5" t="s">
        <v>44</v>
      </c>
      <c r="F1079" s="5" t="s">
        <v>68</v>
      </c>
      <c r="G1079" s="5" t="s">
        <v>47</v>
      </c>
      <c r="H1079" s="9" t="s">
        <v>289</v>
      </c>
      <c r="I1079" s="10"/>
      <c r="J1079" s="10">
        <v>44460</v>
      </c>
      <c r="K1079" s="5" t="s">
        <v>71</v>
      </c>
      <c r="L1079" s="5" t="s">
        <v>58</v>
      </c>
      <c r="M1079" s="11">
        <v>0.10000000000000001</v>
      </c>
      <c r="N1079" s="5" t="e">
        <f>IF(AND(M1079&gt;#REF!,Cartera!O1079="Guaraníes"),"Rendimiento significativo",IF(AND(M1079&gt;#REF!,Cartera!O1079="Dólares americanos"),"Rendimiento significativo","Rendimiento no significativo"))</f>
        <v>#REF!</v>
      </c>
      <c r="O1079" s="5" t="s">
        <v>51</v>
      </c>
      <c r="P1079" s="13">
        <v>209.58904000000001</v>
      </c>
      <c r="Q1079" s="12" t="e">
        <f>IF(O1079="Guaraníes",P1079,P1079*#REF!)</f>
        <v>#REF!</v>
      </c>
      <c r="R1079" s="12">
        <f>IF(O1079="Guaraníes",P1079/#REF!,P1079)</f>
        <v>209.58904000000001</v>
      </c>
      <c r="S1079" s="5" t="s">
        <v>52</v>
      </c>
      <c r="T1079" s="5">
        <v>4</v>
      </c>
      <c r="W1079" s="5" t="s">
        <v>340</v>
      </c>
      <c r="X1079" s="5">
        <v>0</v>
      </c>
      <c r="Y1079" s="5">
        <v>0</v>
      </c>
      <c r="Z1079" s="5">
        <v>41.917808000000001</v>
      </c>
      <c r="AA1079" s="5">
        <v>5</v>
      </c>
      <c r="AB1079" s="5">
        <v>209.58904000000001</v>
      </c>
      <c r="AC1079" s="5" t="str">
        <f t="shared" ref="AC1079:AC1142" si="55">IF(ISNUMBER(SEARCH("Acciones",L1079)),"Acciones",IF(ISNUMBER(SEARCH("Bono",L1079)),"Bonos",IF(ISNUMBER(SEARCH("CDA",L1079)),"CDA",IF(ISNUMBER(SEARCH("Fondo",L1079)),"Fondo",0))))</f>
        <v>Bonos</v>
      </c>
      <c r="AD1079" s="5" t="s">
        <v>43</v>
      </c>
      <c r="AE1079" s="5">
        <f t="shared" si="53"/>
        <v>9</v>
      </c>
      <c r="AF1079" s="5">
        <f t="shared" si="54"/>
        <v>2021</v>
      </c>
    </row>
    <row r="1080" s="5" customFormat="1" ht="13">
      <c r="A1080" s="5" t="s">
        <v>44</v>
      </c>
      <c r="B1080" s="5" t="s">
        <v>44</v>
      </c>
      <c r="C1080" s="5" t="s">
        <v>304</v>
      </c>
      <c r="D1080" s="5" t="s">
        <v>21</v>
      </c>
      <c r="E1080" s="5" t="s">
        <v>44</v>
      </c>
      <c r="F1080" s="5" t="s">
        <v>68</v>
      </c>
      <c r="G1080" s="5" t="s">
        <v>47</v>
      </c>
      <c r="H1080" s="9" t="s">
        <v>305</v>
      </c>
      <c r="I1080" s="10"/>
      <c r="J1080" s="10">
        <v>44461</v>
      </c>
      <c r="K1080" s="5" t="s">
        <v>39</v>
      </c>
      <c r="L1080" s="5" t="s">
        <v>58</v>
      </c>
      <c r="M1080" s="11">
        <v>0.089999999999999997</v>
      </c>
      <c r="N1080" s="5" t="e">
        <f>IF(AND(M1080&gt;#REF!,Cartera!O1080="Guaraníes"),"Rendimiento significativo",IF(AND(M1080&gt;#REF!,Cartera!O1080="Dólares americanos"),"Rendimiento significativo","Rendimiento no significativo"))</f>
        <v>#REF!</v>
      </c>
      <c r="O1080" s="5" t="s">
        <v>41</v>
      </c>
      <c r="P1080" s="12">
        <v>2243835.6164000002</v>
      </c>
      <c r="Q1080" s="12">
        <f>IF(O1080="Guaraníes",P1080,P1080*#REF!)</f>
        <v>2243835.6164000002</v>
      </c>
      <c r="R1080" s="12" t="e">
        <f>IF(O1080="Guaraníes",P1080/#REF!,P1080)</f>
        <v>#REF!</v>
      </c>
      <c r="S1080" s="5" t="s">
        <v>52</v>
      </c>
      <c r="T1080" s="5">
        <v>4</v>
      </c>
      <c r="W1080" s="5" t="s">
        <v>341</v>
      </c>
      <c r="X1080" s="5">
        <v>0</v>
      </c>
      <c r="Y1080" s="5">
        <v>0</v>
      </c>
      <c r="Z1080" s="5">
        <v>22438.356164000001</v>
      </c>
      <c r="AA1080" s="5">
        <v>100</v>
      </c>
      <c r="AB1080" s="5">
        <v>2243835.6164000002</v>
      </c>
      <c r="AC1080" s="5" t="str">
        <f t="shared" si="55"/>
        <v>Bonos</v>
      </c>
      <c r="AD1080" s="5" t="s">
        <v>43</v>
      </c>
      <c r="AE1080" s="5">
        <f t="shared" si="53"/>
        <v>9</v>
      </c>
      <c r="AF1080" s="5">
        <f t="shared" si="54"/>
        <v>2021</v>
      </c>
    </row>
    <row r="1081" s="5" customFormat="1" ht="13">
      <c r="A1081" s="5" t="s">
        <v>44</v>
      </c>
      <c r="B1081" s="5" t="s">
        <v>44</v>
      </c>
      <c r="C1081" s="5" t="s">
        <v>33</v>
      </c>
      <c r="D1081" s="5" t="s">
        <v>21</v>
      </c>
      <c r="E1081" s="5" t="s">
        <v>44</v>
      </c>
      <c r="F1081" s="5" t="s">
        <v>35</v>
      </c>
      <c r="G1081" s="5" t="s">
        <v>47</v>
      </c>
      <c r="H1081" s="9" t="s">
        <v>303</v>
      </c>
      <c r="I1081" s="10"/>
      <c r="J1081" s="10">
        <v>44462</v>
      </c>
      <c r="K1081" s="5" t="s">
        <v>39</v>
      </c>
      <c r="L1081" s="5" t="s">
        <v>58</v>
      </c>
      <c r="M1081" s="11">
        <v>0.0625</v>
      </c>
      <c r="N1081" s="5" t="e">
        <f>IF(AND(M1081&gt;#REF!,Cartera!O1081="Guaraníes"),"Rendimiento significativo",IF(AND(M1081&gt;#REF!,Cartera!O1081="Dólares americanos"),"Rendimiento significativo","Rendimiento no significativo"))</f>
        <v>#REF!</v>
      </c>
      <c r="O1081" s="5" t="s">
        <v>51</v>
      </c>
      <c r="P1081" s="13">
        <v>623.28767999999991</v>
      </c>
      <c r="Q1081" s="12" t="e">
        <f>IF(O1081="Guaraníes",P1081,P1081*#REF!)</f>
        <v>#REF!</v>
      </c>
      <c r="R1081" s="12">
        <f>IF(O1081="Guaraníes",P1081/#REF!,P1081)</f>
        <v>623.28767999999991</v>
      </c>
      <c r="S1081" s="5" t="s">
        <v>52</v>
      </c>
      <c r="T1081" s="5">
        <v>4</v>
      </c>
      <c r="W1081" s="5" t="s">
        <v>342</v>
      </c>
      <c r="X1081" s="5">
        <v>0</v>
      </c>
      <c r="Y1081" s="5">
        <v>0</v>
      </c>
      <c r="Z1081" s="5">
        <v>15.582191999999999</v>
      </c>
      <c r="AA1081" s="5">
        <v>40</v>
      </c>
      <c r="AB1081" s="5">
        <v>623.28768000000002</v>
      </c>
      <c r="AC1081" s="5" t="str">
        <f t="shared" si="55"/>
        <v>Bonos</v>
      </c>
      <c r="AD1081" s="5" t="s">
        <v>43</v>
      </c>
      <c r="AE1081" s="5">
        <f t="shared" si="53"/>
        <v>9</v>
      </c>
      <c r="AF1081" s="5">
        <f t="shared" si="54"/>
        <v>2021</v>
      </c>
    </row>
    <row r="1082" s="5" customFormat="1" ht="13">
      <c r="A1082" s="5" t="s">
        <v>44</v>
      </c>
      <c r="B1082" s="5" t="s">
        <v>44</v>
      </c>
      <c r="C1082" s="5" t="s">
        <v>45</v>
      </c>
      <c r="D1082" s="5" t="s">
        <v>21</v>
      </c>
      <c r="E1082" s="5" t="s">
        <v>44</v>
      </c>
      <c r="F1082" s="5" t="s">
        <v>46</v>
      </c>
      <c r="G1082" s="5" t="s">
        <v>47</v>
      </c>
      <c r="H1082" s="9" t="s">
        <v>48</v>
      </c>
      <c r="I1082" s="10"/>
      <c r="J1082" s="10">
        <v>44494</v>
      </c>
      <c r="K1082" s="5" t="s">
        <v>49</v>
      </c>
      <c r="L1082" s="5" t="s">
        <v>50</v>
      </c>
      <c r="M1082" s="11">
        <v>0.052499999999999998</v>
      </c>
      <c r="N1082" s="5" t="e">
        <f>IF(AND(M1082&gt;#REF!,Cartera!O1082="Guaraníes"),"Rendimiento significativo",IF(AND(M1082&gt;#REF!,Cartera!O1082="Dólares americanos"),"Rendimiento significativo","Rendimiento no significativo"))</f>
        <v>#REF!</v>
      </c>
      <c r="O1082" s="5" t="s">
        <v>51</v>
      </c>
      <c r="P1082" s="13">
        <v>174.52055000000001</v>
      </c>
      <c r="Q1082" s="12" t="e">
        <f>IF(O1082="Guaraníes",P1082,P1082*#REF!)</f>
        <v>#REF!</v>
      </c>
      <c r="R1082" s="12">
        <f>IF(O1082="Guaraníes",P1082/#REF!,P1082)</f>
        <v>174.52055000000001</v>
      </c>
      <c r="S1082" s="5" t="s">
        <v>52</v>
      </c>
      <c r="T1082" s="5">
        <v>4</v>
      </c>
      <c r="W1082" s="5" t="s">
        <v>343</v>
      </c>
      <c r="X1082" s="5">
        <v>0</v>
      </c>
      <c r="Y1082" s="5">
        <v>0</v>
      </c>
      <c r="Z1082" s="5">
        <v>17.452055000000001</v>
      </c>
      <c r="AA1082" s="5">
        <v>10</v>
      </c>
      <c r="AB1082" s="5">
        <v>174.52054999999999</v>
      </c>
      <c r="AC1082" s="5" t="str">
        <f t="shared" si="55"/>
        <v>Bonos</v>
      </c>
      <c r="AD1082" s="5" t="s">
        <v>43</v>
      </c>
      <c r="AE1082" s="5">
        <f t="shared" si="53"/>
        <v>10</v>
      </c>
      <c r="AF1082" s="5">
        <f t="shared" si="54"/>
        <v>2021</v>
      </c>
    </row>
    <row r="1083" s="5" customFormat="1" ht="13">
      <c r="A1083" s="5" t="s">
        <v>44</v>
      </c>
      <c r="B1083" s="5" t="s">
        <v>44</v>
      </c>
      <c r="C1083" s="5" t="s">
        <v>99</v>
      </c>
      <c r="D1083" s="5" t="s">
        <v>21</v>
      </c>
      <c r="E1083" s="5" t="s">
        <v>44</v>
      </c>
      <c r="F1083" s="5" t="s">
        <v>100</v>
      </c>
      <c r="G1083" s="5" t="s">
        <v>47</v>
      </c>
      <c r="H1083" s="9" t="s">
        <v>101</v>
      </c>
      <c r="I1083" s="10"/>
      <c r="J1083" s="10">
        <v>44550</v>
      </c>
      <c r="K1083" s="5" t="s">
        <v>102</v>
      </c>
      <c r="L1083" s="5" t="s">
        <v>102</v>
      </c>
      <c r="M1083" s="11">
        <v>0.079000000000000001</v>
      </c>
      <c r="N1083" s="5" t="e">
        <f>IF(AND(M1083&gt;#REF!,Cartera!O1083="Guaraníes"),"Rendimiento significativo",IF(AND(M1083&gt;#REF!,Cartera!O1083="Dólares americanos"),"Rendimiento significativo","Rendimiento no significativo"))</f>
        <v>#REF!</v>
      </c>
      <c r="O1083" s="5" t="s">
        <v>41</v>
      </c>
      <c r="P1083" s="12">
        <v>1937500</v>
      </c>
      <c r="Q1083" s="12">
        <f>IF(O1083="Guaraníes",P1083,P1083*#REF!)</f>
        <v>1937500</v>
      </c>
      <c r="R1083" s="12" t="e">
        <f>IF(O1083="Guaraníes",P1083/#REF!,P1083)</f>
        <v>#REF!</v>
      </c>
      <c r="S1083" s="5" t="s">
        <v>52</v>
      </c>
      <c r="T1083" s="5">
        <v>4</v>
      </c>
      <c r="W1083" s="5" t="e">
        <v>#REF!</v>
      </c>
      <c r="X1083" s="5">
        <v>0</v>
      </c>
      <c r="Y1083" s="5">
        <v>0</v>
      </c>
      <c r="Z1083" s="5">
        <v>38750</v>
      </c>
      <c r="AA1083" s="5">
        <v>50</v>
      </c>
      <c r="AB1083" s="5">
        <v>1937500</v>
      </c>
      <c r="AC1083" s="5" t="str">
        <f t="shared" si="55"/>
        <v>Bonos</v>
      </c>
      <c r="AD1083" s="5" t="s">
        <v>43</v>
      </c>
      <c r="AE1083" s="5">
        <f t="shared" si="53"/>
        <v>12</v>
      </c>
      <c r="AF1083" s="5">
        <f t="shared" si="54"/>
        <v>2021</v>
      </c>
    </row>
    <row r="1084" s="5" customFormat="1" ht="13">
      <c r="A1084" s="5" t="s">
        <v>44</v>
      </c>
      <c r="B1084" s="5" t="s">
        <v>44</v>
      </c>
      <c r="C1084" s="5" t="s">
        <v>33</v>
      </c>
      <c r="D1084" s="5" t="s">
        <v>21</v>
      </c>
      <c r="E1084" s="5" t="s">
        <v>44</v>
      </c>
      <c r="F1084" s="5" t="s">
        <v>35</v>
      </c>
      <c r="G1084" s="5" t="s">
        <v>47</v>
      </c>
      <c r="H1084" s="9" t="s">
        <v>303</v>
      </c>
      <c r="I1084" s="10"/>
      <c r="J1084" s="10">
        <v>44553</v>
      </c>
      <c r="K1084" s="5" t="s">
        <v>39</v>
      </c>
      <c r="L1084" s="5" t="s">
        <v>58</v>
      </c>
      <c r="M1084" s="11">
        <v>0.0625</v>
      </c>
      <c r="N1084" s="5" t="e">
        <f>IF(AND(M1084&gt;#REF!,Cartera!O1084="Guaraníes"),"Rendimiento significativo",IF(AND(M1084&gt;#REF!,Cartera!O1084="Dólares americanos"),"Rendimiento significativo","Rendimiento no significativo"))</f>
        <v>#REF!</v>
      </c>
      <c r="O1084" s="5" t="s">
        <v>51</v>
      </c>
      <c r="P1084" s="13">
        <v>623.28767999999991</v>
      </c>
      <c r="Q1084" s="12" t="e">
        <f>IF(O1084="Guaraníes",P1084,P1084*#REF!)</f>
        <v>#REF!</v>
      </c>
      <c r="R1084" s="12">
        <f>IF(O1084="Guaraníes",P1084/#REF!,P1084)</f>
        <v>623.28767999999991</v>
      </c>
      <c r="S1084" s="5" t="s">
        <v>52</v>
      </c>
      <c r="T1084" s="5">
        <v>4</v>
      </c>
      <c r="W1084" s="5" t="e">
        <v>#REF!</v>
      </c>
      <c r="X1084" s="5">
        <v>0</v>
      </c>
      <c r="Y1084" s="5">
        <v>0</v>
      </c>
      <c r="Z1084" s="5">
        <v>15.582191999999999</v>
      </c>
      <c r="AA1084" s="5">
        <v>40</v>
      </c>
      <c r="AB1084" s="5">
        <v>623.28768000000002</v>
      </c>
      <c r="AC1084" s="5" t="str">
        <f t="shared" si="55"/>
        <v>Bonos</v>
      </c>
      <c r="AD1084" s="5" t="s">
        <v>43</v>
      </c>
      <c r="AE1084" s="5">
        <f t="shared" si="53"/>
        <v>12</v>
      </c>
      <c r="AF1084" s="5">
        <f t="shared" si="54"/>
        <v>2021</v>
      </c>
    </row>
    <row r="1085" s="5" customFormat="1" ht="13">
      <c r="A1085" s="5" t="s">
        <v>44</v>
      </c>
      <c r="B1085" s="5" t="s">
        <v>44</v>
      </c>
      <c r="C1085" s="5" t="s">
        <v>304</v>
      </c>
      <c r="D1085" s="5" t="s">
        <v>21</v>
      </c>
      <c r="E1085" s="5" t="s">
        <v>44</v>
      </c>
      <c r="F1085" s="5" t="s">
        <v>68</v>
      </c>
      <c r="G1085" s="5" t="s">
        <v>47</v>
      </c>
      <c r="H1085" s="9" t="s">
        <v>305</v>
      </c>
      <c r="I1085" s="10"/>
      <c r="J1085" s="10">
        <v>44553</v>
      </c>
      <c r="K1085" s="5" t="s">
        <v>39</v>
      </c>
      <c r="L1085" s="5" t="s">
        <v>58</v>
      </c>
      <c r="M1085" s="11">
        <v>0.089999999999999997</v>
      </c>
      <c r="N1085" s="5" t="e">
        <f>IF(AND(M1085&gt;#REF!,Cartera!O1085="Guaraníes"),"Rendimiento significativo",IF(AND(M1085&gt;#REF!,Cartera!O1085="Dólares americanos"),"Rendimiento significativo","Rendimiento no significativo"))</f>
        <v>#REF!</v>
      </c>
      <c r="O1085" s="5" t="s">
        <v>41</v>
      </c>
      <c r="P1085" s="12">
        <v>2268493.1507000001</v>
      </c>
      <c r="Q1085" s="12">
        <f>IF(O1085="Guaraníes",P1085,P1085*#REF!)</f>
        <v>2268493.1507000001</v>
      </c>
      <c r="R1085" s="12" t="e">
        <f>IF(O1085="Guaraníes",P1085/#REF!,P1085)</f>
        <v>#REF!</v>
      </c>
      <c r="S1085" s="5" t="s">
        <v>52</v>
      </c>
      <c r="T1085" s="5">
        <v>4</v>
      </c>
      <c r="W1085" s="5" t="e">
        <v>#REF!</v>
      </c>
      <c r="X1085" s="5">
        <v>0</v>
      </c>
      <c r="Y1085" s="5">
        <v>0</v>
      </c>
      <c r="Z1085" s="5">
        <v>22684.931507000001</v>
      </c>
      <c r="AA1085" s="5">
        <v>100</v>
      </c>
      <c r="AB1085" s="5">
        <v>2268493.1507000001</v>
      </c>
      <c r="AC1085" s="5" t="str">
        <f t="shared" si="55"/>
        <v>Bonos</v>
      </c>
      <c r="AD1085" s="5" t="s">
        <v>43</v>
      </c>
      <c r="AE1085" s="5">
        <f t="shared" si="53"/>
        <v>12</v>
      </c>
      <c r="AF1085" s="5">
        <f t="shared" si="54"/>
        <v>2021</v>
      </c>
    </row>
    <row r="1086" s="5" customFormat="1" ht="13">
      <c r="A1086" s="5" t="s">
        <v>44</v>
      </c>
      <c r="B1086" s="5" t="s">
        <v>44</v>
      </c>
      <c r="C1086" s="5" t="s">
        <v>45</v>
      </c>
      <c r="D1086" s="5" t="s">
        <v>21</v>
      </c>
      <c r="E1086" s="5" t="s">
        <v>44</v>
      </c>
      <c r="F1086" s="5" t="s">
        <v>46</v>
      </c>
      <c r="G1086" s="5" t="s">
        <v>47</v>
      </c>
      <c r="H1086" s="9" t="s">
        <v>48</v>
      </c>
      <c r="I1086" s="10"/>
      <c r="J1086" s="10">
        <v>44585</v>
      </c>
      <c r="K1086" s="5" t="s">
        <v>49</v>
      </c>
      <c r="L1086" s="5" t="s">
        <v>50</v>
      </c>
      <c r="M1086" s="11">
        <v>0.052499999999999998</v>
      </c>
      <c r="N1086" s="5" t="e">
        <f>IF(AND(M1086&gt;#REF!,Cartera!O1086="Guaraníes"),"Rendimiento significativo",IF(AND(M1086&gt;#REF!,Cartera!O1086="Dólares americanos"),"Rendimiento significativo","Rendimiento no significativo"))</f>
        <v>#REF!</v>
      </c>
      <c r="O1086" s="5" t="s">
        <v>51</v>
      </c>
      <c r="P1086" s="13">
        <v>174.52055000000001</v>
      </c>
      <c r="Q1086" s="12" t="e">
        <f>IF(O1086="Guaraníes",P1086,P1086*#REF!)</f>
        <v>#REF!</v>
      </c>
      <c r="R1086" s="12">
        <f>IF(O1086="Guaraníes",P1086/#REF!,P1086)</f>
        <v>174.52055000000001</v>
      </c>
      <c r="S1086" s="5" t="s">
        <v>52</v>
      </c>
      <c r="T1086" s="5">
        <v>4</v>
      </c>
      <c r="W1086" s="5" t="e">
        <v>#REF!</v>
      </c>
      <c r="X1086" s="5">
        <v>0</v>
      </c>
      <c r="Y1086" s="5">
        <v>0</v>
      </c>
      <c r="Z1086" s="5">
        <v>17.452055000000001</v>
      </c>
      <c r="AA1086" s="5">
        <v>10</v>
      </c>
      <c r="AB1086" s="5">
        <v>174.52054999999999</v>
      </c>
      <c r="AC1086" s="5" t="str">
        <f t="shared" si="55"/>
        <v>Bonos</v>
      </c>
      <c r="AD1086" s="5" t="s">
        <v>43</v>
      </c>
      <c r="AE1086" s="5">
        <f t="shared" si="53"/>
        <v>1</v>
      </c>
      <c r="AF1086" s="5">
        <f t="shared" si="54"/>
        <v>2022</v>
      </c>
    </row>
    <row r="1087" s="5" customFormat="1" ht="13">
      <c r="A1087" s="5" t="s">
        <v>44</v>
      </c>
      <c r="B1087" s="5" t="s">
        <v>44</v>
      </c>
      <c r="C1087" s="5" t="s">
        <v>99</v>
      </c>
      <c r="D1087" s="5" t="s">
        <v>21</v>
      </c>
      <c r="E1087" s="5" t="s">
        <v>44</v>
      </c>
      <c r="F1087" s="5" t="s">
        <v>100</v>
      </c>
      <c r="G1087" s="5" t="s">
        <v>47</v>
      </c>
      <c r="H1087" s="9" t="s">
        <v>238</v>
      </c>
      <c r="I1087" s="10"/>
      <c r="J1087" s="10">
        <v>44594</v>
      </c>
      <c r="K1087" s="5" t="s">
        <v>102</v>
      </c>
      <c r="L1087" s="5" t="s">
        <v>102</v>
      </c>
      <c r="M1087" s="11">
        <v>0.081000000000000003</v>
      </c>
      <c r="N1087" s="5" t="e">
        <f>IF(AND(M1087&gt;#REF!,Cartera!O1087="Guaraníes"),"Rendimiento significativo",IF(AND(M1087&gt;#REF!,Cartera!O1087="Dólares americanos"),"Rendimiento significativo","Rendimiento no significativo"))</f>
        <v>#REF!</v>
      </c>
      <c r="O1087" s="5" t="s">
        <v>41</v>
      </c>
      <c r="P1087" s="12">
        <v>6124931.5067999996</v>
      </c>
      <c r="Q1087" s="12">
        <f>IF(O1087="Guaraníes",P1087,P1087*#REF!)</f>
        <v>6124931.5067999996</v>
      </c>
      <c r="R1087" s="12" t="e">
        <f>IF(O1087="Guaraníes",P1087/#REF!,P1087)</f>
        <v>#REF!</v>
      </c>
      <c r="S1087" s="5" t="s">
        <v>52</v>
      </c>
      <c r="T1087" s="5">
        <v>4</v>
      </c>
      <c r="W1087" s="5" t="e">
        <v>#REF!</v>
      </c>
      <c r="X1087" s="5">
        <v>0</v>
      </c>
      <c r="Y1087" s="5">
        <v>0</v>
      </c>
      <c r="Z1087" s="5">
        <v>40832.876711999997</v>
      </c>
      <c r="AA1087" s="5">
        <v>150</v>
      </c>
      <c r="AB1087" s="5">
        <v>6124931.5067999996</v>
      </c>
      <c r="AC1087" s="5" t="str">
        <f t="shared" si="55"/>
        <v>Bonos</v>
      </c>
      <c r="AD1087" s="5" t="s">
        <v>43</v>
      </c>
      <c r="AE1087" s="5">
        <f t="shared" si="53"/>
        <v>2</v>
      </c>
      <c r="AF1087" s="5">
        <f t="shared" si="54"/>
        <v>2022</v>
      </c>
    </row>
    <row r="1088" s="5" customFormat="1" ht="13">
      <c r="A1088" s="5" t="s">
        <v>44</v>
      </c>
      <c r="B1088" s="5" t="s">
        <v>44</v>
      </c>
      <c r="C1088" s="5" t="s">
        <v>33</v>
      </c>
      <c r="D1088" s="5" t="s">
        <v>21</v>
      </c>
      <c r="E1088" s="5" t="s">
        <v>44</v>
      </c>
      <c r="F1088" s="5" t="s">
        <v>35</v>
      </c>
      <c r="G1088" s="5" t="s">
        <v>47</v>
      </c>
      <c r="H1088" s="9" t="s">
        <v>303</v>
      </c>
      <c r="I1088" s="10"/>
      <c r="J1088" s="10">
        <v>44644</v>
      </c>
      <c r="K1088" s="5" t="s">
        <v>39</v>
      </c>
      <c r="L1088" s="5" t="s">
        <v>58</v>
      </c>
      <c r="M1088" s="11">
        <v>0.0625</v>
      </c>
      <c r="N1088" s="5" t="e">
        <f>IF(AND(M1088&gt;#REF!,Cartera!O1088="Guaraníes"),"Rendimiento significativo",IF(AND(M1088&gt;#REF!,Cartera!O1088="Dólares americanos"),"Rendimiento significativo","Rendimiento no significativo"))</f>
        <v>#REF!</v>
      </c>
      <c r="O1088" s="5" t="s">
        <v>51</v>
      </c>
      <c r="P1088" s="13">
        <v>623.28767999999991</v>
      </c>
      <c r="Q1088" s="12" t="e">
        <f>IF(O1088="Guaraníes",P1088,P1088*#REF!)</f>
        <v>#REF!</v>
      </c>
      <c r="R1088" s="12">
        <f>IF(O1088="Guaraníes",P1088/#REF!,P1088)</f>
        <v>623.28767999999991</v>
      </c>
      <c r="S1088" s="5" t="s">
        <v>52</v>
      </c>
      <c r="T1088" s="5">
        <v>4</v>
      </c>
      <c r="W1088" s="5" t="e">
        <v>#REF!</v>
      </c>
      <c r="X1088" s="5">
        <v>0</v>
      </c>
      <c r="Y1088" s="5">
        <v>0</v>
      </c>
      <c r="Z1088" s="5">
        <v>15.582191999999999</v>
      </c>
      <c r="AA1088" s="5">
        <v>40</v>
      </c>
      <c r="AB1088" s="5">
        <v>623.28768000000002</v>
      </c>
      <c r="AC1088" s="5" t="str">
        <f t="shared" si="55"/>
        <v>Bonos</v>
      </c>
      <c r="AD1088" s="5" t="s">
        <v>43</v>
      </c>
      <c r="AE1088" s="5">
        <f t="shared" si="53"/>
        <v>3</v>
      </c>
      <c r="AF1088" s="5">
        <f t="shared" si="54"/>
        <v>2022</v>
      </c>
    </row>
    <row r="1089" s="5" customFormat="1" ht="13">
      <c r="A1089" s="5" t="s">
        <v>44</v>
      </c>
      <c r="B1089" s="5" t="s">
        <v>44</v>
      </c>
      <c r="C1089" s="5" t="s">
        <v>304</v>
      </c>
      <c r="D1089" s="5" t="s">
        <v>21</v>
      </c>
      <c r="E1089" s="5" t="s">
        <v>44</v>
      </c>
      <c r="F1089" s="5" t="s">
        <v>68</v>
      </c>
      <c r="G1089" s="5" t="s">
        <v>47</v>
      </c>
      <c r="H1089" s="9" t="s">
        <v>305</v>
      </c>
      <c r="I1089" s="10"/>
      <c r="J1089" s="10">
        <v>44645</v>
      </c>
      <c r="K1089" s="5" t="s">
        <v>39</v>
      </c>
      <c r="L1089" s="5" t="s">
        <v>58</v>
      </c>
      <c r="M1089" s="11">
        <v>0.089999999999999997</v>
      </c>
      <c r="N1089" s="5" t="e">
        <f>IF(AND(M1089&gt;#REF!,Cartera!O1089="Guaraníes"),"Rendimiento significativo",IF(AND(M1089&gt;#REF!,Cartera!O1089="Dólares americanos"),"Rendimiento significativo","Rendimiento no significativo"))</f>
        <v>#REF!</v>
      </c>
      <c r="O1089" s="5" t="s">
        <v>41</v>
      </c>
      <c r="P1089" s="12">
        <v>2268493.1507000001</v>
      </c>
      <c r="Q1089" s="12">
        <f>IF(O1089="Guaraníes",P1089,P1089*#REF!)</f>
        <v>2268493.1507000001</v>
      </c>
      <c r="R1089" s="12" t="e">
        <f>IF(O1089="Guaraníes",P1089/#REF!,P1089)</f>
        <v>#REF!</v>
      </c>
      <c r="S1089" s="5" t="s">
        <v>52</v>
      </c>
      <c r="T1089" s="5">
        <v>4</v>
      </c>
      <c r="W1089" s="5" t="e">
        <v>#REF!</v>
      </c>
      <c r="X1089" s="5">
        <v>0</v>
      </c>
      <c r="Y1089" s="5">
        <v>0</v>
      </c>
      <c r="Z1089" s="5">
        <v>22684.931507000001</v>
      </c>
      <c r="AA1089" s="5">
        <v>100</v>
      </c>
      <c r="AB1089" s="5">
        <v>2268493.1507000001</v>
      </c>
      <c r="AC1089" s="5" t="str">
        <f t="shared" si="55"/>
        <v>Bonos</v>
      </c>
      <c r="AD1089" s="5" t="s">
        <v>43</v>
      </c>
      <c r="AE1089" s="5">
        <f t="shared" si="53"/>
        <v>3</v>
      </c>
      <c r="AF1089" s="5">
        <f t="shared" si="54"/>
        <v>2022</v>
      </c>
    </row>
    <row r="1090" s="5" customFormat="1" ht="13">
      <c r="A1090" s="5" t="s">
        <v>44</v>
      </c>
      <c r="B1090" s="5" t="s">
        <v>44</v>
      </c>
      <c r="C1090" s="5" t="s">
        <v>288</v>
      </c>
      <c r="D1090" s="5" t="s">
        <v>20</v>
      </c>
      <c r="E1090" s="5" t="s">
        <v>44</v>
      </c>
      <c r="F1090" s="5" t="s">
        <v>68</v>
      </c>
      <c r="G1090" s="5" t="s">
        <v>47</v>
      </c>
      <c r="H1090" s="9" t="s">
        <v>293</v>
      </c>
      <c r="I1090" s="10">
        <v>42933</v>
      </c>
      <c r="J1090" s="10">
        <v>44672</v>
      </c>
      <c r="K1090" s="5" t="s">
        <v>71</v>
      </c>
      <c r="L1090" s="5" t="s">
        <v>58</v>
      </c>
      <c r="M1090" s="11">
        <v>0.089999999999999997</v>
      </c>
      <c r="N1090" s="5" t="e">
        <f>IF(AND(M1090&gt;#REF!,Cartera!O1090="Guaraníes"),"Rendimiento significativo",IF(AND(M1090&gt;#REF!,Cartera!O1090="Dólares americanos"),"Rendimiento significativo","Rendimiento no significativo"))</f>
        <v>#REF!</v>
      </c>
      <c r="O1090" s="5" t="s">
        <v>51</v>
      </c>
      <c r="P1090" s="13">
        <v>5000</v>
      </c>
      <c r="Q1090" s="12" t="e">
        <f>IF(O1090="Guaraníes",P1090,P1090*#REF!)</f>
        <v>#REF!</v>
      </c>
      <c r="R1090" s="12">
        <f>IF(O1090="Guaraníes",P1090/#REF!,P1090)</f>
        <v>5000</v>
      </c>
      <c r="S1090" s="5" t="s">
        <v>52</v>
      </c>
      <c r="AC1090" s="5" t="str">
        <f t="shared" si="55"/>
        <v>Bonos</v>
      </c>
      <c r="AD1090" s="5" t="s">
        <v>43</v>
      </c>
      <c r="AE1090" s="5">
        <f t="shared" si="53"/>
        <v>4</v>
      </c>
      <c r="AF1090" s="5">
        <f t="shared" si="54"/>
        <v>2022</v>
      </c>
    </row>
    <row r="1091" s="5" customFormat="1" ht="13">
      <c r="A1091" s="5" t="s">
        <v>44</v>
      </c>
      <c r="B1091" s="5" t="s">
        <v>44</v>
      </c>
      <c r="C1091" s="5" t="s">
        <v>288</v>
      </c>
      <c r="D1091" s="5" t="s">
        <v>21</v>
      </c>
      <c r="E1091" s="5" t="s">
        <v>44</v>
      </c>
      <c r="F1091" s="5" t="s">
        <v>68</v>
      </c>
      <c r="G1091" s="5" t="s">
        <v>47</v>
      </c>
      <c r="H1091" s="9" t="s">
        <v>293</v>
      </c>
      <c r="I1091" s="10"/>
      <c r="J1091" s="10">
        <v>44672</v>
      </c>
      <c r="K1091" s="5" t="s">
        <v>71</v>
      </c>
      <c r="L1091" s="5" t="s">
        <v>58</v>
      </c>
      <c r="M1091" s="11">
        <v>0.089999999999999997</v>
      </c>
      <c r="N1091" s="5" t="e">
        <f>IF(AND(M1091&gt;#REF!,Cartera!O1091="Guaraníes"),"Rendimiento significativo",IF(AND(M1091&gt;#REF!,Cartera!O1091="Dólares americanos"),"Rendimiento significativo","Rendimiento no significativo"))</f>
        <v>#REF!</v>
      </c>
      <c r="O1091" s="5" t="s">
        <v>51</v>
      </c>
      <c r="P1091" s="13">
        <v>5261.3698650000006</v>
      </c>
      <c r="Q1091" s="12" t="e">
        <f>IF(O1091="Guaraníes",P1091,P1091*#REF!)</f>
        <v>#REF!</v>
      </c>
      <c r="R1091" s="12">
        <f>IF(O1091="Guaraníes",P1091/#REF!,P1091)</f>
        <v>5261.3698650000006</v>
      </c>
      <c r="S1091" s="5" t="s">
        <v>52</v>
      </c>
      <c r="T1091" s="5">
        <v>4</v>
      </c>
      <c r="U1091" s="5">
        <v>5000</v>
      </c>
      <c r="V1091" s="5">
        <v>2268754.5205649999</v>
      </c>
      <c r="W1091" s="5" t="s">
        <v>137</v>
      </c>
      <c r="X1091" s="5">
        <v>100</v>
      </c>
      <c r="Y1091" s="5">
        <v>1000</v>
      </c>
      <c r="Z1091" s="5">
        <v>1052.2739730000001</v>
      </c>
      <c r="AA1091" s="5">
        <v>5</v>
      </c>
      <c r="AB1091" s="5">
        <v>5261.3698649999997</v>
      </c>
      <c r="AC1091" s="5" t="str">
        <f t="shared" si="55"/>
        <v>Bonos</v>
      </c>
      <c r="AD1091" s="5" t="s">
        <v>43</v>
      </c>
      <c r="AE1091" s="5">
        <f t="shared" si="53"/>
        <v>4</v>
      </c>
      <c r="AF1091" s="5">
        <f t="shared" si="54"/>
        <v>2022</v>
      </c>
    </row>
    <row r="1092" s="5" customFormat="1" ht="13">
      <c r="A1092" s="5" t="s">
        <v>44</v>
      </c>
      <c r="B1092" s="5" t="s">
        <v>44</v>
      </c>
      <c r="C1092" s="5" t="s">
        <v>288</v>
      </c>
      <c r="D1092" s="5" t="s">
        <v>21</v>
      </c>
      <c r="E1092" s="5" t="s">
        <v>44</v>
      </c>
      <c r="F1092" s="5" t="s">
        <v>68</v>
      </c>
      <c r="G1092" s="5" t="s">
        <v>47</v>
      </c>
      <c r="H1092" s="9" t="s">
        <v>289</v>
      </c>
      <c r="I1092" s="10"/>
      <c r="J1092" s="10">
        <v>44672</v>
      </c>
      <c r="K1092" s="5" t="s">
        <v>71</v>
      </c>
      <c r="L1092" s="5" t="s">
        <v>58</v>
      </c>
      <c r="M1092" s="11">
        <v>0.10000000000000001</v>
      </c>
      <c r="N1092" s="5" t="e">
        <f>IF(AND(M1092&gt;#REF!,Cartera!O1092="Guaraníes"),"Rendimiento significativo",IF(AND(M1092&gt;#REF!,Cartera!O1092="Dólares americanos"),"Rendimiento significativo","Rendimiento no significativo"))</f>
        <v>#REF!</v>
      </c>
      <c r="O1092" s="5" t="s">
        <v>51</v>
      </c>
      <c r="P1092" s="13">
        <v>290.41095999999999</v>
      </c>
      <c r="Q1092" s="12" t="e">
        <f>IF(O1092="Guaraníes",P1092,P1092*#REF!)</f>
        <v>#REF!</v>
      </c>
      <c r="R1092" s="12">
        <f>IF(O1092="Guaraníes",P1092/#REF!,P1092)</f>
        <v>290.41095999999999</v>
      </c>
      <c r="S1092" s="5" t="s">
        <v>52</v>
      </c>
      <c r="T1092" s="5">
        <v>4</v>
      </c>
      <c r="W1092" s="5" t="s">
        <v>250</v>
      </c>
      <c r="X1092" s="5">
        <v>0</v>
      </c>
      <c r="Y1092" s="5">
        <v>0</v>
      </c>
      <c r="Z1092" s="5">
        <v>58.082191999999999</v>
      </c>
      <c r="AA1092" s="5">
        <v>5</v>
      </c>
      <c r="AB1092" s="5">
        <v>290.41095999999999</v>
      </c>
      <c r="AC1092" s="5" t="str">
        <f t="shared" si="55"/>
        <v>Bonos</v>
      </c>
      <c r="AD1092" s="5" t="s">
        <v>43</v>
      </c>
      <c r="AE1092" s="5">
        <f t="shared" si="53"/>
        <v>4</v>
      </c>
      <c r="AF1092" s="5">
        <f t="shared" si="54"/>
        <v>2022</v>
      </c>
    </row>
    <row r="1093" s="5" customFormat="1" ht="13">
      <c r="A1093" s="5" t="s">
        <v>44</v>
      </c>
      <c r="B1093" s="5" t="s">
        <v>44</v>
      </c>
      <c r="C1093" s="5" t="s">
        <v>45</v>
      </c>
      <c r="D1093" s="5" t="s">
        <v>21</v>
      </c>
      <c r="E1093" s="5" t="s">
        <v>44</v>
      </c>
      <c r="F1093" s="5" t="s">
        <v>46</v>
      </c>
      <c r="G1093" s="5" t="s">
        <v>47</v>
      </c>
      <c r="H1093" s="9" t="s">
        <v>48</v>
      </c>
      <c r="I1093" s="10"/>
      <c r="J1093" s="10">
        <v>44676</v>
      </c>
      <c r="K1093" s="5" t="s">
        <v>49</v>
      </c>
      <c r="L1093" s="5" t="s">
        <v>50</v>
      </c>
      <c r="M1093" s="11">
        <v>0.052499999999999998</v>
      </c>
      <c r="N1093" s="5" t="e">
        <f>IF(AND(M1093&gt;#REF!,Cartera!O1093="Guaraníes"),"Rendimiento significativo",IF(AND(M1093&gt;#REF!,Cartera!O1093="Dólares americanos"),"Rendimiento significativo","Rendimiento no significativo"))</f>
        <v>#REF!</v>
      </c>
      <c r="O1093" s="5" t="s">
        <v>51</v>
      </c>
      <c r="P1093" s="13">
        <v>174.52055000000001</v>
      </c>
      <c r="Q1093" s="12" t="e">
        <f>IF(O1093="Guaraníes",P1093,P1093*#REF!)</f>
        <v>#REF!</v>
      </c>
      <c r="R1093" s="12">
        <f>IF(O1093="Guaraníes",P1093/#REF!,P1093)</f>
        <v>174.52055000000001</v>
      </c>
      <c r="S1093" s="5" t="s">
        <v>52</v>
      </c>
      <c r="T1093" s="5">
        <v>4</v>
      </c>
      <c r="W1093" s="5" t="s">
        <v>259</v>
      </c>
      <c r="X1093" s="5">
        <v>0</v>
      </c>
      <c r="Y1093" s="5">
        <v>0</v>
      </c>
      <c r="Z1093" s="5">
        <v>17.452055000000001</v>
      </c>
      <c r="AA1093" s="5">
        <v>10</v>
      </c>
      <c r="AB1093" s="5">
        <v>174.52054999999999</v>
      </c>
      <c r="AC1093" s="5" t="str">
        <f t="shared" si="55"/>
        <v>Bonos</v>
      </c>
      <c r="AD1093" s="5" t="s">
        <v>43</v>
      </c>
      <c r="AE1093" s="5">
        <f t="shared" si="53"/>
        <v>4</v>
      </c>
      <c r="AF1093" s="5">
        <f t="shared" si="54"/>
        <v>2022</v>
      </c>
    </row>
    <row r="1094" s="5" customFormat="1" ht="13">
      <c r="A1094" s="5" t="s">
        <v>44</v>
      </c>
      <c r="B1094" s="5" t="s">
        <v>44</v>
      </c>
      <c r="C1094" s="5" t="s">
        <v>99</v>
      </c>
      <c r="D1094" s="5" t="s">
        <v>21</v>
      </c>
      <c r="E1094" s="5" t="s">
        <v>44</v>
      </c>
      <c r="F1094" s="5" t="s">
        <v>100</v>
      </c>
      <c r="G1094" s="5" t="s">
        <v>47</v>
      </c>
      <c r="H1094" s="9" t="s">
        <v>101</v>
      </c>
      <c r="I1094" s="10"/>
      <c r="J1094" s="10">
        <v>44732</v>
      </c>
      <c r="K1094" s="5" t="s">
        <v>102</v>
      </c>
      <c r="L1094" s="5" t="s">
        <v>102</v>
      </c>
      <c r="M1094" s="11">
        <v>0.079000000000000001</v>
      </c>
      <c r="N1094" s="5" t="e">
        <f>IF(AND(M1094&gt;#REF!,Cartera!O1094="Guaraníes"),"Rendimiento significativo",IF(AND(M1094&gt;#REF!,Cartera!O1094="Dólares americanos"),"Rendimiento significativo","Rendimiento no significativo"))</f>
        <v>#REF!</v>
      </c>
      <c r="O1094" s="5" t="s">
        <v>41</v>
      </c>
      <c r="P1094" s="12">
        <v>1937500</v>
      </c>
      <c r="Q1094" s="12">
        <f>IF(O1094="Guaraníes",P1094,P1094*#REF!)</f>
        <v>1937500</v>
      </c>
      <c r="R1094" s="12" t="e">
        <f>IF(O1094="Guaraníes",P1094/#REF!,P1094)</f>
        <v>#REF!</v>
      </c>
      <c r="S1094" s="5" t="s">
        <v>52</v>
      </c>
      <c r="T1094" s="5">
        <v>4</v>
      </c>
      <c r="W1094" s="5" t="s">
        <v>267</v>
      </c>
      <c r="X1094" s="5">
        <v>0</v>
      </c>
      <c r="Y1094" s="5">
        <v>0</v>
      </c>
      <c r="Z1094" s="5">
        <v>38750</v>
      </c>
      <c r="AA1094" s="5">
        <v>50</v>
      </c>
      <c r="AB1094" s="5">
        <v>1937500</v>
      </c>
      <c r="AC1094" s="5" t="str">
        <f t="shared" si="55"/>
        <v>Bonos</v>
      </c>
      <c r="AD1094" s="5" t="s">
        <v>43</v>
      </c>
      <c r="AE1094" s="5">
        <f t="shared" si="53"/>
        <v>6</v>
      </c>
      <c r="AF1094" s="5">
        <f t="shared" si="54"/>
        <v>2022</v>
      </c>
    </row>
    <row r="1095" s="5" customFormat="1" ht="13">
      <c r="A1095" s="5" t="s">
        <v>44</v>
      </c>
      <c r="B1095" s="5" t="s">
        <v>44</v>
      </c>
      <c r="C1095" s="5" t="s">
        <v>33</v>
      </c>
      <c r="D1095" s="5" t="s">
        <v>21</v>
      </c>
      <c r="E1095" s="5" t="s">
        <v>44</v>
      </c>
      <c r="F1095" s="5" t="s">
        <v>35</v>
      </c>
      <c r="G1095" s="5" t="s">
        <v>47</v>
      </c>
      <c r="H1095" s="9" t="s">
        <v>303</v>
      </c>
      <c r="I1095" s="10"/>
      <c r="J1095" s="10">
        <v>44735</v>
      </c>
      <c r="K1095" s="5" t="s">
        <v>39</v>
      </c>
      <c r="L1095" s="5" t="s">
        <v>58</v>
      </c>
      <c r="M1095" s="11">
        <v>0.0625</v>
      </c>
      <c r="N1095" s="5" t="e">
        <f>IF(AND(M1095&gt;#REF!,Cartera!O1095="Guaraníes"),"Rendimiento significativo",IF(AND(M1095&gt;#REF!,Cartera!O1095="Dólares americanos"),"Rendimiento significativo","Rendimiento no significativo"))</f>
        <v>#REF!</v>
      </c>
      <c r="O1095" s="5" t="s">
        <v>51</v>
      </c>
      <c r="P1095" s="13">
        <v>623.28767999999991</v>
      </c>
      <c r="Q1095" s="12" t="e">
        <f>IF(O1095="Guaraníes",P1095,P1095*#REF!)</f>
        <v>#REF!</v>
      </c>
      <c r="R1095" s="12">
        <f>IF(O1095="Guaraníes",P1095/#REF!,P1095)</f>
        <v>623.28767999999991</v>
      </c>
      <c r="S1095" s="5" t="s">
        <v>52</v>
      </c>
      <c r="T1095" s="5">
        <v>4</v>
      </c>
      <c r="W1095" s="5" t="s">
        <v>344</v>
      </c>
      <c r="X1095" s="5">
        <v>0</v>
      </c>
      <c r="Y1095" s="5">
        <v>0</v>
      </c>
      <c r="Z1095" s="5">
        <v>15.582191999999999</v>
      </c>
      <c r="AA1095" s="5">
        <v>40</v>
      </c>
      <c r="AB1095" s="5">
        <v>623.28768000000002</v>
      </c>
      <c r="AC1095" s="5" t="str">
        <f t="shared" si="55"/>
        <v>Bonos</v>
      </c>
      <c r="AD1095" s="5" t="s">
        <v>43</v>
      </c>
      <c r="AE1095" s="5">
        <f t="shared" si="53"/>
        <v>6</v>
      </c>
      <c r="AF1095" s="5">
        <f t="shared" si="54"/>
        <v>2022</v>
      </c>
    </row>
    <row r="1096" s="5" customFormat="1" ht="13">
      <c r="A1096" s="5" t="s">
        <v>44</v>
      </c>
      <c r="B1096" s="5" t="s">
        <v>44</v>
      </c>
      <c r="C1096" s="5" t="s">
        <v>304</v>
      </c>
      <c r="D1096" s="5" t="s">
        <v>21</v>
      </c>
      <c r="E1096" s="5" t="s">
        <v>44</v>
      </c>
      <c r="F1096" s="5" t="s">
        <v>68</v>
      </c>
      <c r="G1096" s="5" t="s">
        <v>47</v>
      </c>
      <c r="H1096" s="9" t="s">
        <v>305</v>
      </c>
      <c r="I1096" s="10"/>
      <c r="J1096" s="10">
        <v>44736</v>
      </c>
      <c r="K1096" s="5" t="s">
        <v>39</v>
      </c>
      <c r="L1096" s="5" t="s">
        <v>58</v>
      </c>
      <c r="M1096" s="11">
        <v>0.089999999999999997</v>
      </c>
      <c r="N1096" s="5" t="e">
        <f>IF(AND(M1096&gt;#REF!,Cartera!O1096="Guaraníes"),"Rendimiento significativo",IF(AND(M1096&gt;#REF!,Cartera!O1096="Dólares americanos"),"Rendimiento significativo","Rendimiento no significativo"))</f>
        <v>#REF!</v>
      </c>
      <c r="O1096" s="5" t="s">
        <v>41</v>
      </c>
      <c r="P1096" s="12">
        <v>2243835.6164000002</v>
      </c>
      <c r="Q1096" s="12">
        <f>IF(O1096="Guaraníes",P1096,P1096*#REF!)</f>
        <v>2243835.6164000002</v>
      </c>
      <c r="R1096" s="12" t="e">
        <f>IF(O1096="Guaraníes",P1096/#REF!,P1096)</f>
        <v>#REF!</v>
      </c>
      <c r="S1096" s="5" t="s">
        <v>52</v>
      </c>
      <c r="T1096" s="5">
        <v>4</v>
      </c>
      <c r="W1096" s="5" t="s">
        <v>345</v>
      </c>
      <c r="X1096" s="5">
        <v>0</v>
      </c>
      <c r="Y1096" s="5">
        <v>0</v>
      </c>
      <c r="Z1096" s="5">
        <v>22438.356164000001</v>
      </c>
      <c r="AA1096" s="5">
        <v>100</v>
      </c>
      <c r="AB1096" s="5">
        <v>2243835.6164000002</v>
      </c>
      <c r="AC1096" s="5" t="str">
        <f t="shared" si="55"/>
        <v>Bonos</v>
      </c>
      <c r="AD1096" s="5" t="s">
        <v>43</v>
      </c>
      <c r="AE1096" s="5">
        <f t="shared" si="53"/>
        <v>6</v>
      </c>
      <c r="AF1096" s="5">
        <f t="shared" si="54"/>
        <v>2022</v>
      </c>
    </row>
    <row r="1097" s="5" customFormat="1" ht="13">
      <c r="A1097" s="5" t="s">
        <v>44</v>
      </c>
      <c r="B1097" s="5" t="s">
        <v>44</v>
      </c>
      <c r="C1097" s="5" t="s">
        <v>164</v>
      </c>
      <c r="D1097" s="5" t="s">
        <v>21</v>
      </c>
      <c r="E1097" s="5" t="s">
        <v>44</v>
      </c>
      <c r="F1097" s="5" t="s">
        <v>68</v>
      </c>
      <c r="G1097" s="5" t="s">
        <v>145</v>
      </c>
      <c r="H1097" s="9" t="s">
        <v>165</v>
      </c>
      <c r="I1097" s="10"/>
      <c r="J1097" s="10">
        <v>44771</v>
      </c>
      <c r="K1097" s="5" t="s">
        <v>124</v>
      </c>
      <c r="L1097" s="5" t="s">
        <v>58</v>
      </c>
      <c r="M1097" s="11">
        <v>0.10000000000000001</v>
      </c>
      <c r="N1097" s="5" t="e">
        <f>IF(AND(M1097&gt;#REF!,Cartera!O1097="Guaraníes"),"Rendimiento significativo",IF(AND(M1097&gt;#REF!,Cartera!O1097="Dólares americanos"),"Rendimiento significativo","Rendimiento no significativo"))</f>
        <v>#REF!</v>
      </c>
      <c r="O1097" s="5" t="s">
        <v>41</v>
      </c>
      <c r="P1097" s="12">
        <v>3178082.1916</v>
      </c>
      <c r="Q1097" s="12">
        <f>IF(O1097="Guaraníes",P1097,P1097*#REF!)</f>
        <v>3178082.1916</v>
      </c>
      <c r="R1097" s="12" t="e">
        <f>IF(O1097="Guaraníes",P1097/#REF!,P1097)</f>
        <v>#REF!</v>
      </c>
      <c r="S1097" s="5" t="s">
        <v>52</v>
      </c>
      <c r="T1097" s="5">
        <v>1057</v>
      </c>
      <c r="W1097" s="5" t="s">
        <v>65</v>
      </c>
      <c r="X1097" s="5">
        <v>0</v>
      </c>
      <c r="Y1097" s="5">
        <v>0</v>
      </c>
      <c r="Z1097" s="5">
        <v>7945.2054790000002</v>
      </c>
      <c r="AA1097" s="5">
        <v>400</v>
      </c>
      <c r="AB1097" s="5">
        <v>3178082.1916</v>
      </c>
      <c r="AC1097" s="5" t="str">
        <f t="shared" si="55"/>
        <v>Bonos</v>
      </c>
      <c r="AD1097" s="5" t="s">
        <v>43</v>
      </c>
      <c r="AE1097" s="5">
        <f t="shared" si="53"/>
        <v>7</v>
      </c>
      <c r="AF1097" s="5">
        <f t="shared" si="54"/>
        <v>2022</v>
      </c>
    </row>
    <row r="1098" s="5" customFormat="1" ht="13">
      <c r="A1098" s="5" t="s">
        <v>44</v>
      </c>
      <c r="B1098" s="5" t="s">
        <v>44</v>
      </c>
      <c r="C1098" s="5" t="s">
        <v>99</v>
      </c>
      <c r="D1098" s="5" t="s">
        <v>21</v>
      </c>
      <c r="E1098" s="5" t="s">
        <v>44</v>
      </c>
      <c r="F1098" s="5" t="s">
        <v>100</v>
      </c>
      <c r="G1098" s="5" t="s">
        <v>47</v>
      </c>
      <c r="H1098" s="9" t="s">
        <v>238</v>
      </c>
      <c r="I1098" s="10"/>
      <c r="J1098" s="10">
        <v>44775</v>
      </c>
      <c r="K1098" s="5" t="s">
        <v>102</v>
      </c>
      <c r="L1098" s="5" t="s">
        <v>102</v>
      </c>
      <c r="M1098" s="11">
        <v>0.081000000000000003</v>
      </c>
      <c r="N1098" s="5" t="e">
        <f>IF(AND(M1098&gt;#REF!,Cartera!O1098="Guaraníes"),"Rendimiento significativo",IF(AND(M1098&gt;#REF!,Cartera!O1098="Dólares americanos"),"Rendimiento significativo","Rendimiento no significativo"))</f>
        <v>#REF!</v>
      </c>
      <c r="O1098" s="5" t="s">
        <v>41</v>
      </c>
      <c r="P1098" s="12">
        <v>6025068.4932000004</v>
      </c>
      <c r="Q1098" s="12">
        <f>IF(O1098="Guaraníes",P1098,P1098*#REF!)</f>
        <v>6025068.4932000004</v>
      </c>
      <c r="R1098" s="12" t="e">
        <f>IF(O1098="Guaraníes",P1098/#REF!,P1098)</f>
        <v>#REF!</v>
      </c>
      <c r="S1098" s="5" t="s">
        <v>52</v>
      </c>
      <c r="T1098" s="5">
        <v>4</v>
      </c>
      <c r="W1098" s="5" t="s">
        <v>230</v>
      </c>
      <c r="X1098" s="5">
        <v>0</v>
      </c>
      <c r="Y1098" s="5">
        <v>0</v>
      </c>
      <c r="Z1098" s="5">
        <v>40167.123288000003</v>
      </c>
      <c r="AA1098" s="5">
        <v>150</v>
      </c>
      <c r="AB1098" s="5">
        <v>6025068.4932000004</v>
      </c>
      <c r="AC1098" s="5" t="str">
        <f t="shared" si="55"/>
        <v>Bonos</v>
      </c>
      <c r="AD1098" s="5" t="s">
        <v>43</v>
      </c>
      <c r="AE1098" s="5">
        <f t="shared" si="53"/>
        <v>8</v>
      </c>
      <c r="AF1098" s="5">
        <f t="shared" si="54"/>
        <v>2022</v>
      </c>
    </row>
    <row r="1099" s="5" customFormat="1" ht="13">
      <c r="A1099" s="5" t="s">
        <v>44</v>
      </c>
      <c r="B1099" s="5" t="s">
        <v>44</v>
      </c>
      <c r="C1099" s="5" t="s">
        <v>288</v>
      </c>
      <c r="D1099" s="5" t="s">
        <v>21</v>
      </c>
      <c r="E1099" s="5" t="s">
        <v>44</v>
      </c>
      <c r="F1099" s="5" t="s">
        <v>68</v>
      </c>
      <c r="G1099" s="5" t="s">
        <v>47</v>
      </c>
      <c r="H1099" s="9" t="s">
        <v>289</v>
      </c>
      <c r="I1099" s="10"/>
      <c r="J1099" s="10">
        <v>44825</v>
      </c>
      <c r="K1099" s="5" t="s">
        <v>71</v>
      </c>
      <c r="L1099" s="5" t="s">
        <v>58</v>
      </c>
      <c r="M1099" s="11">
        <v>0.10000000000000001</v>
      </c>
      <c r="N1099" s="5" t="e">
        <f>IF(AND(M1099&gt;#REF!,Cartera!O1099="Guaraníes"),"Rendimiento significativo",IF(AND(M1099&gt;#REF!,Cartera!O1099="Dólares americanos"),"Rendimiento significativo","Rendimiento no significativo"))</f>
        <v>#REF!</v>
      </c>
      <c r="O1099" s="5" t="s">
        <v>51</v>
      </c>
      <c r="P1099" s="13">
        <v>209.58904000000001</v>
      </c>
      <c r="Q1099" s="12" t="e">
        <f>IF(O1099="Guaraníes",P1099,P1099*#REF!)</f>
        <v>#REF!</v>
      </c>
      <c r="R1099" s="12">
        <f>IF(O1099="Guaraníes",P1099/#REF!,P1099)</f>
        <v>209.58904000000001</v>
      </c>
      <c r="S1099" s="5" t="s">
        <v>52</v>
      </c>
      <c r="T1099" s="5">
        <v>4</v>
      </c>
      <c r="W1099" s="5" t="s">
        <v>250</v>
      </c>
      <c r="X1099" s="5">
        <v>0</v>
      </c>
      <c r="Y1099" s="5">
        <v>0</v>
      </c>
      <c r="Z1099" s="5">
        <v>41.917808000000001</v>
      </c>
      <c r="AA1099" s="5">
        <v>5</v>
      </c>
      <c r="AB1099" s="5">
        <v>209.58904000000001</v>
      </c>
      <c r="AC1099" s="5" t="str">
        <f t="shared" si="55"/>
        <v>Bonos</v>
      </c>
      <c r="AD1099" s="5" t="s">
        <v>43</v>
      </c>
      <c r="AE1099" s="5">
        <f t="shared" si="53"/>
        <v>9</v>
      </c>
      <c r="AF1099" s="5">
        <f t="shared" si="54"/>
        <v>2022</v>
      </c>
    </row>
    <row r="1100" s="5" customFormat="1" ht="13">
      <c r="A1100" s="5" t="s">
        <v>44</v>
      </c>
      <c r="B1100" s="5" t="s">
        <v>44</v>
      </c>
      <c r="C1100" s="5" t="s">
        <v>33</v>
      </c>
      <c r="D1100" s="5" t="s">
        <v>21</v>
      </c>
      <c r="E1100" s="5" t="s">
        <v>44</v>
      </c>
      <c r="F1100" s="5" t="s">
        <v>35</v>
      </c>
      <c r="G1100" s="5" t="s">
        <v>47</v>
      </c>
      <c r="H1100" s="9" t="s">
        <v>303</v>
      </c>
      <c r="I1100" s="10"/>
      <c r="J1100" s="10">
        <v>44826</v>
      </c>
      <c r="K1100" s="5" t="s">
        <v>39</v>
      </c>
      <c r="L1100" s="5" t="s">
        <v>58</v>
      </c>
      <c r="M1100" s="11">
        <v>0.0625</v>
      </c>
      <c r="N1100" s="5" t="e">
        <f>IF(AND(M1100&gt;#REF!,Cartera!O1100="Guaraníes"),"Rendimiento significativo",IF(AND(M1100&gt;#REF!,Cartera!O1100="Dólares americanos"),"Rendimiento significativo","Rendimiento no significativo"))</f>
        <v>#REF!</v>
      </c>
      <c r="O1100" s="5" t="s">
        <v>51</v>
      </c>
      <c r="P1100" s="13">
        <v>623.28767999999991</v>
      </c>
      <c r="Q1100" s="12" t="e">
        <f>IF(O1100="Guaraníes",P1100,P1100*#REF!)</f>
        <v>#REF!</v>
      </c>
      <c r="R1100" s="12">
        <f>IF(O1100="Guaraníes",P1100/#REF!,P1100)</f>
        <v>623.28767999999991</v>
      </c>
      <c r="S1100" s="5" t="s">
        <v>52</v>
      </c>
      <c r="T1100" s="5">
        <v>4</v>
      </c>
      <c r="W1100" s="5" t="s">
        <v>346</v>
      </c>
      <c r="X1100" s="5">
        <v>0</v>
      </c>
      <c r="Y1100" s="5">
        <v>0</v>
      </c>
      <c r="Z1100" s="5">
        <v>15.582191999999999</v>
      </c>
      <c r="AA1100" s="5">
        <v>40</v>
      </c>
      <c r="AB1100" s="5">
        <v>623.28768000000002</v>
      </c>
      <c r="AC1100" s="5" t="str">
        <f t="shared" si="55"/>
        <v>Bonos</v>
      </c>
      <c r="AD1100" s="5" t="s">
        <v>43</v>
      </c>
      <c r="AE1100" s="5">
        <f t="shared" si="53"/>
        <v>9</v>
      </c>
      <c r="AF1100" s="5">
        <f t="shared" si="54"/>
        <v>2022</v>
      </c>
    </row>
    <row r="1101" s="5" customFormat="1" ht="13">
      <c r="A1101" s="5" t="s">
        <v>44</v>
      </c>
      <c r="B1101" s="5" t="s">
        <v>44</v>
      </c>
      <c r="C1101" s="5" t="s">
        <v>304</v>
      </c>
      <c r="D1101" s="5" t="s">
        <v>21</v>
      </c>
      <c r="E1101" s="5" t="s">
        <v>44</v>
      </c>
      <c r="F1101" s="5" t="s">
        <v>68</v>
      </c>
      <c r="G1101" s="5" t="s">
        <v>47</v>
      </c>
      <c r="H1101" s="9" t="s">
        <v>305</v>
      </c>
      <c r="I1101" s="10"/>
      <c r="J1101" s="10">
        <v>44827</v>
      </c>
      <c r="K1101" s="5" t="s">
        <v>39</v>
      </c>
      <c r="L1101" s="5" t="s">
        <v>58</v>
      </c>
      <c r="M1101" s="11">
        <v>0.089999999999999997</v>
      </c>
      <c r="N1101" s="5" t="e">
        <f>IF(AND(M1101&gt;#REF!,Cartera!O1101="Guaraníes"),"Rendimiento significativo",IF(AND(M1101&gt;#REF!,Cartera!O1101="Dólares americanos"),"Rendimiento significativo","Rendimiento no significativo"))</f>
        <v>#REF!</v>
      </c>
      <c r="O1101" s="5" t="s">
        <v>41</v>
      </c>
      <c r="P1101" s="12">
        <v>2243835.6164000002</v>
      </c>
      <c r="Q1101" s="12">
        <f>IF(O1101="Guaraníes",P1101,P1101*#REF!)</f>
        <v>2243835.6164000002</v>
      </c>
      <c r="R1101" s="12" t="e">
        <f>IF(O1101="Guaraníes",P1101/#REF!,P1101)</f>
        <v>#REF!</v>
      </c>
      <c r="S1101" s="5" t="s">
        <v>52</v>
      </c>
      <c r="T1101" s="5">
        <v>4</v>
      </c>
      <c r="W1101" s="5" t="s">
        <v>347</v>
      </c>
      <c r="X1101" s="5">
        <v>0</v>
      </c>
      <c r="Y1101" s="5">
        <v>0</v>
      </c>
      <c r="Z1101" s="5">
        <v>22438.356164000001</v>
      </c>
      <c r="AA1101" s="5">
        <v>100</v>
      </c>
      <c r="AB1101" s="5">
        <v>2243835.6164000002</v>
      </c>
      <c r="AC1101" s="5" t="str">
        <f t="shared" si="55"/>
        <v>Bonos</v>
      </c>
      <c r="AD1101" s="5" t="s">
        <v>43</v>
      </c>
      <c r="AE1101" s="5">
        <f t="shared" si="53"/>
        <v>9</v>
      </c>
      <c r="AF1101" s="5">
        <f t="shared" si="54"/>
        <v>2022</v>
      </c>
    </row>
    <row r="1102" s="5" customFormat="1" ht="13">
      <c r="A1102" s="5" t="s">
        <v>44</v>
      </c>
      <c r="B1102" s="5" t="s">
        <v>44</v>
      </c>
      <c r="C1102" s="5" t="s">
        <v>45</v>
      </c>
      <c r="D1102" s="5" t="s">
        <v>21</v>
      </c>
      <c r="E1102" s="5" t="s">
        <v>44</v>
      </c>
      <c r="F1102" s="5" t="s">
        <v>46</v>
      </c>
      <c r="G1102" s="5" t="s">
        <v>47</v>
      </c>
      <c r="H1102" s="9" t="s">
        <v>48</v>
      </c>
      <c r="I1102" s="10"/>
      <c r="J1102" s="10">
        <v>44858</v>
      </c>
      <c r="K1102" s="5" t="s">
        <v>49</v>
      </c>
      <c r="L1102" s="5" t="s">
        <v>50</v>
      </c>
      <c r="M1102" s="11">
        <v>0.052499999999999998</v>
      </c>
      <c r="N1102" s="5" t="e">
        <f>IF(AND(M1102&gt;#REF!,Cartera!O1102="Guaraníes"),"Rendimiento significativo",IF(AND(M1102&gt;#REF!,Cartera!O1102="Dólares americanos"),"Rendimiento significativo","Rendimiento no significativo"))</f>
        <v>#REF!</v>
      </c>
      <c r="O1102" s="5" t="s">
        <v>51</v>
      </c>
      <c r="P1102" s="13">
        <v>174.52055000000001</v>
      </c>
      <c r="Q1102" s="12" t="e">
        <f>IF(O1102="Guaraníes",P1102,P1102*#REF!)</f>
        <v>#REF!</v>
      </c>
      <c r="R1102" s="12">
        <f>IF(O1102="Guaraníes",P1102/#REF!,P1102)</f>
        <v>174.52055000000001</v>
      </c>
      <c r="S1102" s="5" t="s">
        <v>52</v>
      </c>
      <c r="T1102" s="5">
        <v>4</v>
      </c>
      <c r="W1102" s="5" t="s">
        <v>348</v>
      </c>
      <c r="X1102" s="5">
        <v>0</v>
      </c>
      <c r="Y1102" s="5">
        <v>0</v>
      </c>
      <c r="Z1102" s="5">
        <v>17.452055000000001</v>
      </c>
      <c r="AA1102" s="5">
        <v>10</v>
      </c>
      <c r="AB1102" s="5">
        <v>174.52054999999999</v>
      </c>
      <c r="AC1102" s="5" t="str">
        <f t="shared" si="55"/>
        <v>Bonos</v>
      </c>
      <c r="AD1102" s="5" t="s">
        <v>43</v>
      </c>
      <c r="AE1102" s="5">
        <f t="shared" si="53"/>
        <v>10</v>
      </c>
      <c r="AF1102" s="5">
        <f t="shared" si="54"/>
        <v>2022</v>
      </c>
    </row>
    <row r="1103" s="5" customFormat="1" ht="13">
      <c r="A1103" s="5" t="s">
        <v>44</v>
      </c>
      <c r="B1103" s="5" t="s">
        <v>44</v>
      </c>
      <c r="C1103" s="5" t="s">
        <v>99</v>
      </c>
      <c r="D1103" s="5" t="s">
        <v>21</v>
      </c>
      <c r="E1103" s="5" t="s">
        <v>44</v>
      </c>
      <c r="F1103" s="5" t="s">
        <v>100</v>
      </c>
      <c r="G1103" s="5" t="s">
        <v>47</v>
      </c>
      <c r="H1103" s="9" t="s">
        <v>101</v>
      </c>
      <c r="I1103" s="10"/>
      <c r="J1103" s="10">
        <v>44915</v>
      </c>
      <c r="K1103" s="5" t="s">
        <v>102</v>
      </c>
      <c r="L1103" s="5" t="s">
        <v>102</v>
      </c>
      <c r="M1103" s="11">
        <v>0.079000000000000001</v>
      </c>
      <c r="N1103" s="5" t="e">
        <f>IF(AND(M1103&gt;#REF!,Cartera!O1103="Guaraníes"),"Rendimiento significativo",IF(AND(M1103&gt;#REF!,Cartera!O1103="Dólares americanos"),"Rendimiento significativo","Rendimiento no significativo"))</f>
        <v>#REF!</v>
      </c>
      <c r="O1103" s="5" t="s">
        <v>41</v>
      </c>
      <c r="P1103" s="12">
        <v>1937500</v>
      </c>
      <c r="Q1103" s="12">
        <f>IF(O1103="Guaraníes",P1103,P1103*#REF!)</f>
        <v>1937500</v>
      </c>
      <c r="R1103" s="12" t="e">
        <f>IF(O1103="Guaraníes",P1103/#REF!,P1103)</f>
        <v>#REF!</v>
      </c>
      <c r="S1103" s="5" t="s">
        <v>52</v>
      </c>
      <c r="T1103" s="5">
        <v>4</v>
      </c>
      <c r="W1103" s="5" t="s">
        <v>349</v>
      </c>
      <c r="X1103" s="5">
        <v>0</v>
      </c>
      <c r="Y1103" s="5">
        <v>0</v>
      </c>
      <c r="Z1103" s="5">
        <v>38750</v>
      </c>
      <c r="AA1103" s="5">
        <v>50</v>
      </c>
      <c r="AB1103" s="5">
        <v>1937500</v>
      </c>
      <c r="AC1103" s="5" t="str">
        <f t="shared" si="55"/>
        <v>Bonos</v>
      </c>
      <c r="AD1103" s="5" t="s">
        <v>43</v>
      </c>
      <c r="AE1103" s="5">
        <f t="shared" si="53"/>
        <v>12</v>
      </c>
      <c r="AF1103" s="5">
        <f t="shared" si="54"/>
        <v>2022</v>
      </c>
    </row>
    <row r="1104" s="5" customFormat="1" ht="13">
      <c r="A1104" s="5" t="s">
        <v>44</v>
      </c>
      <c r="B1104" s="5" t="s">
        <v>44</v>
      </c>
      <c r="C1104" s="5" t="s">
        <v>33</v>
      </c>
      <c r="D1104" s="5" t="s">
        <v>21</v>
      </c>
      <c r="E1104" s="5" t="s">
        <v>44</v>
      </c>
      <c r="F1104" s="5" t="s">
        <v>35</v>
      </c>
      <c r="G1104" s="5" t="s">
        <v>47</v>
      </c>
      <c r="H1104" s="9" t="s">
        <v>303</v>
      </c>
      <c r="I1104" s="10"/>
      <c r="J1104" s="10">
        <v>44917</v>
      </c>
      <c r="K1104" s="5" t="s">
        <v>39</v>
      </c>
      <c r="L1104" s="5" t="s">
        <v>58</v>
      </c>
      <c r="M1104" s="11">
        <v>0.0625</v>
      </c>
      <c r="N1104" s="5" t="e">
        <f>IF(AND(M1104&gt;#REF!,Cartera!O1104="Guaraníes"),"Rendimiento significativo",IF(AND(M1104&gt;#REF!,Cartera!O1104="Dólares americanos"),"Rendimiento significativo","Rendimiento no significativo"))</f>
        <v>#REF!</v>
      </c>
      <c r="O1104" s="5" t="s">
        <v>51</v>
      </c>
      <c r="P1104" s="13">
        <v>623.28767999999991</v>
      </c>
      <c r="Q1104" s="12" t="e">
        <f>IF(O1104="Guaraníes",P1104,P1104*#REF!)</f>
        <v>#REF!</v>
      </c>
      <c r="R1104" s="12">
        <f>IF(O1104="Guaraníes",P1104/#REF!,P1104)</f>
        <v>623.28767999999991</v>
      </c>
      <c r="S1104" s="5" t="s">
        <v>52</v>
      </c>
      <c r="T1104" s="5">
        <v>4</v>
      </c>
      <c r="W1104" s="5" t="s">
        <v>220</v>
      </c>
      <c r="X1104" s="5">
        <v>0</v>
      </c>
      <c r="Y1104" s="5">
        <v>0</v>
      </c>
      <c r="Z1104" s="5">
        <v>15.582191999999999</v>
      </c>
      <c r="AA1104" s="5">
        <v>40</v>
      </c>
      <c r="AB1104" s="5">
        <v>623.28768000000002</v>
      </c>
      <c r="AC1104" s="5" t="str">
        <f t="shared" si="55"/>
        <v>Bonos</v>
      </c>
      <c r="AD1104" s="5" t="s">
        <v>43</v>
      </c>
      <c r="AE1104" s="5">
        <f t="shared" si="53"/>
        <v>12</v>
      </c>
      <c r="AF1104" s="5">
        <f t="shared" si="54"/>
        <v>2022</v>
      </c>
    </row>
    <row r="1105" s="5" customFormat="1" ht="13">
      <c r="A1105" s="5" t="s">
        <v>44</v>
      </c>
      <c r="B1105" s="5" t="s">
        <v>44</v>
      </c>
      <c r="C1105" s="5" t="s">
        <v>304</v>
      </c>
      <c r="D1105" s="5" t="s">
        <v>21</v>
      </c>
      <c r="E1105" s="5" t="s">
        <v>44</v>
      </c>
      <c r="F1105" s="5" t="s">
        <v>68</v>
      </c>
      <c r="G1105" s="5" t="s">
        <v>47</v>
      </c>
      <c r="H1105" s="9" t="s">
        <v>305</v>
      </c>
      <c r="I1105" s="10"/>
      <c r="J1105" s="10">
        <v>44918</v>
      </c>
      <c r="K1105" s="5" t="s">
        <v>39</v>
      </c>
      <c r="L1105" s="5" t="s">
        <v>58</v>
      </c>
      <c r="M1105" s="11">
        <v>0.089999999999999997</v>
      </c>
      <c r="N1105" s="5" t="e">
        <f>IF(AND(M1105&gt;#REF!,Cartera!O1105="Guaraníes"),"Rendimiento significativo",IF(AND(M1105&gt;#REF!,Cartera!O1105="Dólares americanos"),"Rendimiento significativo","Rendimiento no significativo"))</f>
        <v>#REF!</v>
      </c>
      <c r="O1105" s="5" t="s">
        <v>41</v>
      </c>
      <c r="P1105" s="12">
        <v>2243835.6164000002</v>
      </c>
      <c r="Q1105" s="12">
        <f>IF(O1105="Guaraníes",P1105,P1105*#REF!)</f>
        <v>2243835.6164000002</v>
      </c>
      <c r="R1105" s="12" t="e">
        <f>IF(O1105="Guaraníes",P1105/#REF!,P1105)</f>
        <v>#REF!</v>
      </c>
      <c r="S1105" s="5" t="s">
        <v>52</v>
      </c>
      <c r="T1105" s="5">
        <v>4</v>
      </c>
      <c r="W1105" s="5" t="s">
        <v>350</v>
      </c>
      <c r="X1105" s="5">
        <v>0</v>
      </c>
      <c r="Y1105" s="5">
        <v>0</v>
      </c>
      <c r="Z1105" s="5">
        <v>22438.356164000001</v>
      </c>
      <c r="AA1105" s="5">
        <v>100</v>
      </c>
      <c r="AB1105" s="5">
        <v>2243835.6164000002</v>
      </c>
      <c r="AC1105" s="5" t="str">
        <f t="shared" si="55"/>
        <v>Bonos</v>
      </c>
      <c r="AD1105" s="5" t="s">
        <v>43</v>
      </c>
      <c r="AE1105" s="5">
        <f t="shared" si="53"/>
        <v>12</v>
      </c>
      <c r="AF1105" s="5">
        <f t="shared" si="54"/>
        <v>2022</v>
      </c>
    </row>
    <row r="1106" s="5" customFormat="1" ht="13">
      <c r="A1106" s="5" t="s">
        <v>44</v>
      </c>
      <c r="B1106" s="5" t="s">
        <v>44</v>
      </c>
      <c r="C1106" s="5" t="s">
        <v>45</v>
      </c>
      <c r="D1106" s="5" t="s">
        <v>21</v>
      </c>
      <c r="E1106" s="5" t="s">
        <v>44</v>
      </c>
      <c r="F1106" s="5" t="s">
        <v>46</v>
      </c>
      <c r="G1106" s="5" t="s">
        <v>47</v>
      </c>
      <c r="H1106" s="9" t="s">
        <v>48</v>
      </c>
      <c r="I1106" s="10"/>
      <c r="J1106" s="10">
        <v>44949</v>
      </c>
      <c r="K1106" s="5" t="s">
        <v>49</v>
      </c>
      <c r="L1106" s="5" t="s">
        <v>50</v>
      </c>
      <c r="M1106" s="11">
        <v>0.052499999999999998</v>
      </c>
      <c r="N1106" s="5" t="e">
        <f>IF(AND(M1106&gt;#REF!,Cartera!O1106="Guaraníes"),"Rendimiento significativo",IF(AND(M1106&gt;#REF!,Cartera!O1106="Dólares americanos"),"Rendimiento significativo","Rendimiento no significativo"))</f>
        <v>#REF!</v>
      </c>
      <c r="O1106" s="5" t="s">
        <v>51</v>
      </c>
      <c r="P1106" s="13">
        <v>174.52055000000001</v>
      </c>
      <c r="Q1106" s="12" t="e">
        <f>IF(O1106="Guaraníes",P1106,P1106*#REF!)</f>
        <v>#REF!</v>
      </c>
      <c r="R1106" s="12">
        <f>IF(O1106="Guaraníes",P1106/#REF!,P1106)</f>
        <v>174.52055000000001</v>
      </c>
      <c r="S1106" s="5" t="s">
        <v>52</v>
      </c>
      <c r="T1106" s="5">
        <v>4</v>
      </c>
      <c r="W1106" s="5" t="s">
        <v>351</v>
      </c>
      <c r="X1106" s="5">
        <v>0</v>
      </c>
      <c r="Y1106" s="5">
        <v>0</v>
      </c>
      <c r="Z1106" s="5">
        <v>17.452055000000001</v>
      </c>
      <c r="AA1106" s="5">
        <v>10</v>
      </c>
      <c r="AB1106" s="5">
        <v>174.52054999999999</v>
      </c>
      <c r="AC1106" s="5" t="str">
        <f t="shared" si="55"/>
        <v>Bonos</v>
      </c>
      <c r="AD1106" s="5" t="s">
        <v>43</v>
      </c>
      <c r="AE1106" s="5">
        <f t="shared" ref="AE1106:AE1169" si="56">IFERROR((MONTH(J1106)),0)</f>
        <v>1</v>
      </c>
      <c r="AF1106" s="5">
        <f t="shared" ref="AF1106:AF1169" si="57">IFERROR((YEAR(J1106)),0)</f>
        <v>2023</v>
      </c>
    </row>
    <row r="1107" s="5" customFormat="1" ht="13">
      <c r="A1107" s="5" t="s">
        <v>44</v>
      </c>
      <c r="B1107" s="5" t="s">
        <v>44</v>
      </c>
      <c r="C1107" s="5" t="s">
        <v>99</v>
      </c>
      <c r="D1107" s="5" t="s">
        <v>20</v>
      </c>
      <c r="E1107" s="5" t="s">
        <v>44</v>
      </c>
      <c r="F1107" s="5" t="s">
        <v>100</v>
      </c>
      <c r="G1107" s="5" t="s">
        <v>47</v>
      </c>
      <c r="H1107" s="9" t="s">
        <v>238</v>
      </c>
      <c r="I1107" s="10">
        <v>42542</v>
      </c>
      <c r="J1107" s="10">
        <v>44959</v>
      </c>
      <c r="K1107" s="5" t="s">
        <v>102</v>
      </c>
      <c r="L1107" s="5" t="s">
        <v>102</v>
      </c>
      <c r="M1107" s="11">
        <v>0.081000000000000003</v>
      </c>
      <c r="N1107" s="5" t="e">
        <f>IF(AND(M1107&gt;#REF!,Cartera!O1107="Guaraníes"),"Rendimiento significativo",IF(AND(M1107&gt;#REF!,Cartera!O1107="Dólares americanos"),"Rendimiento significativo","Rendimiento no significativo"))</f>
        <v>#REF!</v>
      </c>
      <c r="O1107" s="5" t="s">
        <v>41</v>
      </c>
      <c r="P1107" s="12">
        <v>150000000</v>
      </c>
      <c r="Q1107" s="12">
        <f>IF(O1107="Guaraníes",P1107,P1107*#REF!)</f>
        <v>150000000</v>
      </c>
      <c r="R1107" s="12" t="e">
        <f>IF(O1107="Guaraníes",P1107/#REF!,P1107)</f>
        <v>#REF!</v>
      </c>
      <c r="S1107" s="5" t="s">
        <v>52</v>
      </c>
      <c r="AC1107" s="5" t="str">
        <f t="shared" si="55"/>
        <v>Bonos</v>
      </c>
      <c r="AD1107" s="5" t="s">
        <v>43</v>
      </c>
      <c r="AE1107" s="5">
        <f t="shared" si="56"/>
        <v>2</v>
      </c>
      <c r="AF1107" s="5">
        <f t="shared" si="57"/>
        <v>2023</v>
      </c>
    </row>
    <row r="1108" s="5" customFormat="1" ht="13">
      <c r="A1108" s="5" t="s">
        <v>44</v>
      </c>
      <c r="B1108" s="5" t="s">
        <v>44</v>
      </c>
      <c r="C1108" s="5" t="s">
        <v>33</v>
      </c>
      <c r="D1108" s="5" t="s">
        <v>21</v>
      </c>
      <c r="E1108" s="5" t="s">
        <v>44</v>
      </c>
      <c r="F1108" s="5" t="s">
        <v>35</v>
      </c>
      <c r="G1108" s="5" t="s">
        <v>47</v>
      </c>
      <c r="H1108" s="9" t="s">
        <v>303</v>
      </c>
      <c r="I1108" s="10"/>
      <c r="J1108" s="10">
        <v>45008</v>
      </c>
      <c r="K1108" s="5" t="s">
        <v>39</v>
      </c>
      <c r="L1108" s="5" t="s">
        <v>58</v>
      </c>
      <c r="M1108" s="11">
        <v>0.0625</v>
      </c>
      <c r="N1108" s="5" t="e">
        <f>IF(AND(M1108&gt;#REF!,Cartera!O1108="Guaraníes"),"Rendimiento significativo",IF(AND(M1108&gt;#REF!,Cartera!O1108="Dólares americanos"),"Rendimiento significativo","Rendimiento no significativo"))</f>
        <v>#REF!</v>
      </c>
      <c r="O1108" s="5" t="s">
        <v>51</v>
      </c>
      <c r="P1108" s="13">
        <v>623.28767999999991</v>
      </c>
      <c r="Q1108" s="12" t="e">
        <f>IF(O1108="Guaraníes",P1108,P1108*#REF!)</f>
        <v>#REF!</v>
      </c>
      <c r="R1108" s="12">
        <f>IF(O1108="Guaraníes",P1108/#REF!,P1108)</f>
        <v>623.28767999999991</v>
      </c>
      <c r="S1108" s="5" t="s">
        <v>52</v>
      </c>
      <c r="T1108" s="5">
        <v>4</v>
      </c>
      <c r="W1108" s="5" t="s">
        <v>218</v>
      </c>
      <c r="X1108" s="5">
        <v>0</v>
      </c>
      <c r="Y1108" s="5">
        <v>0</v>
      </c>
      <c r="Z1108" s="5">
        <v>15.582191999999999</v>
      </c>
      <c r="AA1108" s="5">
        <v>40</v>
      </c>
      <c r="AB1108" s="5">
        <v>623.28768000000002</v>
      </c>
      <c r="AC1108" s="5" t="str">
        <f t="shared" si="55"/>
        <v>Bonos</v>
      </c>
      <c r="AD1108" s="5" t="s">
        <v>43</v>
      </c>
      <c r="AE1108" s="5">
        <f t="shared" si="56"/>
        <v>3</v>
      </c>
      <c r="AF1108" s="5">
        <f t="shared" si="57"/>
        <v>2023</v>
      </c>
    </row>
    <row r="1109" s="5" customFormat="1" ht="13">
      <c r="A1109" s="5" t="s">
        <v>44</v>
      </c>
      <c r="B1109" s="5" t="s">
        <v>44</v>
      </c>
      <c r="C1109" s="5" t="s">
        <v>304</v>
      </c>
      <c r="D1109" s="5" t="s">
        <v>21</v>
      </c>
      <c r="E1109" s="5" t="s">
        <v>44</v>
      </c>
      <c r="F1109" s="5" t="s">
        <v>68</v>
      </c>
      <c r="G1109" s="5" t="s">
        <v>47</v>
      </c>
      <c r="H1109" s="9" t="s">
        <v>305</v>
      </c>
      <c r="I1109" s="10"/>
      <c r="J1109" s="10">
        <v>45009</v>
      </c>
      <c r="K1109" s="5" t="s">
        <v>39</v>
      </c>
      <c r="L1109" s="5" t="s">
        <v>58</v>
      </c>
      <c r="M1109" s="11">
        <v>0.089999999999999997</v>
      </c>
      <c r="N1109" s="5" t="e">
        <f>IF(AND(M1109&gt;#REF!,Cartera!O1109="Guaraníes"),"Rendimiento significativo",IF(AND(M1109&gt;#REF!,Cartera!O1109="Dólares americanos"),"Rendimiento significativo","Rendimiento no significativo"))</f>
        <v>#REF!</v>
      </c>
      <c r="O1109" s="5" t="s">
        <v>41</v>
      </c>
      <c r="P1109" s="12">
        <v>2243835.6164000002</v>
      </c>
      <c r="Q1109" s="12">
        <f>IF(O1109="Guaraníes",P1109,P1109*#REF!)</f>
        <v>2243835.6164000002</v>
      </c>
      <c r="R1109" s="12" t="e">
        <f>IF(O1109="Guaraníes",P1109/#REF!,P1109)</f>
        <v>#REF!</v>
      </c>
      <c r="S1109" s="5" t="s">
        <v>52</v>
      </c>
      <c r="T1109" s="5">
        <v>4</v>
      </c>
      <c r="W1109" s="5" t="s">
        <v>352</v>
      </c>
      <c r="X1109" s="5">
        <v>0</v>
      </c>
      <c r="Y1109" s="5">
        <v>0</v>
      </c>
      <c r="Z1109" s="5">
        <v>22438.356164000001</v>
      </c>
      <c r="AA1109" s="5">
        <v>100</v>
      </c>
      <c r="AB1109" s="5">
        <v>2243835.6164000002</v>
      </c>
      <c r="AC1109" s="5" t="str">
        <f t="shared" si="55"/>
        <v>Bonos</v>
      </c>
      <c r="AD1109" s="5" t="s">
        <v>43</v>
      </c>
      <c r="AE1109" s="5">
        <f t="shared" si="56"/>
        <v>3</v>
      </c>
      <c r="AF1109" s="5">
        <f t="shared" si="57"/>
        <v>2023</v>
      </c>
    </row>
    <row r="1110" s="5" customFormat="1" ht="13">
      <c r="A1110" s="5" t="s">
        <v>44</v>
      </c>
      <c r="B1110" s="5" t="s">
        <v>44</v>
      </c>
      <c r="C1110" s="5" t="s">
        <v>288</v>
      </c>
      <c r="D1110" s="5" t="s">
        <v>20</v>
      </c>
      <c r="E1110" s="5" t="s">
        <v>44</v>
      </c>
      <c r="F1110" s="5" t="s">
        <v>68</v>
      </c>
      <c r="G1110" s="5" t="s">
        <v>47</v>
      </c>
      <c r="H1110" s="9" t="s">
        <v>289</v>
      </c>
      <c r="I1110" s="10">
        <v>42579</v>
      </c>
      <c r="J1110" s="10">
        <v>45037</v>
      </c>
      <c r="K1110" s="5" t="s">
        <v>71</v>
      </c>
      <c r="L1110" s="5" t="s">
        <v>58</v>
      </c>
      <c r="M1110" s="11">
        <v>0.10000000000000001</v>
      </c>
      <c r="N1110" s="5" t="e">
        <f>IF(AND(M1110&gt;#REF!,Cartera!O1110="Guaraníes"),"Rendimiento significativo",IF(AND(M1110&gt;#REF!,Cartera!O1110="Dólares americanos"),"Rendimiento significativo","Rendimiento no significativo"))</f>
        <v>#REF!</v>
      </c>
      <c r="O1110" s="5" t="s">
        <v>51</v>
      </c>
      <c r="P1110" s="13">
        <v>5000</v>
      </c>
      <c r="Q1110" s="12" t="e">
        <f>IF(O1110="Guaraníes",P1110,P1110*#REF!)</f>
        <v>#REF!</v>
      </c>
      <c r="R1110" s="12">
        <f>IF(O1110="Guaraníes",P1110/#REF!,P1110)</f>
        <v>5000</v>
      </c>
      <c r="S1110" s="5" t="s">
        <v>52</v>
      </c>
      <c r="AC1110" s="5" t="str">
        <f t="shared" si="55"/>
        <v>Bonos</v>
      </c>
      <c r="AD1110" s="5" t="s">
        <v>43</v>
      </c>
      <c r="AE1110" s="5">
        <f t="shared" si="56"/>
        <v>4</v>
      </c>
      <c r="AF1110" s="5">
        <f t="shared" si="57"/>
        <v>2023</v>
      </c>
    </row>
    <row r="1111" s="5" customFormat="1" ht="13">
      <c r="A1111" s="5" t="s">
        <v>44</v>
      </c>
      <c r="B1111" s="5" t="s">
        <v>44</v>
      </c>
      <c r="C1111" s="5" t="s">
        <v>288</v>
      </c>
      <c r="D1111" s="5" t="s">
        <v>21</v>
      </c>
      <c r="E1111" s="5" t="s">
        <v>44</v>
      </c>
      <c r="F1111" s="5" t="s">
        <v>68</v>
      </c>
      <c r="G1111" s="5" t="s">
        <v>47</v>
      </c>
      <c r="H1111" s="9" t="s">
        <v>289</v>
      </c>
      <c r="I1111" s="10"/>
      <c r="J1111" s="10">
        <v>45037</v>
      </c>
      <c r="K1111" s="5" t="s">
        <v>71</v>
      </c>
      <c r="L1111" s="5" t="s">
        <v>58</v>
      </c>
      <c r="M1111" s="11">
        <v>0.10000000000000001</v>
      </c>
      <c r="N1111" s="5" t="e">
        <f>IF(AND(M1111&gt;#REF!,Cartera!O1111="Guaraníes"),"Rendimiento significativo",IF(AND(M1111&gt;#REF!,Cartera!O1111="Dólares americanos"),"Rendimiento significativo","Rendimiento no significativo"))</f>
        <v>#REF!</v>
      </c>
      <c r="O1111" s="5" t="s">
        <v>51</v>
      </c>
      <c r="P1111" s="13">
        <v>290.41000000000003</v>
      </c>
      <c r="Q1111" s="12" t="e">
        <f>IF(O1111="Guaraníes",P1111,P1111*#REF!)</f>
        <v>#REF!</v>
      </c>
      <c r="R1111" s="12">
        <f>IF(O1111="Guaraníes",P1111/#REF!,P1111)</f>
        <v>290.41000000000003</v>
      </c>
      <c r="S1111" s="5" t="s">
        <v>52</v>
      </c>
      <c r="T1111" s="5">
        <v>4</v>
      </c>
      <c r="U1111" s="5">
        <v>5000</v>
      </c>
      <c r="V1111" s="5">
        <v>2244749.3150400002</v>
      </c>
      <c r="W1111" s="5" t="s">
        <v>230</v>
      </c>
      <c r="X1111" s="5">
        <v>100</v>
      </c>
      <c r="Y1111" s="5">
        <v>1000</v>
      </c>
      <c r="Z1111" s="5">
        <v>1058.0821920000001</v>
      </c>
      <c r="AA1111" s="5">
        <v>5</v>
      </c>
      <c r="AB1111" s="5">
        <v>5290.4109600000002</v>
      </c>
      <c r="AC1111" s="5" t="str">
        <f t="shared" si="55"/>
        <v>Bonos</v>
      </c>
      <c r="AD1111" s="5" t="s">
        <v>43</v>
      </c>
      <c r="AE1111" s="5">
        <f t="shared" si="56"/>
        <v>4</v>
      </c>
      <c r="AF1111" s="5">
        <f t="shared" si="57"/>
        <v>2023</v>
      </c>
    </row>
    <row r="1112" s="5" customFormat="1" ht="13">
      <c r="A1112" s="5" t="s">
        <v>44</v>
      </c>
      <c r="B1112" s="5" t="s">
        <v>44</v>
      </c>
      <c r="C1112" s="5" t="s">
        <v>45</v>
      </c>
      <c r="D1112" s="5" t="s">
        <v>21</v>
      </c>
      <c r="E1112" s="5" t="s">
        <v>44</v>
      </c>
      <c r="F1112" s="5" t="s">
        <v>46</v>
      </c>
      <c r="G1112" s="5" t="s">
        <v>47</v>
      </c>
      <c r="H1112" s="9" t="s">
        <v>48</v>
      </c>
      <c r="I1112" s="10"/>
      <c r="J1112" s="10">
        <v>45040</v>
      </c>
      <c r="K1112" s="5" t="s">
        <v>49</v>
      </c>
      <c r="L1112" s="5" t="s">
        <v>50</v>
      </c>
      <c r="M1112" s="11">
        <v>0.052499999999999998</v>
      </c>
      <c r="N1112" s="5" t="e">
        <f>IF(AND(M1112&gt;#REF!,Cartera!O1112="Guaraníes"),"Rendimiento significativo",IF(AND(M1112&gt;#REF!,Cartera!O1112="Dólares americanos"),"Rendimiento significativo","Rendimiento no significativo"))</f>
        <v>#REF!</v>
      </c>
      <c r="O1112" s="5" t="s">
        <v>51</v>
      </c>
      <c r="P1112" s="13">
        <v>174.52055000000001</v>
      </c>
      <c r="Q1112" s="12" t="e">
        <f>IF(O1112="Guaraníes",P1112,P1112*#REF!)</f>
        <v>#REF!</v>
      </c>
      <c r="R1112" s="12">
        <f>IF(O1112="Guaraníes",P1112/#REF!,P1112)</f>
        <v>174.52055000000001</v>
      </c>
      <c r="S1112" s="5" t="s">
        <v>52</v>
      </c>
      <c r="T1112" s="5">
        <v>4</v>
      </c>
      <c r="W1112" s="5" t="e">
        <v>#REF!</v>
      </c>
      <c r="X1112" s="5">
        <v>0</v>
      </c>
      <c r="Y1112" s="5">
        <v>0</v>
      </c>
      <c r="Z1112" s="5">
        <v>17.452055000000001</v>
      </c>
      <c r="AA1112" s="5">
        <v>10</v>
      </c>
      <c r="AB1112" s="5">
        <v>174.52054999999999</v>
      </c>
      <c r="AC1112" s="5" t="str">
        <f t="shared" si="55"/>
        <v>Bonos</v>
      </c>
      <c r="AD1112" s="5" t="s">
        <v>43</v>
      </c>
      <c r="AE1112" s="5">
        <f t="shared" si="56"/>
        <v>4</v>
      </c>
      <c r="AF1112" s="5">
        <f t="shared" si="57"/>
        <v>2023</v>
      </c>
    </row>
    <row r="1113" s="5" customFormat="1" ht="13">
      <c r="A1113" s="5" t="s">
        <v>44</v>
      </c>
      <c r="B1113" s="5" t="s">
        <v>44</v>
      </c>
      <c r="C1113" s="5" t="s">
        <v>99</v>
      </c>
      <c r="D1113" s="5" t="s">
        <v>21</v>
      </c>
      <c r="E1113" s="5" t="s">
        <v>44</v>
      </c>
      <c r="F1113" s="5" t="s">
        <v>100</v>
      </c>
      <c r="G1113" s="5" t="s">
        <v>47</v>
      </c>
      <c r="H1113" s="9" t="s">
        <v>101</v>
      </c>
      <c r="I1113" s="10"/>
      <c r="J1113" s="10">
        <v>45097</v>
      </c>
      <c r="K1113" s="5" t="s">
        <v>102</v>
      </c>
      <c r="L1113" s="5" t="s">
        <v>102</v>
      </c>
      <c r="M1113" s="11">
        <v>0.079000000000000001</v>
      </c>
      <c r="N1113" s="5" t="e">
        <f>IF(AND(M1113&gt;#REF!,Cartera!O1113="Guaraníes"),"Rendimiento significativo",IF(AND(M1113&gt;#REF!,Cartera!O1113="Dólares americanos"),"Rendimiento significativo","Rendimiento no significativo"))</f>
        <v>#REF!</v>
      </c>
      <c r="O1113" s="5" t="s">
        <v>41</v>
      </c>
      <c r="P1113" s="12">
        <v>1937500</v>
      </c>
      <c r="Q1113" s="12">
        <f>IF(O1113="Guaraníes",P1113,P1113*#REF!)</f>
        <v>1937500</v>
      </c>
      <c r="R1113" s="12" t="e">
        <f>IF(O1113="Guaraníes",P1113/#REF!,P1113)</f>
        <v>#REF!</v>
      </c>
      <c r="S1113" s="5" t="s">
        <v>52</v>
      </c>
      <c r="T1113" s="5">
        <v>4</v>
      </c>
      <c r="W1113" s="5" t="e">
        <v>#REF!</v>
      </c>
      <c r="X1113" s="5">
        <v>0</v>
      </c>
      <c r="Y1113" s="5">
        <v>0</v>
      </c>
      <c r="Z1113" s="5">
        <v>38750</v>
      </c>
      <c r="AA1113" s="5">
        <v>50</v>
      </c>
      <c r="AB1113" s="5">
        <v>1937500</v>
      </c>
      <c r="AC1113" s="5" t="str">
        <f t="shared" si="55"/>
        <v>Bonos</v>
      </c>
      <c r="AD1113" s="5" t="s">
        <v>43</v>
      </c>
      <c r="AE1113" s="5">
        <f t="shared" si="56"/>
        <v>6</v>
      </c>
      <c r="AF1113" s="5">
        <f t="shared" si="57"/>
        <v>2023</v>
      </c>
    </row>
    <row r="1114" s="5" customFormat="1" ht="13">
      <c r="A1114" s="5" t="s">
        <v>44</v>
      </c>
      <c r="B1114" s="5" t="s">
        <v>44</v>
      </c>
      <c r="C1114" s="5" t="s">
        <v>33</v>
      </c>
      <c r="D1114" s="5" t="s">
        <v>21</v>
      </c>
      <c r="E1114" s="5" t="s">
        <v>44</v>
      </c>
      <c r="F1114" s="5" t="s">
        <v>35</v>
      </c>
      <c r="G1114" s="5" t="s">
        <v>47</v>
      </c>
      <c r="H1114" s="9" t="s">
        <v>303</v>
      </c>
      <c r="I1114" s="10"/>
      <c r="J1114" s="10">
        <v>45099</v>
      </c>
      <c r="K1114" s="5" t="s">
        <v>39</v>
      </c>
      <c r="L1114" s="5" t="s">
        <v>58</v>
      </c>
      <c r="M1114" s="11">
        <v>0.0625</v>
      </c>
      <c r="N1114" s="5" t="e">
        <f>IF(AND(M1114&gt;#REF!,Cartera!O1114="Guaraníes"),"Rendimiento significativo",IF(AND(M1114&gt;#REF!,Cartera!O1114="Dólares americanos"),"Rendimiento significativo","Rendimiento no significativo"))</f>
        <v>#REF!</v>
      </c>
      <c r="O1114" s="5" t="s">
        <v>51</v>
      </c>
      <c r="P1114" s="13">
        <v>623.28767999999991</v>
      </c>
      <c r="Q1114" s="12" t="e">
        <f>IF(O1114="Guaraníes",P1114,P1114*#REF!)</f>
        <v>#REF!</v>
      </c>
      <c r="R1114" s="12">
        <f>IF(O1114="Guaraníes",P1114/#REF!,P1114)</f>
        <v>623.28767999999991</v>
      </c>
      <c r="S1114" s="5" t="s">
        <v>52</v>
      </c>
      <c r="T1114" s="5">
        <v>4</v>
      </c>
      <c r="W1114" s="5" t="e">
        <v>#REF!</v>
      </c>
      <c r="X1114" s="5">
        <v>0</v>
      </c>
      <c r="Y1114" s="5">
        <v>0</v>
      </c>
      <c r="Z1114" s="5">
        <v>15.582191999999999</v>
      </c>
      <c r="AA1114" s="5">
        <v>40</v>
      </c>
      <c r="AB1114" s="5">
        <v>623.28768000000002</v>
      </c>
      <c r="AC1114" s="5" t="str">
        <f t="shared" si="55"/>
        <v>Bonos</v>
      </c>
      <c r="AD1114" s="5" t="s">
        <v>43</v>
      </c>
      <c r="AE1114" s="5">
        <f t="shared" si="56"/>
        <v>6</v>
      </c>
      <c r="AF1114" s="5">
        <f t="shared" si="57"/>
        <v>2023</v>
      </c>
    </row>
    <row r="1115" s="5" customFormat="1" ht="13">
      <c r="A1115" s="5" t="s">
        <v>44</v>
      </c>
      <c r="B1115" s="5" t="s">
        <v>44</v>
      </c>
      <c r="C1115" s="5" t="s">
        <v>304</v>
      </c>
      <c r="D1115" s="5" t="s">
        <v>21</v>
      </c>
      <c r="E1115" s="5" t="s">
        <v>44</v>
      </c>
      <c r="F1115" s="5" t="s">
        <v>68</v>
      </c>
      <c r="G1115" s="5" t="s">
        <v>47</v>
      </c>
      <c r="H1115" s="9" t="s">
        <v>305</v>
      </c>
      <c r="I1115" s="10"/>
      <c r="J1115" s="10">
        <v>45100</v>
      </c>
      <c r="K1115" s="5" t="s">
        <v>39</v>
      </c>
      <c r="L1115" s="5" t="s">
        <v>58</v>
      </c>
      <c r="M1115" s="11">
        <v>0.089999999999999997</v>
      </c>
      <c r="N1115" s="5" t="e">
        <f>IF(AND(M1115&gt;#REF!,Cartera!O1115="Guaraníes"),"Rendimiento significativo",IF(AND(M1115&gt;#REF!,Cartera!O1115="Dólares americanos"),"Rendimiento significativo","Rendimiento no significativo"))</f>
        <v>#REF!</v>
      </c>
      <c r="O1115" s="5" t="s">
        <v>41</v>
      </c>
      <c r="P1115" s="12">
        <v>2243835.6164000002</v>
      </c>
      <c r="Q1115" s="12">
        <f>IF(O1115="Guaraníes",P1115,P1115*#REF!)</f>
        <v>2243835.6164000002</v>
      </c>
      <c r="R1115" s="12" t="e">
        <f>IF(O1115="Guaraníes",P1115/#REF!,P1115)</f>
        <v>#REF!</v>
      </c>
      <c r="S1115" s="5" t="s">
        <v>52</v>
      </c>
      <c r="T1115" s="5">
        <v>4</v>
      </c>
      <c r="W1115" s="5" t="e">
        <v>#REF!</v>
      </c>
      <c r="X1115" s="5">
        <v>0</v>
      </c>
      <c r="Y1115" s="5">
        <v>0</v>
      </c>
      <c r="Z1115" s="5">
        <v>22438.356164000001</v>
      </c>
      <c r="AA1115" s="5">
        <v>100</v>
      </c>
      <c r="AB1115" s="5">
        <v>2243835.6164000002</v>
      </c>
      <c r="AC1115" s="5" t="str">
        <f t="shared" si="55"/>
        <v>Bonos</v>
      </c>
      <c r="AD1115" s="5" t="s">
        <v>43</v>
      </c>
      <c r="AE1115" s="5">
        <f t="shared" si="56"/>
        <v>6</v>
      </c>
      <c r="AF1115" s="5">
        <f t="shared" si="57"/>
        <v>2023</v>
      </c>
    </row>
    <row r="1116" s="5" customFormat="1" ht="13">
      <c r="A1116" s="5" t="s">
        <v>44</v>
      </c>
      <c r="B1116" s="5" t="s">
        <v>44</v>
      </c>
      <c r="C1116" s="5" t="s">
        <v>45</v>
      </c>
      <c r="D1116" s="5" t="s">
        <v>21</v>
      </c>
      <c r="E1116" s="5" t="s">
        <v>44</v>
      </c>
      <c r="F1116" s="5" t="s">
        <v>46</v>
      </c>
      <c r="G1116" s="5" t="s">
        <v>47</v>
      </c>
      <c r="H1116" s="9" t="s">
        <v>48</v>
      </c>
      <c r="I1116" s="10"/>
      <c r="J1116" s="10">
        <v>45131</v>
      </c>
      <c r="K1116" s="5" t="s">
        <v>49</v>
      </c>
      <c r="L1116" s="5" t="s">
        <v>50</v>
      </c>
      <c r="M1116" s="11">
        <v>0.052499999999999998</v>
      </c>
      <c r="N1116" s="5" t="e">
        <f>IF(AND(M1116&gt;#REF!,Cartera!O1116="Guaraníes"),"Rendimiento significativo",IF(AND(M1116&gt;#REF!,Cartera!O1116="Dólares americanos"),"Rendimiento significativo","Rendimiento no significativo"))</f>
        <v>#REF!</v>
      </c>
      <c r="O1116" s="5" t="s">
        <v>51</v>
      </c>
      <c r="P1116" s="13">
        <v>174.52055000000001</v>
      </c>
      <c r="Q1116" s="12" t="e">
        <f>IF(O1116="Guaraníes",P1116,P1116*#REF!)</f>
        <v>#REF!</v>
      </c>
      <c r="R1116" s="12">
        <f>IF(O1116="Guaraníes",P1116/#REF!,P1116)</f>
        <v>174.52055000000001</v>
      </c>
      <c r="S1116" s="5" t="s">
        <v>52</v>
      </c>
      <c r="T1116" s="5">
        <v>4</v>
      </c>
      <c r="W1116" s="5" t="e">
        <v>#REF!</v>
      </c>
      <c r="X1116" s="5">
        <v>0</v>
      </c>
      <c r="Y1116" s="5">
        <v>0</v>
      </c>
      <c r="Z1116" s="5">
        <v>17.452055000000001</v>
      </c>
      <c r="AA1116" s="5">
        <v>10</v>
      </c>
      <c r="AB1116" s="5">
        <v>174.52054999999999</v>
      </c>
      <c r="AC1116" s="5" t="str">
        <f t="shared" si="55"/>
        <v>Bonos</v>
      </c>
      <c r="AD1116" s="5" t="s">
        <v>43</v>
      </c>
      <c r="AE1116" s="5">
        <f t="shared" si="56"/>
        <v>7</v>
      </c>
      <c r="AF1116" s="5">
        <f t="shared" si="57"/>
        <v>2023</v>
      </c>
    </row>
    <row r="1117" s="5" customFormat="1" ht="13">
      <c r="A1117" s="5" t="s">
        <v>44</v>
      </c>
      <c r="B1117" s="5" t="s">
        <v>44</v>
      </c>
      <c r="C1117" s="5" t="s">
        <v>33</v>
      </c>
      <c r="D1117" s="5" t="s">
        <v>21</v>
      </c>
      <c r="E1117" s="5" t="s">
        <v>44</v>
      </c>
      <c r="F1117" s="5" t="s">
        <v>35</v>
      </c>
      <c r="G1117" s="5" t="s">
        <v>47</v>
      </c>
      <c r="H1117" s="9" t="s">
        <v>303</v>
      </c>
      <c r="I1117" s="10"/>
      <c r="J1117" s="10">
        <v>45190</v>
      </c>
      <c r="K1117" s="5" t="s">
        <v>39</v>
      </c>
      <c r="L1117" s="5" t="s">
        <v>58</v>
      </c>
      <c r="M1117" s="11">
        <v>0.0625</v>
      </c>
      <c r="N1117" s="5" t="e">
        <f>IF(AND(M1117&gt;#REF!,Cartera!O1117="Guaraníes"),"Rendimiento significativo",IF(AND(M1117&gt;#REF!,Cartera!O1117="Dólares americanos"),"Rendimiento significativo","Rendimiento no significativo"))</f>
        <v>#REF!</v>
      </c>
      <c r="O1117" s="5" t="s">
        <v>51</v>
      </c>
      <c r="P1117" s="13">
        <v>623.28767999999991</v>
      </c>
      <c r="Q1117" s="12" t="e">
        <f>IF(O1117="Guaraníes",P1117,P1117*#REF!)</f>
        <v>#REF!</v>
      </c>
      <c r="R1117" s="12">
        <f>IF(O1117="Guaraníes",P1117/#REF!,P1117)</f>
        <v>623.28767999999991</v>
      </c>
      <c r="S1117" s="5" t="s">
        <v>52</v>
      </c>
      <c r="T1117" s="5">
        <v>4</v>
      </c>
      <c r="W1117" s="5" t="e">
        <v>#REF!</v>
      </c>
      <c r="X1117" s="5">
        <v>0</v>
      </c>
      <c r="Y1117" s="5">
        <v>0</v>
      </c>
      <c r="Z1117" s="5">
        <v>15.582191999999999</v>
      </c>
      <c r="AA1117" s="5">
        <v>40</v>
      </c>
      <c r="AB1117" s="5">
        <v>623.28768000000002</v>
      </c>
      <c r="AC1117" s="5" t="str">
        <f t="shared" si="55"/>
        <v>Bonos</v>
      </c>
      <c r="AD1117" s="5" t="s">
        <v>43</v>
      </c>
      <c r="AE1117" s="5">
        <f t="shared" si="56"/>
        <v>9</v>
      </c>
      <c r="AF1117" s="5">
        <f t="shared" si="57"/>
        <v>2023</v>
      </c>
    </row>
    <row r="1118" s="5" customFormat="1" ht="13">
      <c r="A1118" s="5" t="s">
        <v>44</v>
      </c>
      <c r="B1118" s="5" t="s">
        <v>44</v>
      </c>
      <c r="C1118" s="5" t="s">
        <v>304</v>
      </c>
      <c r="D1118" s="5" t="s">
        <v>21</v>
      </c>
      <c r="E1118" s="5" t="s">
        <v>44</v>
      </c>
      <c r="F1118" s="5" t="s">
        <v>68</v>
      </c>
      <c r="G1118" s="5" t="s">
        <v>47</v>
      </c>
      <c r="H1118" s="9" t="s">
        <v>305</v>
      </c>
      <c r="I1118" s="10"/>
      <c r="J1118" s="10">
        <v>45191</v>
      </c>
      <c r="K1118" s="5" t="s">
        <v>39</v>
      </c>
      <c r="L1118" s="5" t="s">
        <v>58</v>
      </c>
      <c r="M1118" s="11">
        <v>0.089999999999999997</v>
      </c>
      <c r="N1118" s="5" t="e">
        <f>IF(AND(M1118&gt;#REF!,Cartera!O1118="Guaraníes"),"Rendimiento significativo",IF(AND(M1118&gt;#REF!,Cartera!O1118="Dólares americanos"),"Rendimiento significativo","Rendimiento no significativo"))</f>
        <v>#REF!</v>
      </c>
      <c r="O1118" s="5" t="s">
        <v>41</v>
      </c>
      <c r="P1118" s="12">
        <v>2243835.6164000002</v>
      </c>
      <c r="Q1118" s="12">
        <f>IF(O1118="Guaraníes",P1118,P1118*#REF!)</f>
        <v>2243835.6164000002</v>
      </c>
      <c r="R1118" s="12" t="e">
        <f>IF(O1118="Guaraníes",P1118/#REF!,P1118)</f>
        <v>#REF!</v>
      </c>
      <c r="S1118" s="5" t="s">
        <v>52</v>
      </c>
      <c r="T1118" s="5">
        <v>4</v>
      </c>
      <c r="W1118" s="5" t="e">
        <v>#REF!</v>
      </c>
      <c r="X1118" s="5">
        <v>0</v>
      </c>
      <c r="Y1118" s="5">
        <v>0</v>
      </c>
      <c r="Z1118" s="5">
        <v>22438.356164000001</v>
      </c>
      <c r="AA1118" s="5">
        <v>100</v>
      </c>
      <c r="AB1118" s="5">
        <v>2243835.6164000002</v>
      </c>
      <c r="AC1118" s="5" t="str">
        <f t="shared" si="55"/>
        <v>Bonos</v>
      </c>
      <c r="AD1118" s="5" t="s">
        <v>43</v>
      </c>
      <c r="AE1118" s="5">
        <f t="shared" si="56"/>
        <v>9</v>
      </c>
      <c r="AF1118" s="5">
        <f t="shared" si="57"/>
        <v>2023</v>
      </c>
    </row>
    <row r="1119" s="5" customFormat="1" ht="13">
      <c r="A1119" s="5" t="s">
        <v>44</v>
      </c>
      <c r="B1119" s="5" t="s">
        <v>44</v>
      </c>
      <c r="C1119" s="5" t="s">
        <v>45</v>
      </c>
      <c r="D1119" s="5" t="s">
        <v>21</v>
      </c>
      <c r="E1119" s="5" t="s">
        <v>44</v>
      </c>
      <c r="F1119" s="5" t="s">
        <v>46</v>
      </c>
      <c r="G1119" s="5" t="s">
        <v>47</v>
      </c>
      <c r="H1119" s="9" t="s">
        <v>48</v>
      </c>
      <c r="I1119" s="10"/>
      <c r="J1119" s="10">
        <v>45222</v>
      </c>
      <c r="K1119" s="5" t="s">
        <v>49</v>
      </c>
      <c r="L1119" s="5" t="s">
        <v>50</v>
      </c>
      <c r="M1119" s="11">
        <v>0.052499999999999998</v>
      </c>
      <c r="N1119" s="5" t="e">
        <f>IF(AND(M1119&gt;#REF!,Cartera!O1119="Guaraníes"),"Rendimiento significativo",IF(AND(M1119&gt;#REF!,Cartera!O1119="Dólares americanos"),"Rendimiento significativo","Rendimiento no significativo"))</f>
        <v>#REF!</v>
      </c>
      <c r="O1119" s="5" t="s">
        <v>51</v>
      </c>
      <c r="P1119" s="13">
        <v>174.52055000000001</v>
      </c>
      <c r="Q1119" s="12" t="e">
        <f>IF(O1119="Guaraníes",P1119,P1119*#REF!)</f>
        <v>#REF!</v>
      </c>
      <c r="R1119" s="12">
        <f>IF(O1119="Guaraníes",P1119/#REF!,P1119)</f>
        <v>174.52055000000001</v>
      </c>
      <c r="S1119" s="5" t="s">
        <v>52</v>
      </c>
      <c r="T1119" s="5">
        <v>4</v>
      </c>
      <c r="W1119" s="5" t="e">
        <v>#REF!</v>
      </c>
      <c r="X1119" s="5">
        <v>0</v>
      </c>
      <c r="Y1119" s="5">
        <v>0</v>
      </c>
      <c r="Z1119" s="5">
        <v>17.452055000000001</v>
      </c>
      <c r="AA1119" s="5">
        <v>10</v>
      </c>
      <c r="AB1119" s="5">
        <v>174.52054999999999</v>
      </c>
      <c r="AC1119" s="5" t="str">
        <f t="shared" si="55"/>
        <v>Bonos</v>
      </c>
      <c r="AD1119" s="5" t="s">
        <v>43</v>
      </c>
      <c r="AE1119" s="5">
        <f t="shared" si="56"/>
        <v>10</v>
      </c>
      <c r="AF1119" s="5">
        <f t="shared" si="57"/>
        <v>2023</v>
      </c>
    </row>
    <row r="1120" s="5" customFormat="1" ht="13">
      <c r="A1120" s="5" t="s">
        <v>44</v>
      </c>
      <c r="B1120" s="5" t="s">
        <v>44</v>
      </c>
      <c r="C1120" s="5" t="s">
        <v>99</v>
      </c>
      <c r="D1120" s="5" t="s">
        <v>21</v>
      </c>
      <c r="E1120" s="5" t="s">
        <v>44</v>
      </c>
      <c r="F1120" s="5" t="s">
        <v>100</v>
      </c>
      <c r="G1120" s="5" t="s">
        <v>47</v>
      </c>
      <c r="H1120" s="9" t="s">
        <v>101</v>
      </c>
      <c r="I1120" s="10"/>
      <c r="J1120" s="10">
        <v>45280</v>
      </c>
      <c r="K1120" s="5" t="s">
        <v>102</v>
      </c>
      <c r="L1120" s="5" t="s">
        <v>102</v>
      </c>
      <c r="M1120" s="11">
        <v>0.079000000000000001</v>
      </c>
      <c r="N1120" s="5" t="e">
        <f>IF(AND(M1120&gt;#REF!,Cartera!O1120="Guaraníes"),"Rendimiento significativo",IF(AND(M1120&gt;#REF!,Cartera!O1120="Dólares americanos"),"Rendimiento significativo","Rendimiento no significativo"))</f>
        <v>#REF!</v>
      </c>
      <c r="O1120" s="5" t="s">
        <v>41</v>
      </c>
      <c r="P1120" s="12">
        <v>1937500</v>
      </c>
      <c r="Q1120" s="12">
        <f>IF(O1120="Guaraníes",P1120,P1120*#REF!)</f>
        <v>1937500</v>
      </c>
      <c r="R1120" s="12" t="e">
        <f>IF(O1120="Guaraníes",P1120/#REF!,P1120)</f>
        <v>#REF!</v>
      </c>
      <c r="S1120" s="5" t="s">
        <v>52</v>
      </c>
      <c r="T1120" s="5">
        <v>4</v>
      </c>
      <c r="W1120" s="5" t="e">
        <v>#REF!</v>
      </c>
      <c r="X1120" s="5">
        <v>0</v>
      </c>
      <c r="Y1120" s="5">
        <v>0</v>
      </c>
      <c r="Z1120" s="5">
        <v>38750</v>
      </c>
      <c r="AA1120" s="5">
        <v>50</v>
      </c>
      <c r="AB1120" s="5">
        <v>1937500</v>
      </c>
      <c r="AC1120" s="5" t="str">
        <f t="shared" si="55"/>
        <v>Bonos</v>
      </c>
      <c r="AD1120" s="5" t="s">
        <v>43</v>
      </c>
      <c r="AE1120" s="5">
        <f t="shared" si="56"/>
        <v>12</v>
      </c>
      <c r="AF1120" s="5">
        <f t="shared" si="57"/>
        <v>2023</v>
      </c>
    </row>
    <row r="1121" s="5" customFormat="1" ht="13">
      <c r="A1121" s="5" t="s">
        <v>44</v>
      </c>
      <c r="B1121" s="5" t="s">
        <v>44</v>
      </c>
      <c r="C1121" s="5" t="s">
        <v>33</v>
      </c>
      <c r="D1121" s="5" t="s">
        <v>21</v>
      </c>
      <c r="E1121" s="5" t="s">
        <v>44</v>
      </c>
      <c r="F1121" s="5" t="s">
        <v>35</v>
      </c>
      <c r="G1121" s="5" t="s">
        <v>47</v>
      </c>
      <c r="H1121" s="9" t="s">
        <v>303</v>
      </c>
      <c r="I1121" s="10"/>
      <c r="J1121" s="10">
        <v>45281</v>
      </c>
      <c r="K1121" s="5" t="s">
        <v>39</v>
      </c>
      <c r="L1121" s="5" t="s">
        <v>58</v>
      </c>
      <c r="M1121" s="11">
        <v>0.0625</v>
      </c>
      <c r="N1121" s="5" t="e">
        <f>IF(AND(M1121&gt;#REF!,Cartera!O1121="Guaraníes"),"Rendimiento significativo",IF(AND(M1121&gt;#REF!,Cartera!O1121="Dólares americanos"),"Rendimiento significativo","Rendimiento no significativo"))</f>
        <v>#REF!</v>
      </c>
      <c r="O1121" s="5" t="s">
        <v>51</v>
      </c>
      <c r="P1121" s="13">
        <v>623.28767999999991</v>
      </c>
      <c r="Q1121" s="12" t="e">
        <f>IF(O1121="Guaraníes",P1121,P1121*#REF!)</f>
        <v>#REF!</v>
      </c>
      <c r="R1121" s="12">
        <f>IF(O1121="Guaraníes",P1121/#REF!,P1121)</f>
        <v>623.28767999999991</v>
      </c>
      <c r="S1121" s="5" t="s">
        <v>52</v>
      </c>
      <c r="T1121" s="5">
        <v>4</v>
      </c>
      <c r="W1121" s="5" t="e">
        <v>#REF!</v>
      </c>
      <c r="X1121" s="5">
        <v>0</v>
      </c>
      <c r="Y1121" s="5">
        <v>0</v>
      </c>
      <c r="Z1121" s="5">
        <v>15.582191999999999</v>
      </c>
      <c r="AA1121" s="5">
        <v>40</v>
      </c>
      <c r="AB1121" s="5">
        <v>623.28768000000002</v>
      </c>
      <c r="AC1121" s="5" t="str">
        <f t="shared" si="55"/>
        <v>Bonos</v>
      </c>
      <c r="AD1121" s="5" t="s">
        <v>43</v>
      </c>
      <c r="AE1121" s="5">
        <f t="shared" si="56"/>
        <v>12</v>
      </c>
      <c r="AF1121" s="5">
        <f t="shared" si="57"/>
        <v>2023</v>
      </c>
    </row>
    <row r="1122" s="5" customFormat="1" ht="13">
      <c r="A1122" s="5" t="s">
        <v>44</v>
      </c>
      <c r="B1122" s="5" t="s">
        <v>44</v>
      </c>
      <c r="C1122" s="5" t="s">
        <v>304</v>
      </c>
      <c r="D1122" s="5" t="s">
        <v>21</v>
      </c>
      <c r="E1122" s="5" t="s">
        <v>44</v>
      </c>
      <c r="F1122" s="5" t="s">
        <v>68</v>
      </c>
      <c r="G1122" s="5" t="s">
        <v>47</v>
      </c>
      <c r="H1122" s="9" t="s">
        <v>305</v>
      </c>
      <c r="I1122" s="10"/>
      <c r="J1122" s="10">
        <v>45286</v>
      </c>
      <c r="K1122" s="5" t="s">
        <v>39</v>
      </c>
      <c r="L1122" s="5" t="s">
        <v>58</v>
      </c>
      <c r="M1122" s="11">
        <v>0.089999999999999997</v>
      </c>
      <c r="N1122" s="5" t="e">
        <f>IF(AND(M1122&gt;#REF!,Cartera!O1122="Guaraníes"),"Rendimiento significativo",IF(AND(M1122&gt;#REF!,Cartera!O1122="Dólares americanos"),"Rendimiento significativo","Rendimiento no significativo"))</f>
        <v>#REF!</v>
      </c>
      <c r="O1122" s="5" t="s">
        <v>41</v>
      </c>
      <c r="P1122" s="12">
        <v>2342465.7534000003</v>
      </c>
      <c r="Q1122" s="12">
        <f>IF(O1122="Guaraníes",P1122,P1122*#REF!)</f>
        <v>2342465.7534000003</v>
      </c>
      <c r="R1122" s="12" t="e">
        <f>IF(O1122="Guaraníes",P1122/#REF!,P1122)</f>
        <v>#REF!</v>
      </c>
      <c r="S1122" s="5" t="s">
        <v>52</v>
      </c>
      <c r="T1122" s="5">
        <v>4</v>
      </c>
      <c r="W1122" s="5" t="e">
        <v>#REF!</v>
      </c>
      <c r="X1122" s="5">
        <v>0</v>
      </c>
      <c r="Y1122" s="5">
        <v>0</v>
      </c>
      <c r="Z1122" s="5">
        <v>23424.657534000002</v>
      </c>
      <c r="AA1122" s="5">
        <v>100</v>
      </c>
      <c r="AB1122" s="5">
        <v>2342465.7533999998</v>
      </c>
      <c r="AC1122" s="5" t="str">
        <f t="shared" si="55"/>
        <v>Bonos</v>
      </c>
      <c r="AD1122" s="5" t="s">
        <v>43</v>
      </c>
      <c r="AE1122" s="5">
        <f t="shared" si="56"/>
        <v>12</v>
      </c>
      <c r="AF1122" s="5">
        <f t="shared" si="57"/>
        <v>2023</v>
      </c>
    </row>
    <row r="1123" s="5" customFormat="1" ht="13">
      <c r="A1123" s="5" t="s">
        <v>44</v>
      </c>
      <c r="B1123" s="5" t="s">
        <v>44</v>
      </c>
      <c r="C1123" s="5" t="s">
        <v>45</v>
      </c>
      <c r="D1123" s="5" t="s">
        <v>21</v>
      </c>
      <c r="E1123" s="5" t="s">
        <v>44</v>
      </c>
      <c r="F1123" s="5" t="s">
        <v>46</v>
      </c>
      <c r="G1123" s="5" t="s">
        <v>47</v>
      </c>
      <c r="H1123" s="9" t="s">
        <v>48</v>
      </c>
      <c r="I1123" s="10"/>
      <c r="J1123" s="10">
        <v>45313</v>
      </c>
      <c r="K1123" s="5" t="s">
        <v>49</v>
      </c>
      <c r="L1123" s="5" t="s">
        <v>50</v>
      </c>
      <c r="M1123" s="11">
        <v>0.052499999999999998</v>
      </c>
      <c r="N1123" s="5" t="e">
        <f>IF(AND(M1123&gt;#REF!,Cartera!O1123="Guaraníes"),"Rendimiento significativo",IF(AND(M1123&gt;#REF!,Cartera!O1123="Dólares americanos"),"Rendimiento significativo","Rendimiento no significativo"))</f>
        <v>#REF!</v>
      </c>
      <c r="O1123" s="5" t="s">
        <v>51</v>
      </c>
      <c r="P1123" s="13">
        <v>174.52055000000001</v>
      </c>
      <c r="Q1123" s="12" t="e">
        <f>IF(O1123="Guaraníes",P1123,P1123*#REF!)</f>
        <v>#REF!</v>
      </c>
      <c r="R1123" s="12">
        <f>IF(O1123="Guaraníes",P1123/#REF!,P1123)</f>
        <v>174.52055000000001</v>
      </c>
      <c r="S1123" s="5" t="s">
        <v>52</v>
      </c>
      <c r="T1123" s="5">
        <v>4</v>
      </c>
      <c r="W1123" s="5" t="e">
        <v>#REF!</v>
      </c>
      <c r="X1123" s="5">
        <v>0</v>
      </c>
      <c r="Y1123" s="5">
        <v>0</v>
      </c>
      <c r="Z1123" s="5">
        <v>17.452055000000001</v>
      </c>
      <c r="AA1123" s="5">
        <v>10</v>
      </c>
      <c r="AB1123" s="5">
        <v>174.52054999999999</v>
      </c>
      <c r="AC1123" s="5" t="str">
        <f t="shared" si="55"/>
        <v>Bonos</v>
      </c>
      <c r="AD1123" s="5" t="s">
        <v>43</v>
      </c>
      <c r="AE1123" s="5">
        <f t="shared" si="56"/>
        <v>1</v>
      </c>
      <c r="AF1123" s="5">
        <f t="shared" si="57"/>
        <v>2024</v>
      </c>
    </row>
    <row r="1124" s="5" customFormat="1" ht="13">
      <c r="A1124" s="5" t="s">
        <v>44</v>
      </c>
      <c r="B1124" s="5" t="s">
        <v>44</v>
      </c>
      <c r="C1124" s="5" t="s">
        <v>33</v>
      </c>
      <c r="D1124" s="5" t="s">
        <v>21</v>
      </c>
      <c r="E1124" s="5" t="s">
        <v>44</v>
      </c>
      <c r="F1124" s="5" t="s">
        <v>35</v>
      </c>
      <c r="G1124" s="5" t="s">
        <v>47</v>
      </c>
      <c r="H1124" s="9" t="s">
        <v>303</v>
      </c>
      <c r="I1124" s="10"/>
      <c r="J1124" s="10">
        <v>45372</v>
      </c>
      <c r="K1124" s="5" t="s">
        <v>39</v>
      </c>
      <c r="L1124" s="5" t="s">
        <v>58</v>
      </c>
      <c r="M1124" s="11">
        <v>0.0625</v>
      </c>
      <c r="N1124" s="5" t="e">
        <f>IF(AND(M1124&gt;#REF!,Cartera!O1124="Guaraníes"),"Rendimiento significativo",IF(AND(M1124&gt;#REF!,Cartera!O1124="Dólares americanos"),"Rendimiento significativo","Rendimiento no significativo"))</f>
        <v>#REF!</v>
      </c>
      <c r="O1124" s="5" t="s">
        <v>51</v>
      </c>
      <c r="P1124" s="13">
        <v>623.28767999999991</v>
      </c>
      <c r="Q1124" s="12" t="e">
        <f>IF(O1124="Guaraníes",P1124,P1124*#REF!)</f>
        <v>#REF!</v>
      </c>
      <c r="R1124" s="12">
        <f>IF(O1124="Guaraníes",P1124/#REF!,P1124)</f>
        <v>623.28767999999991</v>
      </c>
      <c r="S1124" s="5" t="s">
        <v>52</v>
      </c>
      <c r="T1124" s="5">
        <v>4</v>
      </c>
      <c r="W1124" s="5" t="e">
        <v>#REF!</v>
      </c>
      <c r="X1124" s="5">
        <v>0</v>
      </c>
      <c r="Y1124" s="5">
        <v>0</v>
      </c>
      <c r="Z1124" s="5">
        <v>15.582191999999999</v>
      </c>
      <c r="AA1124" s="5">
        <v>40</v>
      </c>
      <c r="AB1124" s="5">
        <v>623.28768000000002</v>
      </c>
      <c r="AC1124" s="5" t="str">
        <f t="shared" si="55"/>
        <v>Bonos</v>
      </c>
      <c r="AD1124" s="5" t="s">
        <v>43</v>
      </c>
      <c r="AE1124" s="5">
        <f t="shared" si="56"/>
        <v>3</v>
      </c>
      <c r="AF1124" s="5">
        <f t="shared" si="57"/>
        <v>2024</v>
      </c>
    </row>
    <row r="1125" s="5" customFormat="1" ht="13">
      <c r="A1125" s="5" t="s">
        <v>44</v>
      </c>
      <c r="B1125" s="5" t="s">
        <v>44</v>
      </c>
      <c r="C1125" s="5" t="s">
        <v>304</v>
      </c>
      <c r="D1125" s="5" t="s">
        <v>20</v>
      </c>
      <c r="E1125" s="5" t="s">
        <v>44</v>
      </c>
      <c r="F1125" s="5" t="s">
        <v>68</v>
      </c>
      <c r="G1125" s="5" t="s">
        <v>47</v>
      </c>
      <c r="H1125" s="9" t="s">
        <v>305</v>
      </c>
      <c r="I1125" s="10">
        <v>43686</v>
      </c>
      <c r="J1125" s="10">
        <v>45377</v>
      </c>
      <c r="K1125" s="5" t="s">
        <v>39</v>
      </c>
      <c r="L1125" s="5" t="s">
        <v>58</v>
      </c>
      <c r="M1125" s="11">
        <v>0.089999999999999997</v>
      </c>
      <c r="N1125" s="5" t="e">
        <f>IF(AND(M1125&gt;#REF!,Cartera!O1125="Guaraníes"),"Rendimiento significativo",IF(AND(M1125&gt;#REF!,Cartera!O1125="Dólares americanos"),"Rendimiento significativo","Rendimiento no significativo"))</f>
        <v>#REF!</v>
      </c>
      <c r="O1125" s="5" t="s">
        <v>41</v>
      </c>
      <c r="P1125" s="12">
        <v>100000000</v>
      </c>
      <c r="Q1125" s="12">
        <f>IF(O1125="Guaraníes",P1125,P1125*#REF!)</f>
        <v>100000000</v>
      </c>
      <c r="R1125" s="12" t="e">
        <f>IF(O1125="Guaraníes",P1125/#REF!,P1125)</f>
        <v>#REF!</v>
      </c>
      <c r="S1125" s="5" t="s">
        <v>52</v>
      </c>
      <c r="AC1125" s="5" t="str">
        <f t="shared" si="55"/>
        <v>Bonos</v>
      </c>
      <c r="AD1125" s="5" t="s">
        <v>43</v>
      </c>
      <c r="AE1125" s="5">
        <f t="shared" si="56"/>
        <v>3</v>
      </c>
      <c r="AF1125" s="5">
        <f t="shared" si="57"/>
        <v>2024</v>
      </c>
    </row>
    <row r="1126" s="5" customFormat="1" ht="13">
      <c r="A1126" s="5" t="s">
        <v>44</v>
      </c>
      <c r="B1126" s="5" t="s">
        <v>44</v>
      </c>
      <c r="C1126" s="5" t="s">
        <v>45</v>
      </c>
      <c r="D1126" s="5" t="s">
        <v>21</v>
      </c>
      <c r="E1126" s="5" t="s">
        <v>44</v>
      </c>
      <c r="F1126" s="5" t="s">
        <v>46</v>
      </c>
      <c r="G1126" s="5" t="s">
        <v>47</v>
      </c>
      <c r="H1126" s="9" t="s">
        <v>48</v>
      </c>
      <c r="I1126" s="10"/>
      <c r="J1126" s="10">
        <v>45404</v>
      </c>
      <c r="K1126" s="5" t="s">
        <v>49</v>
      </c>
      <c r="L1126" s="5" t="s">
        <v>50</v>
      </c>
      <c r="M1126" s="11">
        <v>0.052499999999999998</v>
      </c>
      <c r="N1126" s="5" t="e">
        <f>IF(AND(M1126&gt;#REF!,Cartera!O1126="Guaraníes"),"Rendimiento significativo",IF(AND(M1126&gt;#REF!,Cartera!O1126="Dólares americanos"),"Rendimiento significativo","Rendimiento no significativo"))</f>
        <v>#REF!</v>
      </c>
      <c r="O1126" s="5" t="s">
        <v>51</v>
      </c>
      <c r="P1126" s="13">
        <v>174.52055000000001</v>
      </c>
      <c r="Q1126" s="12" t="e">
        <f>IF(O1126="Guaraníes",P1126,P1126*#REF!)</f>
        <v>#REF!</v>
      </c>
      <c r="R1126" s="12">
        <f>IF(O1126="Guaraníes",P1126/#REF!,P1126)</f>
        <v>174.52055000000001</v>
      </c>
      <c r="S1126" s="5" t="s">
        <v>52</v>
      </c>
      <c r="T1126" s="5">
        <v>4</v>
      </c>
      <c r="W1126" s="5" t="s">
        <v>53</v>
      </c>
      <c r="X1126" s="5">
        <v>0</v>
      </c>
      <c r="Y1126" s="5">
        <v>0</v>
      </c>
      <c r="Z1126" s="5">
        <v>17.452055000000001</v>
      </c>
      <c r="AA1126" s="5">
        <v>10</v>
      </c>
      <c r="AB1126" s="5">
        <v>174.52054999999999</v>
      </c>
      <c r="AC1126" s="5" t="str">
        <f t="shared" si="55"/>
        <v>Bonos</v>
      </c>
      <c r="AD1126" s="5" t="s">
        <v>43</v>
      </c>
      <c r="AE1126" s="5">
        <f t="shared" si="56"/>
        <v>4</v>
      </c>
      <c r="AF1126" s="5">
        <f t="shared" si="57"/>
        <v>2024</v>
      </c>
    </row>
    <row r="1127" s="5" customFormat="1" ht="13">
      <c r="A1127" s="5" t="s">
        <v>44</v>
      </c>
      <c r="B1127" s="5" t="s">
        <v>44</v>
      </c>
      <c r="C1127" s="5" t="s">
        <v>99</v>
      </c>
      <c r="D1127" s="5" t="s">
        <v>21</v>
      </c>
      <c r="E1127" s="5" t="s">
        <v>44</v>
      </c>
      <c r="F1127" s="5" t="s">
        <v>100</v>
      </c>
      <c r="G1127" s="5" t="s">
        <v>47</v>
      </c>
      <c r="H1127" s="9" t="s">
        <v>101</v>
      </c>
      <c r="I1127" s="10"/>
      <c r="J1127" s="10">
        <v>45463</v>
      </c>
      <c r="K1127" s="5" t="s">
        <v>102</v>
      </c>
      <c r="L1127" s="5" t="s">
        <v>102</v>
      </c>
      <c r="M1127" s="11">
        <v>0.079000000000000001</v>
      </c>
      <c r="N1127" s="5" t="e">
        <f>IF(AND(M1127&gt;#REF!,Cartera!O1127="Guaraníes"),"Rendimiento significativo",IF(AND(M1127&gt;#REF!,Cartera!O1127="Dólares americanos"),"Rendimiento significativo","Rendimiento no significativo"))</f>
        <v>#REF!</v>
      </c>
      <c r="O1127" s="5" t="s">
        <v>41</v>
      </c>
      <c r="P1127" s="12">
        <v>1937500</v>
      </c>
      <c r="Q1127" s="12">
        <f>IF(O1127="Guaraníes",P1127,P1127*#REF!)</f>
        <v>1937500</v>
      </c>
      <c r="R1127" s="12" t="e">
        <f>IF(O1127="Guaraníes",P1127/#REF!,P1127)</f>
        <v>#REF!</v>
      </c>
      <c r="S1127" s="5" t="s">
        <v>52</v>
      </c>
      <c r="T1127" s="5">
        <v>4</v>
      </c>
      <c r="W1127" s="5" t="s">
        <v>200</v>
      </c>
      <c r="X1127" s="5">
        <v>0</v>
      </c>
      <c r="Y1127" s="5">
        <v>0</v>
      </c>
      <c r="Z1127" s="5">
        <v>38750</v>
      </c>
      <c r="AA1127" s="5">
        <v>50</v>
      </c>
      <c r="AB1127" s="5">
        <v>1937500</v>
      </c>
      <c r="AC1127" s="5" t="str">
        <f t="shared" si="55"/>
        <v>Bonos</v>
      </c>
      <c r="AD1127" s="5" t="s">
        <v>43</v>
      </c>
      <c r="AE1127" s="5">
        <f t="shared" si="56"/>
        <v>6</v>
      </c>
      <c r="AF1127" s="5">
        <f t="shared" si="57"/>
        <v>2024</v>
      </c>
    </row>
    <row r="1128" s="5" customFormat="1" ht="13">
      <c r="A1128" s="5" t="s">
        <v>44</v>
      </c>
      <c r="B1128" s="5" t="s">
        <v>44</v>
      </c>
      <c r="C1128" s="5" t="s">
        <v>33</v>
      </c>
      <c r="D1128" s="5" t="s">
        <v>21</v>
      </c>
      <c r="E1128" s="5" t="s">
        <v>44</v>
      </c>
      <c r="F1128" s="5" t="s">
        <v>35</v>
      </c>
      <c r="G1128" s="5" t="s">
        <v>47</v>
      </c>
      <c r="H1128" s="9" t="s">
        <v>303</v>
      </c>
      <c r="I1128" s="10"/>
      <c r="J1128" s="10">
        <v>45470</v>
      </c>
      <c r="K1128" s="5" t="s">
        <v>39</v>
      </c>
      <c r="L1128" s="5" t="s">
        <v>58</v>
      </c>
      <c r="M1128" s="11">
        <v>0.0625</v>
      </c>
      <c r="N1128" s="5" t="e">
        <f>IF(AND(M1128&gt;#REF!,Cartera!O1128="Guaraníes"),"Rendimiento significativo",IF(AND(M1128&gt;#REF!,Cartera!O1128="Dólares americanos"),"Rendimiento significativo","Rendimiento no significativo"))</f>
        <v>#REF!</v>
      </c>
      <c r="O1128" s="5" t="s">
        <v>51</v>
      </c>
      <c r="P1128" s="13">
        <v>671.23000000000002</v>
      </c>
      <c r="Q1128" s="12" t="e">
        <f>IF(O1128="Guaraníes",P1128,P1128*#REF!)</f>
        <v>#REF!</v>
      </c>
      <c r="R1128" s="12">
        <f>IF(O1128="Guaraníes",P1128/#REF!,P1128)</f>
        <v>671.23000000000002</v>
      </c>
      <c r="S1128" s="5" t="s">
        <v>52</v>
      </c>
      <c r="T1128" s="5">
        <v>4</v>
      </c>
      <c r="U1128" s="5">
        <v>40000</v>
      </c>
      <c r="V1128" s="5">
        <v>10708376.16432</v>
      </c>
      <c r="W1128" s="5" t="s">
        <v>346</v>
      </c>
      <c r="X1128" s="5">
        <v>100</v>
      </c>
      <c r="Y1128" s="5">
        <v>1000</v>
      </c>
      <c r="Z1128" s="5">
        <v>1016.7808219999999</v>
      </c>
      <c r="AA1128" s="5">
        <v>40</v>
      </c>
      <c r="AB1128" s="5">
        <v>40671.232880000003</v>
      </c>
      <c r="AC1128" s="5" t="str">
        <f t="shared" si="55"/>
        <v>Bonos</v>
      </c>
      <c r="AD1128" s="5" t="s">
        <v>43</v>
      </c>
      <c r="AE1128" s="5">
        <f t="shared" si="56"/>
        <v>6</v>
      </c>
      <c r="AF1128" s="5">
        <f t="shared" si="57"/>
        <v>2024</v>
      </c>
    </row>
    <row r="1129" s="5" customFormat="1" ht="13">
      <c r="A1129" s="5" t="s">
        <v>44</v>
      </c>
      <c r="B1129" s="5" t="s">
        <v>44</v>
      </c>
      <c r="C1129" s="5" t="s">
        <v>33</v>
      </c>
      <c r="D1129" s="5" t="s">
        <v>20</v>
      </c>
      <c r="E1129" s="5" t="s">
        <v>44</v>
      </c>
      <c r="F1129" s="5" t="s">
        <v>35</v>
      </c>
      <c r="G1129" s="5" t="s">
        <v>47</v>
      </c>
      <c r="H1129" s="9" t="s">
        <v>303</v>
      </c>
      <c r="I1129" s="10">
        <v>43686</v>
      </c>
      <c r="J1129" s="10">
        <v>45470</v>
      </c>
      <c r="K1129" s="5" t="s">
        <v>39</v>
      </c>
      <c r="L1129" s="5" t="s">
        <v>106</v>
      </c>
      <c r="M1129" s="11">
        <v>0.0625</v>
      </c>
      <c r="N1129" s="5" t="e">
        <f>IF(AND(M1129&gt;#REF!,Cartera!O1129="Guaraníes"),"Rendimiento significativo",IF(AND(M1129&gt;#REF!,Cartera!O1129="Dólares americanos"),"Rendimiento significativo","Rendimiento no significativo"))</f>
        <v>#REF!</v>
      </c>
      <c r="O1129" s="5" t="s">
        <v>51</v>
      </c>
      <c r="P1129" s="13">
        <v>40000</v>
      </c>
      <c r="Q1129" s="12" t="e">
        <f>IF(O1129="Guaraníes",P1129,P1129*#REF!)</f>
        <v>#REF!</v>
      </c>
      <c r="R1129" s="12">
        <f>IF(O1129="Guaraníes",P1129/#REF!,P1129)</f>
        <v>40000</v>
      </c>
      <c r="S1129" s="5" t="s">
        <v>52</v>
      </c>
      <c r="AC1129" s="5" t="str">
        <f t="shared" si="55"/>
        <v>Bonos</v>
      </c>
      <c r="AD1129" s="5" t="s">
        <v>43</v>
      </c>
      <c r="AE1129" s="5">
        <f t="shared" si="56"/>
        <v>6</v>
      </c>
      <c r="AF1129" s="5">
        <f t="shared" si="57"/>
        <v>2024</v>
      </c>
    </row>
    <row r="1130" s="5" customFormat="1" ht="13">
      <c r="A1130" s="5" t="s">
        <v>44</v>
      </c>
      <c r="B1130" s="5" t="s">
        <v>44</v>
      </c>
      <c r="C1130" s="5" t="s">
        <v>45</v>
      </c>
      <c r="D1130" s="5" t="s">
        <v>21</v>
      </c>
      <c r="E1130" s="5" t="s">
        <v>44</v>
      </c>
      <c r="F1130" s="5" t="s">
        <v>46</v>
      </c>
      <c r="G1130" s="5" t="s">
        <v>47</v>
      </c>
      <c r="H1130" s="9" t="s">
        <v>48</v>
      </c>
      <c r="I1130" s="10"/>
      <c r="J1130" s="10">
        <v>45495</v>
      </c>
      <c r="K1130" s="5" t="s">
        <v>49</v>
      </c>
      <c r="L1130" s="5" t="s">
        <v>50</v>
      </c>
      <c r="M1130" s="11">
        <v>0.052499999999999998</v>
      </c>
      <c r="N1130" s="5" t="e">
        <f>IF(AND(M1130&gt;#REF!,Cartera!O1130="Guaraníes"),"Rendimiento significativo",IF(AND(M1130&gt;#REF!,Cartera!O1130="Dólares americanos"),"Rendimiento significativo","Rendimiento no significativo"))</f>
        <v>#REF!</v>
      </c>
      <c r="O1130" s="5" t="s">
        <v>51</v>
      </c>
      <c r="P1130" s="13">
        <v>174.52055000000001</v>
      </c>
      <c r="Q1130" s="12" t="e">
        <f>IF(O1130="Guaraníes",P1130,P1130*#REF!)</f>
        <v>#REF!</v>
      </c>
      <c r="R1130" s="12">
        <f>IF(O1130="Guaraníes",P1130/#REF!,P1130)</f>
        <v>174.52055000000001</v>
      </c>
      <c r="S1130" s="5" t="s">
        <v>52</v>
      </c>
      <c r="T1130" s="5">
        <v>4</v>
      </c>
      <c r="W1130" s="5" t="s">
        <v>53</v>
      </c>
      <c r="X1130" s="5">
        <v>0</v>
      </c>
      <c r="Y1130" s="5">
        <v>0</v>
      </c>
      <c r="Z1130" s="5">
        <v>17.452055000000001</v>
      </c>
      <c r="AA1130" s="5">
        <v>10</v>
      </c>
      <c r="AB1130" s="5">
        <v>174.52054999999999</v>
      </c>
      <c r="AC1130" s="5" t="str">
        <f t="shared" si="55"/>
        <v>Bonos</v>
      </c>
      <c r="AD1130" s="5" t="s">
        <v>43</v>
      </c>
      <c r="AE1130" s="5">
        <f t="shared" si="56"/>
        <v>7</v>
      </c>
      <c r="AF1130" s="5">
        <f t="shared" si="57"/>
        <v>2024</v>
      </c>
    </row>
    <row r="1131" s="5" customFormat="1" ht="13">
      <c r="A1131" s="5" t="s">
        <v>44</v>
      </c>
      <c r="B1131" s="5" t="s">
        <v>44</v>
      </c>
      <c r="C1131" s="5" t="s">
        <v>79</v>
      </c>
      <c r="D1131" s="5" t="s">
        <v>21</v>
      </c>
      <c r="E1131" s="5" t="s">
        <v>44</v>
      </c>
      <c r="F1131" s="5" t="s">
        <v>68</v>
      </c>
      <c r="H1131" s="9" t="s">
        <v>109</v>
      </c>
      <c r="I1131" s="10">
        <v>45314</v>
      </c>
      <c r="J1131" s="10">
        <v>45496</v>
      </c>
      <c r="K1131" s="5" t="s">
        <v>81</v>
      </c>
      <c r="L1131" s="5" t="s">
        <v>82</v>
      </c>
      <c r="M1131" s="11">
        <v>0.098000000000000004</v>
      </c>
      <c r="N1131" s="5" t="e">
        <f>IF(AND(M1131&gt;#REF!,Cartera!O3528="Guaraníes"),"Rendimiento significativo",IF(AND(M1131&gt;#REF!,Cartera!O3528="Dólares americanos"),"Rendimiento significativo","Rendimiento no significativo"))</f>
        <v>#REF!</v>
      </c>
      <c r="O1131" s="5" t="s">
        <v>41</v>
      </c>
      <c r="P1131" s="12">
        <v>2579548</v>
      </c>
      <c r="Q1131" s="12">
        <f>IF(O1131="Guaraníes",P1131,P1131*#REF!)</f>
        <v>2579548</v>
      </c>
      <c r="R1131" s="12" t="e">
        <f>IF(O1131="Guaraníes",P1131/#REF!,P1131)</f>
        <v>#REF!</v>
      </c>
      <c r="S1131" s="5" t="s">
        <v>52</v>
      </c>
      <c r="AC1131" s="5" t="str">
        <f t="shared" si="55"/>
        <v>CDA</v>
      </c>
      <c r="AD1131" s="5" t="s">
        <v>43</v>
      </c>
      <c r="AE1131" s="5">
        <f t="shared" si="56"/>
        <v>7</v>
      </c>
      <c r="AF1131" s="5">
        <f t="shared" si="57"/>
        <v>2024</v>
      </c>
    </row>
    <row r="1132" s="5" customFormat="1" ht="13">
      <c r="A1132" s="5" t="s">
        <v>44</v>
      </c>
      <c r="B1132" s="5" t="s">
        <v>44</v>
      </c>
      <c r="C1132" s="5" t="s">
        <v>99</v>
      </c>
      <c r="D1132" s="5" t="s">
        <v>21</v>
      </c>
      <c r="E1132" s="5" t="s">
        <v>44</v>
      </c>
      <c r="F1132" s="5" t="s">
        <v>100</v>
      </c>
      <c r="G1132" s="5" t="s">
        <v>47</v>
      </c>
      <c r="H1132" s="9" t="s">
        <v>101</v>
      </c>
      <c r="I1132" s="10"/>
      <c r="J1132" s="10">
        <v>45646</v>
      </c>
      <c r="K1132" s="5" t="s">
        <v>102</v>
      </c>
      <c r="L1132" s="5" t="s">
        <v>102</v>
      </c>
      <c r="M1132" s="11">
        <v>0.079000000000000001</v>
      </c>
      <c r="N1132" s="5" t="e">
        <f>IF(AND(M1132&gt;#REF!,Cartera!O1132="Guaraníes"),"Rendimiento significativo",IF(AND(M1132&gt;#REF!,Cartera!O1132="Dólares americanos"),"Rendimiento significativo","Rendimiento no significativo"))</f>
        <v>#REF!</v>
      </c>
      <c r="O1132" s="5" t="s">
        <v>41</v>
      </c>
      <c r="P1132" s="12">
        <v>1937500</v>
      </c>
      <c r="Q1132" s="12">
        <f>IF(O1132="Guaraníes",P1132,P1132*#REF!)</f>
        <v>1937500</v>
      </c>
      <c r="R1132" s="12" t="e">
        <f>IF(O1132="Guaraníes",P1132/#REF!,P1132)</f>
        <v>#REF!</v>
      </c>
      <c r="S1132" s="5" t="s">
        <v>52</v>
      </c>
      <c r="T1132" s="5">
        <v>4</v>
      </c>
      <c r="W1132" s="5" t="s">
        <v>266</v>
      </c>
      <c r="X1132" s="5">
        <v>0</v>
      </c>
      <c r="Y1132" s="5">
        <v>0</v>
      </c>
      <c r="Z1132" s="5">
        <v>38750</v>
      </c>
      <c r="AA1132" s="5">
        <v>50</v>
      </c>
      <c r="AB1132" s="5">
        <v>1937500</v>
      </c>
      <c r="AC1132" s="5" t="str">
        <f t="shared" si="55"/>
        <v>Bonos</v>
      </c>
      <c r="AD1132" s="5" t="s">
        <v>43</v>
      </c>
      <c r="AE1132" s="5">
        <f t="shared" si="56"/>
        <v>12</v>
      </c>
      <c r="AF1132" s="5">
        <f t="shared" si="57"/>
        <v>2024</v>
      </c>
    </row>
    <row r="1133" s="5" customFormat="1" ht="13">
      <c r="A1133" s="5">
        <v>12315</v>
      </c>
      <c r="B1133" s="5" t="s">
        <v>73</v>
      </c>
      <c r="C1133" s="5" t="s">
        <v>33</v>
      </c>
      <c r="D1133" s="5" t="s">
        <v>21</v>
      </c>
      <c r="E1133" s="5" t="s">
        <v>34</v>
      </c>
      <c r="F1133" s="5" t="s">
        <v>35</v>
      </c>
      <c r="G1133" s="5" t="s">
        <v>75</v>
      </c>
      <c r="H1133" s="9" t="s">
        <v>168</v>
      </c>
      <c r="I1133" s="10"/>
      <c r="J1133" s="10">
        <v>45965</v>
      </c>
      <c r="K1133" s="5" t="s">
        <v>39</v>
      </c>
      <c r="L1133" s="5" t="s">
        <v>50</v>
      </c>
      <c r="M1133" s="11">
        <v>0.070000000000000007</v>
      </c>
      <c r="N1133" s="5" t="e">
        <f>IF(AND(M1133&gt;#REF!,Cartera!O927="Guaraníes"),"Rendimiento significativo",IF(AND(M1133&gt;#REF!,Cartera!O927="Dólares americanos"),"Rendimiento significativo","Rendimiento no significativo"))</f>
        <v>#REF!</v>
      </c>
      <c r="O1133" s="5" t="s">
        <v>51</v>
      </c>
      <c r="P1133" s="13">
        <v>1221.6438500000002</v>
      </c>
      <c r="Q1133" s="12" t="e">
        <f>IF(O1133="Guaraníes",P1133,P1133*#REF!)</f>
        <v>#REF!</v>
      </c>
      <c r="R1133" s="12">
        <f>IF(O1133="Guaraníes",P1133/#REF!,P1133)</f>
        <v>1221.6438500000002</v>
      </c>
      <c r="S1133" s="5" t="s">
        <v>42</v>
      </c>
      <c r="T1133" s="5">
        <v>25</v>
      </c>
      <c r="W1133" s="5" t="s">
        <v>65</v>
      </c>
      <c r="X1133" s="5">
        <v>0</v>
      </c>
      <c r="Y1133" s="5">
        <v>0</v>
      </c>
      <c r="Z1133" s="5">
        <v>17.452055000000001</v>
      </c>
      <c r="AA1133" s="5">
        <v>70</v>
      </c>
      <c r="AB1133" s="5">
        <v>1221.6438499999999</v>
      </c>
      <c r="AC1133" s="5" t="str">
        <f t="shared" si="55"/>
        <v>Bonos</v>
      </c>
      <c r="AD1133" s="5" t="s">
        <v>43</v>
      </c>
      <c r="AE1133" s="5">
        <f t="shared" si="56"/>
        <v>11</v>
      </c>
      <c r="AF1133" s="5">
        <f t="shared" si="57"/>
        <v>2025</v>
      </c>
    </row>
    <row r="1134" s="5" customFormat="1" ht="13">
      <c r="A1134" s="5">
        <v>12302</v>
      </c>
      <c r="B1134" s="5" t="s">
        <v>98</v>
      </c>
      <c r="C1134" s="5" t="s">
        <v>45</v>
      </c>
      <c r="D1134" s="5" t="s">
        <v>20</v>
      </c>
      <c r="E1134" s="5" t="s">
        <v>34</v>
      </c>
      <c r="F1134" s="5" t="s">
        <v>46</v>
      </c>
      <c r="G1134" s="5" t="s">
        <v>47</v>
      </c>
      <c r="H1134" s="9" t="s">
        <v>48</v>
      </c>
      <c r="I1134" s="10">
        <v>43584</v>
      </c>
      <c r="J1134" s="10">
        <v>45768</v>
      </c>
      <c r="K1134" s="5" t="s">
        <v>49</v>
      </c>
      <c r="L1134" s="5" t="s">
        <v>50</v>
      </c>
      <c r="M1134" s="11">
        <v>0.052499999999999998</v>
      </c>
      <c r="N1134" s="5" t="e">
        <f>IF(AND(M1134&gt;#REF!,Cartera!O1134="Guaraníes"),"Rendimiento significativo",IF(AND(M1134&gt;#REF!,Cartera!O1134="Dólares americanos"),"Rendimiento significativo","Rendimiento no significativo"))</f>
        <v>#REF!</v>
      </c>
      <c r="O1134" s="5" t="s">
        <v>51</v>
      </c>
      <c r="P1134" s="13">
        <v>10000</v>
      </c>
      <c r="Q1134" s="12" t="e">
        <f>IF(O1134="Guaraníes",P1134,P1134*#REF!)</f>
        <v>#REF!</v>
      </c>
      <c r="R1134" s="12">
        <f>IF(O1134="Guaraníes",P1134/#REF!,P1134)</f>
        <v>10000</v>
      </c>
      <c r="S1134" s="5" t="s">
        <v>42</v>
      </c>
      <c r="T1134" s="5">
        <v>4</v>
      </c>
      <c r="AC1134" s="5" t="str">
        <f t="shared" si="55"/>
        <v>Bonos</v>
      </c>
      <c r="AD1134" s="5" t="s">
        <v>43</v>
      </c>
      <c r="AE1134" s="5">
        <f t="shared" si="56"/>
        <v>4</v>
      </c>
      <c r="AF1134" s="5">
        <f t="shared" si="57"/>
        <v>2025</v>
      </c>
    </row>
    <row r="1135" s="5" customFormat="1" ht="13">
      <c r="A1135" s="5">
        <v>12301</v>
      </c>
      <c r="B1135" s="5" t="s">
        <v>107</v>
      </c>
      <c r="C1135" s="5" t="s">
        <v>99</v>
      </c>
      <c r="D1135" s="5" t="s">
        <v>20</v>
      </c>
      <c r="E1135" s="5" t="s">
        <v>34</v>
      </c>
      <c r="F1135" s="5" t="s">
        <v>100</v>
      </c>
      <c r="G1135" s="5" t="s">
        <v>47</v>
      </c>
      <c r="H1135" s="9" t="s">
        <v>101</v>
      </c>
      <c r="I1135" s="10">
        <v>43754</v>
      </c>
      <c r="J1135" s="10">
        <v>45828</v>
      </c>
      <c r="K1135" s="5" t="s">
        <v>102</v>
      </c>
      <c r="L1135" s="5" t="s">
        <v>102</v>
      </c>
      <c r="M1135" s="11">
        <v>0.079000000000000001</v>
      </c>
      <c r="N1135" s="5" t="e">
        <f>IF(AND(M1135&gt;#REF!,Cartera!O1135="Guaraníes"),"Rendimiento significativo",IF(AND(M1135&gt;#REF!,Cartera!O1135="Dólares americanos"),"Rendimiento significativo","Rendimiento no significativo"))</f>
        <v>#REF!</v>
      </c>
      <c r="O1135" s="5" t="s">
        <v>41</v>
      </c>
      <c r="P1135" s="12">
        <v>50000000</v>
      </c>
      <c r="Q1135" s="12">
        <f>IF(O1135="Guaraníes",P1135,P1135*#REF!)</f>
        <v>50000000</v>
      </c>
      <c r="R1135" s="12" t="e">
        <f>IF(O1135="Guaraníes",P1135/#REF!,P1135)</f>
        <v>#REF!</v>
      </c>
      <c r="S1135" s="5" t="s">
        <v>42</v>
      </c>
      <c r="T1135" s="5">
        <v>4</v>
      </c>
      <c r="AC1135" s="5" t="str">
        <f t="shared" si="55"/>
        <v>Bonos</v>
      </c>
      <c r="AD1135" s="5" t="s">
        <v>43</v>
      </c>
      <c r="AE1135" s="5">
        <f t="shared" si="56"/>
        <v>6</v>
      </c>
      <c r="AF1135" s="5">
        <f t="shared" si="57"/>
        <v>2025</v>
      </c>
    </row>
    <row r="1136" s="5" customFormat="1" ht="13">
      <c r="A1136" s="5" t="s">
        <v>44</v>
      </c>
      <c r="B1136" s="5" t="s">
        <v>44</v>
      </c>
      <c r="C1136" s="5" t="s">
        <v>114</v>
      </c>
      <c r="D1136" s="5" t="s">
        <v>21</v>
      </c>
      <c r="E1136" s="5" t="s">
        <v>44</v>
      </c>
      <c r="F1136" s="5" t="s">
        <v>68</v>
      </c>
      <c r="G1136" s="5" t="s">
        <v>112</v>
      </c>
      <c r="H1136" s="9" t="s">
        <v>236</v>
      </c>
      <c r="I1136" s="10"/>
      <c r="J1136" s="10">
        <v>41726</v>
      </c>
      <c r="K1136" s="5" t="s">
        <v>77</v>
      </c>
      <c r="L1136" s="5" t="s">
        <v>50</v>
      </c>
      <c r="M1136" s="11">
        <v>0.14999999999999999</v>
      </c>
      <c r="N1136" s="5" t="e">
        <f>IF(AND(M1136&gt;#REF!,Cartera!O1136="Guaraníes"),"Rendimiento significativo",IF(AND(M1136&gt;#REF!,Cartera!O1136="Dólares americanos"),"Rendimiento significativo","Rendimiento no significativo"))</f>
        <v>#REF!</v>
      </c>
      <c r="O1136" s="5" t="s">
        <v>41</v>
      </c>
      <c r="P1136" s="12">
        <v>3739726.0274</v>
      </c>
      <c r="Q1136" s="12">
        <f>IF(O1136="Guaraníes",P1136,P1136*#REF!)</f>
        <v>3739726.0274</v>
      </c>
      <c r="R1136" s="12" t="e">
        <f>IF(O1136="Guaraníes",P1136/#REF!,P1136)</f>
        <v>#REF!</v>
      </c>
      <c r="S1136" s="5" t="s">
        <v>52</v>
      </c>
      <c r="T1136" s="5">
        <v>2475</v>
      </c>
      <c r="W1136" s="5" t="s">
        <v>65</v>
      </c>
      <c r="X1136" s="5">
        <v>0</v>
      </c>
      <c r="Y1136" s="5">
        <v>0</v>
      </c>
      <c r="Z1136" s="5">
        <v>37397.260274</v>
      </c>
      <c r="AA1136" s="5">
        <v>100</v>
      </c>
      <c r="AB1136" s="5">
        <v>3739726.0274</v>
      </c>
      <c r="AC1136" s="5" t="str">
        <f t="shared" si="55"/>
        <v>Bonos</v>
      </c>
      <c r="AD1136" s="5" t="s">
        <v>43</v>
      </c>
      <c r="AE1136" s="5">
        <f t="shared" si="56"/>
        <v>3</v>
      </c>
      <c r="AF1136" s="5">
        <f t="shared" si="57"/>
        <v>2014</v>
      </c>
    </row>
    <row r="1137" s="5" customFormat="1" ht="13">
      <c r="A1137" s="5" t="s">
        <v>44</v>
      </c>
      <c r="B1137" s="5" t="s">
        <v>44</v>
      </c>
      <c r="C1137" s="5" t="s">
        <v>114</v>
      </c>
      <c r="D1137" s="5" t="s">
        <v>21</v>
      </c>
      <c r="E1137" s="5" t="s">
        <v>44</v>
      </c>
      <c r="F1137" s="5" t="s">
        <v>68</v>
      </c>
      <c r="G1137" s="5" t="s">
        <v>112</v>
      </c>
      <c r="H1137" s="9" t="s">
        <v>236</v>
      </c>
      <c r="I1137" s="10"/>
      <c r="J1137" s="10">
        <v>41817</v>
      </c>
      <c r="K1137" s="5" t="s">
        <v>77</v>
      </c>
      <c r="L1137" s="5" t="s">
        <v>50</v>
      </c>
      <c r="M1137" s="11">
        <v>0.14999999999999999</v>
      </c>
      <c r="N1137" s="5" t="e">
        <f>IF(AND(M1137&gt;#REF!,Cartera!O1137="Guaraníes"),"Rendimiento significativo",IF(AND(M1137&gt;#REF!,Cartera!O1137="Dólares americanos"),"Rendimiento significativo","Rendimiento no significativo"))</f>
        <v>#REF!</v>
      </c>
      <c r="O1137" s="5" t="s">
        <v>41</v>
      </c>
      <c r="P1137" s="12">
        <v>3739726.0274</v>
      </c>
      <c r="Q1137" s="12">
        <f>IF(O1137="Guaraníes",P1137,P1137*#REF!)</f>
        <v>3739726.0274</v>
      </c>
      <c r="R1137" s="12" t="e">
        <f>IF(O1137="Guaraníes",P1137/#REF!,P1137)</f>
        <v>#REF!</v>
      </c>
      <c r="S1137" s="5" t="s">
        <v>52</v>
      </c>
      <c r="T1137" s="5">
        <v>2475</v>
      </c>
      <c r="W1137" s="5" t="s">
        <v>65</v>
      </c>
      <c r="X1137" s="5">
        <v>0</v>
      </c>
      <c r="Y1137" s="5">
        <v>0</v>
      </c>
      <c r="Z1137" s="5">
        <v>37397.260274</v>
      </c>
      <c r="AA1137" s="5">
        <v>100</v>
      </c>
      <c r="AB1137" s="5">
        <v>3739726.0274</v>
      </c>
      <c r="AC1137" s="5" t="str">
        <f t="shared" si="55"/>
        <v>Bonos</v>
      </c>
      <c r="AD1137" s="5" t="s">
        <v>43</v>
      </c>
      <c r="AE1137" s="5">
        <f t="shared" si="56"/>
        <v>6</v>
      </c>
      <c r="AF1137" s="5">
        <f t="shared" si="57"/>
        <v>2014</v>
      </c>
    </row>
    <row r="1138" s="5" customFormat="1" ht="13">
      <c r="A1138" s="5" t="s">
        <v>44</v>
      </c>
      <c r="B1138" s="5" t="s">
        <v>44</v>
      </c>
      <c r="C1138" s="5" t="s">
        <v>114</v>
      </c>
      <c r="D1138" s="5" t="s">
        <v>21</v>
      </c>
      <c r="E1138" s="5" t="s">
        <v>44</v>
      </c>
      <c r="F1138" s="5" t="s">
        <v>68</v>
      </c>
      <c r="G1138" s="5" t="s">
        <v>112</v>
      </c>
      <c r="H1138" s="9" t="s">
        <v>236</v>
      </c>
      <c r="I1138" s="10"/>
      <c r="J1138" s="10">
        <v>41908</v>
      </c>
      <c r="K1138" s="5" t="s">
        <v>77</v>
      </c>
      <c r="L1138" s="5" t="s">
        <v>50</v>
      </c>
      <c r="M1138" s="11">
        <v>0.14999999999999999</v>
      </c>
      <c r="N1138" s="5" t="e">
        <f>IF(AND(M1138&gt;#REF!,Cartera!O1138="Guaraníes"),"Rendimiento significativo",IF(AND(M1138&gt;#REF!,Cartera!O1138="Dólares americanos"),"Rendimiento significativo","Rendimiento no significativo"))</f>
        <v>#REF!</v>
      </c>
      <c r="O1138" s="5" t="s">
        <v>41</v>
      </c>
      <c r="P1138" s="12">
        <v>3739726.0274</v>
      </c>
      <c r="Q1138" s="12">
        <f>IF(O1138="Guaraníes",P1138,P1138*#REF!)</f>
        <v>3739726.0274</v>
      </c>
      <c r="R1138" s="12" t="e">
        <f>IF(O1138="Guaraníes",P1138/#REF!,P1138)</f>
        <v>#REF!</v>
      </c>
      <c r="S1138" s="5" t="s">
        <v>52</v>
      </c>
      <c r="T1138" s="5">
        <v>2475</v>
      </c>
      <c r="W1138" s="5" t="s">
        <v>65</v>
      </c>
      <c r="X1138" s="5">
        <v>0</v>
      </c>
      <c r="Y1138" s="5">
        <v>0</v>
      </c>
      <c r="Z1138" s="5">
        <v>37397.260274</v>
      </c>
      <c r="AA1138" s="5">
        <v>100</v>
      </c>
      <c r="AB1138" s="5">
        <v>3739726.0274</v>
      </c>
      <c r="AC1138" s="5" t="str">
        <f t="shared" si="55"/>
        <v>Bonos</v>
      </c>
      <c r="AD1138" s="5" t="s">
        <v>43</v>
      </c>
      <c r="AE1138" s="5">
        <f t="shared" si="56"/>
        <v>9</v>
      </c>
      <c r="AF1138" s="5">
        <f t="shared" si="57"/>
        <v>2014</v>
      </c>
    </row>
    <row r="1139" s="5" customFormat="1" ht="13">
      <c r="A1139" s="5" t="s">
        <v>44</v>
      </c>
      <c r="B1139" s="5" t="s">
        <v>44</v>
      </c>
      <c r="C1139" s="5" t="s">
        <v>114</v>
      </c>
      <c r="D1139" s="5" t="s">
        <v>21</v>
      </c>
      <c r="E1139" s="5" t="s">
        <v>44</v>
      </c>
      <c r="F1139" s="5" t="s">
        <v>68</v>
      </c>
      <c r="G1139" s="5" t="s">
        <v>112</v>
      </c>
      <c r="H1139" s="9" t="s">
        <v>236</v>
      </c>
      <c r="I1139" s="10"/>
      <c r="J1139" s="10">
        <v>41999</v>
      </c>
      <c r="K1139" s="5" t="s">
        <v>77</v>
      </c>
      <c r="L1139" s="5" t="s">
        <v>50</v>
      </c>
      <c r="M1139" s="11">
        <v>0.14999999999999999</v>
      </c>
      <c r="N1139" s="5" t="e">
        <f>IF(AND(M1139&gt;#REF!,Cartera!O1139="Guaraníes"),"Rendimiento significativo",IF(AND(M1139&gt;#REF!,Cartera!O1139="Dólares americanos"),"Rendimiento significativo","Rendimiento no significativo"))</f>
        <v>#REF!</v>
      </c>
      <c r="O1139" s="5" t="s">
        <v>41</v>
      </c>
      <c r="P1139" s="12">
        <v>3739726.0274</v>
      </c>
      <c r="Q1139" s="12">
        <f>IF(O1139="Guaraníes",P1139,P1139*#REF!)</f>
        <v>3739726.0274</v>
      </c>
      <c r="R1139" s="12" t="e">
        <f>IF(O1139="Guaraníes",P1139/#REF!,P1139)</f>
        <v>#REF!</v>
      </c>
      <c r="S1139" s="5" t="s">
        <v>52</v>
      </c>
      <c r="T1139" s="5">
        <v>2475</v>
      </c>
      <c r="W1139" s="5" t="s">
        <v>65</v>
      </c>
      <c r="X1139" s="5">
        <v>0</v>
      </c>
      <c r="Y1139" s="5">
        <v>0</v>
      </c>
      <c r="Z1139" s="5">
        <v>37397.260274</v>
      </c>
      <c r="AA1139" s="5">
        <v>100</v>
      </c>
      <c r="AB1139" s="5">
        <v>3739726.0274</v>
      </c>
      <c r="AC1139" s="5" t="str">
        <f t="shared" si="55"/>
        <v>Bonos</v>
      </c>
      <c r="AD1139" s="5" t="s">
        <v>43</v>
      </c>
      <c r="AE1139" s="5">
        <f t="shared" si="56"/>
        <v>12</v>
      </c>
      <c r="AF1139" s="5">
        <f t="shared" si="57"/>
        <v>2014</v>
      </c>
    </row>
    <row r="1140" s="5" customFormat="1" ht="13">
      <c r="A1140" s="5" t="s">
        <v>44</v>
      </c>
      <c r="B1140" s="5" t="s">
        <v>44</v>
      </c>
      <c r="C1140" s="5" t="s">
        <v>114</v>
      </c>
      <c r="D1140" s="5" t="s">
        <v>21</v>
      </c>
      <c r="E1140" s="5" t="s">
        <v>44</v>
      </c>
      <c r="F1140" s="5" t="s">
        <v>68</v>
      </c>
      <c r="G1140" s="5" t="s">
        <v>112</v>
      </c>
      <c r="H1140" s="9" t="s">
        <v>236</v>
      </c>
      <c r="I1140" s="10"/>
      <c r="J1140" s="10">
        <v>42090</v>
      </c>
      <c r="K1140" s="5" t="s">
        <v>77</v>
      </c>
      <c r="L1140" s="5" t="s">
        <v>50</v>
      </c>
      <c r="M1140" s="11">
        <v>0.14999999999999999</v>
      </c>
      <c r="N1140" s="5" t="e">
        <f>IF(AND(M1140&gt;#REF!,Cartera!O1140="Guaraníes"),"Rendimiento significativo",IF(AND(M1140&gt;#REF!,Cartera!O1140="Dólares americanos"),"Rendimiento significativo","Rendimiento no significativo"))</f>
        <v>#REF!</v>
      </c>
      <c r="O1140" s="5" t="s">
        <v>41</v>
      </c>
      <c r="P1140" s="12">
        <v>3739726.0274</v>
      </c>
      <c r="Q1140" s="12">
        <f>IF(O1140="Guaraníes",P1140,P1140*#REF!)</f>
        <v>3739726.0274</v>
      </c>
      <c r="R1140" s="12" t="e">
        <f>IF(O1140="Guaraníes",P1140/#REF!,P1140)</f>
        <v>#REF!</v>
      </c>
      <c r="S1140" s="5" t="s">
        <v>52</v>
      </c>
      <c r="T1140" s="5">
        <v>2475</v>
      </c>
      <c r="W1140" s="5" t="s">
        <v>65</v>
      </c>
      <c r="X1140" s="5">
        <v>0</v>
      </c>
      <c r="Y1140" s="5">
        <v>0</v>
      </c>
      <c r="Z1140" s="5">
        <v>37397.260274</v>
      </c>
      <c r="AA1140" s="5">
        <v>100</v>
      </c>
      <c r="AB1140" s="5">
        <v>3739726.0274</v>
      </c>
      <c r="AC1140" s="5" t="str">
        <f t="shared" si="55"/>
        <v>Bonos</v>
      </c>
      <c r="AD1140" s="5" t="s">
        <v>43</v>
      </c>
      <c r="AE1140" s="5">
        <f t="shared" si="56"/>
        <v>3</v>
      </c>
      <c r="AF1140" s="5">
        <f t="shared" si="57"/>
        <v>2015</v>
      </c>
    </row>
    <row r="1141" s="5" customFormat="1" ht="13">
      <c r="A1141" s="5" t="s">
        <v>44</v>
      </c>
      <c r="B1141" s="5" t="s">
        <v>44</v>
      </c>
      <c r="C1141" s="5" t="s">
        <v>114</v>
      </c>
      <c r="D1141" s="5" t="s">
        <v>21</v>
      </c>
      <c r="E1141" s="5" t="s">
        <v>44</v>
      </c>
      <c r="F1141" s="5" t="s">
        <v>68</v>
      </c>
      <c r="G1141" s="5" t="s">
        <v>112</v>
      </c>
      <c r="H1141" s="9" t="s">
        <v>236</v>
      </c>
      <c r="I1141" s="10"/>
      <c r="J1141" s="10">
        <v>42181</v>
      </c>
      <c r="K1141" s="5" t="s">
        <v>77</v>
      </c>
      <c r="L1141" s="5" t="s">
        <v>50</v>
      </c>
      <c r="M1141" s="11">
        <v>0.14999999999999999</v>
      </c>
      <c r="N1141" s="5" t="e">
        <f>IF(AND(M1141&gt;#REF!,Cartera!O1141="Guaraníes"),"Rendimiento significativo",IF(AND(M1141&gt;#REF!,Cartera!O1141="Dólares americanos"),"Rendimiento significativo","Rendimiento no significativo"))</f>
        <v>#REF!</v>
      </c>
      <c r="O1141" s="5" t="s">
        <v>41</v>
      </c>
      <c r="P1141" s="12">
        <v>3739726.0274</v>
      </c>
      <c r="Q1141" s="12">
        <f>IF(O1141="Guaraníes",P1141,P1141*#REF!)</f>
        <v>3739726.0274</v>
      </c>
      <c r="R1141" s="12" t="e">
        <f>IF(O1141="Guaraníes",P1141/#REF!,P1141)</f>
        <v>#REF!</v>
      </c>
      <c r="S1141" s="5" t="s">
        <v>52</v>
      </c>
      <c r="T1141" s="5">
        <v>2475</v>
      </c>
      <c r="W1141" s="5" t="s">
        <v>65</v>
      </c>
      <c r="X1141" s="5">
        <v>0</v>
      </c>
      <c r="Y1141" s="5">
        <v>0</v>
      </c>
      <c r="Z1141" s="5">
        <v>37397.260274</v>
      </c>
      <c r="AA1141" s="5">
        <v>100</v>
      </c>
      <c r="AB1141" s="5">
        <v>3739726.0274</v>
      </c>
      <c r="AC1141" s="5" t="str">
        <f t="shared" si="55"/>
        <v>Bonos</v>
      </c>
      <c r="AD1141" s="5" t="s">
        <v>43</v>
      </c>
      <c r="AE1141" s="5">
        <f t="shared" si="56"/>
        <v>6</v>
      </c>
      <c r="AF1141" s="5">
        <f t="shared" si="57"/>
        <v>2015</v>
      </c>
    </row>
    <row r="1142" s="5" customFormat="1" ht="13">
      <c r="A1142" s="5" t="s">
        <v>44</v>
      </c>
      <c r="B1142" s="5" t="s">
        <v>44</v>
      </c>
      <c r="C1142" s="5" t="s">
        <v>114</v>
      </c>
      <c r="D1142" s="5" t="s">
        <v>21</v>
      </c>
      <c r="E1142" s="5" t="s">
        <v>44</v>
      </c>
      <c r="F1142" s="5" t="s">
        <v>68</v>
      </c>
      <c r="G1142" s="5" t="s">
        <v>112</v>
      </c>
      <c r="H1142" s="9" t="s">
        <v>236</v>
      </c>
      <c r="I1142" s="10"/>
      <c r="J1142" s="10">
        <v>42272</v>
      </c>
      <c r="K1142" s="5" t="s">
        <v>77</v>
      </c>
      <c r="L1142" s="5" t="s">
        <v>50</v>
      </c>
      <c r="M1142" s="11">
        <v>0.14999999999999999</v>
      </c>
      <c r="N1142" s="5" t="e">
        <f>IF(AND(M1142&gt;#REF!,Cartera!O1142="Guaraníes"),"Rendimiento significativo",IF(AND(M1142&gt;#REF!,Cartera!O1142="Dólares americanos"),"Rendimiento significativo","Rendimiento no significativo"))</f>
        <v>#REF!</v>
      </c>
      <c r="O1142" s="5" t="s">
        <v>41</v>
      </c>
      <c r="P1142" s="12">
        <v>3739726.0274</v>
      </c>
      <c r="Q1142" s="12">
        <f>IF(O1142="Guaraníes",P1142,P1142*#REF!)</f>
        <v>3739726.0274</v>
      </c>
      <c r="R1142" s="12" t="e">
        <f>IF(O1142="Guaraníes",P1142/#REF!,P1142)</f>
        <v>#REF!</v>
      </c>
      <c r="S1142" s="5" t="s">
        <v>52</v>
      </c>
      <c r="T1142" s="5">
        <v>2475</v>
      </c>
      <c r="W1142" s="5" t="s">
        <v>65</v>
      </c>
      <c r="X1142" s="5">
        <v>0</v>
      </c>
      <c r="Y1142" s="5">
        <v>0</v>
      </c>
      <c r="Z1142" s="5">
        <v>37397.260274</v>
      </c>
      <c r="AA1142" s="5">
        <v>100</v>
      </c>
      <c r="AB1142" s="5">
        <v>3739726.0274</v>
      </c>
      <c r="AC1142" s="5" t="str">
        <f t="shared" si="55"/>
        <v>Bonos</v>
      </c>
      <c r="AD1142" s="5" t="s">
        <v>43</v>
      </c>
      <c r="AE1142" s="5">
        <f t="shared" si="56"/>
        <v>9</v>
      </c>
      <c r="AF1142" s="5">
        <f t="shared" si="57"/>
        <v>2015</v>
      </c>
    </row>
    <row r="1143" s="5" customFormat="1" ht="13">
      <c r="A1143" s="5" t="s">
        <v>44</v>
      </c>
      <c r="B1143" s="5" t="s">
        <v>44</v>
      </c>
      <c r="C1143" s="5" t="s">
        <v>114</v>
      </c>
      <c r="D1143" s="5" t="s">
        <v>21</v>
      </c>
      <c r="E1143" s="5" t="s">
        <v>44</v>
      </c>
      <c r="F1143" s="5" t="s">
        <v>68</v>
      </c>
      <c r="G1143" s="5" t="s">
        <v>112</v>
      </c>
      <c r="H1143" s="9" t="s">
        <v>236</v>
      </c>
      <c r="I1143" s="10"/>
      <c r="J1143" s="10">
        <v>42361</v>
      </c>
      <c r="K1143" s="5" t="s">
        <v>77</v>
      </c>
      <c r="L1143" s="5" t="s">
        <v>50</v>
      </c>
      <c r="M1143" s="11">
        <v>0.14999999999999999</v>
      </c>
      <c r="N1143" s="5" t="e">
        <f>IF(AND(M1143&gt;#REF!,Cartera!O1143="Guaraníes"),"Rendimiento significativo",IF(AND(M1143&gt;#REF!,Cartera!O1143="Dólares americanos"),"Rendimiento significativo","Rendimiento no significativo"))</f>
        <v>#REF!</v>
      </c>
      <c r="O1143" s="5" t="s">
        <v>41</v>
      </c>
      <c r="P1143" s="12">
        <v>3657534.2466000002</v>
      </c>
      <c r="Q1143" s="12">
        <f>IF(O1143="Guaraníes",P1143,P1143*#REF!)</f>
        <v>3657534.2466000002</v>
      </c>
      <c r="R1143" s="12" t="e">
        <f>IF(O1143="Guaraníes",P1143/#REF!,P1143)</f>
        <v>#REF!</v>
      </c>
      <c r="S1143" s="5" t="s">
        <v>52</v>
      </c>
      <c r="T1143" s="5">
        <v>2475</v>
      </c>
      <c r="W1143" s="5" t="s">
        <v>65</v>
      </c>
      <c r="X1143" s="5">
        <v>0</v>
      </c>
      <c r="Y1143" s="5">
        <v>0</v>
      </c>
      <c r="Z1143" s="5">
        <v>36575.342466000002</v>
      </c>
      <c r="AA1143" s="5">
        <v>100</v>
      </c>
      <c r="AB1143" s="5">
        <v>3657534.2466000002</v>
      </c>
      <c r="AC1143" s="5" t="str">
        <f t="shared" ref="AC1143:AC1206" si="58">IF(ISNUMBER(SEARCH("Acciones",L1143)),"Acciones",IF(ISNUMBER(SEARCH("Bono",L1143)),"Bonos",IF(ISNUMBER(SEARCH("CDA",L1143)),"CDA",IF(ISNUMBER(SEARCH("Fondo",L1143)),"Fondo",0))))</f>
        <v>Bonos</v>
      </c>
      <c r="AD1143" s="5" t="s">
        <v>43</v>
      </c>
      <c r="AE1143" s="5">
        <f t="shared" si="56"/>
        <v>12</v>
      </c>
      <c r="AF1143" s="5">
        <f t="shared" si="57"/>
        <v>2015</v>
      </c>
    </row>
    <row r="1144" s="5" customFormat="1" ht="13">
      <c r="A1144" s="5" t="s">
        <v>44</v>
      </c>
      <c r="B1144" s="5" t="s">
        <v>44</v>
      </c>
      <c r="C1144" s="5" t="s">
        <v>114</v>
      </c>
      <c r="D1144" s="5" t="s">
        <v>21</v>
      </c>
      <c r="E1144" s="5" t="s">
        <v>44</v>
      </c>
      <c r="F1144" s="5" t="s">
        <v>68</v>
      </c>
      <c r="G1144" s="5" t="s">
        <v>112</v>
      </c>
      <c r="H1144" s="9" t="s">
        <v>236</v>
      </c>
      <c r="I1144" s="10"/>
      <c r="J1144" s="10">
        <v>42451</v>
      </c>
      <c r="K1144" s="5" t="s">
        <v>77</v>
      </c>
      <c r="L1144" s="5" t="s">
        <v>50</v>
      </c>
      <c r="M1144" s="11">
        <v>0.14999999999999999</v>
      </c>
      <c r="N1144" s="5" t="e">
        <f>IF(AND(M1144&gt;#REF!,Cartera!O1144="Guaraníes"),"Rendimiento significativo",IF(AND(M1144&gt;#REF!,Cartera!O1144="Dólares americanos"),"Rendimiento significativo","Rendimiento no significativo"))</f>
        <v>#REF!</v>
      </c>
      <c r="O1144" s="5" t="s">
        <v>41</v>
      </c>
      <c r="P1144" s="12">
        <v>3698630.1370000001</v>
      </c>
      <c r="Q1144" s="12">
        <f>IF(O1144="Guaraníes",P1144,P1144*#REF!)</f>
        <v>3698630.1370000001</v>
      </c>
      <c r="R1144" s="12" t="e">
        <f>IF(O1144="Guaraníes",P1144/#REF!,P1144)</f>
        <v>#REF!</v>
      </c>
      <c r="S1144" s="5" t="s">
        <v>52</v>
      </c>
      <c r="T1144" s="5">
        <v>2475</v>
      </c>
      <c r="W1144" s="5" t="s">
        <v>65</v>
      </c>
      <c r="X1144" s="5">
        <v>0</v>
      </c>
      <c r="Y1144" s="5">
        <v>0</v>
      </c>
      <c r="Z1144" s="5">
        <v>36986.301370000001</v>
      </c>
      <c r="AA1144" s="5">
        <v>100</v>
      </c>
      <c r="AB1144" s="5">
        <v>3698630.1370000001</v>
      </c>
      <c r="AC1144" s="5" t="str">
        <f t="shared" si="58"/>
        <v>Bonos</v>
      </c>
      <c r="AD1144" s="5" t="s">
        <v>43</v>
      </c>
      <c r="AE1144" s="5">
        <f t="shared" si="56"/>
        <v>3</v>
      </c>
      <c r="AF1144" s="5">
        <f t="shared" si="57"/>
        <v>2016</v>
      </c>
    </row>
    <row r="1145" s="5" customFormat="1" ht="13">
      <c r="A1145" s="5" t="s">
        <v>44</v>
      </c>
      <c r="B1145" s="5" t="s">
        <v>44</v>
      </c>
      <c r="C1145" s="5" t="s">
        <v>114</v>
      </c>
      <c r="D1145" s="5" t="s">
        <v>21</v>
      </c>
      <c r="E1145" s="5" t="s">
        <v>44</v>
      </c>
      <c r="F1145" s="5" t="s">
        <v>68</v>
      </c>
      <c r="G1145" s="5" t="s">
        <v>112</v>
      </c>
      <c r="H1145" s="9" t="s">
        <v>236</v>
      </c>
      <c r="I1145" s="10"/>
      <c r="J1145" s="10">
        <v>42544</v>
      </c>
      <c r="K1145" s="5" t="s">
        <v>77</v>
      </c>
      <c r="L1145" s="5" t="s">
        <v>50</v>
      </c>
      <c r="M1145" s="11">
        <v>0.14999999999999999</v>
      </c>
      <c r="N1145" s="5" t="e">
        <f>IF(AND(M1145&gt;#REF!,Cartera!O1145="Guaraníes"),"Rendimiento significativo",IF(AND(M1145&gt;#REF!,Cartera!O1145="Dólares americanos"),"Rendimiento significativo","Rendimiento no significativo"))</f>
        <v>#REF!</v>
      </c>
      <c r="O1145" s="5" t="s">
        <v>41</v>
      </c>
      <c r="P1145" s="12">
        <v>3821917.8081999999</v>
      </c>
      <c r="Q1145" s="12">
        <f>IF(O1145="Guaraníes",P1145,P1145*#REF!)</f>
        <v>3821917.8081999999</v>
      </c>
      <c r="R1145" s="12" t="e">
        <f>IF(O1145="Guaraníes",P1145/#REF!,P1145)</f>
        <v>#REF!</v>
      </c>
      <c r="S1145" s="5" t="s">
        <v>52</v>
      </c>
      <c r="T1145" s="5">
        <v>2475</v>
      </c>
      <c r="W1145" s="5" t="s">
        <v>65</v>
      </c>
      <c r="X1145" s="5">
        <v>0</v>
      </c>
      <c r="Y1145" s="5">
        <v>0</v>
      </c>
      <c r="Z1145" s="5">
        <v>38219.178081999999</v>
      </c>
      <c r="AA1145" s="5">
        <v>100</v>
      </c>
      <c r="AB1145" s="5">
        <v>3821917.8081999999</v>
      </c>
      <c r="AC1145" s="5" t="str">
        <f t="shared" si="58"/>
        <v>Bonos</v>
      </c>
      <c r="AD1145" s="5" t="s">
        <v>43</v>
      </c>
      <c r="AE1145" s="5">
        <f t="shared" si="56"/>
        <v>6</v>
      </c>
      <c r="AF1145" s="5">
        <f t="shared" si="57"/>
        <v>2016</v>
      </c>
    </row>
    <row r="1146" s="5" customFormat="1" ht="13">
      <c r="A1146" s="5" t="s">
        <v>44</v>
      </c>
      <c r="B1146" s="5" t="s">
        <v>44</v>
      </c>
      <c r="C1146" s="5" t="s">
        <v>114</v>
      </c>
      <c r="D1146" s="5" t="s">
        <v>21</v>
      </c>
      <c r="E1146" s="5" t="s">
        <v>44</v>
      </c>
      <c r="F1146" s="5" t="s">
        <v>68</v>
      </c>
      <c r="G1146" s="5" t="s">
        <v>112</v>
      </c>
      <c r="H1146" s="9" t="s">
        <v>236</v>
      </c>
      <c r="I1146" s="10"/>
      <c r="J1146" s="10">
        <v>42635</v>
      </c>
      <c r="K1146" s="5" t="s">
        <v>77</v>
      </c>
      <c r="L1146" s="5" t="s">
        <v>50</v>
      </c>
      <c r="M1146" s="11">
        <v>0.14999999999999999</v>
      </c>
      <c r="N1146" s="5" t="e">
        <f>IF(AND(M1146&gt;#REF!,Cartera!O1146="Guaraníes"),"Rendimiento significativo",IF(AND(M1146&gt;#REF!,Cartera!O1146="Dólares americanos"),"Rendimiento significativo","Rendimiento no significativo"))</f>
        <v>#REF!</v>
      </c>
      <c r="O1146" s="5" t="s">
        <v>41</v>
      </c>
      <c r="P1146" s="12">
        <v>3739726.0274</v>
      </c>
      <c r="Q1146" s="12">
        <f>IF(O1146="Guaraníes",P1146,P1146*#REF!)</f>
        <v>3739726.0274</v>
      </c>
      <c r="R1146" s="12" t="e">
        <f>IF(O1146="Guaraníes",P1146/#REF!,P1146)</f>
        <v>#REF!</v>
      </c>
      <c r="S1146" s="5" t="s">
        <v>52</v>
      </c>
      <c r="T1146" s="5">
        <v>2475</v>
      </c>
      <c r="W1146" s="5" t="s">
        <v>65</v>
      </c>
      <c r="X1146" s="5">
        <v>0</v>
      </c>
      <c r="Y1146" s="5">
        <v>0</v>
      </c>
      <c r="Z1146" s="5">
        <v>37397.260274</v>
      </c>
      <c r="AA1146" s="5">
        <v>100</v>
      </c>
      <c r="AB1146" s="5">
        <v>3739726.0274</v>
      </c>
      <c r="AC1146" s="5" t="str">
        <f t="shared" si="58"/>
        <v>Bonos</v>
      </c>
      <c r="AD1146" s="5" t="s">
        <v>43</v>
      </c>
      <c r="AE1146" s="5">
        <f t="shared" si="56"/>
        <v>9</v>
      </c>
      <c r="AF1146" s="5">
        <f t="shared" si="57"/>
        <v>2016</v>
      </c>
    </row>
    <row r="1147" s="5" customFormat="1" ht="13">
      <c r="A1147" s="5" t="s">
        <v>44</v>
      </c>
      <c r="B1147" s="5" t="s">
        <v>44</v>
      </c>
      <c r="C1147" s="5" t="s">
        <v>114</v>
      </c>
      <c r="D1147" s="5" t="s">
        <v>21</v>
      </c>
      <c r="E1147" s="5" t="s">
        <v>44</v>
      </c>
      <c r="F1147" s="5" t="s">
        <v>68</v>
      </c>
      <c r="G1147" s="5" t="s">
        <v>112</v>
      </c>
      <c r="H1147" s="9" t="s">
        <v>236</v>
      </c>
      <c r="I1147" s="10"/>
      <c r="J1147" s="10">
        <v>42726</v>
      </c>
      <c r="K1147" s="5" t="s">
        <v>77</v>
      </c>
      <c r="L1147" s="5" t="s">
        <v>50</v>
      </c>
      <c r="M1147" s="11">
        <v>0.14999999999999999</v>
      </c>
      <c r="N1147" s="5" t="e">
        <f>IF(AND(M1147&gt;#REF!,Cartera!O1147="Guaraníes"),"Rendimiento significativo",IF(AND(M1147&gt;#REF!,Cartera!O1147="Dólares americanos"),"Rendimiento significativo","Rendimiento no significativo"))</f>
        <v>#REF!</v>
      </c>
      <c r="O1147" s="5" t="s">
        <v>41</v>
      </c>
      <c r="P1147" s="12">
        <v>3739726.0274</v>
      </c>
      <c r="Q1147" s="12">
        <f>IF(O1147="Guaraníes",P1147,P1147*#REF!)</f>
        <v>3739726.0274</v>
      </c>
      <c r="R1147" s="12" t="e">
        <f>IF(O1147="Guaraníes",P1147/#REF!,P1147)</f>
        <v>#REF!</v>
      </c>
      <c r="S1147" s="5" t="s">
        <v>52</v>
      </c>
      <c r="T1147" s="5">
        <v>2475</v>
      </c>
      <c r="W1147" s="5" t="s">
        <v>65</v>
      </c>
      <c r="X1147" s="5">
        <v>0</v>
      </c>
      <c r="Y1147" s="5">
        <v>0</v>
      </c>
      <c r="Z1147" s="5">
        <v>37397.260274</v>
      </c>
      <c r="AA1147" s="5">
        <v>100</v>
      </c>
      <c r="AB1147" s="5">
        <v>3739726.0274</v>
      </c>
      <c r="AC1147" s="5" t="str">
        <f t="shared" si="58"/>
        <v>Bonos</v>
      </c>
      <c r="AD1147" s="5" t="s">
        <v>43</v>
      </c>
      <c r="AE1147" s="5">
        <f t="shared" si="56"/>
        <v>12</v>
      </c>
      <c r="AF1147" s="5">
        <f t="shared" si="57"/>
        <v>2016</v>
      </c>
    </row>
    <row r="1148" s="5" customFormat="1" ht="13">
      <c r="A1148" s="5" t="s">
        <v>44</v>
      </c>
      <c r="B1148" s="5" t="s">
        <v>44</v>
      </c>
      <c r="C1148" s="5" t="s">
        <v>99</v>
      </c>
      <c r="D1148" s="5" t="s">
        <v>21</v>
      </c>
      <c r="E1148" s="5" t="s">
        <v>44</v>
      </c>
      <c r="F1148" s="5" t="s">
        <v>100</v>
      </c>
      <c r="G1148" s="5" t="s">
        <v>112</v>
      </c>
      <c r="H1148" s="9" t="s">
        <v>353</v>
      </c>
      <c r="I1148" s="10"/>
      <c r="J1148" s="10">
        <v>42752</v>
      </c>
      <c r="K1148" s="5" t="s">
        <v>102</v>
      </c>
      <c r="L1148" s="5" t="s">
        <v>102</v>
      </c>
      <c r="M1148" s="11">
        <v>0.1075</v>
      </c>
      <c r="N1148" s="5" t="e">
        <f>IF(AND(M1148&gt;#REF!,Cartera!O1148="Guaraníes"),"Rendimiento significativo",IF(AND(M1148&gt;#REF!,Cartera!O1148="Dólares americanos"),"Rendimiento significativo","Rendimiento no significativo"))</f>
        <v>#REF!</v>
      </c>
      <c r="O1148" s="5" t="s">
        <v>41</v>
      </c>
      <c r="P1148" s="12">
        <v>270958.90411</v>
      </c>
      <c r="Q1148" s="12">
        <f>IF(O1148="Guaraníes",P1148,P1148*#REF!)</f>
        <v>270958.90411</v>
      </c>
      <c r="R1148" s="12" t="e">
        <f>IF(O1148="Guaraníes",P1148/#REF!,P1148)</f>
        <v>#REF!</v>
      </c>
      <c r="S1148" s="5" t="s">
        <v>52</v>
      </c>
      <c r="T1148" s="5">
        <v>2475</v>
      </c>
      <c r="W1148" s="5" t="s">
        <v>65</v>
      </c>
      <c r="X1148" s="5">
        <v>0</v>
      </c>
      <c r="Y1148" s="5">
        <v>0</v>
      </c>
      <c r="Z1148" s="5">
        <v>54191.780822000001</v>
      </c>
      <c r="AA1148" s="5">
        <v>5</v>
      </c>
      <c r="AB1148" s="5">
        <v>270958.90411</v>
      </c>
      <c r="AC1148" s="5" t="str">
        <f t="shared" si="58"/>
        <v>Bonos</v>
      </c>
      <c r="AD1148" s="5" t="s">
        <v>43</v>
      </c>
      <c r="AE1148" s="5">
        <f t="shared" si="56"/>
        <v>1</v>
      </c>
      <c r="AF1148" s="5">
        <f t="shared" si="57"/>
        <v>2017</v>
      </c>
    </row>
    <row r="1149" s="5" customFormat="1" ht="13">
      <c r="A1149" s="5" t="s">
        <v>44</v>
      </c>
      <c r="B1149" s="5" t="s">
        <v>44</v>
      </c>
      <c r="C1149" s="5" t="s">
        <v>99</v>
      </c>
      <c r="D1149" s="5" t="s">
        <v>21</v>
      </c>
      <c r="E1149" s="5" t="s">
        <v>44</v>
      </c>
      <c r="F1149" s="5" t="s">
        <v>100</v>
      </c>
      <c r="G1149" s="5" t="s">
        <v>112</v>
      </c>
      <c r="H1149" s="9" t="s">
        <v>238</v>
      </c>
      <c r="I1149" s="10"/>
      <c r="J1149" s="10">
        <v>42768</v>
      </c>
      <c r="K1149" s="5" t="s">
        <v>102</v>
      </c>
      <c r="L1149" s="5" t="s">
        <v>102</v>
      </c>
      <c r="M1149" s="11">
        <v>0.081000000000000003</v>
      </c>
      <c r="N1149" s="5" t="e">
        <f>IF(AND(M1149&gt;#REF!,Cartera!O1149="Guaraníes"),"Rendimiento significativo",IF(AND(M1149&gt;#REF!,Cartera!O1149="Dólares americanos"),"Rendimiento significativo","Rendimiento no significativo"))</f>
        <v>#REF!</v>
      </c>
      <c r="O1149" s="5" t="s">
        <v>41</v>
      </c>
      <c r="P1149" s="12">
        <v>2041643.8355999999</v>
      </c>
      <c r="Q1149" s="12">
        <f>IF(O1149="Guaraníes",P1149,P1149*#REF!)</f>
        <v>2041643.8355999999</v>
      </c>
      <c r="R1149" s="12" t="e">
        <f>IF(O1149="Guaraníes",P1149/#REF!,P1149)</f>
        <v>#REF!</v>
      </c>
      <c r="S1149" s="5" t="s">
        <v>52</v>
      </c>
      <c r="T1149" s="5">
        <v>2475</v>
      </c>
      <c r="W1149" s="5" t="s">
        <v>65</v>
      </c>
      <c r="X1149" s="5">
        <v>0</v>
      </c>
      <c r="Y1149" s="5">
        <v>0</v>
      </c>
      <c r="Z1149" s="5">
        <v>40832.876711999997</v>
      </c>
      <c r="AA1149" s="5">
        <v>50</v>
      </c>
      <c r="AB1149" s="5">
        <v>2041643.8356000001</v>
      </c>
      <c r="AC1149" s="5" t="str">
        <f t="shared" si="58"/>
        <v>Bonos</v>
      </c>
      <c r="AD1149" s="5" t="s">
        <v>43</v>
      </c>
      <c r="AE1149" s="5">
        <f t="shared" si="56"/>
        <v>2</v>
      </c>
      <c r="AF1149" s="5">
        <f t="shared" si="57"/>
        <v>2017</v>
      </c>
    </row>
    <row r="1150" s="5" customFormat="1" ht="13">
      <c r="A1150" s="5" t="s">
        <v>44</v>
      </c>
      <c r="B1150" s="5" t="s">
        <v>44</v>
      </c>
      <c r="C1150" s="5" t="s">
        <v>114</v>
      </c>
      <c r="D1150" s="5" t="s">
        <v>21</v>
      </c>
      <c r="E1150" s="5" t="s">
        <v>44</v>
      </c>
      <c r="F1150" s="5" t="s">
        <v>68</v>
      </c>
      <c r="G1150" s="5" t="s">
        <v>112</v>
      </c>
      <c r="H1150" s="9" t="s">
        <v>236</v>
      </c>
      <c r="I1150" s="10"/>
      <c r="J1150" s="10">
        <v>42817</v>
      </c>
      <c r="K1150" s="5" t="s">
        <v>77</v>
      </c>
      <c r="L1150" s="5" t="s">
        <v>50</v>
      </c>
      <c r="M1150" s="11">
        <v>0.14999999999999999</v>
      </c>
      <c r="N1150" s="5" t="e">
        <f>IF(AND(M1150&gt;#REF!,Cartera!O1150="Guaraníes"),"Rendimiento significativo",IF(AND(M1150&gt;#REF!,Cartera!O1150="Dólares americanos"),"Rendimiento significativo","Rendimiento no significativo"))</f>
        <v>#REF!</v>
      </c>
      <c r="O1150" s="5" t="s">
        <v>41</v>
      </c>
      <c r="P1150" s="12">
        <v>3739726.0274</v>
      </c>
      <c r="Q1150" s="12">
        <f>IF(O1150="Guaraníes",P1150,P1150*#REF!)</f>
        <v>3739726.0274</v>
      </c>
      <c r="R1150" s="12" t="e">
        <f>IF(O1150="Guaraníes",P1150/#REF!,P1150)</f>
        <v>#REF!</v>
      </c>
      <c r="S1150" s="5" t="s">
        <v>52</v>
      </c>
      <c r="T1150" s="5">
        <v>2475</v>
      </c>
      <c r="W1150" s="5" t="s">
        <v>65</v>
      </c>
      <c r="X1150" s="5">
        <v>0</v>
      </c>
      <c r="Y1150" s="5">
        <v>0</v>
      </c>
      <c r="Z1150" s="5">
        <v>37397.260274</v>
      </c>
      <c r="AA1150" s="5">
        <v>100</v>
      </c>
      <c r="AB1150" s="5">
        <v>3739726.0274</v>
      </c>
      <c r="AC1150" s="5" t="str">
        <f t="shared" si="58"/>
        <v>Bonos</v>
      </c>
      <c r="AD1150" s="5" t="s">
        <v>43</v>
      </c>
      <c r="AE1150" s="5">
        <f t="shared" si="56"/>
        <v>3</v>
      </c>
      <c r="AF1150" s="5">
        <f t="shared" si="57"/>
        <v>2017</v>
      </c>
    </row>
    <row r="1151" s="5" customFormat="1" ht="13">
      <c r="A1151" s="5" t="s">
        <v>44</v>
      </c>
      <c r="B1151" s="5" t="s">
        <v>44</v>
      </c>
      <c r="C1151" s="5" t="s">
        <v>114</v>
      </c>
      <c r="D1151" s="5" t="s">
        <v>21</v>
      </c>
      <c r="E1151" s="5" t="s">
        <v>44</v>
      </c>
      <c r="F1151" s="5" t="s">
        <v>68</v>
      </c>
      <c r="G1151" s="5" t="s">
        <v>112</v>
      </c>
      <c r="H1151" s="9" t="s">
        <v>236</v>
      </c>
      <c r="I1151" s="10"/>
      <c r="J1151" s="10">
        <v>42908</v>
      </c>
      <c r="K1151" s="5" t="s">
        <v>77</v>
      </c>
      <c r="L1151" s="5" t="s">
        <v>50</v>
      </c>
      <c r="M1151" s="11">
        <v>0.14999999999999999</v>
      </c>
      <c r="N1151" s="5" t="e">
        <f>IF(AND(M1151&gt;#REF!,Cartera!O1151="Guaraníes"),"Rendimiento significativo",IF(AND(M1151&gt;#REF!,Cartera!O1151="Dólares americanos"),"Rendimiento significativo","Rendimiento no significativo"))</f>
        <v>#REF!</v>
      </c>
      <c r="O1151" s="5" t="s">
        <v>41</v>
      </c>
      <c r="P1151" s="12">
        <v>3739726.0274</v>
      </c>
      <c r="Q1151" s="12">
        <f>IF(O1151="Guaraníes",P1151,P1151*#REF!)</f>
        <v>3739726.0274</v>
      </c>
      <c r="R1151" s="12" t="e">
        <f>IF(O1151="Guaraníes",P1151/#REF!,P1151)</f>
        <v>#REF!</v>
      </c>
      <c r="S1151" s="5" t="s">
        <v>52</v>
      </c>
      <c r="T1151" s="5">
        <v>2475</v>
      </c>
      <c r="W1151" s="5" t="s">
        <v>65</v>
      </c>
      <c r="X1151" s="5">
        <v>0</v>
      </c>
      <c r="Y1151" s="5">
        <v>0</v>
      </c>
      <c r="Z1151" s="5">
        <v>37397.260274</v>
      </c>
      <c r="AA1151" s="5">
        <v>100</v>
      </c>
      <c r="AB1151" s="5">
        <v>3739726.0274</v>
      </c>
      <c r="AC1151" s="5" t="str">
        <f t="shared" si="58"/>
        <v>Bonos</v>
      </c>
      <c r="AD1151" s="5" t="s">
        <v>43</v>
      </c>
      <c r="AE1151" s="5">
        <f t="shared" si="56"/>
        <v>6</v>
      </c>
      <c r="AF1151" s="5">
        <f t="shared" si="57"/>
        <v>2017</v>
      </c>
    </row>
    <row r="1152" s="5" customFormat="1" ht="13">
      <c r="A1152" s="5" t="s">
        <v>44</v>
      </c>
      <c r="B1152" s="5" t="s">
        <v>44</v>
      </c>
      <c r="C1152" s="5" t="s">
        <v>99</v>
      </c>
      <c r="D1152" s="5" t="s">
        <v>21</v>
      </c>
      <c r="E1152" s="5" t="s">
        <v>44</v>
      </c>
      <c r="F1152" s="5" t="s">
        <v>100</v>
      </c>
      <c r="G1152" s="5" t="s">
        <v>112</v>
      </c>
      <c r="H1152" s="9" t="s">
        <v>353</v>
      </c>
      <c r="I1152" s="10"/>
      <c r="J1152" s="10">
        <v>42933</v>
      </c>
      <c r="K1152" s="5" t="s">
        <v>102</v>
      </c>
      <c r="L1152" s="5" t="s">
        <v>102</v>
      </c>
      <c r="M1152" s="11">
        <v>0.1075</v>
      </c>
      <c r="N1152" s="5" t="e">
        <f>IF(AND(M1152&gt;#REF!,Cartera!O1152="Guaraníes"),"Rendimiento significativo",IF(AND(M1152&gt;#REF!,Cartera!O1152="Dólares americanos"),"Rendimiento significativo","Rendimiento no significativo"))</f>
        <v>#REF!</v>
      </c>
      <c r="O1152" s="5" t="s">
        <v>41</v>
      </c>
      <c r="P1152" s="12">
        <v>266541.09589</v>
      </c>
      <c r="Q1152" s="12">
        <f>IF(O1152="Guaraníes",P1152,P1152*#REF!)</f>
        <v>266541.09589</v>
      </c>
      <c r="R1152" s="12" t="e">
        <f>IF(O1152="Guaraníes",P1152/#REF!,P1152)</f>
        <v>#REF!</v>
      </c>
      <c r="S1152" s="5" t="s">
        <v>52</v>
      </c>
      <c r="T1152" s="5">
        <v>2475</v>
      </c>
      <c r="W1152" s="5" t="s">
        <v>65</v>
      </c>
      <c r="X1152" s="5">
        <v>0</v>
      </c>
      <c r="Y1152" s="5">
        <v>0</v>
      </c>
      <c r="Z1152" s="5">
        <v>53308.219177999999</v>
      </c>
      <c r="AA1152" s="5">
        <v>5</v>
      </c>
      <c r="AB1152" s="5">
        <v>266541.09589</v>
      </c>
      <c r="AC1152" s="5" t="str">
        <f t="shared" si="58"/>
        <v>Bonos</v>
      </c>
      <c r="AD1152" s="5" t="s">
        <v>43</v>
      </c>
      <c r="AE1152" s="5">
        <f t="shared" si="56"/>
        <v>7</v>
      </c>
      <c r="AF1152" s="5">
        <f t="shared" si="57"/>
        <v>2017</v>
      </c>
    </row>
    <row r="1153" s="5" customFormat="1" ht="13">
      <c r="A1153" s="5" t="s">
        <v>44</v>
      </c>
      <c r="B1153" s="5" t="s">
        <v>44</v>
      </c>
      <c r="C1153" s="5" t="s">
        <v>99</v>
      </c>
      <c r="D1153" s="5" t="s">
        <v>21</v>
      </c>
      <c r="E1153" s="5" t="s">
        <v>44</v>
      </c>
      <c r="F1153" s="5" t="s">
        <v>100</v>
      </c>
      <c r="G1153" s="5" t="s">
        <v>112</v>
      </c>
      <c r="H1153" s="9" t="s">
        <v>238</v>
      </c>
      <c r="I1153" s="10"/>
      <c r="J1153" s="10">
        <v>42949</v>
      </c>
      <c r="K1153" s="5" t="s">
        <v>102</v>
      </c>
      <c r="L1153" s="5" t="s">
        <v>102</v>
      </c>
      <c r="M1153" s="11">
        <v>0.081000000000000003</v>
      </c>
      <c r="N1153" s="5" t="e">
        <f>IF(AND(M1153&gt;#REF!,Cartera!O1153="Guaraníes"),"Rendimiento significativo",IF(AND(M1153&gt;#REF!,Cartera!O1153="Dólares americanos"),"Rendimiento significativo","Rendimiento no significativo"))</f>
        <v>#REF!</v>
      </c>
      <c r="O1153" s="5" t="s">
        <v>41</v>
      </c>
      <c r="P1153" s="12">
        <v>2008356.1644000001</v>
      </c>
      <c r="Q1153" s="12">
        <f>IF(O1153="Guaraníes",P1153,P1153*#REF!)</f>
        <v>2008356.1644000001</v>
      </c>
      <c r="R1153" s="12" t="e">
        <f>IF(O1153="Guaraníes",P1153/#REF!,P1153)</f>
        <v>#REF!</v>
      </c>
      <c r="S1153" s="5" t="s">
        <v>52</v>
      </c>
      <c r="T1153" s="5">
        <v>2475</v>
      </c>
      <c r="W1153" s="5" t="s">
        <v>65</v>
      </c>
      <c r="X1153" s="5">
        <v>0</v>
      </c>
      <c r="Y1153" s="5">
        <v>0</v>
      </c>
      <c r="Z1153" s="5">
        <v>40167.123288000003</v>
      </c>
      <c r="AA1153" s="5">
        <v>50</v>
      </c>
      <c r="AB1153" s="5">
        <v>2008356.1643999999</v>
      </c>
      <c r="AC1153" s="5" t="str">
        <f t="shared" si="58"/>
        <v>Bonos</v>
      </c>
      <c r="AD1153" s="5" t="s">
        <v>43</v>
      </c>
      <c r="AE1153" s="5">
        <f t="shared" si="56"/>
        <v>8</v>
      </c>
      <c r="AF1153" s="5">
        <f t="shared" si="57"/>
        <v>2017</v>
      </c>
    </row>
    <row r="1154" s="5" customFormat="1" ht="13">
      <c r="A1154" s="5" t="s">
        <v>44</v>
      </c>
      <c r="B1154" s="5" t="s">
        <v>44</v>
      </c>
      <c r="C1154" s="5" t="s">
        <v>114</v>
      </c>
      <c r="D1154" s="5" t="s">
        <v>21</v>
      </c>
      <c r="E1154" s="5" t="s">
        <v>44</v>
      </c>
      <c r="F1154" s="5" t="s">
        <v>68</v>
      </c>
      <c r="G1154" s="5" t="s">
        <v>112</v>
      </c>
      <c r="H1154" s="9" t="s">
        <v>236</v>
      </c>
      <c r="I1154" s="10"/>
      <c r="J1154" s="10">
        <v>42999</v>
      </c>
      <c r="K1154" s="5" t="s">
        <v>77</v>
      </c>
      <c r="L1154" s="5" t="s">
        <v>50</v>
      </c>
      <c r="M1154" s="11">
        <v>0.14999999999999999</v>
      </c>
      <c r="N1154" s="5" t="e">
        <f>IF(AND(M1154&gt;#REF!,Cartera!O1154="Guaraníes"),"Rendimiento significativo",IF(AND(M1154&gt;#REF!,Cartera!O1154="Dólares americanos"),"Rendimiento significativo","Rendimiento no significativo"))</f>
        <v>#REF!</v>
      </c>
      <c r="O1154" s="5" t="s">
        <v>41</v>
      </c>
      <c r="P1154" s="12">
        <v>3739726.0274</v>
      </c>
      <c r="Q1154" s="12">
        <f>IF(O1154="Guaraníes",P1154,P1154*#REF!)</f>
        <v>3739726.0274</v>
      </c>
      <c r="R1154" s="12" t="e">
        <f>IF(O1154="Guaraníes",P1154/#REF!,P1154)</f>
        <v>#REF!</v>
      </c>
      <c r="S1154" s="5" t="s">
        <v>52</v>
      </c>
      <c r="T1154" s="5">
        <v>2475</v>
      </c>
      <c r="W1154" s="5" t="s">
        <v>65</v>
      </c>
      <c r="X1154" s="5">
        <v>0</v>
      </c>
      <c r="Y1154" s="5">
        <v>0</v>
      </c>
      <c r="Z1154" s="5">
        <v>37397.260274</v>
      </c>
      <c r="AA1154" s="5">
        <v>100</v>
      </c>
      <c r="AB1154" s="5">
        <v>3739726.0274</v>
      </c>
      <c r="AC1154" s="5" t="str">
        <f t="shared" si="58"/>
        <v>Bonos</v>
      </c>
      <c r="AD1154" s="5" t="s">
        <v>43</v>
      </c>
      <c r="AE1154" s="5">
        <f t="shared" si="56"/>
        <v>9</v>
      </c>
      <c r="AF1154" s="5">
        <f t="shared" si="57"/>
        <v>2017</v>
      </c>
    </row>
    <row r="1155" s="5" customFormat="1" ht="13">
      <c r="A1155" s="5" t="s">
        <v>44</v>
      </c>
      <c r="B1155" s="5" t="s">
        <v>44</v>
      </c>
      <c r="C1155" s="5" t="s">
        <v>114</v>
      </c>
      <c r="D1155" s="5" t="s">
        <v>21</v>
      </c>
      <c r="E1155" s="5" t="s">
        <v>44</v>
      </c>
      <c r="F1155" s="5" t="s">
        <v>68</v>
      </c>
      <c r="G1155" s="5" t="s">
        <v>112</v>
      </c>
      <c r="H1155" s="9" t="s">
        <v>236</v>
      </c>
      <c r="I1155" s="10"/>
      <c r="J1155" s="10">
        <v>43090</v>
      </c>
      <c r="K1155" s="5" t="s">
        <v>77</v>
      </c>
      <c r="L1155" s="5" t="s">
        <v>50</v>
      </c>
      <c r="M1155" s="11">
        <v>0.14999999999999999</v>
      </c>
      <c r="N1155" s="5" t="e">
        <f>IF(AND(M1155&gt;#REF!,Cartera!O1155="Guaraníes"),"Rendimiento significativo",IF(AND(M1155&gt;#REF!,Cartera!O1155="Dólares americanos"),"Rendimiento significativo","Rendimiento no significativo"))</f>
        <v>#REF!</v>
      </c>
      <c r="O1155" s="5" t="s">
        <v>41</v>
      </c>
      <c r="P1155" s="12">
        <v>3739726.0274</v>
      </c>
      <c r="Q1155" s="12">
        <f>IF(O1155="Guaraníes",P1155,P1155*#REF!)</f>
        <v>3739726.0274</v>
      </c>
      <c r="R1155" s="12" t="e">
        <f>IF(O1155="Guaraníes",P1155/#REF!,P1155)</f>
        <v>#REF!</v>
      </c>
      <c r="S1155" s="5" t="s">
        <v>52</v>
      </c>
      <c r="T1155" s="5">
        <v>2475</v>
      </c>
      <c r="W1155" s="5" t="s">
        <v>65</v>
      </c>
      <c r="X1155" s="5">
        <v>0</v>
      </c>
      <c r="Y1155" s="5">
        <v>0</v>
      </c>
      <c r="Z1155" s="5">
        <v>37397.260274</v>
      </c>
      <c r="AA1155" s="5">
        <v>100</v>
      </c>
      <c r="AB1155" s="5">
        <v>3739726.0274</v>
      </c>
      <c r="AC1155" s="5" t="str">
        <f t="shared" si="58"/>
        <v>Bonos</v>
      </c>
      <c r="AD1155" s="5" t="s">
        <v>43</v>
      </c>
      <c r="AE1155" s="5">
        <f t="shared" si="56"/>
        <v>12</v>
      </c>
      <c r="AF1155" s="5">
        <f t="shared" si="57"/>
        <v>2017</v>
      </c>
    </row>
    <row r="1156" s="5" customFormat="1" ht="13">
      <c r="A1156" s="5" t="s">
        <v>44</v>
      </c>
      <c r="B1156" s="5" t="s">
        <v>44</v>
      </c>
      <c r="C1156" s="5" t="s">
        <v>99</v>
      </c>
      <c r="D1156" s="5" t="s">
        <v>21</v>
      </c>
      <c r="E1156" s="5" t="s">
        <v>44</v>
      </c>
      <c r="F1156" s="5" t="s">
        <v>100</v>
      </c>
      <c r="G1156" s="5" t="s">
        <v>112</v>
      </c>
      <c r="H1156" s="9" t="s">
        <v>353</v>
      </c>
      <c r="I1156" s="10"/>
      <c r="J1156" s="10">
        <v>43117</v>
      </c>
      <c r="K1156" s="5" t="s">
        <v>102</v>
      </c>
      <c r="L1156" s="5" t="s">
        <v>102</v>
      </c>
      <c r="M1156" s="11">
        <v>0.1075</v>
      </c>
      <c r="N1156" s="5" t="e">
        <f>IF(AND(M1156&gt;#REF!,Cartera!O1156="Guaraníes"),"Rendimiento significativo",IF(AND(M1156&gt;#REF!,Cartera!O1156="Dólares americanos"),"Rendimiento significativo","Rendimiento no significativo"))</f>
        <v>#REF!</v>
      </c>
      <c r="O1156" s="5" t="s">
        <v>41</v>
      </c>
      <c r="P1156" s="12">
        <v>270958.90411</v>
      </c>
      <c r="Q1156" s="12">
        <f>IF(O1156="Guaraníes",P1156,P1156*#REF!)</f>
        <v>270958.90411</v>
      </c>
      <c r="R1156" s="12" t="e">
        <f>IF(O1156="Guaraníes",P1156/#REF!,P1156)</f>
        <v>#REF!</v>
      </c>
      <c r="S1156" s="5" t="s">
        <v>52</v>
      </c>
      <c r="T1156" s="5">
        <v>2475</v>
      </c>
      <c r="W1156" s="5" t="s">
        <v>65</v>
      </c>
      <c r="X1156" s="5">
        <v>0</v>
      </c>
      <c r="Y1156" s="5">
        <v>0</v>
      </c>
      <c r="Z1156" s="5">
        <v>54191.780822000001</v>
      </c>
      <c r="AA1156" s="5">
        <v>5</v>
      </c>
      <c r="AB1156" s="5">
        <v>270958.90411</v>
      </c>
      <c r="AC1156" s="5" t="str">
        <f t="shared" si="58"/>
        <v>Bonos</v>
      </c>
      <c r="AD1156" s="5" t="s">
        <v>43</v>
      </c>
      <c r="AE1156" s="5">
        <f t="shared" si="56"/>
        <v>1</v>
      </c>
      <c r="AF1156" s="5">
        <f t="shared" si="57"/>
        <v>2018</v>
      </c>
    </row>
    <row r="1157" s="5" customFormat="1" ht="13">
      <c r="A1157" s="5" t="s">
        <v>44</v>
      </c>
      <c r="B1157" s="5" t="s">
        <v>44</v>
      </c>
      <c r="C1157" s="5" t="s">
        <v>99</v>
      </c>
      <c r="D1157" s="5" t="s">
        <v>21</v>
      </c>
      <c r="E1157" s="5" t="s">
        <v>44</v>
      </c>
      <c r="F1157" s="5" t="s">
        <v>100</v>
      </c>
      <c r="G1157" s="5" t="s">
        <v>112</v>
      </c>
      <c r="H1157" s="9" t="s">
        <v>238</v>
      </c>
      <c r="I1157" s="10"/>
      <c r="J1157" s="10">
        <v>43133</v>
      </c>
      <c r="K1157" s="5" t="s">
        <v>102</v>
      </c>
      <c r="L1157" s="5" t="s">
        <v>102</v>
      </c>
      <c r="M1157" s="11">
        <v>0.081000000000000003</v>
      </c>
      <c r="N1157" s="5" t="e">
        <f>IF(AND(M1157&gt;#REF!,Cartera!O1157="Guaraníes"),"Rendimiento significativo",IF(AND(M1157&gt;#REF!,Cartera!O1157="Dólares americanos"),"Rendimiento significativo","Rendimiento no significativo"))</f>
        <v>#REF!</v>
      </c>
      <c r="O1157" s="5" t="s">
        <v>41</v>
      </c>
      <c r="P1157" s="12">
        <v>2041643.8355999999</v>
      </c>
      <c r="Q1157" s="12">
        <f>IF(O1157="Guaraníes",P1157,P1157*#REF!)</f>
        <v>2041643.8355999999</v>
      </c>
      <c r="R1157" s="12" t="e">
        <f>IF(O1157="Guaraníes",P1157/#REF!,P1157)</f>
        <v>#REF!</v>
      </c>
      <c r="S1157" s="5" t="s">
        <v>52</v>
      </c>
      <c r="T1157" s="5">
        <v>2475</v>
      </c>
      <c r="W1157" s="5" t="s">
        <v>65</v>
      </c>
      <c r="X1157" s="5">
        <v>0</v>
      </c>
      <c r="Y1157" s="5">
        <v>0</v>
      </c>
      <c r="Z1157" s="5">
        <v>40832.876711999997</v>
      </c>
      <c r="AA1157" s="5">
        <v>50</v>
      </c>
      <c r="AB1157" s="5">
        <v>2041643.8356000001</v>
      </c>
      <c r="AC1157" s="5" t="str">
        <f t="shared" si="58"/>
        <v>Bonos</v>
      </c>
      <c r="AD1157" s="5" t="s">
        <v>43</v>
      </c>
      <c r="AE1157" s="5">
        <f t="shared" si="56"/>
        <v>2</v>
      </c>
      <c r="AF1157" s="5">
        <f t="shared" si="57"/>
        <v>2018</v>
      </c>
    </row>
    <row r="1158" s="5" customFormat="1" ht="13">
      <c r="A1158" s="5" t="s">
        <v>44</v>
      </c>
      <c r="B1158" s="5" t="s">
        <v>44</v>
      </c>
      <c r="C1158" s="5" t="s">
        <v>114</v>
      </c>
      <c r="D1158" s="5" t="s">
        <v>21</v>
      </c>
      <c r="E1158" s="5" t="s">
        <v>44</v>
      </c>
      <c r="F1158" s="5" t="s">
        <v>68</v>
      </c>
      <c r="G1158" s="5" t="s">
        <v>112</v>
      </c>
      <c r="H1158" s="9" t="s">
        <v>236</v>
      </c>
      <c r="I1158" s="10"/>
      <c r="J1158" s="10">
        <v>43181</v>
      </c>
      <c r="K1158" s="5" t="s">
        <v>77</v>
      </c>
      <c r="L1158" s="5" t="s">
        <v>50</v>
      </c>
      <c r="M1158" s="11">
        <v>0.14999999999999999</v>
      </c>
      <c r="N1158" s="5" t="e">
        <f>IF(AND(M1158&gt;#REF!,Cartera!O1158="Guaraníes"),"Rendimiento significativo",IF(AND(M1158&gt;#REF!,Cartera!O1158="Dólares americanos"),"Rendimiento significativo","Rendimiento no significativo"))</f>
        <v>#REF!</v>
      </c>
      <c r="O1158" s="5" t="s">
        <v>41</v>
      </c>
      <c r="P1158" s="12">
        <v>3739726.0274</v>
      </c>
      <c r="Q1158" s="12">
        <f>IF(O1158="Guaraníes",P1158,P1158*#REF!)</f>
        <v>3739726.0274</v>
      </c>
      <c r="R1158" s="12" t="e">
        <f>IF(O1158="Guaraníes",P1158/#REF!,P1158)</f>
        <v>#REF!</v>
      </c>
      <c r="S1158" s="5" t="s">
        <v>52</v>
      </c>
      <c r="T1158" s="5">
        <v>2475</v>
      </c>
      <c r="W1158" s="5" t="s">
        <v>65</v>
      </c>
      <c r="X1158" s="5">
        <v>0</v>
      </c>
      <c r="Y1158" s="5">
        <v>0</v>
      </c>
      <c r="Z1158" s="5">
        <v>37397.260274</v>
      </c>
      <c r="AA1158" s="5">
        <v>100</v>
      </c>
      <c r="AB1158" s="5">
        <v>3739726.0274</v>
      </c>
      <c r="AC1158" s="5" t="str">
        <f t="shared" si="58"/>
        <v>Bonos</v>
      </c>
      <c r="AD1158" s="5" t="s">
        <v>43</v>
      </c>
      <c r="AE1158" s="5">
        <f t="shared" si="56"/>
        <v>3</v>
      </c>
      <c r="AF1158" s="5">
        <f t="shared" si="57"/>
        <v>2018</v>
      </c>
    </row>
    <row r="1159" s="5" customFormat="1" ht="13">
      <c r="A1159" s="5" t="s">
        <v>44</v>
      </c>
      <c r="B1159" s="5" t="s">
        <v>44</v>
      </c>
      <c r="C1159" s="5" t="s">
        <v>114</v>
      </c>
      <c r="D1159" s="5" t="s">
        <v>21</v>
      </c>
      <c r="E1159" s="5" t="s">
        <v>44</v>
      </c>
      <c r="F1159" s="5" t="s">
        <v>68</v>
      </c>
      <c r="G1159" s="5" t="s">
        <v>112</v>
      </c>
      <c r="H1159" s="9" t="s">
        <v>236</v>
      </c>
      <c r="I1159" s="10"/>
      <c r="J1159" s="10">
        <v>43272</v>
      </c>
      <c r="K1159" s="5" t="s">
        <v>77</v>
      </c>
      <c r="L1159" s="5" t="s">
        <v>50</v>
      </c>
      <c r="M1159" s="11">
        <v>0.14999999999999999</v>
      </c>
      <c r="N1159" s="5" t="e">
        <f>IF(AND(M1159&gt;#REF!,Cartera!O1159="Guaraníes"),"Rendimiento significativo",IF(AND(M1159&gt;#REF!,Cartera!O1159="Dólares americanos"),"Rendimiento significativo","Rendimiento no significativo"))</f>
        <v>#REF!</v>
      </c>
      <c r="O1159" s="5" t="s">
        <v>41</v>
      </c>
      <c r="P1159" s="12">
        <v>3739726.0274</v>
      </c>
      <c r="Q1159" s="12">
        <f>IF(O1159="Guaraníes",P1159,P1159*#REF!)</f>
        <v>3739726.0274</v>
      </c>
      <c r="R1159" s="12" t="e">
        <f>IF(O1159="Guaraníes",P1159/#REF!,P1159)</f>
        <v>#REF!</v>
      </c>
      <c r="S1159" s="5" t="s">
        <v>52</v>
      </c>
      <c r="T1159" s="5">
        <v>2475</v>
      </c>
      <c r="W1159" s="5" t="s">
        <v>65</v>
      </c>
      <c r="X1159" s="5">
        <v>0</v>
      </c>
      <c r="Y1159" s="5">
        <v>0</v>
      </c>
      <c r="Z1159" s="5">
        <v>37397.260274</v>
      </c>
      <c r="AA1159" s="5">
        <v>100</v>
      </c>
      <c r="AB1159" s="5">
        <v>3739726.0274</v>
      </c>
      <c r="AC1159" s="5" t="str">
        <f t="shared" si="58"/>
        <v>Bonos</v>
      </c>
      <c r="AD1159" s="5" t="s">
        <v>43</v>
      </c>
      <c r="AE1159" s="5">
        <f t="shared" si="56"/>
        <v>6</v>
      </c>
      <c r="AF1159" s="5">
        <f t="shared" si="57"/>
        <v>2018</v>
      </c>
    </row>
    <row r="1160" s="5" customFormat="1" ht="13">
      <c r="A1160" s="5" t="s">
        <v>44</v>
      </c>
      <c r="B1160" s="5" t="s">
        <v>44</v>
      </c>
      <c r="C1160" s="5" t="s">
        <v>99</v>
      </c>
      <c r="D1160" s="5" t="s">
        <v>21</v>
      </c>
      <c r="E1160" s="5" t="s">
        <v>44</v>
      </c>
      <c r="F1160" s="5" t="s">
        <v>100</v>
      </c>
      <c r="G1160" s="5" t="s">
        <v>112</v>
      </c>
      <c r="H1160" s="9" t="s">
        <v>353</v>
      </c>
      <c r="I1160" s="10"/>
      <c r="J1160" s="10">
        <v>43298</v>
      </c>
      <c r="K1160" s="5" t="s">
        <v>102</v>
      </c>
      <c r="L1160" s="5" t="s">
        <v>102</v>
      </c>
      <c r="M1160" s="11">
        <v>0.1075</v>
      </c>
      <c r="N1160" s="5" t="e">
        <f>IF(AND(M1160&gt;#REF!,Cartera!O1160="Guaraníes"),"Rendimiento significativo",IF(AND(M1160&gt;#REF!,Cartera!O1160="Dólares americanos"),"Rendimiento significativo","Rendimiento no significativo"))</f>
        <v>#REF!</v>
      </c>
      <c r="O1160" s="5" t="s">
        <v>41</v>
      </c>
      <c r="P1160" s="12">
        <v>5266541.0958900005</v>
      </c>
      <c r="Q1160" s="12">
        <f>IF(O1160="Guaraníes",P1160,P1160*#REF!)</f>
        <v>5266541.0958900005</v>
      </c>
      <c r="R1160" s="12" t="e">
        <f>IF(O1160="Guaraníes",P1160/#REF!,P1160)</f>
        <v>#REF!</v>
      </c>
      <c r="S1160" s="5" t="s">
        <v>52</v>
      </c>
      <c r="T1160" s="5">
        <v>2475</v>
      </c>
      <c r="W1160" s="5" t="s">
        <v>65</v>
      </c>
      <c r="X1160" s="5">
        <v>100</v>
      </c>
      <c r="Y1160" s="5">
        <v>1000000</v>
      </c>
      <c r="Z1160" s="5">
        <v>1053308.219178</v>
      </c>
      <c r="AA1160" s="5">
        <v>5</v>
      </c>
      <c r="AB1160" s="5">
        <v>5266541.0958900005</v>
      </c>
      <c r="AC1160" s="5" t="str">
        <f t="shared" si="58"/>
        <v>Bonos</v>
      </c>
      <c r="AD1160" s="5" t="s">
        <v>43</v>
      </c>
      <c r="AE1160" s="5">
        <f t="shared" si="56"/>
        <v>7</v>
      </c>
      <c r="AF1160" s="5">
        <f t="shared" si="57"/>
        <v>2018</v>
      </c>
    </row>
    <row r="1161" s="5" customFormat="1" ht="13">
      <c r="A1161" s="5" t="s">
        <v>44</v>
      </c>
      <c r="B1161" s="5" t="s">
        <v>44</v>
      </c>
      <c r="C1161" s="5" t="s">
        <v>99</v>
      </c>
      <c r="D1161" s="5" t="s">
        <v>21</v>
      </c>
      <c r="E1161" s="5" t="s">
        <v>44</v>
      </c>
      <c r="F1161" s="5" t="s">
        <v>100</v>
      </c>
      <c r="G1161" s="5" t="s">
        <v>112</v>
      </c>
      <c r="H1161" s="9" t="s">
        <v>238</v>
      </c>
      <c r="I1161" s="10"/>
      <c r="J1161" s="10">
        <v>43314</v>
      </c>
      <c r="K1161" s="5" t="s">
        <v>102</v>
      </c>
      <c r="L1161" s="5" t="s">
        <v>102</v>
      </c>
      <c r="M1161" s="11">
        <v>0.081000000000000003</v>
      </c>
      <c r="N1161" s="5" t="e">
        <f>IF(AND(M1161&gt;#REF!,Cartera!O1161="Guaraníes"),"Rendimiento significativo",IF(AND(M1161&gt;#REF!,Cartera!O1161="Dólares americanos"),"Rendimiento significativo","Rendimiento no significativo"))</f>
        <v>#REF!</v>
      </c>
      <c r="O1161" s="5" t="s">
        <v>41</v>
      </c>
      <c r="P1161" s="12">
        <v>2008356.1644000001</v>
      </c>
      <c r="Q1161" s="12">
        <f>IF(O1161="Guaraníes",P1161,P1161*#REF!)</f>
        <v>2008356.1644000001</v>
      </c>
      <c r="R1161" s="12" t="e">
        <f>IF(O1161="Guaraníes",P1161/#REF!,P1161)</f>
        <v>#REF!</v>
      </c>
      <c r="S1161" s="5" t="s">
        <v>52</v>
      </c>
      <c r="T1161" s="5">
        <v>2475</v>
      </c>
      <c r="W1161" s="5" t="s">
        <v>65</v>
      </c>
      <c r="X1161" s="5">
        <v>0</v>
      </c>
      <c r="Y1161" s="5">
        <v>0</v>
      </c>
      <c r="Z1161" s="5">
        <v>40167.123288000003</v>
      </c>
      <c r="AA1161" s="5">
        <v>50</v>
      </c>
      <c r="AB1161" s="5">
        <v>2008356.1643999999</v>
      </c>
      <c r="AC1161" s="5" t="str">
        <f t="shared" si="58"/>
        <v>Bonos</v>
      </c>
      <c r="AD1161" s="5" t="s">
        <v>43</v>
      </c>
      <c r="AE1161" s="5">
        <f t="shared" si="56"/>
        <v>8</v>
      </c>
      <c r="AF1161" s="5">
        <f t="shared" si="57"/>
        <v>2018</v>
      </c>
    </row>
    <row r="1162" s="5" customFormat="1" ht="13">
      <c r="A1162" s="5" t="s">
        <v>44</v>
      </c>
      <c r="B1162" s="5" t="s">
        <v>44</v>
      </c>
      <c r="C1162" s="5" t="s">
        <v>114</v>
      </c>
      <c r="D1162" s="5" t="s">
        <v>21</v>
      </c>
      <c r="E1162" s="5" t="s">
        <v>44</v>
      </c>
      <c r="F1162" s="5" t="s">
        <v>68</v>
      </c>
      <c r="G1162" s="5" t="s">
        <v>112</v>
      </c>
      <c r="H1162" s="9" t="s">
        <v>236</v>
      </c>
      <c r="I1162" s="10"/>
      <c r="J1162" s="10">
        <v>43363</v>
      </c>
      <c r="K1162" s="5" t="s">
        <v>77</v>
      </c>
      <c r="L1162" s="5" t="s">
        <v>50</v>
      </c>
      <c r="M1162" s="11">
        <v>0.14999999999999999</v>
      </c>
      <c r="N1162" s="5" t="e">
        <f>IF(AND(M1162&gt;#REF!,Cartera!O1162="Guaraníes"),"Rendimiento significativo",IF(AND(M1162&gt;#REF!,Cartera!O1162="Dólares americanos"),"Rendimiento significativo","Rendimiento no significativo"))</f>
        <v>#REF!</v>
      </c>
      <c r="O1162" s="5" t="s">
        <v>41</v>
      </c>
      <c r="P1162" s="12">
        <v>3739726.0274</v>
      </c>
      <c r="Q1162" s="12">
        <f>IF(O1162="Guaraníes",P1162,P1162*#REF!)</f>
        <v>3739726.0274</v>
      </c>
      <c r="R1162" s="12" t="e">
        <f>IF(O1162="Guaraníes",P1162/#REF!,P1162)</f>
        <v>#REF!</v>
      </c>
      <c r="S1162" s="5" t="s">
        <v>52</v>
      </c>
      <c r="T1162" s="5">
        <v>2475</v>
      </c>
      <c r="W1162" s="5" t="s">
        <v>65</v>
      </c>
      <c r="X1162" s="5">
        <v>0</v>
      </c>
      <c r="Y1162" s="5">
        <v>0</v>
      </c>
      <c r="Z1162" s="5">
        <v>37397.260274</v>
      </c>
      <c r="AA1162" s="5">
        <v>100</v>
      </c>
      <c r="AB1162" s="5">
        <v>3739726.0274</v>
      </c>
      <c r="AC1162" s="5" t="str">
        <f t="shared" si="58"/>
        <v>Bonos</v>
      </c>
      <c r="AD1162" s="5" t="s">
        <v>43</v>
      </c>
      <c r="AE1162" s="5">
        <f t="shared" si="56"/>
        <v>9</v>
      </c>
      <c r="AF1162" s="5">
        <f t="shared" si="57"/>
        <v>2018</v>
      </c>
    </row>
    <row r="1163" s="5" customFormat="1" ht="13">
      <c r="A1163" s="5" t="s">
        <v>44</v>
      </c>
      <c r="B1163" s="5" t="s">
        <v>44</v>
      </c>
      <c r="C1163" s="5" t="s">
        <v>114</v>
      </c>
      <c r="D1163" s="5" t="s">
        <v>21</v>
      </c>
      <c r="E1163" s="5" t="s">
        <v>44</v>
      </c>
      <c r="F1163" s="5" t="s">
        <v>68</v>
      </c>
      <c r="G1163" s="5" t="s">
        <v>112</v>
      </c>
      <c r="H1163" s="9" t="s">
        <v>236</v>
      </c>
      <c r="I1163" s="10"/>
      <c r="J1163" s="10">
        <v>43454</v>
      </c>
      <c r="K1163" s="5" t="s">
        <v>77</v>
      </c>
      <c r="L1163" s="5" t="s">
        <v>50</v>
      </c>
      <c r="M1163" s="11">
        <v>0.14999999999999999</v>
      </c>
      <c r="N1163" s="5" t="e">
        <f>IF(AND(M1163&gt;#REF!,Cartera!O1163="Guaraníes"),"Rendimiento significativo",IF(AND(M1163&gt;#REF!,Cartera!O1163="Dólares americanos"),"Rendimiento significativo","Rendimiento no significativo"))</f>
        <v>#REF!</v>
      </c>
      <c r="O1163" s="5" t="s">
        <v>41</v>
      </c>
      <c r="P1163" s="12">
        <v>3739726.0274</v>
      </c>
      <c r="Q1163" s="12">
        <f>IF(O1163="Guaraníes",P1163,P1163*#REF!)</f>
        <v>3739726.0274</v>
      </c>
      <c r="R1163" s="12" t="e">
        <f>IF(O1163="Guaraníes",P1163/#REF!,P1163)</f>
        <v>#REF!</v>
      </c>
      <c r="S1163" s="5" t="s">
        <v>52</v>
      </c>
      <c r="T1163" s="5">
        <v>2475</v>
      </c>
      <c r="W1163" s="5" t="s">
        <v>65</v>
      </c>
      <c r="X1163" s="5">
        <v>0</v>
      </c>
      <c r="Y1163" s="5">
        <v>0</v>
      </c>
      <c r="Z1163" s="5">
        <v>37397.260274</v>
      </c>
      <c r="AA1163" s="5">
        <v>100</v>
      </c>
      <c r="AB1163" s="5">
        <v>3739726.0274</v>
      </c>
      <c r="AC1163" s="5" t="str">
        <f t="shared" si="58"/>
        <v>Bonos</v>
      </c>
      <c r="AD1163" s="5" t="s">
        <v>43</v>
      </c>
      <c r="AE1163" s="5">
        <f t="shared" si="56"/>
        <v>12</v>
      </c>
      <c r="AF1163" s="5">
        <f t="shared" si="57"/>
        <v>2018</v>
      </c>
    </row>
    <row r="1164" s="5" customFormat="1" ht="13">
      <c r="A1164" s="5" t="s">
        <v>44</v>
      </c>
      <c r="B1164" s="5" t="s">
        <v>44</v>
      </c>
      <c r="C1164" s="5" t="s">
        <v>99</v>
      </c>
      <c r="D1164" s="5" t="s">
        <v>21</v>
      </c>
      <c r="E1164" s="5" t="s">
        <v>44</v>
      </c>
      <c r="F1164" s="5" t="s">
        <v>100</v>
      </c>
      <c r="G1164" s="5" t="s">
        <v>112</v>
      </c>
      <c r="H1164" s="9" t="s">
        <v>238</v>
      </c>
      <c r="I1164" s="10"/>
      <c r="J1164" s="10">
        <v>43498</v>
      </c>
      <c r="K1164" s="5" t="s">
        <v>102</v>
      </c>
      <c r="L1164" s="5" t="s">
        <v>102</v>
      </c>
      <c r="M1164" s="11">
        <v>0.081000000000000003</v>
      </c>
      <c r="N1164" s="5" t="e">
        <f>IF(AND(M1164&gt;#REF!,Cartera!O1164="Guaraníes"),"Rendimiento significativo",IF(AND(M1164&gt;#REF!,Cartera!O1164="Dólares americanos"),"Rendimiento significativo","Rendimiento no significativo"))</f>
        <v>#REF!</v>
      </c>
      <c r="O1164" s="5" t="s">
        <v>41</v>
      </c>
      <c r="P1164" s="12">
        <v>2041643.8355999999</v>
      </c>
      <c r="Q1164" s="12">
        <f>IF(O1164="Guaraníes",P1164,P1164*#REF!)</f>
        <v>2041643.8355999999</v>
      </c>
      <c r="R1164" s="12" t="e">
        <f>IF(O1164="Guaraníes",P1164/#REF!,P1164)</f>
        <v>#REF!</v>
      </c>
      <c r="S1164" s="5" t="s">
        <v>52</v>
      </c>
      <c r="T1164" s="5">
        <v>2475</v>
      </c>
      <c r="W1164" s="5" t="s">
        <v>65</v>
      </c>
      <c r="X1164" s="5">
        <v>0</v>
      </c>
      <c r="Y1164" s="5">
        <v>0</v>
      </c>
      <c r="Z1164" s="5">
        <v>40832.876711999997</v>
      </c>
      <c r="AA1164" s="5">
        <v>50</v>
      </c>
      <c r="AB1164" s="5">
        <v>2041643.8356000001</v>
      </c>
      <c r="AC1164" s="5" t="str">
        <f t="shared" si="58"/>
        <v>Bonos</v>
      </c>
      <c r="AD1164" s="5" t="s">
        <v>43</v>
      </c>
      <c r="AE1164" s="5">
        <f t="shared" si="56"/>
        <v>2</v>
      </c>
      <c r="AF1164" s="5">
        <f t="shared" si="57"/>
        <v>2019</v>
      </c>
    </row>
    <row r="1165" s="5" customFormat="1" ht="13">
      <c r="A1165" s="5" t="s">
        <v>44</v>
      </c>
      <c r="B1165" s="5" t="s">
        <v>44</v>
      </c>
      <c r="C1165" s="5" t="s">
        <v>114</v>
      </c>
      <c r="D1165" s="5" t="s">
        <v>21</v>
      </c>
      <c r="E1165" s="5" t="s">
        <v>44</v>
      </c>
      <c r="F1165" s="5" t="s">
        <v>68</v>
      </c>
      <c r="G1165" s="5" t="s">
        <v>112</v>
      </c>
      <c r="H1165" s="9" t="s">
        <v>236</v>
      </c>
      <c r="I1165" s="10"/>
      <c r="J1165" s="10">
        <v>43545</v>
      </c>
      <c r="K1165" s="5" t="s">
        <v>77</v>
      </c>
      <c r="L1165" s="5" t="s">
        <v>50</v>
      </c>
      <c r="M1165" s="11">
        <v>0.14999999999999999</v>
      </c>
      <c r="N1165" s="5" t="e">
        <f>IF(AND(M1165&gt;#REF!,Cartera!O1165="Guaraníes"),"Rendimiento significativo",IF(AND(M1165&gt;#REF!,Cartera!O1165="Dólares americanos"),"Rendimiento significativo","Rendimiento no significativo"))</f>
        <v>#REF!</v>
      </c>
      <c r="O1165" s="5" t="s">
        <v>41</v>
      </c>
      <c r="P1165" s="12">
        <v>3739726.0274</v>
      </c>
      <c r="Q1165" s="12">
        <f>IF(O1165="Guaraníes",P1165,P1165*#REF!)</f>
        <v>3739726.0274</v>
      </c>
      <c r="R1165" s="12" t="e">
        <f>IF(O1165="Guaraníes",P1165/#REF!,P1165)</f>
        <v>#REF!</v>
      </c>
      <c r="S1165" s="5" t="s">
        <v>52</v>
      </c>
      <c r="T1165" s="5">
        <v>2475</v>
      </c>
      <c r="W1165" s="5" t="s">
        <v>65</v>
      </c>
      <c r="X1165" s="5">
        <v>0</v>
      </c>
      <c r="Y1165" s="5">
        <v>0</v>
      </c>
      <c r="Z1165" s="5">
        <v>37397.260274</v>
      </c>
      <c r="AA1165" s="5">
        <v>100</v>
      </c>
      <c r="AB1165" s="5">
        <v>3739726.0274</v>
      </c>
      <c r="AC1165" s="5" t="str">
        <f t="shared" si="58"/>
        <v>Bonos</v>
      </c>
      <c r="AD1165" s="5" t="s">
        <v>43</v>
      </c>
      <c r="AE1165" s="5">
        <f t="shared" si="56"/>
        <v>3</v>
      </c>
      <c r="AF1165" s="5">
        <f t="shared" si="57"/>
        <v>2019</v>
      </c>
    </row>
    <row r="1166" s="5" customFormat="1" ht="13">
      <c r="A1166" s="5" t="s">
        <v>44</v>
      </c>
      <c r="B1166" s="5" t="s">
        <v>44</v>
      </c>
      <c r="C1166" s="5" t="s">
        <v>114</v>
      </c>
      <c r="D1166" s="5" t="s">
        <v>21</v>
      </c>
      <c r="E1166" s="5" t="s">
        <v>44</v>
      </c>
      <c r="F1166" s="5" t="s">
        <v>68</v>
      </c>
      <c r="G1166" s="5" t="s">
        <v>112</v>
      </c>
      <c r="H1166" s="9" t="s">
        <v>236</v>
      </c>
      <c r="I1166" s="10"/>
      <c r="J1166" s="10">
        <v>43636</v>
      </c>
      <c r="K1166" s="5" t="s">
        <v>77</v>
      </c>
      <c r="L1166" s="5" t="s">
        <v>50</v>
      </c>
      <c r="M1166" s="11">
        <v>0.14999999999999999</v>
      </c>
      <c r="N1166" s="5" t="e">
        <f>IF(AND(M1166&gt;#REF!,Cartera!O1166="Guaraníes"),"Rendimiento significativo",IF(AND(M1166&gt;#REF!,Cartera!O1166="Dólares americanos"),"Rendimiento significativo","Rendimiento no significativo"))</f>
        <v>#REF!</v>
      </c>
      <c r="O1166" s="5" t="s">
        <v>41</v>
      </c>
      <c r="P1166" s="12">
        <v>3739726.0274</v>
      </c>
      <c r="Q1166" s="12">
        <f>IF(O1166="Guaraníes",P1166,P1166*#REF!)</f>
        <v>3739726.0274</v>
      </c>
      <c r="R1166" s="12" t="e">
        <f>IF(O1166="Guaraníes",P1166/#REF!,P1166)</f>
        <v>#REF!</v>
      </c>
      <c r="S1166" s="5" t="s">
        <v>52</v>
      </c>
      <c r="T1166" s="5">
        <v>2475</v>
      </c>
      <c r="W1166" s="5" t="s">
        <v>65</v>
      </c>
      <c r="X1166" s="5">
        <v>0</v>
      </c>
      <c r="Y1166" s="5">
        <v>0</v>
      </c>
      <c r="Z1166" s="5">
        <v>37397.260274</v>
      </c>
      <c r="AA1166" s="5">
        <v>100</v>
      </c>
      <c r="AB1166" s="5">
        <v>3739726.0274</v>
      </c>
      <c r="AC1166" s="5" t="str">
        <f t="shared" si="58"/>
        <v>Bonos</v>
      </c>
      <c r="AD1166" s="5" t="s">
        <v>43</v>
      </c>
      <c r="AE1166" s="5">
        <f t="shared" si="56"/>
        <v>6</v>
      </c>
      <c r="AF1166" s="5">
        <f t="shared" si="57"/>
        <v>2019</v>
      </c>
    </row>
    <row r="1167" s="5" customFormat="1" ht="13">
      <c r="A1167" s="5" t="s">
        <v>44</v>
      </c>
      <c r="B1167" s="5" t="s">
        <v>44</v>
      </c>
      <c r="C1167" s="5" t="s">
        <v>99</v>
      </c>
      <c r="D1167" s="5" t="s">
        <v>21</v>
      </c>
      <c r="E1167" s="5" t="s">
        <v>44</v>
      </c>
      <c r="F1167" s="5" t="s">
        <v>100</v>
      </c>
      <c r="G1167" s="5" t="s">
        <v>112</v>
      </c>
      <c r="H1167" s="9" t="s">
        <v>238</v>
      </c>
      <c r="I1167" s="10"/>
      <c r="J1167" s="10">
        <v>43679</v>
      </c>
      <c r="K1167" s="5" t="s">
        <v>102</v>
      </c>
      <c r="L1167" s="5" t="s">
        <v>102</v>
      </c>
      <c r="M1167" s="11">
        <v>0.081000000000000003</v>
      </c>
      <c r="N1167" s="5" t="e">
        <f>IF(AND(M1167&gt;#REF!,Cartera!O1167="Guaraníes"),"Rendimiento significativo",IF(AND(M1167&gt;#REF!,Cartera!O1167="Dólares americanos"),"Rendimiento significativo","Rendimiento no significativo"))</f>
        <v>#REF!</v>
      </c>
      <c r="O1167" s="5" t="s">
        <v>41</v>
      </c>
      <c r="P1167" s="12">
        <v>2008356.1644000001</v>
      </c>
      <c r="Q1167" s="12">
        <f>IF(O1167="Guaraníes",P1167,P1167*#REF!)</f>
        <v>2008356.1644000001</v>
      </c>
      <c r="R1167" s="12" t="e">
        <f>IF(O1167="Guaraníes",P1167/#REF!,P1167)</f>
        <v>#REF!</v>
      </c>
      <c r="S1167" s="5" t="s">
        <v>52</v>
      </c>
      <c r="T1167" s="5">
        <v>2475</v>
      </c>
      <c r="W1167" s="5" t="s">
        <v>65</v>
      </c>
      <c r="X1167" s="5">
        <v>0</v>
      </c>
      <c r="Y1167" s="5">
        <v>0</v>
      </c>
      <c r="Z1167" s="5">
        <v>40167.123288000003</v>
      </c>
      <c r="AA1167" s="5">
        <v>50</v>
      </c>
      <c r="AB1167" s="5">
        <v>2008356.1643999999</v>
      </c>
      <c r="AC1167" s="5" t="str">
        <f t="shared" si="58"/>
        <v>Bonos</v>
      </c>
      <c r="AD1167" s="5" t="s">
        <v>43</v>
      </c>
      <c r="AE1167" s="5">
        <f t="shared" si="56"/>
        <v>8</v>
      </c>
      <c r="AF1167" s="5">
        <f t="shared" si="57"/>
        <v>2019</v>
      </c>
    </row>
    <row r="1168" s="5" customFormat="1" ht="13">
      <c r="A1168" s="5" t="s">
        <v>44</v>
      </c>
      <c r="B1168" s="5" t="s">
        <v>44</v>
      </c>
      <c r="C1168" s="5" t="s">
        <v>114</v>
      </c>
      <c r="D1168" s="5" t="s">
        <v>21</v>
      </c>
      <c r="E1168" s="5" t="s">
        <v>44</v>
      </c>
      <c r="F1168" s="5" t="s">
        <v>68</v>
      </c>
      <c r="G1168" s="5" t="s">
        <v>112</v>
      </c>
      <c r="H1168" s="9" t="s">
        <v>236</v>
      </c>
      <c r="I1168" s="10"/>
      <c r="J1168" s="10">
        <v>43727</v>
      </c>
      <c r="K1168" s="5" t="s">
        <v>77</v>
      </c>
      <c r="L1168" s="5" t="s">
        <v>50</v>
      </c>
      <c r="M1168" s="11">
        <v>0.14999999999999999</v>
      </c>
      <c r="N1168" s="5" t="e">
        <f>IF(AND(M1168&gt;#REF!,Cartera!O1168="Guaraníes"),"Rendimiento significativo",IF(AND(M1168&gt;#REF!,Cartera!O1168="Dólares americanos"),"Rendimiento significativo","Rendimiento no significativo"))</f>
        <v>#REF!</v>
      </c>
      <c r="O1168" s="5" t="s">
        <v>41</v>
      </c>
      <c r="P1168" s="12">
        <v>3739726.0274</v>
      </c>
      <c r="Q1168" s="12">
        <f>IF(O1168="Guaraníes",P1168,P1168*#REF!)</f>
        <v>3739726.0274</v>
      </c>
      <c r="R1168" s="12" t="e">
        <f>IF(O1168="Guaraníes",P1168/#REF!,P1168)</f>
        <v>#REF!</v>
      </c>
      <c r="S1168" s="5" t="s">
        <v>52</v>
      </c>
      <c r="T1168" s="5">
        <v>2475</v>
      </c>
      <c r="W1168" s="5" t="s">
        <v>65</v>
      </c>
      <c r="X1168" s="5">
        <v>0</v>
      </c>
      <c r="Y1168" s="5">
        <v>0</v>
      </c>
      <c r="Z1168" s="5">
        <v>37397.260274</v>
      </c>
      <c r="AA1168" s="5">
        <v>100</v>
      </c>
      <c r="AB1168" s="5">
        <v>3739726.0274</v>
      </c>
      <c r="AC1168" s="5" t="str">
        <f t="shared" si="58"/>
        <v>Bonos</v>
      </c>
      <c r="AD1168" s="5" t="s">
        <v>43</v>
      </c>
      <c r="AE1168" s="5">
        <f t="shared" si="56"/>
        <v>9</v>
      </c>
      <c r="AF1168" s="5">
        <f t="shared" si="57"/>
        <v>2019</v>
      </c>
    </row>
    <row r="1169" s="5" customFormat="1" ht="13">
      <c r="A1169" s="5" t="s">
        <v>44</v>
      </c>
      <c r="B1169" s="5" t="s">
        <v>44</v>
      </c>
      <c r="C1169" s="5" t="s">
        <v>114</v>
      </c>
      <c r="D1169" s="5" t="s">
        <v>21</v>
      </c>
      <c r="E1169" s="5" t="s">
        <v>44</v>
      </c>
      <c r="F1169" s="5" t="s">
        <v>68</v>
      </c>
      <c r="G1169" s="5" t="s">
        <v>112</v>
      </c>
      <c r="H1169" s="9" t="s">
        <v>236</v>
      </c>
      <c r="I1169" s="10"/>
      <c r="J1169" s="10">
        <v>43818</v>
      </c>
      <c r="K1169" s="5" t="s">
        <v>77</v>
      </c>
      <c r="L1169" s="5" t="s">
        <v>50</v>
      </c>
      <c r="M1169" s="11">
        <v>0.14999999999999999</v>
      </c>
      <c r="N1169" s="5" t="e">
        <f>IF(AND(M1169&gt;#REF!,Cartera!O1169="Guaraníes"),"Rendimiento significativo",IF(AND(M1169&gt;#REF!,Cartera!O1169="Dólares americanos"),"Rendimiento significativo","Rendimiento no significativo"))</f>
        <v>#REF!</v>
      </c>
      <c r="O1169" s="5" t="s">
        <v>41</v>
      </c>
      <c r="P1169" s="12">
        <v>3739726.0274</v>
      </c>
      <c r="Q1169" s="12">
        <f>IF(O1169="Guaraníes",P1169,P1169*#REF!)</f>
        <v>3739726.0274</v>
      </c>
      <c r="R1169" s="12" t="e">
        <f>IF(O1169="Guaraníes",P1169/#REF!,P1169)</f>
        <v>#REF!</v>
      </c>
      <c r="S1169" s="5" t="s">
        <v>52</v>
      </c>
      <c r="T1169" s="5">
        <v>2475</v>
      </c>
      <c r="W1169" s="5" t="s">
        <v>65</v>
      </c>
      <c r="X1169" s="5">
        <v>0</v>
      </c>
      <c r="Y1169" s="5">
        <v>0</v>
      </c>
      <c r="Z1169" s="5">
        <v>37397.260274</v>
      </c>
      <c r="AA1169" s="5">
        <v>100</v>
      </c>
      <c r="AB1169" s="5">
        <v>3739726.0274</v>
      </c>
      <c r="AC1169" s="5" t="str">
        <f t="shared" si="58"/>
        <v>Bonos</v>
      </c>
      <c r="AD1169" s="5" t="s">
        <v>43</v>
      </c>
      <c r="AE1169" s="5">
        <f t="shared" si="56"/>
        <v>12</v>
      </c>
      <c r="AF1169" s="5">
        <f t="shared" si="57"/>
        <v>2019</v>
      </c>
    </row>
    <row r="1170" s="5" customFormat="1" ht="13">
      <c r="A1170" s="5" t="s">
        <v>44</v>
      </c>
      <c r="B1170" s="5" t="s">
        <v>44</v>
      </c>
      <c r="C1170" s="5" t="s">
        <v>99</v>
      </c>
      <c r="D1170" s="5" t="s">
        <v>21</v>
      </c>
      <c r="E1170" s="5" t="s">
        <v>44</v>
      </c>
      <c r="F1170" s="5" t="s">
        <v>100</v>
      </c>
      <c r="G1170" s="5" t="s">
        <v>112</v>
      </c>
      <c r="H1170" s="9" t="s">
        <v>238</v>
      </c>
      <c r="I1170" s="10"/>
      <c r="J1170" s="10">
        <v>43863</v>
      </c>
      <c r="K1170" s="5" t="s">
        <v>102</v>
      </c>
      <c r="L1170" s="5" t="s">
        <v>102</v>
      </c>
      <c r="M1170" s="11">
        <v>0.081000000000000003</v>
      </c>
      <c r="N1170" s="5" t="e">
        <f>IF(AND(M1170&gt;#REF!,Cartera!O1170="Guaraníes"),"Rendimiento significativo",IF(AND(M1170&gt;#REF!,Cartera!O1170="Dólares americanos"),"Rendimiento significativo","Rendimiento no significativo"))</f>
        <v>#REF!</v>
      </c>
      <c r="O1170" s="5" t="s">
        <v>41</v>
      </c>
      <c r="P1170" s="12">
        <v>2041643.8355999999</v>
      </c>
      <c r="Q1170" s="12">
        <f>IF(O1170="Guaraníes",P1170,P1170*#REF!)</f>
        <v>2041643.8355999999</v>
      </c>
      <c r="R1170" s="12" t="e">
        <f>IF(O1170="Guaraníes",P1170/#REF!,P1170)</f>
        <v>#REF!</v>
      </c>
      <c r="S1170" s="5" t="s">
        <v>52</v>
      </c>
      <c r="T1170" s="5">
        <v>2475</v>
      </c>
      <c r="W1170" s="5" t="s">
        <v>65</v>
      </c>
      <c r="X1170" s="5">
        <v>0</v>
      </c>
      <c r="Y1170" s="5">
        <v>0</v>
      </c>
      <c r="Z1170" s="5">
        <v>40832.876711999997</v>
      </c>
      <c r="AA1170" s="5">
        <v>50</v>
      </c>
      <c r="AB1170" s="5">
        <v>2041643.8356000001</v>
      </c>
      <c r="AC1170" s="5" t="str">
        <f t="shared" si="58"/>
        <v>Bonos</v>
      </c>
      <c r="AD1170" s="5" t="s">
        <v>43</v>
      </c>
      <c r="AE1170" s="5">
        <f t="shared" ref="AE1170:AE1233" si="59">IFERROR((MONTH(J1170)),0)</f>
        <v>2</v>
      </c>
      <c r="AF1170" s="5">
        <f t="shared" ref="AF1170:AF1233" si="60">IFERROR((YEAR(J1170)),0)</f>
        <v>2020</v>
      </c>
    </row>
    <row r="1171" s="5" customFormat="1" ht="13">
      <c r="A1171" s="5" t="s">
        <v>44</v>
      </c>
      <c r="B1171" s="5" t="s">
        <v>44</v>
      </c>
      <c r="C1171" s="5" t="s">
        <v>114</v>
      </c>
      <c r="D1171" s="5" t="s">
        <v>21</v>
      </c>
      <c r="E1171" s="5" t="s">
        <v>44</v>
      </c>
      <c r="F1171" s="5" t="s">
        <v>68</v>
      </c>
      <c r="G1171" s="5" t="s">
        <v>112</v>
      </c>
      <c r="H1171" s="9" t="s">
        <v>236</v>
      </c>
      <c r="I1171" s="10"/>
      <c r="J1171" s="10">
        <v>43909</v>
      </c>
      <c r="K1171" s="5" t="s">
        <v>77</v>
      </c>
      <c r="L1171" s="5" t="s">
        <v>50</v>
      </c>
      <c r="M1171" s="11">
        <v>0.14999999999999999</v>
      </c>
      <c r="N1171" s="5" t="e">
        <f>IF(AND(M1171&gt;#REF!,Cartera!O1171="Guaraníes"),"Rendimiento significativo",IF(AND(M1171&gt;#REF!,Cartera!O1171="Dólares americanos"),"Rendimiento significativo","Rendimiento no significativo"))</f>
        <v>#REF!</v>
      </c>
      <c r="O1171" s="5" t="s">
        <v>41</v>
      </c>
      <c r="P1171" s="12">
        <v>3739726.0274</v>
      </c>
      <c r="Q1171" s="12">
        <f>IF(O1171="Guaraníes",P1171,P1171*#REF!)</f>
        <v>3739726.0274</v>
      </c>
      <c r="R1171" s="12" t="e">
        <f>IF(O1171="Guaraníes",P1171/#REF!,P1171)</f>
        <v>#REF!</v>
      </c>
      <c r="S1171" s="5" t="s">
        <v>52</v>
      </c>
      <c r="T1171" s="5">
        <v>2475</v>
      </c>
      <c r="W1171" s="5" t="s">
        <v>65</v>
      </c>
      <c r="X1171" s="5">
        <v>0</v>
      </c>
      <c r="Y1171" s="5">
        <v>0</v>
      </c>
      <c r="Z1171" s="5">
        <v>37397.260274</v>
      </c>
      <c r="AA1171" s="5">
        <v>100</v>
      </c>
      <c r="AB1171" s="5">
        <v>3739726.0274</v>
      </c>
      <c r="AC1171" s="5" t="str">
        <f t="shared" si="58"/>
        <v>Bonos</v>
      </c>
      <c r="AD1171" s="5" t="s">
        <v>43</v>
      </c>
      <c r="AE1171" s="5">
        <f t="shared" si="59"/>
        <v>3</v>
      </c>
      <c r="AF1171" s="5">
        <f t="shared" si="60"/>
        <v>2020</v>
      </c>
    </row>
    <row r="1172" s="5" customFormat="1" ht="13">
      <c r="A1172" s="5" t="s">
        <v>44</v>
      </c>
      <c r="B1172" s="5" t="s">
        <v>44</v>
      </c>
      <c r="C1172" s="5" t="s">
        <v>114</v>
      </c>
      <c r="D1172" s="5" t="s">
        <v>21</v>
      </c>
      <c r="E1172" s="5" t="s">
        <v>44</v>
      </c>
      <c r="F1172" s="5" t="s">
        <v>68</v>
      </c>
      <c r="G1172" s="5" t="s">
        <v>112</v>
      </c>
      <c r="H1172" s="9" t="s">
        <v>236</v>
      </c>
      <c r="I1172" s="10"/>
      <c r="J1172" s="10">
        <v>44000</v>
      </c>
      <c r="K1172" s="5" t="s">
        <v>77</v>
      </c>
      <c r="L1172" s="5" t="s">
        <v>50</v>
      </c>
      <c r="M1172" s="11">
        <v>0.14999999999999999</v>
      </c>
      <c r="N1172" s="5" t="e">
        <f>IF(AND(M1172&gt;#REF!,Cartera!O1172="Guaraníes"),"Rendimiento significativo",IF(AND(M1172&gt;#REF!,Cartera!O1172="Dólares americanos"),"Rendimiento significativo","Rendimiento no significativo"))</f>
        <v>#REF!</v>
      </c>
      <c r="O1172" s="5" t="s">
        <v>41</v>
      </c>
      <c r="P1172" s="12">
        <v>3739726.0274</v>
      </c>
      <c r="Q1172" s="12">
        <f>IF(O1172="Guaraníes",P1172,P1172*#REF!)</f>
        <v>3739726.0274</v>
      </c>
      <c r="R1172" s="12" t="e">
        <f>IF(O1172="Guaraníes",P1172/#REF!,P1172)</f>
        <v>#REF!</v>
      </c>
      <c r="S1172" s="5" t="s">
        <v>52</v>
      </c>
      <c r="T1172" s="5">
        <v>2475</v>
      </c>
      <c r="W1172" s="5" t="s">
        <v>65</v>
      </c>
      <c r="X1172" s="5">
        <v>0</v>
      </c>
      <c r="Y1172" s="5">
        <v>0</v>
      </c>
      <c r="Z1172" s="5">
        <v>37397.260274</v>
      </c>
      <c r="AA1172" s="5">
        <v>100</v>
      </c>
      <c r="AB1172" s="5">
        <v>3739726.0274</v>
      </c>
      <c r="AC1172" s="5" t="str">
        <f t="shared" si="58"/>
        <v>Bonos</v>
      </c>
      <c r="AD1172" s="5" t="s">
        <v>43</v>
      </c>
      <c r="AE1172" s="5">
        <f t="shared" si="59"/>
        <v>6</v>
      </c>
      <c r="AF1172" s="5">
        <f t="shared" si="60"/>
        <v>2020</v>
      </c>
    </row>
    <row r="1173" s="5" customFormat="1" ht="13">
      <c r="A1173" s="5" t="s">
        <v>44</v>
      </c>
      <c r="B1173" s="5" t="s">
        <v>44</v>
      </c>
      <c r="C1173" s="5" t="s">
        <v>99</v>
      </c>
      <c r="D1173" s="5" t="s">
        <v>21</v>
      </c>
      <c r="E1173" s="5" t="s">
        <v>44</v>
      </c>
      <c r="F1173" s="5" t="s">
        <v>100</v>
      </c>
      <c r="G1173" s="5" t="s">
        <v>112</v>
      </c>
      <c r="H1173" s="9" t="s">
        <v>238</v>
      </c>
      <c r="I1173" s="10"/>
      <c r="J1173" s="10">
        <v>44045</v>
      </c>
      <c r="K1173" s="5" t="s">
        <v>102</v>
      </c>
      <c r="L1173" s="5" t="s">
        <v>102</v>
      </c>
      <c r="M1173" s="11">
        <v>0.081000000000000003</v>
      </c>
      <c r="N1173" s="5" t="e">
        <f>IF(AND(M1173&gt;#REF!,Cartera!O1173="Guaraníes"),"Rendimiento significativo",IF(AND(M1173&gt;#REF!,Cartera!O1173="Dólares americanos"),"Rendimiento significativo","Rendimiento no significativo"))</f>
        <v>#REF!</v>
      </c>
      <c r="O1173" s="5" t="s">
        <v>41</v>
      </c>
      <c r="P1173" s="12">
        <v>2019452.0548</v>
      </c>
      <c r="Q1173" s="12">
        <f>IF(O1173="Guaraníes",P1173,P1173*#REF!)</f>
        <v>2019452.0548</v>
      </c>
      <c r="R1173" s="12" t="e">
        <f>IF(O1173="Guaraníes",P1173/#REF!,P1173)</f>
        <v>#REF!</v>
      </c>
      <c r="S1173" s="5" t="s">
        <v>52</v>
      </c>
      <c r="T1173" s="5">
        <v>2475</v>
      </c>
      <c r="W1173" s="5" t="s">
        <v>65</v>
      </c>
      <c r="X1173" s="5">
        <v>0</v>
      </c>
      <c r="Y1173" s="5">
        <v>0</v>
      </c>
      <c r="Z1173" s="5">
        <v>40389.041096000001</v>
      </c>
      <c r="AA1173" s="5">
        <v>50</v>
      </c>
      <c r="AB1173" s="5">
        <v>2019452.0548</v>
      </c>
      <c r="AC1173" s="5" t="str">
        <f t="shared" si="58"/>
        <v>Bonos</v>
      </c>
      <c r="AD1173" s="5" t="s">
        <v>43</v>
      </c>
      <c r="AE1173" s="5">
        <f t="shared" si="59"/>
        <v>8</v>
      </c>
      <c r="AF1173" s="5">
        <f t="shared" si="60"/>
        <v>2020</v>
      </c>
    </row>
    <row r="1174" s="5" customFormat="1" ht="13">
      <c r="A1174" s="5" t="s">
        <v>44</v>
      </c>
      <c r="B1174" s="5" t="s">
        <v>44</v>
      </c>
      <c r="C1174" s="5" t="s">
        <v>114</v>
      </c>
      <c r="D1174" s="5" t="s">
        <v>21</v>
      </c>
      <c r="E1174" s="5" t="s">
        <v>44</v>
      </c>
      <c r="F1174" s="5" t="s">
        <v>68</v>
      </c>
      <c r="G1174" s="5" t="s">
        <v>112</v>
      </c>
      <c r="H1174" s="9" t="s">
        <v>236</v>
      </c>
      <c r="I1174" s="10"/>
      <c r="J1174" s="10">
        <v>44091</v>
      </c>
      <c r="K1174" s="5" t="s">
        <v>77</v>
      </c>
      <c r="L1174" s="5" t="s">
        <v>50</v>
      </c>
      <c r="M1174" s="11">
        <v>0.14999999999999999</v>
      </c>
      <c r="N1174" s="5" t="e">
        <f>IF(AND(M1174&gt;#REF!,Cartera!O1174="Guaraníes"),"Rendimiento significativo",IF(AND(M1174&gt;#REF!,Cartera!O1174="Dólares americanos"),"Rendimiento significativo","Rendimiento no significativo"))</f>
        <v>#REF!</v>
      </c>
      <c r="O1174" s="5" t="s">
        <v>41</v>
      </c>
      <c r="P1174" s="12">
        <v>3739726.0274</v>
      </c>
      <c r="Q1174" s="12">
        <f>IF(O1174="Guaraníes",P1174,P1174*#REF!)</f>
        <v>3739726.0274</v>
      </c>
      <c r="R1174" s="12" t="e">
        <f>IF(O1174="Guaraníes",P1174/#REF!,P1174)</f>
        <v>#REF!</v>
      </c>
      <c r="S1174" s="5" t="s">
        <v>52</v>
      </c>
      <c r="T1174" s="5">
        <v>2475</v>
      </c>
      <c r="W1174" s="5" t="s">
        <v>65</v>
      </c>
      <c r="X1174" s="5">
        <v>0</v>
      </c>
      <c r="Y1174" s="5">
        <v>0</v>
      </c>
      <c r="Z1174" s="5">
        <v>37397.260274</v>
      </c>
      <c r="AA1174" s="5">
        <v>100</v>
      </c>
      <c r="AB1174" s="5">
        <v>3739726.0274</v>
      </c>
      <c r="AC1174" s="5" t="str">
        <f t="shared" si="58"/>
        <v>Bonos</v>
      </c>
      <c r="AD1174" s="5" t="s">
        <v>43</v>
      </c>
      <c r="AE1174" s="5">
        <f t="shared" si="59"/>
        <v>9</v>
      </c>
      <c r="AF1174" s="5">
        <f t="shared" si="60"/>
        <v>2020</v>
      </c>
    </row>
    <row r="1175" s="5" customFormat="1" ht="13">
      <c r="A1175" s="5" t="s">
        <v>44</v>
      </c>
      <c r="B1175" s="5" t="s">
        <v>44</v>
      </c>
      <c r="C1175" s="5" t="s">
        <v>89</v>
      </c>
      <c r="D1175" s="5" t="s">
        <v>21</v>
      </c>
      <c r="E1175" s="5" t="s">
        <v>44</v>
      </c>
      <c r="F1175" s="5" t="s">
        <v>68</v>
      </c>
      <c r="G1175" s="5" t="s">
        <v>112</v>
      </c>
      <c r="H1175" s="9" t="s">
        <v>113</v>
      </c>
      <c r="I1175" s="10"/>
      <c r="J1175" s="10">
        <v>44132</v>
      </c>
      <c r="K1175" s="5" t="s">
        <v>64</v>
      </c>
      <c r="L1175" s="5" t="s">
        <v>58</v>
      </c>
      <c r="M1175" s="11">
        <v>0.085000000000000006</v>
      </c>
      <c r="N1175" s="5" t="e">
        <f>IF(AND(M1175&gt;#REF!,Cartera!O1175="Guaraníes"),"Rendimiento significativo",IF(AND(M1175&gt;#REF!,Cartera!O1175="Dólares americanos"),"Rendimiento significativo","Rendimiento no significativo"))</f>
        <v>#REF!</v>
      </c>
      <c r="O1175" s="5" t="s">
        <v>51</v>
      </c>
      <c r="P1175" s="13">
        <v>419.17808000000002</v>
      </c>
      <c r="Q1175" s="12" t="e">
        <f>IF(O1175="Guaraníes",P1175,P1175*#REF!)</f>
        <v>#REF!</v>
      </c>
      <c r="R1175" s="12">
        <f>IF(O1175="Guaraníes",P1175/#REF!,P1175)</f>
        <v>419.17808000000002</v>
      </c>
      <c r="S1175" s="5" t="s">
        <v>52</v>
      </c>
      <c r="T1175" s="5">
        <v>2475</v>
      </c>
      <c r="W1175" s="5" t="s">
        <v>65</v>
      </c>
      <c r="X1175" s="5">
        <v>0</v>
      </c>
      <c r="Y1175" s="5">
        <v>0</v>
      </c>
      <c r="Z1175" s="5">
        <v>20.958904</v>
      </c>
      <c r="AA1175" s="5">
        <v>20</v>
      </c>
      <c r="AB1175" s="5">
        <v>419.17808000000002</v>
      </c>
      <c r="AC1175" s="5" t="str">
        <f t="shared" si="58"/>
        <v>Bonos</v>
      </c>
      <c r="AD1175" s="5" t="s">
        <v>43</v>
      </c>
      <c r="AE1175" s="5">
        <f t="shared" si="59"/>
        <v>10</v>
      </c>
      <c r="AF1175" s="5">
        <f t="shared" si="60"/>
        <v>2020</v>
      </c>
    </row>
    <row r="1176" s="5" customFormat="1" ht="13">
      <c r="A1176" s="5" t="s">
        <v>44</v>
      </c>
      <c r="B1176" s="5" t="s">
        <v>44</v>
      </c>
      <c r="C1176" s="5" t="s">
        <v>114</v>
      </c>
      <c r="D1176" s="5" t="s">
        <v>21</v>
      </c>
      <c r="E1176" s="5" t="s">
        <v>44</v>
      </c>
      <c r="F1176" s="5" t="s">
        <v>68</v>
      </c>
      <c r="G1176" s="5" t="s">
        <v>112</v>
      </c>
      <c r="H1176" s="9" t="s">
        <v>236</v>
      </c>
      <c r="I1176" s="10"/>
      <c r="J1176" s="10">
        <v>44182</v>
      </c>
      <c r="K1176" s="5" t="s">
        <v>77</v>
      </c>
      <c r="L1176" s="5" t="s">
        <v>50</v>
      </c>
      <c r="M1176" s="11">
        <v>0.14999999999999999</v>
      </c>
      <c r="N1176" s="5" t="e">
        <f>IF(AND(M1176&gt;#REF!,Cartera!O1176="Guaraníes"),"Rendimiento significativo",IF(AND(M1176&gt;#REF!,Cartera!O1176="Dólares americanos"),"Rendimiento significativo","Rendimiento no significativo"))</f>
        <v>#REF!</v>
      </c>
      <c r="O1176" s="5" t="s">
        <v>41</v>
      </c>
      <c r="P1176" s="12">
        <v>3739726.0274</v>
      </c>
      <c r="Q1176" s="12">
        <f>IF(O1176="Guaraníes",P1176,P1176*#REF!)</f>
        <v>3739726.0274</v>
      </c>
      <c r="R1176" s="12" t="e">
        <f>IF(O1176="Guaraníes",P1176/#REF!,P1176)</f>
        <v>#REF!</v>
      </c>
      <c r="S1176" s="5" t="s">
        <v>52</v>
      </c>
      <c r="T1176" s="5">
        <v>2475</v>
      </c>
      <c r="W1176" s="5" t="s">
        <v>65</v>
      </c>
      <c r="X1176" s="5">
        <v>0</v>
      </c>
      <c r="Y1176" s="5">
        <v>0</v>
      </c>
      <c r="Z1176" s="5">
        <v>37397.260274</v>
      </c>
      <c r="AA1176" s="5">
        <v>100</v>
      </c>
      <c r="AB1176" s="5">
        <v>3739726.0274</v>
      </c>
      <c r="AC1176" s="5" t="str">
        <f t="shared" si="58"/>
        <v>Bonos</v>
      </c>
      <c r="AD1176" s="5" t="s">
        <v>43</v>
      </c>
      <c r="AE1176" s="5">
        <f t="shared" si="59"/>
        <v>12</v>
      </c>
      <c r="AF1176" s="5">
        <f t="shared" si="60"/>
        <v>2020</v>
      </c>
    </row>
    <row r="1177" s="5" customFormat="1" ht="13">
      <c r="A1177" s="5" t="s">
        <v>44</v>
      </c>
      <c r="B1177" s="5" t="s">
        <v>44</v>
      </c>
      <c r="C1177" s="5" t="s">
        <v>89</v>
      </c>
      <c r="D1177" s="5" t="s">
        <v>21</v>
      </c>
      <c r="E1177" s="5" t="s">
        <v>44</v>
      </c>
      <c r="F1177" s="5" t="s">
        <v>68</v>
      </c>
      <c r="G1177" s="5" t="s">
        <v>112</v>
      </c>
      <c r="H1177" s="9" t="s">
        <v>113</v>
      </c>
      <c r="I1177" s="10"/>
      <c r="J1177" s="10">
        <v>44223</v>
      </c>
      <c r="K1177" s="5" t="s">
        <v>64</v>
      </c>
      <c r="L1177" s="5" t="s">
        <v>58</v>
      </c>
      <c r="M1177" s="11">
        <v>0.085000000000000006</v>
      </c>
      <c r="N1177" s="5" t="e">
        <f>IF(AND(M1177&gt;#REF!,Cartera!O1177="Guaraníes"),"Rendimiento significativo",IF(AND(M1177&gt;#REF!,Cartera!O1177="Dólares americanos"),"Rendimiento significativo","Rendimiento no significativo"))</f>
        <v>#REF!</v>
      </c>
      <c r="O1177" s="5" t="s">
        <v>51</v>
      </c>
      <c r="P1177" s="13">
        <v>423.83561999999995</v>
      </c>
      <c r="Q1177" s="12" t="e">
        <f>IF(O1177="Guaraníes",P1177,P1177*#REF!)</f>
        <v>#REF!</v>
      </c>
      <c r="R1177" s="12">
        <f>IF(O1177="Guaraníes",P1177/#REF!,P1177)</f>
        <v>423.83561999999995</v>
      </c>
      <c r="S1177" s="5" t="s">
        <v>52</v>
      </c>
      <c r="T1177" s="5">
        <v>2475</v>
      </c>
      <c r="W1177" s="5" t="s">
        <v>65</v>
      </c>
      <c r="X1177" s="5">
        <v>0</v>
      </c>
      <c r="Y1177" s="5">
        <v>0</v>
      </c>
      <c r="Z1177" s="5">
        <v>21.191780999999999</v>
      </c>
      <c r="AA1177" s="5">
        <v>20</v>
      </c>
      <c r="AB1177" s="5">
        <v>423.83562000000001</v>
      </c>
      <c r="AC1177" s="5" t="str">
        <f t="shared" si="58"/>
        <v>Bonos</v>
      </c>
      <c r="AD1177" s="5" t="s">
        <v>43</v>
      </c>
      <c r="AE1177" s="5">
        <f t="shared" si="59"/>
        <v>1</v>
      </c>
      <c r="AF1177" s="5">
        <f t="shared" si="60"/>
        <v>2021</v>
      </c>
    </row>
    <row r="1178" s="5" customFormat="1" ht="13">
      <c r="A1178" s="5" t="s">
        <v>44</v>
      </c>
      <c r="B1178" s="5" t="s">
        <v>44</v>
      </c>
      <c r="C1178" s="5" t="s">
        <v>99</v>
      </c>
      <c r="D1178" s="5" t="s">
        <v>21</v>
      </c>
      <c r="E1178" s="5" t="s">
        <v>44</v>
      </c>
      <c r="F1178" s="5" t="s">
        <v>100</v>
      </c>
      <c r="G1178" s="5" t="s">
        <v>112</v>
      </c>
      <c r="H1178" s="9" t="s">
        <v>238</v>
      </c>
      <c r="I1178" s="10"/>
      <c r="J1178" s="10">
        <v>44229</v>
      </c>
      <c r="K1178" s="5" t="s">
        <v>102</v>
      </c>
      <c r="L1178" s="5" t="s">
        <v>102</v>
      </c>
      <c r="M1178" s="11">
        <v>0.081000000000000003</v>
      </c>
      <c r="N1178" s="5" t="e">
        <f>IF(AND(M1178&gt;#REF!,Cartera!O1178="Guaraníes"),"Rendimiento significativo",IF(AND(M1178&gt;#REF!,Cartera!O1178="Dólares americanos"),"Rendimiento significativo","Rendimiento no significativo"))</f>
        <v>#REF!</v>
      </c>
      <c r="O1178" s="5" t="s">
        <v>41</v>
      </c>
      <c r="P1178" s="12">
        <v>2041643.8355999999</v>
      </c>
      <c r="Q1178" s="12">
        <f>IF(O1178="Guaraníes",P1178,P1178*#REF!)</f>
        <v>2041643.8355999999</v>
      </c>
      <c r="R1178" s="12" t="e">
        <f>IF(O1178="Guaraníes",P1178/#REF!,P1178)</f>
        <v>#REF!</v>
      </c>
      <c r="S1178" s="5" t="s">
        <v>52</v>
      </c>
      <c r="T1178" s="5">
        <v>2475</v>
      </c>
      <c r="W1178" s="5" t="s">
        <v>65</v>
      </c>
      <c r="X1178" s="5">
        <v>0</v>
      </c>
      <c r="Y1178" s="5">
        <v>0</v>
      </c>
      <c r="Z1178" s="5">
        <v>40832.876711999997</v>
      </c>
      <c r="AA1178" s="5">
        <v>50</v>
      </c>
      <c r="AB1178" s="5">
        <v>2041643.8356000001</v>
      </c>
      <c r="AC1178" s="5" t="str">
        <f t="shared" si="58"/>
        <v>Bonos</v>
      </c>
      <c r="AD1178" s="5" t="s">
        <v>43</v>
      </c>
      <c r="AE1178" s="5">
        <f t="shared" si="59"/>
        <v>2</v>
      </c>
      <c r="AF1178" s="5">
        <f t="shared" si="60"/>
        <v>2021</v>
      </c>
    </row>
    <row r="1179" s="5" customFormat="1" ht="13">
      <c r="A1179" s="5" t="s">
        <v>44</v>
      </c>
      <c r="B1179" s="5" t="s">
        <v>44</v>
      </c>
      <c r="C1179" s="5" t="s">
        <v>114</v>
      </c>
      <c r="D1179" s="5" t="s">
        <v>21</v>
      </c>
      <c r="E1179" s="5" t="s">
        <v>44</v>
      </c>
      <c r="F1179" s="5" t="s">
        <v>68</v>
      </c>
      <c r="G1179" s="5" t="s">
        <v>112</v>
      </c>
      <c r="H1179" s="9" t="s">
        <v>236</v>
      </c>
      <c r="I1179" s="10"/>
      <c r="J1179" s="10">
        <v>44273</v>
      </c>
      <c r="K1179" s="5" t="s">
        <v>77</v>
      </c>
      <c r="L1179" s="5" t="s">
        <v>50</v>
      </c>
      <c r="M1179" s="11">
        <v>0.14999999999999999</v>
      </c>
      <c r="N1179" s="5" t="e">
        <f>IF(AND(M1179&gt;#REF!,Cartera!O1179="Guaraníes"),"Rendimiento significativo",IF(AND(M1179&gt;#REF!,Cartera!O1179="Dólares americanos"),"Rendimiento significativo","Rendimiento no significativo"))</f>
        <v>#REF!</v>
      </c>
      <c r="O1179" s="5" t="s">
        <v>41</v>
      </c>
      <c r="P1179" s="12">
        <v>3739726.0274</v>
      </c>
      <c r="Q1179" s="12">
        <f>IF(O1179="Guaraníes",P1179,P1179*#REF!)</f>
        <v>3739726.0274</v>
      </c>
      <c r="R1179" s="12" t="e">
        <f>IF(O1179="Guaraníes",P1179/#REF!,P1179)</f>
        <v>#REF!</v>
      </c>
      <c r="S1179" s="5" t="s">
        <v>52</v>
      </c>
      <c r="T1179" s="5">
        <v>2475</v>
      </c>
      <c r="W1179" s="5" t="s">
        <v>65</v>
      </c>
      <c r="X1179" s="5">
        <v>0</v>
      </c>
      <c r="Y1179" s="5">
        <v>0</v>
      </c>
      <c r="Z1179" s="5">
        <v>37397.260274</v>
      </c>
      <c r="AA1179" s="5">
        <v>100</v>
      </c>
      <c r="AB1179" s="5">
        <v>3739726.0274</v>
      </c>
      <c r="AC1179" s="5" t="str">
        <f t="shared" si="58"/>
        <v>Bonos</v>
      </c>
      <c r="AD1179" s="5" t="s">
        <v>43</v>
      </c>
      <c r="AE1179" s="5">
        <f t="shared" si="59"/>
        <v>3</v>
      </c>
      <c r="AF1179" s="5">
        <f t="shared" si="60"/>
        <v>2021</v>
      </c>
    </row>
    <row r="1180" s="5" customFormat="1" ht="13">
      <c r="A1180" s="5" t="s">
        <v>44</v>
      </c>
      <c r="B1180" s="5" t="s">
        <v>44</v>
      </c>
      <c r="C1180" s="5" t="s">
        <v>89</v>
      </c>
      <c r="D1180" s="5" t="s">
        <v>21</v>
      </c>
      <c r="E1180" s="5" t="s">
        <v>44</v>
      </c>
      <c r="F1180" s="5" t="s">
        <v>68</v>
      </c>
      <c r="G1180" s="5" t="s">
        <v>112</v>
      </c>
      <c r="H1180" s="9" t="s">
        <v>113</v>
      </c>
      <c r="I1180" s="10"/>
      <c r="J1180" s="10">
        <v>44314</v>
      </c>
      <c r="K1180" s="5" t="s">
        <v>64</v>
      </c>
      <c r="L1180" s="5" t="s">
        <v>58</v>
      </c>
      <c r="M1180" s="11">
        <v>0.085000000000000006</v>
      </c>
      <c r="N1180" s="5" t="e">
        <f>IF(AND(M1180&gt;#REF!,Cartera!O1180="Guaraníes"),"Rendimiento significativo",IF(AND(M1180&gt;#REF!,Cartera!O1180="Dólares americanos"),"Rendimiento significativo","Rendimiento no significativo"))</f>
        <v>#REF!</v>
      </c>
      <c r="O1180" s="5" t="s">
        <v>51</v>
      </c>
      <c r="P1180" s="13">
        <v>423.83561999999995</v>
      </c>
      <c r="Q1180" s="12" t="e">
        <f>IF(O1180="Guaraníes",P1180,P1180*#REF!)</f>
        <v>#REF!</v>
      </c>
      <c r="R1180" s="12">
        <f>IF(O1180="Guaraníes",P1180/#REF!,P1180)</f>
        <v>423.83561999999995</v>
      </c>
      <c r="S1180" s="5" t="s">
        <v>52</v>
      </c>
      <c r="T1180" s="5">
        <v>2475</v>
      </c>
      <c r="W1180" s="5" t="s">
        <v>65</v>
      </c>
      <c r="X1180" s="5">
        <v>0</v>
      </c>
      <c r="Y1180" s="5">
        <v>0</v>
      </c>
      <c r="Z1180" s="5">
        <v>21.191780999999999</v>
      </c>
      <c r="AA1180" s="5">
        <v>20</v>
      </c>
      <c r="AB1180" s="5">
        <v>423.83562000000001</v>
      </c>
      <c r="AC1180" s="5" t="str">
        <f t="shared" si="58"/>
        <v>Bonos</v>
      </c>
      <c r="AD1180" s="5" t="s">
        <v>43</v>
      </c>
      <c r="AE1180" s="5">
        <f t="shared" si="59"/>
        <v>4</v>
      </c>
      <c r="AF1180" s="5">
        <f t="shared" si="60"/>
        <v>2021</v>
      </c>
    </row>
    <row r="1181" s="5" customFormat="1" ht="13">
      <c r="A1181" s="5" t="s">
        <v>44</v>
      </c>
      <c r="B1181" s="5" t="s">
        <v>44</v>
      </c>
      <c r="C1181" s="5" t="s">
        <v>114</v>
      </c>
      <c r="D1181" s="5" t="s">
        <v>21</v>
      </c>
      <c r="E1181" s="5" t="s">
        <v>44</v>
      </c>
      <c r="F1181" s="5" t="s">
        <v>68</v>
      </c>
      <c r="G1181" s="5" t="s">
        <v>112</v>
      </c>
      <c r="H1181" s="9" t="s">
        <v>236</v>
      </c>
      <c r="I1181" s="10"/>
      <c r="J1181" s="10">
        <v>44364</v>
      </c>
      <c r="K1181" s="5" t="s">
        <v>77</v>
      </c>
      <c r="L1181" s="5" t="s">
        <v>50</v>
      </c>
      <c r="M1181" s="11">
        <v>0.14999999999999999</v>
      </c>
      <c r="N1181" s="5" t="e">
        <f>IF(AND(M1181&gt;#REF!,Cartera!O1181="Guaraníes"),"Rendimiento significativo",IF(AND(M1181&gt;#REF!,Cartera!O1181="Dólares americanos"),"Rendimiento significativo","Rendimiento no significativo"))</f>
        <v>#REF!</v>
      </c>
      <c r="O1181" s="5" t="s">
        <v>41</v>
      </c>
      <c r="P1181" s="12">
        <v>3739726.0274</v>
      </c>
      <c r="Q1181" s="12">
        <f>IF(O1181="Guaraníes",P1181,P1181*#REF!)</f>
        <v>3739726.0274</v>
      </c>
      <c r="R1181" s="12" t="e">
        <f>IF(O1181="Guaraníes",P1181/#REF!,P1181)</f>
        <v>#REF!</v>
      </c>
      <c r="S1181" s="5" t="s">
        <v>52</v>
      </c>
      <c r="T1181" s="5">
        <v>2475</v>
      </c>
      <c r="W1181" s="5" t="s">
        <v>65</v>
      </c>
      <c r="X1181" s="5">
        <v>0</v>
      </c>
      <c r="Y1181" s="5">
        <v>0</v>
      </c>
      <c r="Z1181" s="5">
        <v>37397.260274</v>
      </c>
      <c r="AA1181" s="5">
        <v>100</v>
      </c>
      <c r="AB1181" s="5">
        <v>3739726.0274</v>
      </c>
      <c r="AC1181" s="5" t="str">
        <f t="shared" si="58"/>
        <v>Bonos</v>
      </c>
      <c r="AD1181" s="5" t="s">
        <v>43</v>
      </c>
      <c r="AE1181" s="5">
        <f t="shared" si="59"/>
        <v>6</v>
      </c>
      <c r="AF1181" s="5">
        <f t="shared" si="60"/>
        <v>2021</v>
      </c>
    </row>
    <row r="1182" s="5" customFormat="1" ht="13">
      <c r="A1182" s="5" t="s">
        <v>44</v>
      </c>
      <c r="B1182" s="5" t="s">
        <v>44</v>
      </c>
      <c r="C1182" s="5" t="s">
        <v>89</v>
      </c>
      <c r="D1182" s="5" t="s">
        <v>21</v>
      </c>
      <c r="E1182" s="5" t="s">
        <v>44</v>
      </c>
      <c r="F1182" s="5" t="s">
        <v>68</v>
      </c>
      <c r="G1182" s="5" t="s">
        <v>112</v>
      </c>
      <c r="H1182" s="9" t="s">
        <v>113</v>
      </c>
      <c r="I1182" s="10"/>
      <c r="J1182" s="10">
        <v>44405</v>
      </c>
      <c r="K1182" s="5" t="s">
        <v>64</v>
      </c>
      <c r="L1182" s="5" t="s">
        <v>58</v>
      </c>
      <c r="M1182" s="11">
        <v>0.085000000000000006</v>
      </c>
      <c r="N1182" s="5" t="e">
        <f>IF(AND(M1182&gt;#REF!,Cartera!O1182="Guaraníes"),"Rendimiento significativo",IF(AND(M1182&gt;#REF!,Cartera!O1182="Dólares americanos"),"Rendimiento significativo","Rendimiento no significativo"))</f>
        <v>#REF!</v>
      </c>
      <c r="O1182" s="5" t="s">
        <v>51</v>
      </c>
      <c r="P1182" s="13">
        <v>423.83561999999995</v>
      </c>
      <c r="Q1182" s="12" t="e">
        <f>IF(O1182="Guaraníes",P1182,P1182*#REF!)</f>
        <v>#REF!</v>
      </c>
      <c r="R1182" s="12">
        <f>IF(O1182="Guaraníes",P1182/#REF!,P1182)</f>
        <v>423.83561999999995</v>
      </c>
      <c r="S1182" s="5" t="s">
        <v>52</v>
      </c>
      <c r="T1182" s="5">
        <v>2475</v>
      </c>
      <c r="W1182" s="5" t="s">
        <v>65</v>
      </c>
      <c r="X1182" s="5">
        <v>0</v>
      </c>
      <c r="Y1182" s="5">
        <v>0</v>
      </c>
      <c r="Z1182" s="5">
        <v>21.191780999999999</v>
      </c>
      <c r="AA1182" s="5">
        <v>20</v>
      </c>
      <c r="AB1182" s="5">
        <v>423.83562000000001</v>
      </c>
      <c r="AC1182" s="5" t="str">
        <f t="shared" si="58"/>
        <v>Bonos</v>
      </c>
      <c r="AD1182" s="5" t="s">
        <v>43</v>
      </c>
      <c r="AE1182" s="5">
        <f t="shared" si="59"/>
        <v>7</v>
      </c>
      <c r="AF1182" s="5">
        <f t="shared" si="60"/>
        <v>2021</v>
      </c>
    </row>
    <row r="1183" s="5" customFormat="1" ht="13">
      <c r="A1183" s="5" t="s">
        <v>44</v>
      </c>
      <c r="B1183" s="5" t="s">
        <v>44</v>
      </c>
      <c r="C1183" s="5" t="s">
        <v>99</v>
      </c>
      <c r="D1183" s="5" t="s">
        <v>21</v>
      </c>
      <c r="E1183" s="5" t="s">
        <v>44</v>
      </c>
      <c r="F1183" s="5" t="s">
        <v>100</v>
      </c>
      <c r="G1183" s="5" t="s">
        <v>112</v>
      </c>
      <c r="H1183" s="9" t="s">
        <v>238</v>
      </c>
      <c r="I1183" s="10"/>
      <c r="J1183" s="10">
        <v>44410</v>
      </c>
      <c r="K1183" s="5" t="s">
        <v>102</v>
      </c>
      <c r="L1183" s="5" t="s">
        <v>102</v>
      </c>
      <c r="M1183" s="11">
        <v>0.081000000000000003</v>
      </c>
      <c r="N1183" s="5" t="e">
        <f>IF(AND(M1183&gt;#REF!,Cartera!O1183="Guaraníes"),"Rendimiento significativo",IF(AND(M1183&gt;#REF!,Cartera!O1183="Dólares americanos"),"Rendimiento significativo","Rendimiento no significativo"))</f>
        <v>#REF!</v>
      </c>
      <c r="O1183" s="5" t="s">
        <v>41</v>
      </c>
      <c r="P1183" s="12">
        <v>2008356.1644000001</v>
      </c>
      <c r="Q1183" s="12">
        <f>IF(O1183="Guaraníes",P1183,P1183*#REF!)</f>
        <v>2008356.1644000001</v>
      </c>
      <c r="R1183" s="12" t="e">
        <f>IF(O1183="Guaraníes",P1183/#REF!,P1183)</f>
        <v>#REF!</v>
      </c>
      <c r="S1183" s="5" t="s">
        <v>52</v>
      </c>
      <c r="T1183" s="5">
        <v>2475</v>
      </c>
      <c r="W1183" s="5" t="s">
        <v>65</v>
      </c>
      <c r="X1183" s="5">
        <v>0</v>
      </c>
      <c r="Y1183" s="5">
        <v>0</v>
      </c>
      <c r="Z1183" s="5">
        <v>40167.123288000003</v>
      </c>
      <c r="AA1183" s="5">
        <v>50</v>
      </c>
      <c r="AB1183" s="5">
        <v>2008356.1643999999</v>
      </c>
      <c r="AC1183" s="5" t="str">
        <f t="shared" si="58"/>
        <v>Bonos</v>
      </c>
      <c r="AD1183" s="5" t="s">
        <v>43</v>
      </c>
      <c r="AE1183" s="5">
        <f t="shared" si="59"/>
        <v>8</v>
      </c>
      <c r="AF1183" s="5">
        <f t="shared" si="60"/>
        <v>2021</v>
      </c>
    </row>
    <row r="1184" s="5" customFormat="1" ht="13">
      <c r="A1184" s="5" t="s">
        <v>44</v>
      </c>
      <c r="B1184" s="5" t="s">
        <v>44</v>
      </c>
      <c r="C1184" s="5" t="s">
        <v>114</v>
      </c>
      <c r="D1184" s="5" t="s">
        <v>21</v>
      </c>
      <c r="E1184" s="5" t="s">
        <v>44</v>
      </c>
      <c r="F1184" s="5" t="s">
        <v>68</v>
      </c>
      <c r="G1184" s="5" t="s">
        <v>112</v>
      </c>
      <c r="H1184" s="9" t="s">
        <v>236</v>
      </c>
      <c r="I1184" s="10"/>
      <c r="J1184" s="10">
        <v>44455</v>
      </c>
      <c r="K1184" s="5" t="s">
        <v>77</v>
      </c>
      <c r="L1184" s="5" t="s">
        <v>50</v>
      </c>
      <c r="M1184" s="11">
        <v>0.14999999999999999</v>
      </c>
      <c r="N1184" s="5" t="e">
        <f>IF(AND(M1184&gt;#REF!,Cartera!O1184="Guaraníes"),"Rendimiento significativo",IF(AND(M1184&gt;#REF!,Cartera!O1184="Dólares americanos"),"Rendimiento significativo","Rendimiento no significativo"))</f>
        <v>#REF!</v>
      </c>
      <c r="O1184" s="5" t="s">
        <v>41</v>
      </c>
      <c r="P1184" s="12">
        <v>3739726.0274</v>
      </c>
      <c r="Q1184" s="12">
        <f>IF(O1184="Guaraníes",P1184,P1184*#REF!)</f>
        <v>3739726.0274</v>
      </c>
      <c r="R1184" s="12" t="e">
        <f>IF(O1184="Guaraníes",P1184/#REF!,P1184)</f>
        <v>#REF!</v>
      </c>
      <c r="S1184" s="5" t="s">
        <v>52</v>
      </c>
      <c r="T1184" s="5">
        <v>2475</v>
      </c>
      <c r="W1184" s="5" t="s">
        <v>65</v>
      </c>
      <c r="X1184" s="5">
        <v>0</v>
      </c>
      <c r="Y1184" s="5">
        <v>0</v>
      </c>
      <c r="Z1184" s="5">
        <v>37397.260274</v>
      </c>
      <c r="AA1184" s="5">
        <v>100</v>
      </c>
      <c r="AB1184" s="5">
        <v>3739726.0274</v>
      </c>
      <c r="AC1184" s="5" t="str">
        <f t="shared" si="58"/>
        <v>Bonos</v>
      </c>
      <c r="AD1184" s="5" t="s">
        <v>43</v>
      </c>
      <c r="AE1184" s="5">
        <f t="shared" si="59"/>
        <v>9</v>
      </c>
      <c r="AF1184" s="5">
        <f t="shared" si="60"/>
        <v>2021</v>
      </c>
    </row>
    <row r="1185" s="5" customFormat="1" ht="13">
      <c r="A1185" s="5" t="s">
        <v>44</v>
      </c>
      <c r="B1185" s="5" t="s">
        <v>44</v>
      </c>
      <c r="C1185" s="5" t="s">
        <v>89</v>
      </c>
      <c r="D1185" s="5" t="s">
        <v>21</v>
      </c>
      <c r="E1185" s="5" t="s">
        <v>44</v>
      </c>
      <c r="F1185" s="5" t="s">
        <v>68</v>
      </c>
      <c r="G1185" s="5" t="s">
        <v>112</v>
      </c>
      <c r="H1185" s="9" t="s">
        <v>113</v>
      </c>
      <c r="I1185" s="10"/>
      <c r="J1185" s="10">
        <v>44496</v>
      </c>
      <c r="K1185" s="5" t="s">
        <v>64</v>
      </c>
      <c r="L1185" s="5" t="s">
        <v>58</v>
      </c>
      <c r="M1185" s="11">
        <v>0.085000000000000006</v>
      </c>
      <c r="N1185" s="5" t="e">
        <f>IF(AND(M1185&gt;#REF!,Cartera!O1185="Guaraníes"),"Rendimiento significativo",IF(AND(M1185&gt;#REF!,Cartera!O1185="Dólares americanos"),"Rendimiento significativo","Rendimiento no significativo"))</f>
        <v>#REF!</v>
      </c>
      <c r="O1185" s="5" t="s">
        <v>51</v>
      </c>
      <c r="P1185" s="13">
        <v>423.83561999999995</v>
      </c>
      <c r="Q1185" s="12" t="e">
        <f>IF(O1185="Guaraníes",P1185,P1185*#REF!)</f>
        <v>#REF!</v>
      </c>
      <c r="R1185" s="12">
        <f>IF(O1185="Guaraníes",P1185/#REF!,P1185)</f>
        <v>423.83561999999995</v>
      </c>
      <c r="S1185" s="5" t="s">
        <v>52</v>
      </c>
      <c r="T1185" s="5">
        <v>2475</v>
      </c>
      <c r="W1185" s="5" t="s">
        <v>65</v>
      </c>
      <c r="X1185" s="5">
        <v>0</v>
      </c>
      <c r="Y1185" s="5">
        <v>0</v>
      </c>
      <c r="Z1185" s="5">
        <v>21.191780999999999</v>
      </c>
      <c r="AA1185" s="5">
        <v>20</v>
      </c>
      <c r="AB1185" s="5">
        <v>423.83562000000001</v>
      </c>
      <c r="AC1185" s="5" t="str">
        <f t="shared" si="58"/>
        <v>Bonos</v>
      </c>
      <c r="AD1185" s="5" t="s">
        <v>43</v>
      </c>
      <c r="AE1185" s="5">
        <f t="shared" si="59"/>
        <v>10</v>
      </c>
      <c r="AF1185" s="5">
        <f t="shared" si="60"/>
        <v>2021</v>
      </c>
    </row>
    <row r="1186" s="5" customFormat="1" ht="13">
      <c r="A1186" s="5" t="s">
        <v>44</v>
      </c>
      <c r="B1186" s="5" t="s">
        <v>44</v>
      </c>
      <c r="C1186" s="5" t="s">
        <v>114</v>
      </c>
      <c r="D1186" s="5" t="s">
        <v>21</v>
      </c>
      <c r="E1186" s="5" t="s">
        <v>44</v>
      </c>
      <c r="F1186" s="5" t="s">
        <v>68</v>
      </c>
      <c r="G1186" s="5" t="s">
        <v>112</v>
      </c>
      <c r="H1186" s="9" t="s">
        <v>236</v>
      </c>
      <c r="I1186" s="10"/>
      <c r="J1186" s="10">
        <v>44546</v>
      </c>
      <c r="K1186" s="5" t="s">
        <v>77</v>
      </c>
      <c r="L1186" s="5" t="s">
        <v>50</v>
      </c>
      <c r="M1186" s="11">
        <v>0.14999999999999999</v>
      </c>
      <c r="N1186" s="5" t="e">
        <f>IF(AND(M1186&gt;#REF!,Cartera!O1186="Guaraníes"),"Rendimiento significativo",IF(AND(M1186&gt;#REF!,Cartera!O1186="Dólares americanos"),"Rendimiento significativo","Rendimiento no significativo"))</f>
        <v>#REF!</v>
      </c>
      <c r="O1186" s="5" t="s">
        <v>41</v>
      </c>
      <c r="P1186" s="12">
        <v>3739726.0274</v>
      </c>
      <c r="Q1186" s="12">
        <f>IF(O1186="Guaraníes",P1186,P1186*#REF!)</f>
        <v>3739726.0274</v>
      </c>
      <c r="R1186" s="12" t="e">
        <f>IF(O1186="Guaraníes",P1186/#REF!,P1186)</f>
        <v>#REF!</v>
      </c>
      <c r="S1186" s="5" t="s">
        <v>52</v>
      </c>
      <c r="T1186" s="5">
        <v>2475</v>
      </c>
      <c r="W1186" s="5" t="s">
        <v>65</v>
      </c>
      <c r="X1186" s="5">
        <v>0</v>
      </c>
      <c r="Y1186" s="5">
        <v>0</v>
      </c>
      <c r="Z1186" s="5">
        <v>37397.260274</v>
      </c>
      <c r="AA1186" s="5">
        <v>100</v>
      </c>
      <c r="AB1186" s="5">
        <v>3739726.0274</v>
      </c>
      <c r="AC1186" s="5" t="str">
        <f t="shared" si="58"/>
        <v>Bonos</v>
      </c>
      <c r="AD1186" s="5" t="s">
        <v>43</v>
      </c>
      <c r="AE1186" s="5">
        <f t="shared" si="59"/>
        <v>12</v>
      </c>
      <c r="AF1186" s="5">
        <f t="shared" si="60"/>
        <v>2021</v>
      </c>
    </row>
    <row r="1187" s="5" customFormat="1" ht="13">
      <c r="A1187" s="5" t="s">
        <v>44</v>
      </c>
      <c r="B1187" s="5" t="s">
        <v>44</v>
      </c>
      <c r="C1187" s="5" t="s">
        <v>89</v>
      </c>
      <c r="D1187" s="5" t="s">
        <v>21</v>
      </c>
      <c r="E1187" s="5" t="s">
        <v>44</v>
      </c>
      <c r="F1187" s="5" t="s">
        <v>68</v>
      </c>
      <c r="G1187" s="5" t="s">
        <v>112</v>
      </c>
      <c r="H1187" s="9" t="s">
        <v>113</v>
      </c>
      <c r="I1187" s="10"/>
      <c r="J1187" s="10">
        <v>44587</v>
      </c>
      <c r="K1187" s="5" t="s">
        <v>64</v>
      </c>
      <c r="L1187" s="5" t="s">
        <v>58</v>
      </c>
      <c r="M1187" s="11">
        <v>0.085000000000000006</v>
      </c>
      <c r="N1187" s="5" t="e">
        <f>IF(AND(M1187&gt;#REF!,Cartera!O1187="Guaraníes"),"Rendimiento significativo",IF(AND(M1187&gt;#REF!,Cartera!O1187="Dólares americanos"),"Rendimiento significativo","Rendimiento no significativo"))</f>
        <v>#REF!</v>
      </c>
      <c r="O1187" s="5" t="s">
        <v>51</v>
      </c>
      <c r="P1187" s="13">
        <v>423.83561999999995</v>
      </c>
      <c r="Q1187" s="12" t="e">
        <f>IF(O1187="Guaraníes",P1187,P1187*#REF!)</f>
        <v>#REF!</v>
      </c>
      <c r="R1187" s="12">
        <f>IF(O1187="Guaraníes",P1187/#REF!,P1187)</f>
        <v>423.83561999999995</v>
      </c>
      <c r="S1187" s="5" t="s">
        <v>52</v>
      </c>
      <c r="T1187" s="5">
        <v>2475</v>
      </c>
      <c r="W1187" s="5" t="s">
        <v>65</v>
      </c>
      <c r="X1187" s="5">
        <v>0</v>
      </c>
      <c r="Y1187" s="5">
        <v>0</v>
      </c>
      <c r="Z1187" s="5">
        <v>21.191780999999999</v>
      </c>
      <c r="AA1187" s="5">
        <v>20</v>
      </c>
      <c r="AB1187" s="5">
        <v>423.83562000000001</v>
      </c>
      <c r="AC1187" s="5" t="str">
        <f t="shared" si="58"/>
        <v>Bonos</v>
      </c>
      <c r="AD1187" s="5" t="s">
        <v>43</v>
      </c>
      <c r="AE1187" s="5">
        <f t="shared" si="59"/>
        <v>1</v>
      </c>
      <c r="AF1187" s="5">
        <f t="shared" si="60"/>
        <v>2022</v>
      </c>
    </row>
    <row r="1188" s="5" customFormat="1" ht="13">
      <c r="A1188" s="5" t="s">
        <v>44</v>
      </c>
      <c r="B1188" s="5" t="s">
        <v>44</v>
      </c>
      <c r="C1188" s="5" t="s">
        <v>99</v>
      </c>
      <c r="D1188" s="5" t="s">
        <v>21</v>
      </c>
      <c r="E1188" s="5" t="s">
        <v>44</v>
      </c>
      <c r="F1188" s="5" t="s">
        <v>100</v>
      </c>
      <c r="G1188" s="5" t="s">
        <v>112</v>
      </c>
      <c r="H1188" s="9" t="s">
        <v>238</v>
      </c>
      <c r="I1188" s="10"/>
      <c r="J1188" s="10">
        <v>44594</v>
      </c>
      <c r="K1188" s="5" t="s">
        <v>102</v>
      </c>
      <c r="L1188" s="5" t="s">
        <v>102</v>
      </c>
      <c r="M1188" s="11">
        <v>0.081000000000000003</v>
      </c>
      <c r="N1188" s="5" t="e">
        <f>IF(AND(M1188&gt;#REF!,Cartera!O1188="Guaraníes"),"Rendimiento significativo",IF(AND(M1188&gt;#REF!,Cartera!O1188="Dólares americanos"),"Rendimiento significativo","Rendimiento no significativo"))</f>
        <v>#REF!</v>
      </c>
      <c r="O1188" s="5" t="s">
        <v>41</v>
      </c>
      <c r="P1188" s="12">
        <v>2041643.8355999999</v>
      </c>
      <c r="Q1188" s="12">
        <f>IF(O1188="Guaraníes",P1188,P1188*#REF!)</f>
        <v>2041643.8355999999</v>
      </c>
      <c r="R1188" s="12" t="e">
        <f>IF(O1188="Guaraníes",P1188/#REF!,P1188)</f>
        <v>#REF!</v>
      </c>
      <c r="S1188" s="5" t="s">
        <v>52</v>
      </c>
      <c r="T1188" s="5">
        <v>2475</v>
      </c>
      <c r="W1188" s="5" t="s">
        <v>65</v>
      </c>
      <c r="X1188" s="5">
        <v>0</v>
      </c>
      <c r="Y1188" s="5">
        <v>0</v>
      </c>
      <c r="Z1188" s="5">
        <v>40832.876711999997</v>
      </c>
      <c r="AA1188" s="5">
        <v>50</v>
      </c>
      <c r="AB1188" s="5">
        <v>2041643.8356000001</v>
      </c>
      <c r="AC1188" s="5" t="str">
        <f t="shared" si="58"/>
        <v>Bonos</v>
      </c>
      <c r="AD1188" s="5" t="s">
        <v>43</v>
      </c>
      <c r="AE1188" s="5">
        <f t="shared" si="59"/>
        <v>2</v>
      </c>
      <c r="AF1188" s="5">
        <f t="shared" si="60"/>
        <v>2022</v>
      </c>
    </row>
    <row r="1189" s="5" customFormat="1" ht="13">
      <c r="A1189" s="5" t="s">
        <v>44</v>
      </c>
      <c r="B1189" s="5" t="s">
        <v>44</v>
      </c>
      <c r="C1189" s="5" t="s">
        <v>114</v>
      </c>
      <c r="D1189" s="5" t="s">
        <v>21</v>
      </c>
      <c r="E1189" s="5" t="s">
        <v>44</v>
      </c>
      <c r="F1189" s="5" t="s">
        <v>68</v>
      </c>
      <c r="G1189" s="5" t="s">
        <v>112</v>
      </c>
      <c r="H1189" s="9" t="s">
        <v>236</v>
      </c>
      <c r="I1189" s="10"/>
      <c r="J1189" s="10">
        <v>44637</v>
      </c>
      <c r="K1189" s="5" t="s">
        <v>77</v>
      </c>
      <c r="L1189" s="5" t="s">
        <v>50</v>
      </c>
      <c r="M1189" s="11">
        <v>0.14999999999999999</v>
      </c>
      <c r="N1189" s="5" t="e">
        <f>IF(AND(M1189&gt;#REF!,Cartera!O1189="Guaraníes"),"Rendimiento significativo",IF(AND(M1189&gt;#REF!,Cartera!O1189="Dólares americanos"),"Rendimiento significativo","Rendimiento no significativo"))</f>
        <v>#REF!</v>
      </c>
      <c r="O1189" s="5" t="s">
        <v>41</v>
      </c>
      <c r="P1189" s="12">
        <v>3739726.0274</v>
      </c>
      <c r="Q1189" s="12">
        <f>IF(O1189="Guaraníes",P1189,P1189*#REF!)</f>
        <v>3739726.0274</v>
      </c>
      <c r="R1189" s="12" t="e">
        <f>IF(O1189="Guaraníes",P1189/#REF!,P1189)</f>
        <v>#REF!</v>
      </c>
      <c r="S1189" s="5" t="s">
        <v>52</v>
      </c>
      <c r="T1189" s="5">
        <v>2475</v>
      </c>
      <c r="W1189" s="5" t="s">
        <v>65</v>
      </c>
      <c r="X1189" s="5">
        <v>0</v>
      </c>
      <c r="Y1189" s="5">
        <v>0</v>
      </c>
      <c r="Z1189" s="5">
        <v>37397.260274</v>
      </c>
      <c r="AA1189" s="5">
        <v>100</v>
      </c>
      <c r="AB1189" s="5">
        <v>3739726.0274</v>
      </c>
      <c r="AC1189" s="5" t="str">
        <f t="shared" si="58"/>
        <v>Bonos</v>
      </c>
      <c r="AD1189" s="5" t="s">
        <v>43</v>
      </c>
      <c r="AE1189" s="5">
        <f t="shared" si="59"/>
        <v>3</v>
      </c>
      <c r="AF1189" s="5">
        <f t="shared" si="60"/>
        <v>2022</v>
      </c>
    </row>
    <row r="1190" s="5" customFormat="1" ht="13">
      <c r="A1190" s="5" t="s">
        <v>44</v>
      </c>
      <c r="B1190" s="5" t="s">
        <v>44</v>
      </c>
      <c r="C1190" s="5" t="s">
        <v>89</v>
      </c>
      <c r="D1190" s="5" t="s">
        <v>21</v>
      </c>
      <c r="E1190" s="5" t="s">
        <v>44</v>
      </c>
      <c r="F1190" s="5" t="s">
        <v>68</v>
      </c>
      <c r="G1190" s="5" t="s">
        <v>112</v>
      </c>
      <c r="H1190" s="9" t="s">
        <v>113</v>
      </c>
      <c r="I1190" s="10"/>
      <c r="J1190" s="10">
        <v>44678</v>
      </c>
      <c r="K1190" s="5" t="s">
        <v>64</v>
      </c>
      <c r="L1190" s="5" t="s">
        <v>58</v>
      </c>
      <c r="M1190" s="11">
        <v>0.085000000000000006</v>
      </c>
      <c r="N1190" s="5" t="e">
        <f>IF(AND(M1190&gt;#REF!,Cartera!O1190="Guaraníes"),"Rendimiento significativo",IF(AND(M1190&gt;#REF!,Cartera!O1190="Dólares americanos"),"Rendimiento significativo","Rendimiento no significativo"))</f>
        <v>#REF!</v>
      </c>
      <c r="O1190" s="5" t="s">
        <v>51</v>
      </c>
      <c r="P1190" s="13">
        <v>423.83561999999995</v>
      </c>
      <c r="Q1190" s="12" t="e">
        <f>IF(O1190="Guaraníes",P1190,P1190*#REF!)</f>
        <v>#REF!</v>
      </c>
      <c r="R1190" s="12">
        <f>IF(O1190="Guaraníes",P1190/#REF!,P1190)</f>
        <v>423.83561999999995</v>
      </c>
      <c r="S1190" s="5" t="s">
        <v>52</v>
      </c>
      <c r="T1190" s="5">
        <v>2475</v>
      </c>
      <c r="W1190" s="5" t="s">
        <v>65</v>
      </c>
      <c r="X1190" s="5">
        <v>0</v>
      </c>
      <c r="Y1190" s="5">
        <v>0</v>
      </c>
      <c r="Z1190" s="5">
        <v>21.191780999999999</v>
      </c>
      <c r="AA1190" s="5">
        <v>20</v>
      </c>
      <c r="AB1190" s="5">
        <v>423.83562000000001</v>
      </c>
      <c r="AC1190" s="5" t="str">
        <f t="shared" si="58"/>
        <v>Bonos</v>
      </c>
      <c r="AD1190" s="5" t="s">
        <v>43</v>
      </c>
      <c r="AE1190" s="5">
        <f t="shared" si="59"/>
        <v>4</v>
      </c>
      <c r="AF1190" s="5">
        <f t="shared" si="60"/>
        <v>2022</v>
      </c>
    </row>
    <row r="1191" s="5" customFormat="1" ht="13">
      <c r="A1191" s="5" t="s">
        <v>44</v>
      </c>
      <c r="B1191" s="5" t="s">
        <v>44</v>
      </c>
      <c r="C1191" s="5" t="s">
        <v>114</v>
      </c>
      <c r="D1191" s="5" t="s">
        <v>21</v>
      </c>
      <c r="E1191" s="5" t="s">
        <v>44</v>
      </c>
      <c r="F1191" s="5" t="s">
        <v>68</v>
      </c>
      <c r="G1191" s="5" t="s">
        <v>112</v>
      </c>
      <c r="H1191" s="9" t="s">
        <v>236</v>
      </c>
      <c r="I1191" s="10"/>
      <c r="J1191" s="10">
        <v>44728</v>
      </c>
      <c r="K1191" s="5" t="s">
        <v>77</v>
      </c>
      <c r="L1191" s="5" t="s">
        <v>50</v>
      </c>
      <c r="M1191" s="11">
        <v>0.14999999999999999</v>
      </c>
      <c r="N1191" s="5" t="e">
        <f>IF(AND(M1191&gt;#REF!,Cartera!O1191="Guaraníes"),"Rendimiento significativo",IF(AND(M1191&gt;#REF!,Cartera!O1191="Dólares americanos"),"Rendimiento significativo","Rendimiento no significativo"))</f>
        <v>#REF!</v>
      </c>
      <c r="O1191" s="5" t="s">
        <v>41</v>
      </c>
      <c r="P1191" s="12">
        <v>3739726.0274</v>
      </c>
      <c r="Q1191" s="12">
        <f>IF(O1191="Guaraníes",P1191,P1191*#REF!)</f>
        <v>3739726.0274</v>
      </c>
      <c r="R1191" s="12" t="e">
        <f>IF(O1191="Guaraníes",P1191/#REF!,P1191)</f>
        <v>#REF!</v>
      </c>
      <c r="S1191" s="5" t="s">
        <v>52</v>
      </c>
      <c r="T1191" s="5">
        <v>2475</v>
      </c>
      <c r="W1191" s="5" t="s">
        <v>65</v>
      </c>
      <c r="X1191" s="5">
        <v>0</v>
      </c>
      <c r="Y1191" s="5">
        <v>0</v>
      </c>
      <c r="Z1191" s="5">
        <v>37397.260274</v>
      </c>
      <c r="AA1191" s="5">
        <v>100</v>
      </c>
      <c r="AB1191" s="5">
        <v>3739726.0274</v>
      </c>
      <c r="AC1191" s="5" t="str">
        <f t="shared" si="58"/>
        <v>Bonos</v>
      </c>
      <c r="AD1191" s="5" t="s">
        <v>43</v>
      </c>
      <c r="AE1191" s="5">
        <f t="shared" si="59"/>
        <v>6</v>
      </c>
      <c r="AF1191" s="5">
        <f t="shared" si="60"/>
        <v>2022</v>
      </c>
    </row>
    <row r="1192" s="5" customFormat="1" ht="13">
      <c r="A1192" s="5" t="s">
        <v>44</v>
      </c>
      <c r="B1192" s="5" t="s">
        <v>44</v>
      </c>
      <c r="C1192" s="5" t="s">
        <v>89</v>
      </c>
      <c r="D1192" s="5" t="s">
        <v>21</v>
      </c>
      <c r="E1192" s="5" t="s">
        <v>44</v>
      </c>
      <c r="F1192" s="5" t="s">
        <v>68</v>
      </c>
      <c r="G1192" s="5" t="s">
        <v>112</v>
      </c>
      <c r="H1192" s="9" t="s">
        <v>113</v>
      </c>
      <c r="I1192" s="10"/>
      <c r="J1192" s="10">
        <v>44769</v>
      </c>
      <c r="K1192" s="5" t="s">
        <v>64</v>
      </c>
      <c r="L1192" s="5" t="s">
        <v>58</v>
      </c>
      <c r="M1192" s="11">
        <v>0.085000000000000006</v>
      </c>
      <c r="N1192" s="5" t="e">
        <f>IF(AND(M1192&gt;#REF!,Cartera!O1192="Guaraníes"),"Rendimiento significativo",IF(AND(M1192&gt;#REF!,Cartera!O1192="Dólares americanos"),"Rendimiento significativo","Rendimiento no significativo"))</f>
        <v>#REF!</v>
      </c>
      <c r="O1192" s="5" t="s">
        <v>51</v>
      </c>
      <c r="P1192" s="13">
        <v>423.83561999999995</v>
      </c>
      <c r="Q1192" s="12" t="e">
        <f>IF(O1192="Guaraníes",P1192,P1192*#REF!)</f>
        <v>#REF!</v>
      </c>
      <c r="R1192" s="12">
        <f>IF(O1192="Guaraníes",P1192/#REF!,P1192)</f>
        <v>423.83561999999995</v>
      </c>
      <c r="S1192" s="5" t="s">
        <v>52</v>
      </c>
      <c r="T1192" s="5">
        <v>2475</v>
      </c>
      <c r="W1192" s="5" t="s">
        <v>65</v>
      </c>
      <c r="X1192" s="5">
        <v>0</v>
      </c>
      <c r="Y1192" s="5">
        <v>0</v>
      </c>
      <c r="Z1192" s="5">
        <v>21.191780999999999</v>
      </c>
      <c r="AA1192" s="5">
        <v>20</v>
      </c>
      <c r="AB1192" s="5">
        <v>423.83562000000001</v>
      </c>
      <c r="AC1192" s="5" t="str">
        <f t="shared" si="58"/>
        <v>Bonos</v>
      </c>
      <c r="AD1192" s="5" t="s">
        <v>43</v>
      </c>
      <c r="AE1192" s="5">
        <f t="shared" si="59"/>
        <v>7</v>
      </c>
      <c r="AF1192" s="5">
        <f t="shared" si="60"/>
        <v>2022</v>
      </c>
    </row>
    <row r="1193" s="5" customFormat="1" ht="13">
      <c r="A1193" s="5" t="s">
        <v>44</v>
      </c>
      <c r="B1193" s="5" t="s">
        <v>44</v>
      </c>
      <c r="C1193" s="5" t="s">
        <v>99</v>
      </c>
      <c r="D1193" s="5" t="s">
        <v>21</v>
      </c>
      <c r="E1193" s="5" t="s">
        <v>44</v>
      </c>
      <c r="F1193" s="5" t="s">
        <v>100</v>
      </c>
      <c r="G1193" s="5" t="s">
        <v>112</v>
      </c>
      <c r="H1193" s="9" t="s">
        <v>238</v>
      </c>
      <c r="I1193" s="10"/>
      <c r="J1193" s="10">
        <v>44775</v>
      </c>
      <c r="K1193" s="5" t="s">
        <v>102</v>
      </c>
      <c r="L1193" s="5" t="s">
        <v>102</v>
      </c>
      <c r="M1193" s="11">
        <v>0.081000000000000003</v>
      </c>
      <c r="N1193" s="5" t="e">
        <f>IF(AND(M1193&gt;#REF!,Cartera!O1193="Guaraníes"),"Rendimiento significativo",IF(AND(M1193&gt;#REF!,Cartera!O1193="Dólares americanos"),"Rendimiento significativo","Rendimiento no significativo"))</f>
        <v>#REF!</v>
      </c>
      <c r="O1193" s="5" t="s">
        <v>41</v>
      </c>
      <c r="P1193" s="12">
        <v>2008356.1644000001</v>
      </c>
      <c r="Q1193" s="12">
        <f>IF(O1193="Guaraníes",P1193,P1193*#REF!)</f>
        <v>2008356.1644000001</v>
      </c>
      <c r="R1193" s="12" t="e">
        <f>IF(O1193="Guaraníes",P1193/#REF!,P1193)</f>
        <v>#REF!</v>
      </c>
      <c r="S1193" s="5" t="s">
        <v>52</v>
      </c>
      <c r="T1193" s="5">
        <v>2475</v>
      </c>
      <c r="W1193" s="5" t="s">
        <v>65</v>
      </c>
      <c r="X1193" s="5">
        <v>0</v>
      </c>
      <c r="Y1193" s="5">
        <v>0</v>
      </c>
      <c r="Z1193" s="5">
        <v>40167.123288000003</v>
      </c>
      <c r="AA1193" s="5">
        <v>50</v>
      </c>
      <c r="AB1193" s="5">
        <v>2008356.1643999999</v>
      </c>
      <c r="AC1193" s="5" t="str">
        <f t="shared" si="58"/>
        <v>Bonos</v>
      </c>
      <c r="AD1193" s="5" t="s">
        <v>43</v>
      </c>
      <c r="AE1193" s="5">
        <f t="shared" si="59"/>
        <v>8</v>
      </c>
      <c r="AF1193" s="5">
        <f t="shared" si="60"/>
        <v>2022</v>
      </c>
    </row>
    <row r="1194" s="5" customFormat="1" ht="13">
      <c r="A1194" s="5" t="s">
        <v>44</v>
      </c>
      <c r="B1194" s="5" t="s">
        <v>44</v>
      </c>
      <c r="C1194" s="5" t="s">
        <v>114</v>
      </c>
      <c r="D1194" s="5" t="s">
        <v>21</v>
      </c>
      <c r="E1194" s="5" t="s">
        <v>44</v>
      </c>
      <c r="F1194" s="5" t="s">
        <v>68</v>
      </c>
      <c r="G1194" s="5" t="s">
        <v>112</v>
      </c>
      <c r="H1194" s="9" t="s">
        <v>236</v>
      </c>
      <c r="I1194" s="10"/>
      <c r="J1194" s="10">
        <v>44819</v>
      </c>
      <c r="K1194" s="5" t="s">
        <v>77</v>
      </c>
      <c r="L1194" s="5" t="s">
        <v>50</v>
      </c>
      <c r="M1194" s="11">
        <v>0.14999999999999999</v>
      </c>
      <c r="N1194" s="5" t="e">
        <f>IF(AND(M1194&gt;#REF!,Cartera!O1194="Guaraníes"),"Rendimiento significativo",IF(AND(M1194&gt;#REF!,Cartera!O1194="Dólares americanos"),"Rendimiento significativo","Rendimiento no significativo"))</f>
        <v>#REF!</v>
      </c>
      <c r="O1194" s="5" t="s">
        <v>41</v>
      </c>
      <c r="P1194" s="12">
        <v>3739726.0274</v>
      </c>
      <c r="Q1194" s="12">
        <f>IF(O1194="Guaraníes",P1194,P1194*#REF!)</f>
        <v>3739726.0274</v>
      </c>
      <c r="R1194" s="12" t="e">
        <f>IF(O1194="Guaraníes",P1194/#REF!,P1194)</f>
        <v>#REF!</v>
      </c>
      <c r="S1194" s="5" t="s">
        <v>52</v>
      </c>
      <c r="T1194" s="5">
        <v>2475</v>
      </c>
      <c r="W1194" s="5" t="s">
        <v>65</v>
      </c>
      <c r="X1194" s="5">
        <v>0</v>
      </c>
      <c r="Y1194" s="5">
        <v>0</v>
      </c>
      <c r="Z1194" s="5">
        <v>37397.260274</v>
      </c>
      <c r="AA1194" s="5">
        <v>100</v>
      </c>
      <c r="AB1194" s="5">
        <v>3739726.0274</v>
      </c>
      <c r="AC1194" s="5" t="str">
        <f t="shared" si="58"/>
        <v>Bonos</v>
      </c>
      <c r="AD1194" s="5" t="s">
        <v>43</v>
      </c>
      <c r="AE1194" s="5">
        <f t="shared" si="59"/>
        <v>9</v>
      </c>
      <c r="AF1194" s="5">
        <f t="shared" si="60"/>
        <v>2022</v>
      </c>
    </row>
    <row r="1195" s="5" customFormat="1" ht="13">
      <c r="A1195" s="5" t="s">
        <v>44</v>
      </c>
      <c r="B1195" s="5" t="s">
        <v>44</v>
      </c>
      <c r="C1195" s="5" t="s">
        <v>89</v>
      </c>
      <c r="D1195" s="5" t="s">
        <v>21</v>
      </c>
      <c r="E1195" s="5" t="s">
        <v>44</v>
      </c>
      <c r="F1195" s="5" t="s">
        <v>68</v>
      </c>
      <c r="G1195" s="5" t="s">
        <v>112</v>
      </c>
      <c r="H1195" s="9" t="s">
        <v>113</v>
      </c>
      <c r="I1195" s="10"/>
      <c r="J1195" s="10">
        <v>44860</v>
      </c>
      <c r="K1195" s="5" t="s">
        <v>64</v>
      </c>
      <c r="L1195" s="5" t="s">
        <v>58</v>
      </c>
      <c r="M1195" s="11">
        <v>0.085000000000000006</v>
      </c>
      <c r="N1195" s="5" t="e">
        <f>IF(AND(M1195&gt;#REF!,Cartera!O1195="Guaraníes"),"Rendimiento significativo",IF(AND(M1195&gt;#REF!,Cartera!O1195="Dólares americanos"),"Rendimiento significativo","Rendimiento no significativo"))</f>
        <v>#REF!</v>
      </c>
      <c r="O1195" s="5" t="s">
        <v>51</v>
      </c>
      <c r="P1195" s="13">
        <v>423.83561999999995</v>
      </c>
      <c r="Q1195" s="12" t="e">
        <f>IF(O1195="Guaraníes",P1195,P1195*#REF!)</f>
        <v>#REF!</v>
      </c>
      <c r="R1195" s="12">
        <f>IF(O1195="Guaraníes",P1195/#REF!,P1195)</f>
        <v>423.83561999999995</v>
      </c>
      <c r="S1195" s="5" t="s">
        <v>52</v>
      </c>
      <c r="T1195" s="5">
        <v>2475</v>
      </c>
      <c r="W1195" s="5" t="s">
        <v>65</v>
      </c>
      <c r="X1195" s="5">
        <v>0</v>
      </c>
      <c r="Y1195" s="5">
        <v>0</v>
      </c>
      <c r="Z1195" s="5">
        <v>21.191780999999999</v>
      </c>
      <c r="AA1195" s="5">
        <v>20</v>
      </c>
      <c r="AB1195" s="5">
        <v>423.83562000000001</v>
      </c>
      <c r="AC1195" s="5" t="str">
        <f t="shared" si="58"/>
        <v>Bonos</v>
      </c>
      <c r="AD1195" s="5" t="s">
        <v>43</v>
      </c>
      <c r="AE1195" s="5">
        <f t="shared" si="59"/>
        <v>10</v>
      </c>
      <c r="AF1195" s="5">
        <f t="shared" si="60"/>
        <v>2022</v>
      </c>
    </row>
    <row r="1196" s="5" customFormat="1" ht="13">
      <c r="A1196" s="5" t="s">
        <v>44</v>
      </c>
      <c r="B1196" s="5" t="s">
        <v>44</v>
      </c>
      <c r="C1196" s="5" t="s">
        <v>114</v>
      </c>
      <c r="D1196" s="5" t="s">
        <v>21</v>
      </c>
      <c r="E1196" s="5" t="s">
        <v>44</v>
      </c>
      <c r="F1196" s="5" t="s">
        <v>68</v>
      </c>
      <c r="G1196" s="5" t="s">
        <v>112</v>
      </c>
      <c r="H1196" s="9" t="s">
        <v>236</v>
      </c>
      <c r="I1196" s="10"/>
      <c r="J1196" s="10">
        <v>44910</v>
      </c>
      <c r="K1196" s="5" t="s">
        <v>77</v>
      </c>
      <c r="L1196" s="5" t="s">
        <v>50</v>
      </c>
      <c r="M1196" s="11">
        <v>0.14999999999999999</v>
      </c>
      <c r="N1196" s="5" t="e">
        <f>IF(AND(M1196&gt;#REF!,Cartera!O1196="Guaraníes"),"Rendimiento significativo",IF(AND(M1196&gt;#REF!,Cartera!O1196="Dólares americanos"),"Rendimiento significativo","Rendimiento no significativo"))</f>
        <v>#REF!</v>
      </c>
      <c r="O1196" s="5" t="s">
        <v>41</v>
      </c>
      <c r="P1196" s="12">
        <v>3739726.0274</v>
      </c>
      <c r="Q1196" s="12">
        <f>IF(O1196="Guaraníes",P1196,P1196*#REF!)</f>
        <v>3739726.0274</v>
      </c>
      <c r="R1196" s="12" t="e">
        <f>IF(O1196="Guaraníes",P1196/#REF!,P1196)</f>
        <v>#REF!</v>
      </c>
      <c r="S1196" s="5" t="s">
        <v>52</v>
      </c>
      <c r="T1196" s="5">
        <v>2475</v>
      </c>
      <c r="W1196" s="5" t="s">
        <v>65</v>
      </c>
      <c r="X1196" s="5">
        <v>0</v>
      </c>
      <c r="Y1196" s="5">
        <v>0</v>
      </c>
      <c r="Z1196" s="5">
        <v>37397.260274</v>
      </c>
      <c r="AA1196" s="5">
        <v>100</v>
      </c>
      <c r="AB1196" s="5">
        <v>3739726.0274</v>
      </c>
      <c r="AC1196" s="5" t="str">
        <f t="shared" si="58"/>
        <v>Bonos</v>
      </c>
      <c r="AD1196" s="5" t="s">
        <v>43</v>
      </c>
      <c r="AE1196" s="5">
        <f t="shared" si="59"/>
        <v>12</v>
      </c>
      <c r="AF1196" s="5">
        <f t="shared" si="60"/>
        <v>2022</v>
      </c>
    </row>
    <row r="1197" s="5" customFormat="1" ht="13">
      <c r="A1197" s="5" t="s">
        <v>44</v>
      </c>
      <c r="B1197" s="5" t="s">
        <v>44</v>
      </c>
      <c r="C1197" s="5" t="s">
        <v>89</v>
      </c>
      <c r="D1197" s="5" t="s">
        <v>21</v>
      </c>
      <c r="E1197" s="5" t="s">
        <v>44</v>
      </c>
      <c r="F1197" s="5" t="s">
        <v>68</v>
      </c>
      <c r="G1197" s="5" t="s">
        <v>112</v>
      </c>
      <c r="H1197" s="9" t="s">
        <v>113</v>
      </c>
      <c r="I1197" s="10"/>
      <c r="J1197" s="10">
        <v>44951</v>
      </c>
      <c r="K1197" s="5" t="s">
        <v>64</v>
      </c>
      <c r="L1197" s="5" t="s">
        <v>58</v>
      </c>
      <c r="M1197" s="11">
        <v>0.085000000000000006</v>
      </c>
      <c r="N1197" s="5" t="e">
        <f>IF(AND(M1197&gt;#REF!,Cartera!O1197="Guaraníes"),"Rendimiento significativo",IF(AND(M1197&gt;#REF!,Cartera!O1197="Dólares americanos"),"Rendimiento significativo","Rendimiento no significativo"))</f>
        <v>#REF!</v>
      </c>
      <c r="O1197" s="5" t="s">
        <v>51</v>
      </c>
      <c r="P1197" s="13">
        <v>423.83561999999995</v>
      </c>
      <c r="Q1197" s="12" t="e">
        <f>IF(O1197="Guaraníes",P1197,P1197*#REF!)</f>
        <v>#REF!</v>
      </c>
      <c r="R1197" s="12">
        <f>IF(O1197="Guaraníes",P1197/#REF!,P1197)</f>
        <v>423.83561999999995</v>
      </c>
      <c r="S1197" s="5" t="s">
        <v>52</v>
      </c>
      <c r="T1197" s="5">
        <v>2475</v>
      </c>
      <c r="W1197" s="5" t="s">
        <v>65</v>
      </c>
      <c r="X1197" s="5">
        <v>0</v>
      </c>
      <c r="Y1197" s="5">
        <v>0</v>
      </c>
      <c r="Z1197" s="5">
        <v>21.191780999999999</v>
      </c>
      <c r="AA1197" s="5">
        <v>20</v>
      </c>
      <c r="AB1197" s="5">
        <v>423.83562000000001</v>
      </c>
      <c r="AC1197" s="5" t="str">
        <f t="shared" si="58"/>
        <v>Bonos</v>
      </c>
      <c r="AD1197" s="5" t="s">
        <v>43</v>
      </c>
      <c r="AE1197" s="5">
        <f t="shared" si="59"/>
        <v>1</v>
      </c>
      <c r="AF1197" s="5">
        <f t="shared" si="60"/>
        <v>2023</v>
      </c>
    </row>
    <row r="1198" s="5" customFormat="1" ht="13">
      <c r="A1198" s="5" t="s">
        <v>44</v>
      </c>
      <c r="B1198" s="5" t="s">
        <v>44</v>
      </c>
      <c r="C1198" s="5" t="s">
        <v>99</v>
      </c>
      <c r="D1198" s="5" t="s">
        <v>20</v>
      </c>
      <c r="E1198" s="5" t="s">
        <v>44</v>
      </c>
      <c r="F1198" s="5" t="s">
        <v>100</v>
      </c>
      <c r="G1198" s="5" t="s">
        <v>112</v>
      </c>
      <c r="H1198" s="9" t="s">
        <v>238</v>
      </c>
      <c r="I1198" s="10">
        <v>42633</v>
      </c>
      <c r="J1198" s="10">
        <v>44959</v>
      </c>
      <c r="K1198" s="5" t="s">
        <v>102</v>
      </c>
      <c r="L1198" s="5" t="s">
        <v>102</v>
      </c>
      <c r="M1198" s="11">
        <v>0.081000000000000003</v>
      </c>
      <c r="N1198" s="5" t="e">
        <f>IF(AND(M1198&gt;#REF!,Cartera!O1198="Guaraníes"),"Rendimiento significativo",IF(AND(M1198&gt;#REF!,Cartera!O1198="Dólares americanos"),"Rendimiento significativo","Rendimiento no significativo"))</f>
        <v>#REF!</v>
      </c>
      <c r="O1198" s="5" t="s">
        <v>41</v>
      </c>
      <c r="P1198" s="12">
        <v>50000000</v>
      </c>
      <c r="Q1198" s="12">
        <f>IF(O1198="Guaraníes",P1198,P1198*#REF!)</f>
        <v>50000000</v>
      </c>
      <c r="R1198" s="12" t="e">
        <f>IF(O1198="Guaraníes",P1198/#REF!,P1198)</f>
        <v>#REF!</v>
      </c>
      <c r="S1198" s="5" t="s">
        <v>52</v>
      </c>
      <c r="T1198" s="5">
        <v>2475</v>
      </c>
      <c r="W1198" s="5">
        <v>2022</v>
      </c>
      <c r="AC1198" s="5" t="str">
        <f t="shared" si="58"/>
        <v>Bonos</v>
      </c>
      <c r="AD1198" s="5" t="s">
        <v>43</v>
      </c>
      <c r="AE1198" s="5">
        <f t="shared" si="59"/>
        <v>2</v>
      </c>
      <c r="AF1198" s="5">
        <f t="shared" si="60"/>
        <v>2023</v>
      </c>
    </row>
    <row r="1199" s="5" customFormat="1" ht="13">
      <c r="A1199" s="5" t="s">
        <v>44</v>
      </c>
      <c r="B1199" s="5" t="s">
        <v>44</v>
      </c>
      <c r="C1199" s="5" t="s">
        <v>114</v>
      </c>
      <c r="D1199" s="5" t="s">
        <v>21</v>
      </c>
      <c r="E1199" s="5" t="s">
        <v>44</v>
      </c>
      <c r="F1199" s="5" t="s">
        <v>68</v>
      </c>
      <c r="G1199" s="5" t="s">
        <v>112</v>
      </c>
      <c r="H1199" s="9" t="s">
        <v>236</v>
      </c>
      <c r="I1199" s="10"/>
      <c r="J1199" s="10">
        <v>45001</v>
      </c>
      <c r="K1199" s="5" t="s">
        <v>77</v>
      </c>
      <c r="L1199" s="5" t="s">
        <v>50</v>
      </c>
      <c r="M1199" s="11">
        <v>0.14999999999999999</v>
      </c>
      <c r="N1199" s="5" t="e">
        <f>IF(AND(M1199&gt;#REF!,Cartera!O1199="Guaraníes"),"Rendimiento significativo",IF(AND(M1199&gt;#REF!,Cartera!O1199="Dólares americanos"),"Rendimiento significativo","Rendimiento no significativo"))</f>
        <v>#REF!</v>
      </c>
      <c r="O1199" s="5" t="s">
        <v>41</v>
      </c>
      <c r="P1199" s="12">
        <v>3739726.0274</v>
      </c>
      <c r="Q1199" s="12">
        <f>IF(O1199="Guaraníes",P1199,P1199*#REF!)</f>
        <v>3739726.0274</v>
      </c>
      <c r="R1199" s="12" t="e">
        <f>IF(O1199="Guaraníes",P1199/#REF!,P1199)</f>
        <v>#REF!</v>
      </c>
      <c r="S1199" s="5" t="s">
        <v>52</v>
      </c>
      <c r="T1199" s="5">
        <v>2475</v>
      </c>
      <c r="W1199" s="5" t="s">
        <v>65</v>
      </c>
      <c r="X1199" s="5">
        <v>0</v>
      </c>
      <c r="Y1199" s="5">
        <v>0</v>
      </c>
      <c r="Z1199" s="5">
        <v>37397.260274</v>
      </c>
      <c r="AA1199" s="5">
        <v>100</v>
      </c>
      <c r="AB1199" s="5">
        <v>3739726.0274</v>
      </c>
      <c r="AC1199" s="5" t="str">
        <f t="shared" si="58"/>
        <v>Bonos</v>
      </c>
      <c r="AD1199" s="5" t="s">
        <v>43</v>
      </c>
      <c r="AE1199" s="5">
        <f t="shared" si="59"/>
        <v>3</v>
      </c>
      <c r="AF1199" s="5">
        <f t="shared" si="60"/>
        <v>2023</v>
      </c>
    </row>
    <row r="1200" s="5" customFormat="1" ht="13">
      <c r="A1200" s="5" t="s">
        <v>44</v>
      </c>
      <c r="B1200" s="5" t="s">
        <v>44</v>
      </c>
      <c r="C1200" s="5" t="s">
        <v>89</v>
      </c>
      <c r="D1200" s="5" t="s">
        <v>21</v>
      </c>
      <c r="E1200" s="5" t="s">
        <v>44</v>
      </c>
      <c r="F1200" s="5" t="s">
        <v>68</v>
      </c>
      <c r="G1200" s="5" t="s">
        <v>112</v>
      </c>
      <c r="H1200" s="9" t="s">
        <v>113</v>
      </c>
      <c r="I1200" s="10"/>
      <c r="J1200" s="10">
        <v>45042</v>
      </c>
      <c r="K1200" s="5" t="s">
        <v>64</v>
      </c>
      <c r="L1200" s="5" t="s">
        <v>58</v>
      </c>
      <c r="M1200" s="11">
        <v>0.085000000000000006</v>
      </c>
      <c r="N1200" s="5" t="e">
        <f>IF(AND(M1200&gt;#REF!,Cartera!O1200="Guaraníes"),"Rendimiento significativo",IF(AND(M1200&gt;#REF!,Cartera!O1200="Dólares americanos"),"Rendimiento significativo","Rendimiento no significativo"))</f>
        <v>#REF!</v>
      </c>
      <c r="O1200" s="5" t="s">
        <v>51</v>
      </c>
      <c r="P1200" s="13">
        <v>423.83561999999995</v>
      </c>
      <c r="Q1200" s="12" t="e">
        <f>IF(O1200="Guaraníes",P1200,P1200*#REF!)</f>
        <v>#REF!</v>
      </c>
      <c r="R1200" s="12">
        <f>IF(O1200="Guaraníes",P1200/#REF!,P1200)</f>
        <v>423.83561999999995</v>
      </c>
      <c r="S1200" s="5" t="s">
        <v>52</v>
      </c>
      <c r="T1200" s="5">
        <v>2475</v>
      </c>
      <c r="W1200" s="5" t="s">
        <v>65</v>
      </c>
      <c r="X1200" s="5">
        <v>0</v>
      </c>
      <c r="Y1200" s="5">
        <v>0</v>
      </c>
      <c r="Z1200" s="5">
        <v>21.191780999999999</v>
      </c>
      <c r="AA1200" s="5">
        <v>20</v>
      </c>
      <c r="AB1200" s="5">
        <v>423.83562000000001</v>
      </c>
      <c r="AC1200" s="5" t="str">
        <f t="shared" si="58"/>
        <v>Bonos</v>
      </c>
      <c r="AD1200" s="5" t="s">
        <v>43</v>
      </c>
      <c r="AE1200" s="5">
        <f t="shared" si="59"/>
        <v>4</v>
      </c>
      <c r="AF1200" s="5">
        <f t="shared" si="60"/>
        <v>2023</v>
      </c>
    </row>
    <row r="1201" s="5" customFormat="1" ht="13">
      <c r="A1201" s="5" t="s">
        <v>44</v>
      </c>
      <c r="B1201" s="5" t="s">
        <v>44</v>
      </c>
      <c r="C1201" s="5" t="s">
        <v>114</v>
      </c>
      <c r="D1201" s="5" t="s">
        <v>21</v>
      </c>
      <c r="E1201" s="5" t="s">
        <v>44</v>
      </c>
      <c r="F1201" s="5" t="s">
        <v>68</v>
      </c>
      <c r="G1201" s="5" t="s">
        <v>112</v>
      </c>
      <c r="H1201" s="9" t="s">
        <v>236</v>
      </c>
      <c r="I1201" s="10"/>
      <c r="J1201" s="10">
        <v>45092</v>
      </c>
      <c r="K1201" s="5" t="s">
        <v>77</v>
      </c>
      <c r="L1201" s="5" t="s">
        <v>50</v>
      </c>
      <c r="M1201" s="11">
        <v>0.14999999999999999</v>
      </c>
      <c r="N1201" s="5" t="e">
        <f>IF(AND(M1201&gt;#REF!,Cartera!O1201="Guaraníes"),"Rendimiento significativo",IF(AND(M1201&gt;#REF!,Cartera!O1201="Dólares americanos"),"Rendimiento significativo","Rendimiento no significativo"))</f>
        <v>#REF!</v>
      </c>
      <c r="O1201" s="5" t="s">
        <v>41</v>
      </c>
      <c r="P1201" s="12">
        <v>3739726.0274</v>
      </c>
      <c r="Q1201" s="12">
        <f>IF(O1201="Guaraníes",P1201,P1201*#REF!)</f>
        <v>3739726.0274</v>
      </c>
      <c r="R1201" s="12" t="e">
        <f>IF(O1201="Guaraníes",P1201/#REF!,P1201)</f>
        <v>#REF!</v>
      </c>
      <c r="S1201" s="5" t="s">
        <v>52</v>
      </c>
      <c r="T1201" s="5">
        <v>2475</v>
      </c>
      <c r="W1201" s="5" t="s">
        <v>65</v>
      </c>
      <c r="X1201" s="5">
        <v>0</v>
      </c>
      <c r="Y1201" s="5">
        <v>0</v>
      </c>
      <c r="Z1201" s="5">
        <v>37397.260274</v>
      </c>
      <c r="AA1201" s="5">
        <v>100</v>
      </c>
      <c r="AB1201" s="5">
        <v>3739726.0274</v>
      </c>
      <c r="AC1201" s="5" t="str">
        <f t="shared" si="58"/>
        <v>Bonos</v>
      </c>
      <c r="AD1201" s="5" t="s">
        <v>43</v>
      </c>
      <c r="AE1201" s="5">
        <f t="shared" si="59"/>
        <v>6</v>
      </c>
      <c r="AF1201" s="5">
        <f t="shared" si="60"/>
        <v>2023</v>
      </c>
    </row>
    <row r="1202" s="5" customFormat="1" ht="13">
      <c r="A1202" s="5" t="s">
        <v>44</v>
      </c>
      <c r="B1202" s="5" t="s">
        <v>44</v>
      </c>
      <c r="C1202" s="5" t="s">
        <v>89</v>
      </c>
      <c r="D1202" s="5" t="s">
        <v>21</v>
      </c>
      <c r="E1202" s="5" t="s">
        <v>44</v>
      </c>
      <c r="F1202" s="5" t="s">
        <v>68</v>
      </c>
      <c r="G1202" s="5" t="s">
        <v>112</v>
      </c>
      <c r="H1202" s="9" t="s">
        <v>113</v>
      </c>
      <c r="I1202" s="10"/>
      <c r="J1202" s="10">
        <v>45133</v>
      </c>
      <c r="K1202" s="5" t="s">
        <v>64</v>
      </c>
      <c r="L1202" s="5" t="s">
        <v>58</v>
      </c>
      <c r="M1202" s="11">
        <v>0.085000000000000006</v>
      </c>
      <c r="N1202" s="5" t="e">
        <f>IF(AND(M1202&gt;#REF!,Cartera!O1202="Guaraníes"),"Rendimiento significativo",IF(AND(M1202&gt;#REF!,Cartera!O1202="Dólares americanos"),"Rendimiento significativo","Rendimiento no significativo"))</f>
        <v>#REF!</v>
      </c>
      <c r="O1202" s="5" t="s">
        <v>51</v>
      </c>
      <c r="P1202" s="13">
        <v>423.83561999999995</v>
      </c>
      <c r="Q1202" s="12" t="e">
        <f>IF(O1202="Guaraníes",P1202,P1202*#REF!)</f>
        <v>#REF!</v>
      </c>
      <c r="R1202" s="12">
        <f>IF(O1202="Guaraníes",P1202/#REF!,P1202)</f>
        <v>423.83561999999995</v>
      </c>
      <c r="S1202" s="5" t="s">
        <v>52</v>
      </c>
      <c r="T1202" s="5">
        <v>2475</v>
      </c>
      <c r="W1202" s="5" t="s">
        <v>65</v>
      </c>
      <c r="X1202" s="5">
        <v>0</v>
      </c>
      <c r="Y1202" s="5">
        <v>0</v>
      </c>
      <c r="Z1202" s="5">
        <v>21.191780999999999</v>
      </c>
      <c r="AA1202" s="5">
        <v>20</v>
      </c>
      <c r="AB1202" s="5">
        <v>423.83562000000001</v>
      </c>
      <c r="AC1202" s="5" t="str">
        <f t="shared" si="58"/>
        <v>Bonos</v>
      </c>
      <c r="AD1202" s="5" t="s">
        <v>43</v>
      </c>
      <c r="AE1202" s="5">
        <f t="shared" si="59"/>
        <v>7</v>
      </c>
      <c r="AF1202" s="5">
        <f t="shared" si="60"/>
        <v>2023</v>
      </c>
    </row>
    <row r="1203" s="5" customFormat="1" ht="13">
      <c r="A1203" s="5" t="s">
        <v>44</v>
      </c>
      <c r="B1203" s="5" t="s">
        <v>44</v>
      </c>
      <c r="C1203" s="5" t="s">
        <v>114</v>
      </c>
      <c r="D1203" s="5" t="s">
        <v>21</v>
      </c>
      <c r="E1203" s="5" t="s">
        <v>44</v>
      </c>
      <c r="F1203" s="5" t="s">
        <v>68</v>
      </c>
      <c r="G1203" s="5" t="s">
        <v>112</v>
      </c>
      <c r="H1203" s="9" t="s">
        <v>236</v>
      </c>
      <c r="I1203" s="10"/>
      <c r="J1203" s="10">
        <v>45183</v>
      </c>
      <c r="K1203" s="5" t="s">
        <v>77</v>
      </c>
      <c r="L1203" s="5" t="s">
        <v>50</v>
      </c>
      <c r="M1203" s="11">
        <v>0.14999999999999999</v>
      </c>
      <c r="N1203" s="5" t="e">
        <f>IF(AND(M1203&gt;#REF!,Cartera!O1203="Guaraníes"),"Rendimiento significativo",IF(AND(M1203&gt;#REF!,Cartera!O1203="Dólares americanos"),"Rendimiento significativo","Rendimiento no significativo"))</f>
        <v>#REF!</v>
      </c>
      <c r="O1203" s="5" t="s">
        <v>41</v>
      </c>
      <c r="P1203" s="12">
        <v>3739726.0274</v>
      </c>
      <c r="Q1203" s="12">
        <f>IF(O1203="Guaraníes",P1203,P1203*#REF!)</f>
        <v>3739726.0274</v>
      </c>
      <c r="R1203" s="12" t="e">
        <f>IF(O1203="Guaraníes",P1203/#REF!,P1203)</f>
        <v>#REF!</v>
      </c>
      <c r="S1203" s="5" t="s">
        <v>52</v>
      </c>
      <c r="T1203" s="5">
        <v>2475</v>
      </c>
      <c r="W1203" s="5" t="s">
        <v>65</v>
      </c>
      <c r="X1203" s="5">
        <v>0</v>
      </c>
      <c r="Y1203" s="5">
        <v>0</v>
      </c>
      <c r="Z1203" s="5">
        <v>37397.260274</v>
      </c>
      <c r="AA1203" s="5">
        <v>100</v>
      </c>
      <c r="AB1203" s="5">
        <v>3739726.0274</v>
      </c>
      <c r="AC1203" s="5" t="str">
        <f t="shared" si="58"/>
        <v>Bonos</v>
      </c>
      <c r="AD1203" s="5" t="s">
        <v>43</v>
      </c>
      <c r="AE1203" s="5">
        <f t="shared" si="59"/>
        <v>9</v>
      </c>
      <c r="AF1203" s="5">
        <f t="shared" si="60"/>
        <v>2023</v>
      </c>
    </row>
    <row r="1204" s="5" customFormat="1" ht="13">
      <c r="A1204" s="5" t="s">
        <v>44</v>
      </c>
      <c r="B1204" s="5" t="s">
        <v>44</v>
      </c>
      <c r="C1204" s="5" t="s">
        <v>89</v>
      </c>
      <c r="D1204" s="5" t="s">
        <v>21</v>
      </c>
      <c r="E1204" s="5" t="s">
        <v>44</v>
      </c>
      <c r="F1204" s="5" t="s">
        <v>68</v>
      </c>
      <c r="G1204" s="5" t="s">
        <v>112</v>
      </c>
      <c r="H1204" s="9" t="s">
        <v>113</v>
      </c>
      <c r="I1204" s="10"/>
      <c r="J1204" s="10">
        <v>45224</v>
      </c>
      <c r="K1204" s="5" t="s">
        <v>64</v>
      </c>
      <c r="L1204" s="5" t="s">
        <v>58</v>
      </c>
      <c r="M1204" s="11">
        <v>0.085000000000000006</v>
      </c>
      <c r="N1204" s="5" t="e">
        <f>IF(AND(M1204&gt;#REF!,Cartera!O1204="Guaraníes"),"Rendimiento significativo",IF(AND(M1204&gt;#REF!,Cartera!O1204="Dólares americanos"),"Rendimiento significativo","Rendimiento no significativo"))</f>
        <v>#REF!</v>
      </c>
      <c r="O1204" s="5" t="s">
        <v>51</v>
      </c>
      <c r="P1204" s="13">
        <v>423.83561999999995</v>
      </c>
      <c r="Q1204" s="12" t="e">
        <f>IF(O1204="Guaraníes",P1204,P1204*#REF!)</f>
        <v>#REF!</v>
      </c>
      <c r="R1204" s="12">
        <f>IF(O1204="Guaraníes",P1204/#REF!,P1204)</f>
        <v>423.83561999999995</v>
      </c>
      <c r="S1204" s="5" t="s">
        <v>52</v>
      </c>
      <c r="T1204" s="5">
        <v>2475</v>
      </c>
      <c r="W1204" s="5" t="s">
        <v>65</v>
      </c>
      <c r="X1204" s="5">
        <v>0</v>
      </c>
      <c r="Y1204" s="5">
        <v>0</v>
      </c>
      <c r="Z1204" s="5">
        <v>21.191780999999999</v>
      </c>
      <c r="AA1204" s="5">
        <v>20</v>
      </c>
      <c r="AB1204" s="5">
        <v>423.83562000000001</v>
      </c>
      <c r="AC1204" s="5" t="str">
        <f t="shared" si="58"/>
        <v>Bonos</v>
      </c>
      <c r="AD1204" s="5" t="s">
        <v>43</v>
      </c>
      <c r="AE1204" s="5">
        <f t="shared" si="59"/>
        <v>10</v>
      </c>
      <c r="AF1204" s="5">
        <f t="shared" si="60"/>
        <v>2023</v>
      </c>
    </row>
    <row r="1205" s="5" customFormat="1" ht="13">
      <c r="A1205" s="5" t="s">
        <v>44</v>
      </c>
      <c r="B1205" s="5" t="s">
        <v>44</v>
      </c>
      <c r="C1205" s="5" t="s">
        <v>114</v>
      </c>
      <c r="D1205" s="5" t="s">
        <v>20</v>
      </c>
      <c r="E1205" s="5" t="s">
        <v>44</v>
      </c>
      <c r="F1205" s="5" t="s">
        <v>68</v>
      </c>
      <c r="G1205" s="5" t="s">
        <v>112</v>
      </c>
      <c r="H1205" s="9" t="s">
        <v>236</v>
      </c>
      <c r="I1205" s="10">
        <v>41656</v>
      </c>
      <c r="J1205" s="10">
        <v>45274</v>
      </c>
      <c r="K1205" s="5" t="s">
        <v>77</v>
      </c>
      <c r="L1205" s="5" t="s">
        <v>50</v>
      </c>
      <c r="M1205" s="11">
        <v>0.14999999999999999</v>
      </c>
      <c r="N1205" s="5" t="e">
        <f>IF(AND(M1205&gt;#REF!,Cartera!O1205="Guaraníes"),"Rendimiento significativo",IF(AND(M1205&gt;#REF!,Cartera!O1205="Dólares americanos"),"Rendimiento significativo","Rendimiento no significativo"))</f>
        <v>#REF!</v>
      </c>
      <c r="O1205" s="5" t="s">
        <v>41</v>
      </c>
      <c r="P1205" s="12">
        <v>100000000</v>
      </c>
      <c r="Q1205" s="12">
        <f>IF(O1205="Guaraníes",P1205,P1205*#REF!)</f>
        <v>100000000</v>
      </c>
      <c r="R1205" s="12" t="e">
        <f>IF(O1205="Guaraníes",P1205/#REF!,P1205)</f>
        <v>#REF!</v>
      </c>
      <c r="S1205" s="5" t="s">
        <v>52</v>
      </c>
      <c r="AC1205" s="5" t="str">
        <f t="shared" si="58"/>
        <v>Bonos</v>
      </c>
      <c r="AD1205" s="5" t="s">
        <v>43</v>
      </c>
      <c r="AE1205" s="5">
        <f t="shared" si="59"/>
        <v>12</v>
      </c>
      <c r="AF1205" s="5">
        <f t="shared" si="60"/>
        <v>2023</v>
      </c>
    </row>
    <row r="1206" s="5" customFormat="1" ht="13">
      <c r="A1206" s="5" t="s">
        <v>44</v>
      </c>
      <c r="B1206" s="5" t="s">
        <v>44</v>
      </c>
      <c r="C1206" s="5" t="s">
        <v>89</v>
      </c>
      <c r="D1206" s="5" t="s">
        <v>21</v>
      </c>
      <c r="E1206" s="5" t="s">
        <v>44</v>
      </c>
      <c r="F1206" s="5" t="s">
        <v>68</v>
      </c>
      <c r="G1206" s="5" t="s">
        <v>112</v>
      </c>
      <c r="H1206" s="9" t="s">
        <v>113</v>
      </c>
      <c r="I1206" s="10"/>
      <c r="J1206" s="10">
        <v>45315</v>
      </c>
      <c r="K1206" s="5" t="s">
        <v>64</v>
      </c>
      <c r="L1206" s="5" t="s">
        <v>58</v>
      </c>
      <c r="M1206" s="11">
        <v>0.085000000000000006</v>
      </c>
      <c r="N1206" s="5" t="e">
        <f>IF(AND(M1206&gt;#REF!,Cartera!O1206="Guaraníes"),"Rendimiento significativo",IF(AND(M1206&gt;#REF!,Cartera!O1206="Dólares americanos"),"Rendimiento significativo","Rendimiento no significativo"))</f>
        <v>#REF!</v>
      </c>
      <c r="O1206" s="5" t="s">
        <v>51</v>
      </c>
      <c r="P1206" s="13">
        <v>423.83561999999995</v>
      </c>
      <c r="Q1206" s="12" t="e">
        <f>IF(O1206="Guaraníes",P1206,P1206*#REF!)</f>
        <v>#REF!</v>
      </c>
      <c r="R1206" s="12">
        <f>IF(O1206="Guaraníes",P1206/#REF!,P1206)</f>
        <v>423.83561999999995</v>
      </c>
      <c r="S1206" s="5" t="s">
        <v>52</v>
      </c>
      <c r="T1206" s="5">
        <v>2475</v>
      </c>
      <c r="W1206" s="5" t="s">
        <v>65</v>
      </c>
      <c r="X1206" s="5">
        <v>0</v>
      </c>
      <c r="Y1206" s="5">
        <v>0</v>
      </c>
      <c r="Z1206" s="5">
        <v>21.191780999999999</v>
      </c>
      <c r="AA1206" s="5">
        <v>20</v>
      </c>
      <c r="AB1206" s="5">
        <v>423.83562000000001</v>
      </c>
      <c r="AC1206" s="5" t="str">
        <f t="shared" si="58"/>
        <v>Bonos</v>
      </c>
      <c r="AD1206" s="5" t="s">
        <v>43</v>
      </c>
      <c r="AE1206" s="5">
        <f t="shared" si="59"/>
        <v>1</v>
      </c>
      <c r="AF1206" s="5">
        <f t="shared" si="60"/>
        <v>2024</v>
      </c>
    </row>
    <row r="1207" s="5" customFormat="1" ht="13">
      <c r="A1207" s="5" t="s">
        <v>44</v>
      </c>
      <c r="B1207" s="5" t="s">
        <v>44</v>
      </c>
      <c r="C1207" s="5" t="s">
        <v>89</v>
      </c>
      <c r="D1207" s="5" t="s">
        <v>21</v>
      </c>
      <c r="E1207" s="5" t="s">
        <v>44</v>
      </c>
      <c r="F1207" s="5" t="s">
        <v>68</v>
      </c>
      <c r="G1207" s="5" t="s">
        <v>112</v>
      </c>
      <c r="H1207" s="9" t="s">
        <v>113</v>
      </c>
      <c r="I1207" s="10"/>
      <c r="J1207" s="10">
        <v>45406</v>
      </c>
      <c r="K1207" s="5" t="s">
        <v>64</v>
      </c>
      <c r="L1207" s="5" t="s">
        <v>58</v>
      </c>
      <c r="M1207" s="11">
        <v>0.085000000000000006</v>
      </c>
      <c r="N1207" s="5" t="e">
        <f>IF(AND(M1207&gt;#REF!,Cartera!O1207="Guaraníes"),"Rendimiento significativo",IF(AND(M1207&gt;#REF!,Cartera!O1207="Dólares americanos"),"Rendimiento significativo","Rendimiento no significativo"))</f>
        <v>#REF!</v>
      </c>
      <c r="O1207" s="5" t="s">
        <v>51</v>
      </c>
      <c r="P1207" s="13">
        <v>423.83561999999995</v>
      </c>
      <c r="Q1207" s="12" t="e">
        <f>IF(O1207="Guaraníes",P1207,P1207*#REF!)</f>
        <v>#REF!</v>
      </c>
      <c r="R1207" s="12">
        <f>IF(O1207="Guaraníes",P1207/#REF!,P1207)</f>
        <v>423.83561999999995</v>
      </c>
      <c r="S1207" s="5" t="s">
        <v>52</v>
      </c>
      <c r="T1207" s="5">
        <v>2475</v>
      </c>
      <c r="W1207" s="5" t="s">
        <v>65</v>
      </c>
      <c r="X1207" s="5">
        <v>0</v>
      </c>
      <c r="Y1207" s="5">
        <v>0</v>
      </c>
      <c r="Z1207" s="5">
        <v>21.191780999999999</v>
      </c>
      <c r="AA1207" s="5">
        <v>20</v>
      </c>
      <c r="AB1207" s="5">
        <v>423.83562000000001</v>
      </c>
      <c r="AC1207" s="5" t="str">
        <f t="shared" ref="AC1207:AC1270" si="61">IF(ISNUMBER(SEARCH("Acciones",L1207)),"Acciones",IF(ISNUMBER(SEARCH("Bono",L1207)),"Bonos",IF(ISNUMBER(SEARCH("CDA",L1207)),"CDA",IF(ISNUMBER(SEARCH("Fondo",L1207)),"Fondo",0))))</f>
        <v>Bonos</v>
      </c>
      <c r="AD1207" s="5" t="s">
        <v>43</v>
      </c>
      <c r="AE1207" s="5">
        <f t="shared" si="59"/>
        <v>4</v>
      </c>
      <c r="AF1207" s="5">
        <f t="shared" si="60"/>
        <v>2024</v>
      </c>
    </row>
    <row r="1208" s="5" customFormat="1" ht="13">
      <c r="A1208" s="5" t="s">
        <v>44</v>
      </c>
      <c r="B1208" s="5" t="s">
        <v>44</v>
      </c>
      <c r="C1208" s="5" t="s">
        <v>89</v>
      </c>
      <c r="D1208" s="5" t="s">
        <v>21</v>
      </c>
      <c r="E1208" s="5" t="s">
        <v>44</v>
      </c>
      <c r="F1208" s="5" t="s">
        <v>68</v>
      </c>
      <c r="G1208" s="5" t="s">
        <v>112</v>
      </c>
      <c r="H1208" s="9" t="s">
        <v>113</v>
      </c>
      <c r="I1208" s="10"/>
      <c r="J1208" s="10">
        <v>45497</v>
      </c>
      <c r="K1208" s="5" t="s">
        <v>64</v>
      </c>
      <c r="L1208" s="5" t="s">
        <v>58</v>
      </c>
      <c r="M1208" s="11">
        <v>0.085000000000000006</v>
      </c>
      <c r="N1208" s="5" t="e">
        <f>IF(AND(M1208&gt;#REF!,Cartera!O1208="Guaraníes"),"Rendimiento significativo",IF(AND(M1208&gt;#REF!,Cartera!O1208="Dólares americanos"),"Rendimiento significativo","Rendimiento no significativo"))</f>
        <v>#REF!</v>
      </c>
      <c r="O1208" s="5" t="s">
        <v>51</v>
      </c>
      <c r="P1208" s="13">
        <v>423.83561999999995</v>
      </c>
      <c r="Q1208" s="12" t="e">
        <f>IF(O1208="Guaraníes",P1208,P1208*#REF!)</f>
        <v>#REF!</v>
      </c>
      <c r="R1208" s="12">
        <f>IF(O1208="Guaraníes",P1208/#REF!,P1208)</f>
        <v>423.83561999999995</v>
      </c>
      <c r="S1208" s="5" t="s">
        <v>52</v>
      </c>
      <c r="T1208" s="5">
        <v>2475</v>
      </c>
      <c r="W1208" s="5" t="s">
        <v>65</v>
      </c>
      <c r="X1208" s="5">
        <v>0</v>
      </c>
      <c r="Y1208" s="5">
        <v>0</v>
      </c>
      <c r="Z1208" s="5">
        <v>21.191780999999999</v>
      </c>
      <c r="AA1208" s="5">
        <v>20</v>
      </c>
      <c r="AB1208" s="5">
        <v>423.83562000000001</v>
      </c>
      <c r="AC1208" s="5" t="str">
        <f t="shared" si="61"/>
        <v>Bonos</v>
      </c>
      <c r="AD1208" s="5" t="s">
        <v>43</v>
      </c>
      <c r="AE1208" s="5">
        <f t="shared" si="59"/>
        <v>7</v>
      </c>
      <c r="AF1208" s="5">
        <f t="shared" si="60"/>
        <v>2024</v>
      </c>
    </row>
    <row r="1209" s="5" customFormat="1" ht="13">
      <c r="A1209" s="5" t="s">
        <v>44</v>
      </c>
      <c r="B1209" s="5" t="s">
        <v>44</v>
      </c>
      <c r="C1209" s="5" t="s">
        <v>74</v>
      </c>
      <c r="D1209" s="5" t="s">
        <v>21</v>
      </c>
      <c r="E1209" s="5" t="s">
        <v>44</v>
      </c>
      <c r="F1209" s="5" t="s">
        <v>68</v>
      </c>
      <c r="H1209" s="9">
        <v>1093</v>
      </c>
      <c r="I1209" s="10"/>
      <c r="J1209" s="10">
        <v>45579</v>
      </c>
      <c r="K1209" s="5" t="s">
        <v>77</v>
      </c>
      <c r="L1209" s="5" t="s">
        <v>82</v>
      </c>
      <c r="M1209" s="11">
        <v>0.065000000000000002</v>
      </c>
      <c r="N1209" s="5" t="e">
        <f>IF(AND(M1209&gt;#REF!,Cartera!O2936="Guaraníes"),"Rendimiento significativo",IF(AND(M1209&gt;#REF!,Cartera!O2936="Dólares americanos"),"Rendimiento significativo","Rendimiento no significativo"))</f>
        <v>#REF!</v>
      </c>
      <c r="O1209" s="5" t="s">
        <v>41</v>
      </c>
      <c r="P1209" s="12">
        <v>3241096</v>
      </c>
      <c r="Q1209" s="12">
        <f>IF(O1209="Guaraníes",P1209,P1209*#REF!)</f>
        <v>3241096</v>
      </c>
      <c r="R1209" s="12" t="e">
        <f>IF(O1209="Guaraníes",P1209/#REF!,P1209)</f>
        <v>#REF!</v>
      </c>
      <c r="S1209" s="5" t="s">
        <v>52</v>
      </c>
      <c r="V1209" s="5">
        <v>3241096</v>
      </c>
      <c r="W1209" s="5" t="s">
        <v>354</v>
      </c>
      <c r="AC1209" s="5" t="str">
        <f t="shared" si="61"/>
        <v>CDA</v>
      </c>
      <c r="AD1209" s="5" t="s">
        <v>43</v>
      </c>
      <c r="AE1209" s="5">
        <f t="shared" si="59"/>
        <v>10</v>
      </c>
      <c r="AF1209" s="5">
        <f t="shared" si="60"/>
        <v>2024</v>
      </c>
    </row>
    <row r="1210" s="5" customFormat="1" ht="13">
      <c r="A1210" s="5">
        <v>12316</v>
      </c>
      <c r="B1210" s="5" t="s">
        <v>78</v>
      </c>
      <c r="C1210" s="5" t="s">
        <v>183</v>
      </c>
      <c r="D1210" s="5" t="s">
        <v>21</v>
      </c>
      <c r="E1210" s="5" t="s">
        <v>34</v>
      </c>
      <c r="F1210" s="5" t="s">
        <v>184</v>
      </c>
      <c r="H1210" s="9">
        <v>6389</v>
      </c>
      <c r="I1210" s="10"/>
      <c r="J1210" s="10">
        <v>45971</v>
      </c>
      <c r="K1210" s="5" t="s">
        <v>124</v>
      </c>
      <c r="L1210" s="5" t="s">
        <v>82</v>
      </c>
      <c r="M1210" s="11">
        <v>0.079000000000000001</v>
      </c>
      <c r="N1210" s="5" t="e">
        <f>IF(AND(M1210&gt;#REF!,Cartera!O2962="Guaraníes"),"Rendimiento significativo",IF(AND(M1210&gt;#REF!,Cartera!O2962="Dólares americanos"),"Rendimiento significativo","Rendimiento no significativo"))</f>
        <v>#REF!</v>
      </c>
      <c r="O1210" s="5" t="s">
        <v>41</v>
      </c>
      <c r="P1210" s="12">
        <v>10010350</v>
      </c>
      <c r="Q1210" s="12">
        <f>IF(O1210="Guaraníes",P1210,P1210*#REF!)</f>
        <v>10010350</v>
      </c>
      <c r="R1210" s="12" t="e">
        <f>IF(O1210="Guaraníes",P1210/#REF!,P1210)</f>
        <v>#REF!</v>
      </c>
      <c r="S1210" s="5" t="s">
        <v>42</v>
      </c>
      <c r="V1210" s="5">
        <v>10010350</v>
      </c>
      <c r="W1210" s="5" t="s">
        <v>355</v>
      </c>
      <c r="AC1210" s="5" t="str">
        <f t="shared" si="61"/>
        <v>CDA</v>
      </c>
      <c r="AD1210" s="5" t="s">
        <v>43</v>
      </c>
      <c r="AE1210" s="5">
        <f t="shared" si="59"/>
        <v>11</v>
      </c>
      <c r="AF1210" s="5">
        <f t="shared" si="60"/>
        <v>2025</v>
      </c>
    </row>
    <row r="1211" s="5" customFormat="1" ht="13">
      <c r="A1211" s="5">
        <v>12316</v>
      </c>
      <c r="B1211" s="5" t="s">
        <v>78</v>
      </c>
      <c r="C1211" s="5" t="s">
        <v>183</v>
      </c>
      <c r="D1211" s="5" t="s">
        <v>21</v>
      </c>
      <c r="E1211" s="5" t="s">
        <v>34</v>
      </c>
      <c r="F1211" s="5" t="s">
        <v>184</v>
      </c>
      <c r="H1211" s="9">
        <v>6390</v>
      </c>
      <c r="I1211" s="10"/>
      <c r="J1211" s="10">
        <v>45971</v>
      </c>
      <c r="K1211" s="5" t="s">
        <v>124</v>
      </c>
      <c r="L1211" s="5" t="s">
        <v>82</v>
      </c>
      <c r="M1211" s="11">
        <v>0.079000000000000001</v>
      </c>
      <c r="N1211" s="5" t="e">
        <f>IF(AND(M1211&gt;#REF!,Cartera!O2963="Guaraníes"),"Rendimiento significativo",IF(AND(M1211&gt;#REF!,Cartera!O2963="Dólares americanos"),"Rendimiento significativo","Rendimiento no significativo"))</f>
        <v>#REF!</v>
      </c>
      <c r="O1211" s="5" t="s">
        <v>41</v>
      </c>
      <c r="P1211" s="12">
        <v>10010350</v>
      </c>
      <c r="Q1211" s="12">
        <f>IF(O1211="Guaraníes",P1211,P1211*#REF!)</f>
        <v>10010350</v>
      </c>
      <c r="R1211" s="12" t="e">
        <f>IF(O1211="Guaraníes",P1211/#REF!,P1211)</f>
        <v>#REF!</v>
      </c>
      <c r="S1211" s="5" t="s">
        <v>42</v>
      </c>
      <c r="V1211" s="5">
        <v>10010350</v>
      </c>
      <c r="W1211" s="5" t="s">
        <v>355</v>
      </c>
      <c r="AC1211" s="5" t="str">
        <f t="shared" si="61"/>
        <v>CDA</v>
      </c>
      <c r="AD1211" s="5" t="s">
        <v>43</v>
      </c>
      <c r="AE1211" s="5">
        <f t="shared" si="59"/>
        <v>11</v>
      </c>
      <c r="AF1211" s="5">
        <f t="shared" si="60"/>
        <v>2025</v>
      </c>
    </row>
    <row r="1212" s="5" customFormat="1" ht="13">
      <c r="A1212" s="5">
        <v>12302</v>
      </c>
      <c r="B1212" s="5" t="s">
        <v>98</v>
      </c>
      <c r="C1212" s="5" t="s">
        <v>89</v>
      </c>
      <c r="D1212" s="5" t="s">
        <v>20</v>
      </c>
      <c r="E1212" s="5" t="s">
        <v>34</v>
      </c>
      <c r="F1212" s="5" t="s">
        <v>68</v>
      </c>
      <c r="G1212" s="5" t="s">
        <v>112</v>
      </c>
      <c r="H1212" s="9" t="s">
        <v>113</v>
      </c>
      <c r="I1212" s="10">
        <v>44042</v>
      </c>
      <c r="J1212" s="10">
        <v>45848</v>
      </c>
      <c r="K1212" s="5" t="s">
        <v>64</v>
      </c>
      <c r="L1212" s="5" t="s">
        <v>58</v>
      </c>
      <c r="M1212" s="11">
        <v>0.085000000000000006</v>
      </c>
      <c r="N1212" s="5" t="e">
        <f>IF(AND(M1212&gt;#REF!,Cartera!O1212="Guaraníes"),"Rendimiento significativo",IF(AND(M1212&gt;#REF!,Cartera!O1212="Dólares americanos"),"Rendimiento significativo","Rendimiento no significativo"))</f>
        <v>#REF!</v>
      </c>
      <c r="O1212" s="5" t="s">
        <v>51</v>
      </c>
      <c r="P1212" s="13">
        <v>20000</v>
      </c>
      <c r="Q1212" s="12" t="e">
        <f>IF(O1212="Guaraníes",P1212,P1212*#REF!)</f>
        <v>#REF!</v>
      </c>
      <c r="R1212" s="12">
        <f>IF(O1212="Guaraníes",P1212/#REF!,P1212)</f>
        <v>20000</v>
      </c>
      <c r="S1212" s="5" t="s">
        <v>42</v>
      </c>
      <c r="T1212" s="5">
        <v>2475</v>
      </c>
      <c r="AC1212" s="5" t="str">
        <f t="shared" si="61"/>
        <v>Bonos</v>
      </c>
      <c r="AD1212" s="5" t="s">
        <v>43</v>
      </c>
      <c r="AE1212" s="5">
        <f t="shared" si="59"/>
        <v>7</v>
      </c>
      <c r="AF1212" s="5">
        <f t="shared" si="60"/>
        <v>2025</v>
      </c>
    </row>
    <row r="1213" s="5" customFormat="1" ht="13">
      <c r="A1213" s="5">
        <v>12316</v>
      </c>
      <c r="B1213" s="5" t="s">
        <v>78</v>
      </c>
      <c r="C1213" s="5" t="s">
        <v>183</v>
      </c>
      <c r="D1213" s="5" t="s">
        <v>21</v>
      </c>
      <c r="E1213" s="5" t="s">
        <v>34</v>
      </c>
      <c r="F1213" s="5" t="s">
        <v>184</v>
      </c>
      <c r="H1213" s="9">
        <v>6391</v>
      </c>
      <c r="I1213" s="10"/>
      <c r="J1213" s="10">
        <v>45971</v>
      </c>
      <c r="K1213" s="5" t="s">
        <v>124</v>
      </c>
      <c r="L1213" s="5" t="s">
        <v>82</v>
      </c>
      <c r="M1213" s="11">
        <v>0.079000000000000001</v>
      </c>
      <c r="N1213" s="5" t="e">
        <f>IF(AND(M1213&gt;#REF!,Cartera!O2964="Guaraníes"),"Rendimiento significativo",IF(AND(M1213&gt;#REF!,Cartera!O2964="Dólares americanos"),"Rendimiento significativo","Rendimiento no significativo"))</f>
        <v>#REF!</v>
      </c>
      <c r="O1213" s="5" t="s">
        <v>41</v>
      </c>
      <c r="P1213" s="12">
        <v>10010350</v>
      </c>
      <c r="Q1213" s="12">
        <f>IF(O1213="Guaraníes",P1213,P1213*#REF!)</f>
        <v>10010350</v>
      </c>
      <c r="R1213" s="12" t="e">
        <f>IF(O1213="Guaraníes",P1213/#REF!,P1213)</f>
        <v>#REF!</v>
      </c>
      <c r="S1213" s="5" t="s">
        <v>42</v>
      </c>
      <c r="V1213" s="5">
        <v>10010350</v>
      </c>
      <c r="W1213" s="5" t="s">
        <v>355</v>
      </c>
      <c r="AC1213" s="5" t="str">
        <f t="shared" si="61"/>
        <v>CDA</v>
      </c>
      <c r="AD1213" s="5" t="s">
        <v>43</v>
      </c>
      <c r="AE1213" s="5">
        <f t="shared" si="59"/>
        <v>11</v>
      </c>
      <c r="AF1213" s="5">
        <f t="shared" si="60"/>
        <v>2025</v>
      </c>
    </row>
    <row r="1214" s="5" customFormat="1" ht="13">
      <c r="A1214" s="5" t="s">
        <v>44</v>
      </c>
      <c r="B1214" s="5" t="s">
        <v>44</v>
      </c>
      <c r="C1214" s="5" t="s">
        <v>356</v>
      </c>
      <c r="D1214" s="5" t="s">
        <v>21</v>
      </c>
      <c r="E1214" s="5" t="s">
        <v>44</v>
      </c>
      <c r="F1214" s="5" t="s">
        <v>90</v>
      </c>
      <c r="G1214" s="5" t="s">
        <v>145</v>
      </c>
      <c r="H1214" s="9" t="s">
        <v>357</v>
      </c>
      <c r="I1214" s="10"/>
      <c r="J1214" s="10">
        <v>42557</v>
      </c>
      <c r="K1214" s="5" t="s">
        <v>77</v>
      </c>
      <c r="L1214" s="5" t="s">
        <v>58</v>
      </c>
      <c r="M1214" s="11">
        <v>0.12</v>
      </c>
      <c r="N1214" s="5" t="e">
        <f>IF(AND(M1214&gt;#REF!,Cartera!O1214="Guaraníes"),"Rendimiento significativo",IF(AND(M1214&gt;#REF!,Cartera!O1214="Dólares americanos"),"Rendimiento significativo","Rendimiento no significativo"))</f>
        <v>#REF!</v>
      </c>
      <c r="O1214" s="5" t="s">
        <v>41</v>
      </c>
      <c r="P1214" s="12">
        <v>2958904.1096000001</v>
      </c>
      <c r="Q1214" s="12">
        <f>IF(O1214="Guaraníes",P1214,P1214*#REF!)</f>
        <v>2958904.1096000001</v>
      </c>
      <c r="R1214" s="12" t="e">
        <f>IF(O1214="Guaraníes",P1214/#REF!,P1214)</f>
        <v>#REF!</v>
      </c>
      <c r="S1214" s="5" t="s">
        <v>52</v>
      </c>
      <c r="T1214" s="5">
        <v>1057</v>
      </c>
      <c r="W1214" s="5" t="s">
        <v>65</v>
      </c>
      <c r="X1214" s="5">
        <v>0</v>
      </c>
      <c r="Y1214" s="5">
        <v>0</v>
      </c>
      <c r="Z1214" s="5">
        <v>29589.041096000001</v>
      </c>
      <c r="AA1214" s="5">
        <v>100</v>
      </c>
      <c r="AB1214" s="5">
        <v>2958904.1096000001</v>
      </c>
      <c r="AC1214" s="5" t="str">
        <f t="shared" si="61"/>
        <v>Bonos</v>
      </c>
      <c r="AD1214" s="5" t="s">
        <v>43</v>
      </c>
      <c r="AE1214" s="5">
        <f t="shared" si="59"/>
        <v>7</v>
      </c>
      <c r="AF1214" s="5">
        <f t="shared" si="60"/>
        <v>2016</v>
      </c>
    </row>
    <row r="1215" s="5" customFormat="1" ht="13">
      <c r="A1215" s="5" t="s">
        <v>44</v>
      </c>
      <c r="B1215" s="5" t="s">
        <v>44</v>
      </c>
      <c r="C1215" s="5" t="s">
        <v>356</v>
      </c>
      <c r="D1215" s="5" t="s">
        <v>21</v>
      </c>
      <c r="E1215" s="5" t="s">
        <v>44</v>
      </c>
      <c r="F1215" s="5" t="s">
        <v>90</v>
      </c>
      <c r="G1215" s="5" t="s">
        <v>145</v>
      </c>
      <c r="H1215" s="9" t="s">
        <v>357</v>
      </c>
      <c r="I1215" s="10"/>
      <c r="J1215" s="10">
        <v>42647</v>
      </c>
      <c r="K1215" s="5" t="s">
        <v>77</v>
      </c>
      <c r="L1215" s="5" t="s">
        <v>58</v>
      </c>
      <c r="M1215" s="11">
        <v>0.12</v>
      </c>
      <c r="N1215" s="5" t="e">
        <f>IF(AND(M1215&gt;#REF!,Cartera!O1215="Guaraníes"),"Rendimiento significativo",IF(AND(M1215&gt;#REF!,Cartera!O1215="Dólares americanos"),"Rendimiento significativo","Rendimiento no significativo"))</f>
        <v>#REF!</v>
      </c>
      <c r="O1215" s="5" t="s">
        <v>41</v>
      </c>
      <c r="P1215" s="12">
        <v>2958904.1096000001</v>
      </c>
      <c r="Q1215" s="12">
        <f>IF(O1215="Guaraníes",P1215,P1215*#REF!)</f>
        <v>2958904.1096000001</v>
      </c>
      <c r="R1215" s="12" t="e">
        <f>IF(O1215="Guaraníes",P1215/#REF!,P1215)</f>
        <v>#REF!</v>
      </c>
      <c r="S1215" s="5" t="s">
        <v>52</v>
      </c>
      <c r="T1215" s="5">
        <v>1057</v>
      </c>
      <c r="W1215" s="5" t="s">
        <v>65</v>
      </c>
      <c r="X1215" s="5">
        <v>0</v>
      </c>
      <c r="Y1215" s="5">
        <v>0</v>
      </c>
      <c r="Z1215" s="5">
        <v>29589.041096000001</v>
      </c>
      <c r="AA1215" s="5">
        <v>100</v>
      </c>
      <c r="AB1215" s="5">
        <v>2958904.1096000001</v>
      </c>
      <c r="AC1215" s="5" t="str">
        <f t="shared" si="61"/>
        <v>Bonos</v>
      </c>
      <c r="AD1215" s="5" t="s">
        <v>43</v>
      </c>
      <c r="AE1215" s="5">
        <f t="shared" si="59"/>
        <v>10</v>
      </c>
      <c r="AF1215" s="5">
        <f t="shared" si="60"/>
        <v>2016</v>
      </c>
    </row>
    <row r="1216" s="5" customFormat="1" ht="13">
      <c r="A1216" s="5" t="s">
        <v>44</v>
      </c>
      <c r="B1216" s="5" t="s">
        <v>44</v>
      </c>
      <c r="C1216" s="5" t="s">
        <v>33</v>
      </c>
      <c r="D1216" s="5" t="s">
        <v>21</v>
      </c>
      <c r="E1216" s="5" t="s">
        <v>44</v>
      </c>
      <c r="F1216" s="5" t="s">
        <v>35</v>
      </c>
      <c r="G1216" s="5" t="s">
        <v>145</v>
      </c>
      <c r="H1216" s="9" t="s">
        <v>358</v>
      </c>
      <c r="I1216" s="10"/>
      <c r="J1216" s="10">
        <v>42667</v>
      </c>
      <c r="K1216" s="5" t="s">
        <v>39</v>
      </c>
      <c r="L1216" s="5" t="s">
        <v>50</v>
      </c>
      <c r="M1216" s="11">
        <v>0.0625</v>
      </c>
      <c r="N1216" s="5" t="e">
        <f>IF(AND(M1216&gt;#REF!,Cartera!O1216="Guaraníes"),"Rendimiento significativo",IF(AND(M1216&gt;#REF!,Cartera!O1216="Dólares americanos"),"Rendimiento significativo","Rendimiento no significativo"))</f>
        <v>#REF!</v>
      </c>
      <c r="O1216" s="5" t="s">
        <v>51</v>
      </c>
      <c r="P1216" s="13">
        <v>698.08220000000006</v>
      </c>
      <c r="Q1216" s="12" t="e">
        <f>IF(O1216="Guaraníes",P1216,P1216*#REF!)</f>
        <v>#REF!</v>
      </c>
      <c r="R1216" s="12">
        <f>IF(O1216="Guaraníes",P1216/#REF!,P1216)</f>
        <v>698.08220000000006</v>
      </c>
      <c r="S1216" s="5" t="s">
        <v>52</v>
      </c>
      <c r="T1216" s="5">
        <v>1057</v>
      </c>
      <c r="W1216" s="5" t="s">
        <v>65</v>
      </c>
      <c r="X1216" s="5">
        <v>0</v>
      </c>
      <c r="Y1216" s="5">
        <v>0</v>
      </c>
      <c r="Z1216" s="5">
        <v>34.904110000000003</v>
      </c>
      <c r="AA1216" s="5">
        <v>20</v>
      </c>
      <c r="AB1216" s="5">
        <v>698.08219999999994</v>
      </c>
      <c r="AC1216" s="5" t="str">
        <f t="shared" si="61"/>
        <v>Bonos</v>
      </c>
      <c r="AD1216" s="5" t="s">
        <v>43</v>
      </c>
      <c r="AE1216" s="5">
        <f t="shared" si="59"/>
        <v>10</v>
      </c>
      <c r="AF1216" s="5">
        <f t="shared" si="60"/>
        <v>2016</v>
      </c>
    </row>
    <row r="1217" s="5" customFormat="1" ht="13">
      <c r="A1217" s="5" t="s">
        <v>44</v>
      </c>
      <c r="B1217" s="5" t="s">
        <v>44</v>
      </c>
      <c r="C1217" s="5" t="s">
        <v>356</v>
      </c>
      <c r="D1217" s="5" t="s">
        <v>21</v>
      </c>
      <c r="E1217" s="5" t="s">
        <v>44</v>
      </c>
      <c r="F1217" s="5" t="s">
        <v>90</v>
      </c>
      <c r="G1217" s="5" t="s">
        <v>145</v>
      </c>
      <c r="H1217" s="9" t="s">
        <v>357</v>
      </c>
      <c r="I1217" s="10"/>
      <c r="J1217" s="10">
        <v>42738</v>
      </c>
      <c r="K1217" s="5" t="s">
        <v>77</v>
      </c>
      <c r="L1217" s="5" t="s">
        <v>58</v>
      </c>
      <c r="M1217" s="11">
        <v>0.12</v>
      </c>
      <c r="N1217" s="5" t="e">
        <f>IF(AND(M1217&gt;#REF!,Cartera!O1217="Guaraníes"),"Rendimiento significativo",IF(AND(M1217&gt;#REF!,Cartera!O1217="Dólares americanos"),"Rendimiento significativo","Rendimiento no significativo"))</f>
        <v>#REF!</v>
      </c>
      <c r="O1217" s="5" t="s">
        <v>41</v>
      </c>
      <c r="P1217" s="12">
        <v>2991780.8218999999</v>
      </c>
      <c r="Q1217" s="12">
        <f>IF(O1217="Guaraníes",P1217,P1217*#REF!)</f>
        <v>2991780.8218999999</v>
      </c>
      <c r="R1217" s="12" t="e">
        <f>IF(O1217="Guaraníes",P1217/#REF!,P1217)</f>
        <v>#REF!</v>
      </c>
      <c r="S1217" s="5" t="s">
        <v>52</v>
      </c>
      <c r="T1217" s="5">
        <v>1057</v>
      </c>
      <c r="W1217" s="5" t="s">
        <v>65</v>
      </c>
      <c r="X1217" s="5">
        <v>0</v>
      </c>
      <c r="Y1217" s="5">
        <v>0</v>
      </c>
      <c r="Z1217" s="5">
        <v>29917.808218999999</v>
      </c>
      <c r="AA1217" s="5">
        <v>100</v>
      </c>
      <c r="AB1217" s="5">
        <v>2991780.8218999999</v>
      </c>
      <c r="AC1217" s="5" t="str">
        <f t="shared" si="61"/>
        <v>Bonos</v>
      </c>
      <c r="AD1217" s="5" t="s">
        <v>43</v>
      </c>
      <c r="AE1217" s="5">
        <f t="shared" si="59"/>
        <v>1</v>
      </c>
      <c r="AF1217" s="5">
        <f t="shared" si="60"/>
        <v>2017</v>
      </c>
    </row>
    <row r="1218" s="5" customFormat="1" ht="13">
      <c r="A1218" s="5" t="s">
        <v>44</v>
      </c>
      <c r="B1218" s="5" t="s">
        <v>44</v>
      </c>
      <c r="C1218" s="5" t="s">
        <v>356</v>
      </c>
      <c r="D1218" s="5" t="s">
        <v>21</v>
      </c>
      <c r="E1218" s="5" t="s">
        <v>44</v>
      </c>
      <c r="F1218" s="5" t="s">
        <v>90</v>
      </c>
      <c r="G1218" s="5" t="s">
        <v>145</v>
      </c>
      <c r="H1218" s="9" t="s">
        <v>357</v>
      </c>
      <c r="I1218" s="10"/>
      <c r="J1218" s="10">
        <v>42830</v>
      </c>
      <c r="K1218" s="5" t="s">
        <v>77</v>
      </c>
      <c r="L1218" s="5" t="s">
        <v>58</v>
      </c>
      <c r="M1218" s="11">
        <v>0.12</v>
      </c>
      <c r="N1218" s="5" t="e">
        <f>IF(AND(M1218&gt;#REF!,Cartera!O1218="Guaraníes"),"Rendimiento significativo",IF(AND(M1218&gt;#REF!,Cartera!O1218="Dólares americanos"),"Rendimiento significativo","Rendimiento no significativo"))</f>
        <v>#REF!</v>
      </c>
      <c r="O1218" s="5" t="s">
        <v>41</v>
      </c>
      <c r="P1218" s="12">
        <v>3024657.5342000001</v>
      </c>
      <c r="Q1218" s="12">
        <f>IF(O1218="Guaraníes",P1218,P1218*#REF!)</f>
        <v>3024657.5342000001</v>
      </c>
      <c r="R1218" s="12" t="e">
        <f>IF(O1218="Guaraníes",P1218/#REF!,P1218)</f>
        <v>#REF!</v>
      </c>
      <c r="S1218" s="5" t="s">
        <v>52</v>
      </c>
      <c r="T1218" s="5">
        <v>1057</v>
      </c>
      <c r="W1218" s="5" t="s">
        <v>65</v>
      </c>
      <c r="X1218" s="5">
        <v>0</v>
      </c>
      <c r="Y1218" s="5">
        <v>0</v>
      </c>
      <c r="Z1218" s="5">
        <v>30246.575342</v>
      </c>
      <c r="AA1218" s="5">
        <v>100</v>
      </c>
      <c r="AB1218" s="5">
        <v>3024657.5342000001</v>
      </c>
      <c r="AC1218" s="5" t="str">
        <f t="shared" si="61"/>
        <v>Bonos</v>
      </c>
      <c r="AD1218" s="5" t="s">
        <v>43</v>
      </c>
      <c r="AE1218" s="5">
        <f t="shared" si="59"/>
        <v>4</v>
      </c>
      <c r="AF1218" s="5">
        <f t="shared" si="60"/>
        <v>2017</v>
      </c>
    </row>
    <row r="1219" s="5" customFormat="1" ht="13">
      <c r="A1219" s="5" t="s">
        <v>44</v>
      </c>
      <c r="B1219" s="5" t="s">
        <v>44</v>
      </c>
      <c r="C1219" s="5" t="s">
        <v>33</v>
      </c>
      <c r="D1219" s="5" t="s">
        <v>21</v>
      </c>
      <c r="E1219" s="5" t="s">
        <v>44</v>
      </c>
      <c r="F1219" s="5" t="s">
        <v>35</v>
      </c>
      <c r="G1219" s="5" t="s">
        <v>145</v>
      </c>
      <c r="H1219" s="9" t="s">
        <v>358</v>
      </c>
      <c r="I1219" s="10"/>
      <c r="J1219" s="10">
        <v>42850</v>
      </c>
      <c r="K1219" s="5" t="s">
        <v>39</v>
      </c>
      <c r="L1219" s="5" t="s">
        <v>50</v>
      </c>
      <c r="M1219" s="11">
        <v>0.0625</v>
      </c>
      <c r="N1219" s="5" t="e">
        <f>IF(AND(M1219&gt;#REF!,Cartera!O1219="Guaraníes"),"Rendimiento significativo",IF(AND(M1219&gt;#REF!,Cartera!O1219="Dólares americanos"),"Rendimiento significativo","Rendimiento no significativo"))</f>
        <v>#REF!</v>
      </c>
      <c r="O1219" s="5" t="s">
        <v>51</v>
      </c>
      <c r="P1219" s="13">
        <v>701.91779999999994</v>
      </c>
      <c r="Q1219" s="12" t="e">
        <f>IF(O1219="Guaraníes",P1219,P1219*#REF!)</f>
        <v>#REF!</v>
      </c>
      <c r="R1219" s="12">
        <f>IF(O1219="Guaraníes",P1219/#REF!,P1219)</f>
        <v>701.91779999999994</v>
      </c>
      <c r="S1219" s="5" t="s">
        <v>52</v>
      </c>
      <c r="T1219" s="5">
        <v>1057</v>
      </c>
      <c r="W1219" s="5" t="s">
        <v>65</v>
      </c>
      <c r="X1219" s="5">
        <v>0</v>
      </c>
      <c r="Y1219" s="5">
        <v>0</v>
      </c>
      <c r="Z1219" s="5">
        <v>35.095889999999997</v>
      </c>
      <c r="AA1219" s="5">
        <v>20</v>
      </c>
      <c r="AB1219" s="5">
        <v>701.91780000000006</v>
      </c>
      <c r="AC1219" s="5" t="str">
        <f t="shared" si="61"/>
        <v>Bonos</v>
      </c>
      <c r="AD1219" s="5" t="s">
        <v>43</v>
      </c>
      <c r="AE1219" s="5">
        <f t="shared" si="59"/>
        <v>4</v>
      </c>
      <c r="AF1219" s="5">
        <f t="shared" si="60"/>
        <v>2017</v>
      </c>
    </row>
    <row r="1220" s="5" customFormat="1" ht="13">
      <c r="A1220" s="5" t="s">
        <v>44</v>
      </c>
      <c r="B1220" s="5" t="s">
        <v>44</v>
      </c>
      <c r="C1220" s="5" t="s">
        <v>356</v>
      </c>
      <c r="D1220" s="5" t="s">
        <v>21</v>
      </c>
      <c r="E1220" s="5" t="s">
        <v>44</v>
      </c>
      <c r="F1220" s="5" t="s">
        <v>90</v>
      </c>
      <c r="G1220" s="5" t="s">
        <v>145</v>
      </c>
      <c r="H1220" s="9" t="s">
        <v>357</v>
      </c>
      <c r="I1220" s="10"/>
      <c r="J1220" s="10">
        <v>42920</v>
      </c>
      <c r="K1220" s="5" t="s">
        <v>77</v>
      </c>
      <c r="L1220" s="5" t="s">
        <v>58</v>
      </c>
      <c r="M1220" s="11">
        <v>0.12</v>
      </c>
      <c r="N1220" s="5" t="e">
        <f>IF(AND(M1220&gt;#REF!,Cartera!O1220="Guaraníes"),"Rendimiento significativo",IF(AND(M1220&gt;#REF!,Cartera!O1220="Dólares americanos"),"Rendimiento significativo","Rendimiento no significativo"))</f>
        <v>#REF!</v>
      </c>
      <c r="O1220" s="5" t="s">
        <v>41</v>
      </c>
      <c r="P1220" s="12">
        <v>2958904.1096000001</v>
      </c>
      <c r="Q1220" s="12">
        <f>IF(O1220="Guaraníes",P1220,P1220*#REF!)</f>
        <v>2958904.1096000001</v>
      </c>
      <c r="R1220" s="12" t="e">
        <f>IF(O1220="Guaraníes",P1220/#REF!,P1220)</f>
        <v>#REF!</v>
      </c>
      <c r="S1220" s="5" t="s">
        <v>52</v>
      </c>
      <c r="T1220" s="5">
        <v>1057</v>
      </c>
      <c r="W1220" s="5" t="s">
        <v>65</v>
      </c>
      <c r="X1220" s="5">
        <v>0</v>
      </c>
      <c r="Y1220" s="5">
        <v>0</v>
      </c>
      <c r="Z1220" s="5">
        <v>29589.041096000001</v>
      </c>
      <c r="AA1220" s="5">
        <v>100</v>
      </c>
      <c r="AB1220" s="5">
        <v>2958904.1096000001</v>
      </c>
      <c r="AC1220" s="5" t="str">
        <f t="shared" si="61"/>
        <v>Bonos</v>
      </c>
      <c r="AD1220" s="5" t="s">
        <v>43</v>
      </c>
      <c r="AE1220" s="5">
        <f t="shared" si="59"/>
        <v>7</v>
      </c>
      <c r="AF1220" s="5">
        <f t="shared" si="60"/>
        <v>2017</v>
      </c>
    </row>
    <row r="1221" s="5" customFormat="1" ht="13">
      <c r="A1221" s="5" t="s">
        <v>44</v>
      </c>
      <c r="B1221" s="5" t="s">
        <v>44</v>
      </c>
      <c r="C1221" s="5" t="s">
        <v>356</v>
      </c>
      <c r="D1221" s="5" t="s">
        <v>21</v>
      </c>
      <c r="E1221" s="5" t="s">
        <v>44</v>
      </c>
      <c r="F1221" s="5" t="s">
        <v>90</v>
      </c>
      <c r="G1221" s="5" t="s">
        <v>145</v>
      </c>
      <c r="H1221" s="9" t="s">
        <v>357</v>
      </c>
      <c r="I1221" s="10"/>
      <c r="J1221" s="10">
        <v>43011</v>
      </c>
      <c r="K1221" s="5" t="s">
        <v>77</v>
      </c>
      <c r="L1221" s="5" t="s">
        <v>58</v>
      </c>
      <c r="M1221" s="11">
        <v>0.12</v>
      </c>
      <c r="N1221" s="5" t="e">
        <f>IF(AND(M1221&gt;#REF!,Cartera!O1221="Guaraníes"),"Rendimiento significativo",IF(AND(M1221&gt;#REF!,Cartera!O1221="Dólares americanos"),"Rendimiento significativo","Rendimiento no significativo"))</f>
        <v>#REF!</v>
      </c>
      <c r="O1221" s="5" t="s">
        <v>41</v>
      </c>
      <c r="P1221" s="12">
        <v>2991780.8218999999</v>
      </c>
      <c r="Q1221" s="12">
        <f>IF(O1221="Guaraníes",P1221,P1221*#REF!)</f>
        <v>2991780.8218999999</v>
      </c>
      <c r="R1221" s="12" t="e">
        <f>IF(O1221="Guaraníes",P1221/#REF!,P1221)</f>
        <v>#REF!</v>
      </c>
      <c r="S1221" s="5" t="s">
        <v>52</v>
      </c>
      <c r="T1221" s="5">
        <v>1057</v>
      </c>
      <c r="W1221" s="5" t="s">
        <v>65</v>
      </c>
      <c r="X1221" s="5">
        <v>0</v>
      </c>
      <c r="Y1221" s="5">
        <v>0</v>
      </c>
      <c r="Z1221" s="5">
        <v>29917.808218999999</v>
      </c>
      <c r="AA1221" s="5">
        <v>100</v>
      </c>
      <c r="AB1221" s="5">
        <v>2991780.8218999999</v>
      </c>
      <c r="AC1221" s="5" t="str">
        <f t="shared" si="61"/>
        <v>Bonos</v>
      </c>
      <c r="AD1221" s="5" t="s">
        <v>43</v>
      </c>
      <c r="AE1221" s="5">
        <f t="shared" si="59"/>
        <v>10</v>
      </c>
      <c r="AF1221" s="5">
        <f t="shared" si="60"/>
        <v>2017</v>
      </c>
    </row>
    <row r="1222" s="5" customFormat="1" ht="13">
      <c r="A1222" s="5" t="s">
        <v>44</v>
      </c>
      <c r="B1222" s="5" t="s">
        <v>44</v>
      </c>
      <c r="C1222" s="5" t="s">
        <v>33</v>
      </c>
      <c r="D1222" s="5" t="s">
        <v>21</v>
      </c>
      <c r="E1222" s="5" t="s">
        <v>44</v>
      </c>
      <c r="F1222" s="5" t="s">
        <v>35</v>
      </c>
      <c r="G1222" s="5" t="s">
        <v>145</v>
      </c>
      <c r="H1222" s="9" t="s">
        <v>358</v>
      </c>
      <c r="I1222" s="10"/>
      <c r="J1222" s="10">
        <v>43032</v>
      </c>
      <c r="K1222" s="5" t="s">
        <v>39</v>
      </c>
      <c r="L1222" s="5" t="s">
        <v>50</v>
      </c>
      <c r="M1222" s="11">
        <v>0.0625</v>
      </c>
      <c r="N1222" s="5" t="e">
        <f>IF(AND(M1222&gt;#REF!,Cartera!O1222="Guaraníes"),"Rendimiento significativo",IF(AND(M1222&gt;#REF!,Cartera!O1222="Dólares americanos"),"Rendimiento significativo","Rendimiento no significativo"))</f>
        <v>#REF!</v>
      </c>
      <c r="O1222" s="5" t="s">
        <v>51</v>
      </c>
      <c r="P1222" s="13">
        <v>698.08220000000006</v>
      </c>
      <c r="Q1222" s="12" t="e">
        <f>IF(O1222="Guaraníes",P1222,P1222*#REF!)</f>
        <v>#REF!</v>
      </c>
      <c r="R1222" s="12">
        <f>IF(O1222="Guaraníes",P1222/#REF!,P1222)</f>
        <v>698.08220000000006</v>
      </c>
      <c r="S1222" s="5" t="s">
        <v>52</v>
      </c>
      <c r="T1222" s="5">
        <v>1057</v>
      </c>
      <c r="W1222" s="5" t="s">
        <v>65</v>
      </c>
      <c r="X1222" s="5">
        <v>0</v>
      </c>
      <c r="Y1222" s="5">
        <v>0</v>
      </c>
      <c r="Z1222" s="5">
        <v>34.904110000000003</v>
      </c>
      <c r="AA1222" s="5">
        <v>20</v>
      </c>
      <c r="AB1222" s="5">
        <v>698.08219999999994</v>
      </c>
      <c r="AC1222" s="5" t="str">
        <f t="shared" si="61"/>
        <v>Bonos</v>
      </c>
      <c r="AD1222" s="5" t="s">
        <v>43</v>
      </c>
      <c r="AE1222" s="5">
        <f t="shared" si="59"/>
        <v>10</v>
      </c>
      <c r="AF1222" s="5">
        <f t="shared" si="60"/>
        <v>2017</v>
      </c>
    </row>
    <row r="1223" s="5" customFormat="1" ht="13">
      <c r="A1223" s="5" t="s">
        <v>44</v>
      </c>
      <c r="B1223" s="5" t="s">
        <v>44</v>
      </c>
      <c r="C1223" s="5" t="s">
        <v>356</v>
      </c>
      <c r="D1223" s="5" t="s">
        <v>21</v>
      </c>
      <c r="E1223" s="5" t="s">
        <v>44</v>
      </c>
      <c r="F1223" s="5" t="s">
        <v>90</v>
      </c>
      <c r="G1223" s="5" t="s">
        <v>145</v>
      </c>
      <c r="H1223" s="9" t="s">
        <v>357</v>
      </c>
      <c r="I1223" s="10"/>
      <c r="J1223" s="10">
        <v>43103</v>
      </c>
      <c r="K1223" s="5" t="s">
        <v>77</v>
      </c>
      <c r="L1223" s="5" t="s">
        <v>58</v>
      </c>
      <c r="M1223" s="11">
        <v>0.12</v>
      </c>
      <c r="N1223" s="5" t="e">
        <f>IF(AND(M1223&gt;#REF!,Cartera!O1223="Guaraníes"),"Rendimiento significativo",IF(AND(M1223&gt;#REF!,Cartera!O1223="Dólares americanos"),"Rendimiento significativo","Rendimiento no significativo"))</f>
        <v>#REF!</v>
      </c>
      <c r="O1223" s="5" t="s">
        <v>41</v>
      </c>
      <c r="P1223" s="12">
        <v>3024657.5342000001</v>
      </c>
      <c r="Q1223" s="12">
        <f>IF(O1223="Guaraníes",P1223,P1223*#REF!)</f>
        <v>3024657.5342000001</v>
      </c>
      <c r="R1223" s="12" t="e">
        <f>IF(O1223="Guaraníes",P1223/#REF!,P1223)</f>
        <v>#REF!</v>
      </c>
      <c r="S1223" s="5" t="s">
        <v>52</v>
      </c>
      <c r="T1223" s="5">
        <v>1057</v>
      </c>
      <c r="W1223" s="5" t="s">
        <v>65</v>
      </c>
      <c r="X1223" s="5">
        <v>0</v>
      </c>
      <c r="Y1223" s="5">
        <v>0</v>
      </c>
      <c r="Z1223" s="5">
        <v>30246.575342</v>
      </c>
      <c r="AA1223" s="5">
        <v>100</v>
      </c>
      <c r="AB1223" s="5">
        <v>3024657.5342000001</v>
      </c>
      <c r="AC1223" s="5" t="str">
        <f t="shared" si="61"/>
        <v>Bonos</v>
      </c>
      <c r="AD1223" s="5" t="s">
        <v>43</v>
      </c>
      <c r="AE1223" s="5">
        <f t="shared" si="59"/>
        <v>1</v>
      </c>
      <c r="AF1223" s="5">
        <f t="shared" si="60"/>
        <v>2018</v>
      </c>
    </row>
    <row r="1224" s="5" customFormat="1" ht="13">
      <c r="A1224" s="5" t="s">
        <v>44</v>
      </c>
      <c r="B1224" s="5" t="s">
        <v>44</v>
      </c>
      <c r="C1224" s="5" t="s">
        <v>356</v>
      </c>
      <c r="D1224" s="5" t="s">
        <v>21</v>
      </c>
      <c r="E1224" s="5" t="s">
        <v>44</v>
      </c>
      <c r="F1224" s="5" t="s">
        <v>90</v>
      </c>
      <c r="G1224" s="5" t="s">
        <v>145</v>
      </c>
      <c r="H1224" s="9" t="s">
        <v>357</v>
      </c>
      <c r="I1224" s="10"/>
      <c r="J1224" s="10">
        <v>43193</v>
      </c>
      <c r="K1224" s="5" t="s">
        <v>77</v>
      </c>
      <c r="L1224" s="5" t="s">
        <v>58</v>
      </c>
      <c r="M1224" s="11">
        <v>0.12</v>
      </c>
      <c r="N1224" s="5" t="e">
        <f>IF(AND(M1224&gt;#REF!,Cartera!O1224="Guaraníes"),"Rendimiento significativo",IF(AND(M1224&gt;#REF!,Cartera!O1224="Dólares americanos"),"Rendimiento significativo","Rendimiento no significativo"))</f>
        <v>#REF!</v>
      </c>
      <c r="O1224" s="5" t="s">
        <v>41</v>
      </c>
      <c r="P1224" s="12">
        <v>2958904.1096000001</v>
      </c>
      <c r="Q1224" s="12">
        <f>IF(O1224="Guaraníes",P1224,P1224*#REF!)</f>
        <v>2958904.1096000001</v>
      </c>
      <c r="R1224" s="12" t="e">
        <f>IF(O1224="Guaraníes",P1224/#REF!,P1224)</f>
        <v>#REF!</v>
      </c>
      <c r="S1224" s="5" t="s">
        <v>52</v>
      </c>
      <c r="T1224" s="5">
        <v>1057</v>
      </c>
      <c r="W1224" s="5" t="s">
        <v>65</v>
      </c>
      <c r="X1224" s="5">
        <v>0</v>
      </c>
      <c r="Y1224" s="5">
        <v>0</v>
      </c>
      <c r="Z1224" s="5">
        <v>29589.041096000001</v>
      </c>
      <c r="AA1224" s="5">
        <v>100</v>
      </c>
      <c r="AB1224" s="5">
        <v>2958904.1096000001</v>
      </c>
      <c r="AC1224" s="5" t="str">
        <f t="shared" si="61"/>
        <v>Bonos</v>
      </c>
      <c r="AD1224" s="5" t="s">
        <v>43</v>
      </c>
      <c r="AE1224" s="5">
        <f t="shared" si="59"/>
        <v>4</v>
      </c>
      <c r="AF1224" s="5">
        <f t="shared" si="60"/>
        <v>2018</v>
      </c>
    </row>
    <row r="1225" s="5" customFormat="1" ht="13">
      <c r="A1225" s="5" t="s">
        <v>44</v>
      </c>
      <c r="B1225" s="5" t="s">
        <v>44</v>
      </c>
      <c r="C1225" s="5" t="s">
        <v>33</v>
      </c>
      <c r="D1225" s="5" t="s">
        <v>21</v>
      </c>
      <c r="E1225" s="5" t="s">
        <v>44</v>
      </c>
      <c r="F1225" s="5" t="s">
        <v>35</v>
      </c>
      <c r="G1225" s="5" t="s">
        <v>145</v>
      </c>
      <c r="H1225" s="9" t="s">
        <v>358</v>
      </c>
      <c r="I1225" s="10"/>
      <c r="J1225" s="10">
        <v>43215</v>
      </c>
      <c r="K1225" s="5" t="s">
        <v>39</v>
      </c>
      <c r="L1225" s="5" t="s">
        <v>50</v>
      </c>
      <c r="M1225" s="11">
        <v>0.0625</v>
      </c>
      <c r="N1225" s="5" t="e">
        <f>IF(AND(M1225&gt;#REF!,Cartera!O1225="Guaraníes"),"Rendimiento significativo",IF(AND(M1225&gt;#REF!,Cartera!O1225="Dólares americanos"),"Rendimiento significativo","Rendimiento no significativo"))</f>
        <v>#REF!</v>
      </c>
      <c r="O1225" s="5" t="s">
        <v>51</v>
      </c>
      <c r="P1225" s="13">
        <v>701.91779999999994</v>
      </c>
      <c r="Q1225" s="12" t="e">
        <f>IF(O1225="Guaraníes",P1225,P1225*#REF!)</f>
        <v>#REF!</v>
      </c>
      <c r="R1225" s="12">
        <f>IF(O1225="Guaraníes",P1225/#REF!,P1225)</f>
        <v>701.91779999999994</v>
      </c>
      <c r="S1225" s="5" t="s">
        <v>52</v>
      </c>
      <c r="T1225" s="5">
        <v>1057</v>
      </c>
      <c r="W1225" s="5" t="s">
        <v>65</v>
      </c>
      <c r="X1225" s="5">
        <v>0</v>
      </c>
      <c r="Y1225" s="5">
        <v>0</v>
      </c>
      <c r="Z1225" s="5">
        <v>35.095889999999997</v>
      </c>
      <c r="AA1225" s="5">
        <v>20</v>
      </c>
      <c r="AB1225" s="5">
        <v>701.91780000000006</v>
      </c>
      <c r="AC1225" s="5" t="str">
        <f t="shared" si="61"/>
        <v>Bonos</v>
      </c>
      <c r="AD1225" s="5" t="s">
        <v>43</v>
      </c>
      <c r="AE1225" s="5">
        <f t="shared" si="59"/>
        <v>4</v>
      </c>
      <c r="AF1225" s="5">
        <f t="shared" si="60"/>
        <v>2018</v>
      </c>
    </row>
    <row r="1226" s="5" customFormat="1" ht="13">
      <c r="A1226" s="5" t="s">
        <v>44</v>
      </c>
      <c r="B1226" s="5" t="s">
        <v>44</v>
      </c>
      <c r="C1226" s="5" t="s">
        <v>356</v>
      </c>
      <c r="D1226" s="5" t="s">
        <v>21</v>
      </c>
      <c r="E1226" s="5" t="s">
        <v>44</v>
      </c>
      <c r="F1226" s="5" t="s">
        <v>90</v>
      </c>
      <c r="G1226" s="5" t="s">
        <v>145</v>
      </c>
      <c r="H1226" s="9" t="s">
        <v>357</v>
      </c>
      <c r="I1226" s="10"/>
      <c r="J1226" s="10">
        <v>43285</v>
      </c>
      <c r="K1226" s="5" t="s">
        <v>77</v>
      </c>
      <c r="L1226" s="5" t="s">
        <v>58</v>
      </c>
      <c r="M1226" s="11">
        <v>0.12</v>
      </c>
      <c r="N1226" s="5" t="e">
        <f>IF(AND(M1226&gt;#REF!,Cartera!O1226="Guaraníes"),"Rendimiento significativo",IF(AND(M1226&gt;#REF!,Cartera!O1226="Dólares americanos"),"Rendimiento significativo","Rendimiento no significativo"))</f>
        <v>#REF!</v>
      </c>
      <c r="O1226" s="5" t="s">
        <v>41</v>
      </c>
      <c r="P1226" s="12">
        <v>3024657.5342000001</v>
      </c>
      <c r="Q1226" s="12">
        <f>IF(O1226="Guaraníes",P1226,P1226*#REF!)</f>
        <v>3024657.5342000001</v>
      </c>
      <c r="R1226" s="12" t="e">
        <f>IF(O1226="Guaraníes",P1226/#REF!,P1226)</f>
        <v>#REF!</v>
      </c>
      <c r="S1226" s="5" t="s">
        <v>52</v>
      </c>
      <c r="T1226" s="5">
        <v>1057</v>
      </c>
      <c r="W1226" s="5" t="s">
        <v>65</v>
      </c>
      <c r="X1226" s="5">
        <v>0</v>
      </c>
      <c r="Y1226" s="5">
        <v>0</v>
      </c>
      <c r="Z1226" s="5">
        <v>30246.575342</v>
      </c>
      <c r="AA1226" s="5">
        <v>100</v>
      </c>
      <c r="AB1226" s="5">
        <v>3024657.5342000001</v>
      </c>
      <c r="AC1226" s="5" t="str">
        <f t="shared" si="61"/>
        <v>Bonos</v>
      </c>
      <c r="AD1226" s="5" t="s">
        <v>43</v>
      </c>
      <c r="AE1226" s="5">
        <f t="shared" si="59"/>
        <v>7</v>
      </c>
      <c r="AF1226" s="5">
        <f t="shared" si="60"/>
        <v>2018</v>
      </c>
    </row>
    <row r="1227" s="5" customFormat="1" ht="13">
      <c r="A1227" s="5" t="s">
        <v>44</v>
      </c>
      <c r="B1227" s="5" t="s">
        <v>44</v>
      </c>
      <c r="C1227" s="5" t="s">
        <v>356</v>
      </c>
      <c r="D1227" s="5" t="s">
        <v>21</v>
      </c>
      <c r="E1227" s="5" t="s">
        <v>44</v>
      </c>
      <c r="F1227" s="5" t="s">
        <v>90</v>
      </c>
      <c r="G1227" s="5" t="s">
        <v>145</v>
      </c>
      <c r="H1227" s="9" t="s">
        <v>357</v>
      </c>
      <c r="I1227" s="10"/>
      <c r="J1227" s="10">
        <v>43375</v>
      </c>
      <c r="K1227" s="5" t="s">
        <v>77</v>
      </c>
      <c r="L1227" s="5" t="s">
        <v>58</v>
      </c>
      <c r="M1227" s="11">
        <v>0.12</v>
      </c>
      <c r="N1227" s="5" t="e">
        <f>IF(AND(M1227&gt;#REF!,Cartera!O1227="Guaraníes"),"Rendimiento significativo",IF(AND(M1227&gt;#REF!,Cartera!O1227="Dólares americanos"),"Rendimiento significativo","Rendimiento no significativo"))</f>
        <v>#REF!</v>
      </c>
      <c r="O1227" s="5" t="s">
        <v>41</v>
      </c>
      <c r="P1227" s="12">
        <v>2958904.1096000001</v>
      </c>
      <c r="Q1227" s="12">
        <f>IF(O1227="Guaraníes",P1227,P1227*#REF!)</f>
        <v>2958904.1096000001</v>
      </c>
      <c r="R1227" s="12" t="e">
        <f>IF(O1227="Guaraníes",P1227/#REF!,P1227)</f>
        <v>#REF!</v>
      </c>
      <c r="S1227" s="5" t="s">
        <v>52</v>
      </c>
      <c r="T1227" s="5">
        <v>1057</v>
      </c>
      <c r="W1227" s="5" t="s">
        <v>65</v>
      </c>
      <c r="X1227" s="5">
        <v>0</v>
      </c>
      <c r="Y1227" s="5">
        <v>0</v>
      </c>
      <c r="Z1227" s="5">
        <v>29589.041096000001</v>
      </c>
      <c r="AA1227" s="5">
        <v>100</v>
      </c>
      <c r="AB1227" s="5">
        <v>2958904.1096000001</v>
      </c>
      <c r="AC1227" s="5" t="str">
        <f t="shared" si="61"/>
        <v>Bonos</v>
      </c>
      <c r="AD1227" s="5" t="s">
        <v>43</v>
      </c>
      <c r="AE1227" s="5">
        <f t="shared" si="59"/>
        <v>10</v>
      </c>
      <c r="AF1227" s="5">
        <f t="shared" si="60"/>
        <v>2018</v>
      </c>
    </row>
    <row r="1228" s="5" customFormat="1" ht="13">
      <c r="A1228" s="5" t="s">
        <v>44</v>
      </c>
      <c r="B1228" s="5" t="s">
        <v>44</v>
      </c>
      <c r="C1228" s="5" t="s">
        <v>33</v>
      </c>
      <c r="D1228" s="5" t="s">
        <v>21</v>
      </c>
      <c r="E1228" s="5" t="s">
        <v>44</v>
      </c>
      <c r="F1228" s="5" t="s">
        <v>35</v>
      </c>
      <c r="G1228" s="5" t="s">
        <v>145</v>
      </c>
      <c r="H1228" s="9" t="s">
        <v>358</v>
      </c>
      <c r="I1228" s="10"/>
      <c r="J1228" s="10">
        <v>43397</v>
      </c>
      <c r="K1228" s="5" t="s">
        <v>39</v>
      </c>
      <c r="L1228" s="5" t="s">
        <v>50</v>
      </c>
      <c r="M1228" s="11">
        <v>0.0625</v>
      </c>
      <c r="N1228" s="5" t="e">
        <f>IF(AND(M1228&gt;#REF!,Cartera!O1228="Guaraníes"),"Rendimiento significativo",IF(AND(M1228&gt;#REF!,Cartera!O1228="Dólares americanos"),"Rendimiento significativo","Rendimiento no significativo"))</f>
        <v>#REF!</v>
      </c>
      <c r="O1228" s="5" t="s">
        <v>51</v>
      </c>
      <c r="P1228" s="13">
        <v>698.08220000000006</v>
      </c>
      <c r="Q1228" s="12" t="e">
        <f>IF(O1228="Guaraníes",P1228,P1228*#REF!)</f>
        <v>#REF!</v>
      </c>
      <c r="R1228" s="12">
        <f>IF(O1228="Guaraníes",P1228/#REF!,P1228)</f>
        <v>698.08220000000006</v>
      </c>
      <c r="S1228" s="5" t="s">
        <v>52</v>
      </c>
      <c r="T1228" s="5">
        <v>1057</v>
      </c>
      <c r="W1228" s="5" t="s">
        <v>65</v>
      </c>
      <c r="X1228" s="5">
        <v>0</v>
      </c>
      <c r="Y1228" s="5">
        <v>0</v>
      </c>
      <c r="Z1228" s="5">
        <v>34.904110000000003</v>
      </c>
      <c r="AA1228" s="5">
        <v>20</v>
      </c>
      <c r="AB1228" s="5">
        <v>698.08219999999994</v>
      </c>
      <c r="AC1228" s="5" t="str">
        <f t="shared" si="61"/>
        <v>Bonos</v>
      </c>
      <c r="AD1228" s="5" t="s">
        <v>43</v>
      </c>
      <c r="AE1228" s="5">
        <f t="shared" si="59"/>
        <v>10</v>
      </c>
      <c r="AF1228" s="5">
        <f t="shared" si="60"/>
        <v>2018</v>
      </c>
    </row>
    <row r="1229" s="5" customFormat="1" ht="13">
      <c r="A1229" s="5" t="s">
        <v>44</v>
      </c>
      <c r="B1229" s="5" t="s">
        <v>44</v>
      </c>
      <c r="C1229" s="5" t="s">
        <v>45</v>
      </c>
      <c r="D1229" s="5" t="s">
        <v>21</v>
      </c>
      <c r="E1229" s="5" t="s">
        <v>44</v>
      </c>
      <c r="F1229" s="5" t="s">
        <v>46</v>
      </c>
      <c r="G1229" s="5" t="s">
        <v>145</v>
      </c>
      <c r="H1229" s="9" t="s">
        <v>359</v>
      </c>
      <c r="I1229" s="10"/>
      <c r="J1229" s="10">
        <v>43426</v>
      </c>
      <c r="K1229" s="5" t="s">
        <v>49</v>
      </c>
      <c r="L1229" s="5" t="s">
        <v>50</v>
      </c>
      <c r="M1229" s="11">
        <v>0.070000000000000007</v>
      </c>
      <c r="N1229" s="5" t="e">
        <f>IF(AND(M1229&gt;#REF!,Cartera!O1229="Guaraníes"),"Rendimiento significativo",IF(AND(M1229&gt;#REF!,Cartera!O1229="Dólares americanos"),"Rendimiento significativo","Rendimiento no significativo"))</f>
        <v>#REF!</v>
      </c>
      <c r="O1229" s="5" t="s">
        <v>51</v>
      </c>
      <c r="P1229" s="13">
        <v>149.58904000000001</v>
      </c>
      <c r="Q1229" s="12" t="e">
        <f>IF(O1229="Guaraníes",P1229,P1229*#REF!)</f>
        <v>#REF!</v>
      </c>
      <c r="R1229" s="12">
        <f>IF(O1229="Guaraníes",P1229/#REF!,P1229)</f>
        <v>149.58904000000001</v>
      </c>
      <c r="S1229" s="5" t="s">
        <v>52</v>
      </c>
      <c r="T1229" s="5">
        <v>1057</v>
      </c>
      <c r="W1229" s="5" t="s">
        <v>65</v>
      </c>
      <c r="X1229" s="5">
        <v>0</v>
      </c>
      <c r="Y1229" s="5">
        <v>0</v>
      </c>
      <c r="Z1229" s="5">
        <v>14.958904</v>
      </c>
      <c r="AA1229" s="5">
        <v>10</v>
      </c>
      <c r="AB1229" s="5">
        <v>149.58904000000001</v>
      </c>
      <c r="AC1229" s="5" t="str">
        <f t="shared" si="61"/>
        <v>Bonos</v>
      </c>
      <c r="AD1229" s="5" t="s">
        <v>43</v>
      </c>
      <c r="AE1229" s="5">
        <f t="shared" si="59"/>
        <v>11</v>
      </c>
      <c r="AF1229" s="5">
        <f t="shared" si="60"/>
        <v>2018</v>
      </c>
    </row>
    <row r="1230" s="5" customFormat="1" ht="13">
      <c r="A1230" s="5" t="s">
        <v>44</v>
      </c>
      <c r="B1230" s="5" t="s">
        <v>44</v>
      </c>
      <c r="C1230" s="5" t="s">
        <v>143</v>
      </c>
      <c r="D1230" s="5" t="s">
        <v>21</v>
      </c>
      <c r="E1230" s="5" t="s">
        <v>44</v>
      </c>
      <c r="F1230" s="5" t="s">
        <v>144</v>
      </c>
      <c r="G1230" s="5" t="s">
        <v>145</v>
      </c>
      <c r="H1230" s="9" t="s">
        <v>146</v>
      </c>
      <c r="I1230" s="10"/>
      <c r="J1230" s="10">
        <v>43462</v>
      </c>
      <c r="K1230" s="5" t="s">
        <v>49</v>
      </c>
      <c r="L1230" s="5" t="s">
        <v>106</v>
      </c>
      <c r="M1230" s="11">
        <v>0.060999999999999999</v>
      </c>
      <c r="N1230" s="5" t="e">
        <f>IF(AND(M1230&gt;#REF!,Cartera!O1230="Guaraníes"),"Rendimiento significativo",IF(AND(M1230&gt;#REF!,Cartera!O1230="Dólares americanos"),"Rendimiento significativo","Rendimiento no significativo"))</f>
        <v>#REF!</v>
      </c>
      <c r="O1230" s="5" t="s">
        <v>51</v>
      </c>
      <c r="P1230" s="13">
        <v>153.75344000000001</v>
      </c>
      <c r="Q1230" s="12" t="e">
        <f>IF(O1230="Guaraníes",P1230,P1230*#REF!)</f>
        <v>#REF!</v>
      </c>
      <c r="R1230" s="12">
        <f>IF(O1230="Guaraníes",P1230/#REF!,P1230)</f>
        <v>153.75344000000001</v>
      </c>
      <c r="S1230" s="5" t="s">
        <v>52</v>
      </c>
      <c r="T1230" s="5">
        <v>1057</v>
      </c>
      <c r="W1230" s="5" t="s">
        <v>65</v>
      </c>
      <c r="X1230" s="5">
        <v>0</v>
      </c>
      <c r="Y1230" s="5">
        <v>0</v>
      </c>
      <c r="Z1230" s="5">
        <v>3.843836</v>
      </c>
      <c r="AA1230" s="5">
        <v>40</v>
      </c>
      <c r="AB1230" s="5">
        <v>153.75344000000001</v>
      </c>
      <c r="AC1230" s="5" t="str">
        <f t="shared" si="61"/>
        <v>Bonos</v>
      </c>
      <c r="AD1230" s="5" t="s">
        <v>43</v>
      </c>
      <c r="AE1230" s="5">
        <f t="shared" si="59"/>
        <v>12</v>
      </c>
      <c r="AF1230" s="5">
        <f t="shared" si="60"/>
        <v>2018</v>
      </c>
    </row>
    <row r="1231" s="5" customFormat="1" ht="13">
      <c r="A1231" s="5" t="s">
        <v>44</v>
      </c>
      <c r="B1231" s="5" t="s">
        <v>44</v>
      </c>
      <c r="C1231" s="5" t="s">
        <v>356</v>
      </c>
      <c r="D1231" s="5" t="s">
        <v>21</v>
      </c>
      <c r="E1231" s="5" t="s">
        <v>44</v>
      </c>
      <c r="F1231" s="5" t="s">
        <v>90</v>
      </c>
      <c r="G1231" s="5" t="s">
        <v>145</v>
      </c>
      <c r="H1231" s="9" t="s">
        <v>357</v>
      </c>
      <c r="I1231" s="10"/>
      <c r="J1231" s="10">
        <v>43468</v>
      </c>
      <c r="K1231" s="5" t="s">
        <v>77</v>
      </c>
      <c r="L1231" s="5" t="s">
        <v>58</v>
      </c>
      <c r="M1231" s="11">
        <v>0.12</v>
      </c>
      <c r="N1231" s="5" t="e">
        <f>IF(AND(M1231&gt;#REF!,Cartera!O1231="Guaraníes"),"Rendimiento significativo",IF(AND(M1231&gt;#REF!,Cartera!O1231="Dólares americanos"),"Rendimiento significativo","Rendimiento no significativo"))</f>
        <v>#REF!</v>
      </c>
      <c r="O1231" s="5" t="s">
        <v>41</v>
      </c>
      <c r="P1231" s="12">
        <v>3057534.2465999997</v>
      </c>
      <c r="Q1231" s="12">
        <f>IF(O1231="Guaraníes",P1231,P1231*#REF!)</f>
        <v>3057534.2465999997</v>
      </c>
      <c r="R1231" s="12" t="e">
        <f>IF(O1231="Guaraníes",P1231/#REF!,P1231)</f>
        <v>#REF!</v>
      </c>
      <c r="S1231" s="5" t="s">
        <v>52</v>
      </c>
      <c r="T1231" s="5">
        <v>1057</v>
      </c>
      <c r="W1231" s="5" t="s">
        <v>65</v>
      </c>
      <c r="X1231" s="5">
        <v>0</v>
      </c>
      <c r="Y1231" s="5">
        <v>0</v>
      </c>
      <c r="Z1231" s="5">
        <v>30575.342465999998</v>
      </c>
      <c r="AA1231" s="5">
        <v>100</v>
      </c>
      <c r="AB1231" s="5">
        <v>3057534.2466000002</v>
      </c>
      <c r="AC1231" s="5" t="str">
        <f t="shared" si="61"/>
        <v>Bonos</v>
      </c>
      <c r="AD1231" s="5" t="s">
        <v>43</v>
      </c>
      <c r="AE1231" s="5">
        <f t="shared" si="59"/>
        <v>1</v>
      </c>
      <c r="AF1231" s="5">
        <f t="shared" si="60"/>
        <v>2019</v>
      </c>
    </row>
    <row r="1232" s="5" customFormat="1" ht="13">
      <c r="A1232" s="5" t="s">
        <v>44</v>
      </c>
      <c r="B1232" s="5" t="s">
        <v>44</v>
      </c>
      <c r="C1232" s="5" t="s">
        <v>143</v>
      </c>
      <c r="D1232" s="5" t="s">
        <v>21</v>
      </c>
      <c r="E1232" s="5" t="s">
        <v>44</v>
      </c>
      <c r="F1232" s="5" t="s">
        <v>144</v>
      </c>
      <c r="G1232" s="5" t="s">
        <v>145</v>
      </c>
      <c r="H1232" s="9" t="s">
        <v>146</v>
      </c>
      <c r="I1232" s="10"/>
      <c r="J1232" s="10">
        <v>43496</v>
      </c>
      <c r="K1232" s="5" t="s">
        <v>49</v>
      </c>
      <c r="L1232" s="5" t="s">
        <v>106</v>
      </c>
      <c r="M1232" s="11">
        <v>0.060999999999999999</v>
      </c>
      <c r="N1232" s="5" t="e">
        <f>IF(AND(M1232&gt;#REF!,Cartera!O1232="Guaraníes"),"Rendimiento significativo",IF(AND(M1232&gt;#REF!,Cartera!O1232="Dólares americanos"),"Rendimiento significativo","Rendimiento no significativo"))</f>
        <v>#REF!</v>
      </c>
      <c r="O1232" s="5" t="s">
        <v>51</v>
      </c>
      <c r="P1232" s="13">
        <v>227.28767999999999</v>
      </c>
      <c r="Q1232" s="12" t="e">
        <f>IF(O1232="Guaraníes",P1232,P1232*#REF!)</f>
        <v>#REF!</v>
      </c>
      <c r="R1232" s="12">
        <f>IF(O1232="Guaraníes",P1232/#REF!,P1232)</f>
        <v>227.28767999999999</v>
      </c>
      <c r="S1232" s="5" t="s">
        <v>52</v>
      </c>
      <c r="T1232" s="5">
        <v>1057</v>
      </c>
      <c r="W1232" s="5" t="s">
        <v>65</v>
      </c>
      <c r="X1232" s="5">
        <v>0</v>
      </c>
      <c r="Y1232" s="5">
        <v>0</v>
      </c>
      <c r="Z1232" s="5">
        <v>5.6821919999999997</v>
      </c>
      <c r="AA1232" s="5">
        <v>40</v>
      </c>
      <c r="AB1232" s="5">
        <v>227.28767999999999</v>
      </c>
      <c r="AC1232" s="5" t="str">
        <f t="shared" si="61"/>
        <v>Bonos</v>
      </c>
      <c r="AD1232" s="5" t="s">
        <v>43</v>
      </c>
      <c r="AE1232" s="5">
        <f t="shared" si="59"/>
        <v>1</v>
      </c>
      <c r="AF1232" s="5">
        <f t="shared" si="60"/>
        <v>2019</v>
      </c>
    </row>
    <row r="1233" s="5" customFormat="1" ht="13">
      <c r="A1233" s="5" t="s">
        <v>44</v>
      </c>
      <c r="B1233" s="5" t="s">
        <v>44</v>
      </c>
      <c r="C1233" s="5" t="s">
        <v>45</v>
      </c>
      <c r="D1233" s="5" t="s">
        <v>21</v>
      </c>
      <c r="E1233" s="5" t="s">
        <v>44</v>
      </c>
      <c r="F1233" s="5" t="s">
        <v>46</v>
      </c>
      <c r="G1233" s="5" t="s">
        <v>145</v>
      </c>
      <c r="H1233" s="9" t="s">
        <v>359</v>
      </c>
      <c r="I1233" s="10"/>
      <c r="J1233" s="10">
        <v>43517</v>
      </c>
      <c r="K1233" s="5" t="s">
        <v>49</v>
      </c>
      <c r="L1233" s="5" t="s">
        <v>50</v>
      </c>
      <c r="M1233" s="11">
        <v>0.070000000000000007</v>
      </c>
      <c r="N1233" s="5" t="e">
        <f>IF(AND(M1233&gt;#REF!,Cartera!O1233="Guaraníes"),"Rendimiento significativo",IF(AND(M1233&gt;#REF!,Cartera!O1233="Dólares americanos"),"Rendimiento significativo","Rendimiento no significativo"))</f>
        <v>#REF!</v>
      </c>
      <c r="O1233" s="5" t="s">
        <v>51</v>
      </c>
      <c r="P1233" s="13">
        <v>149.58904000000001</v>
      </c>
      <c r="Q1233" s="12" t="e">
        <f>IF(O1233="Guaraníes",P1233,P1233*#REF!)</f>
        <v>#REF!</v>
      </c>
      <c r="R1233" s="12">
        <f>IF(O1233="Guaraníes",P1233/#REF!,P1233)</f>
        <v>149.58904000000001</v>
      </c>
      <c r="S1233" s="5" t="s">
        <v>52</v>
      </c>
      <c r="T1233" s="5">
        <v>1057</v>
      </c>
      <c r="W1233" s="5" t="s">
        <v>65</v>
      </c>
      <c r="X1233" s="5">
        <v>0</v>
      </c>
      <c r="Y1233" s="5">
        <v>0</v>
      </c>
      <c r="Z1233" s="5">
        <v>14.958904</v>
      </c>
      <c r="AA1233" s="5">
        <v>10</v>
      </c>
      <c r="AB1233" s="5">
        <v>149.58904000000001</v>
      </c>
      <c r="AC1233" s="5" t="str">
        <f t="shared" si="61"/>
        <v>Bonos</v>
      </c>
      <c r="AD1233" s="5" t="s">
        <v>43</v>
      </c>
      <c r="AE1233" s="5">
        <f t="shared" si="59"/>
        <v>2</v>
      </c>
      <c r="AF1233" s="5">
        <f t="shared" si="60"/>
        <v>2019</v>
      </c>
    </row>
    <row r="1234" s="5" customFormat="1" ht="13">
      <c r="A1234" s="5" t="s">
        <v>44</v>
      </c>
      <c r="B1234" s="5" t="s">
        <v>44</v>
      </c>
      <c r="C1234" s="5" t="s">
        <v>143</v>
      </c>
      <c r="D1234" s="5" t="s">
        <v>21</v>
      </c>
      <c r="E1234" s="5" t="s">
        <v>44</v>
      </c>
      <c r="F1234" s="5" t="s">
        <v>144</v>
      </c>
      <c r="G1234" s="5" t="s">
        <v>145</v>
      </c>
      <c r="H1234" s="9" t="s">
        <v>146</v>
      </c>
      <c r="I1234" s="10"/>
      <c r="J1234" s="10">
        <v>43524</v>
      </c>
      <c r="K1234" s="5" t="s">
        <v>49</v>
      </c>
      <c r="L1234" s="5" t="s">
        <v>106</v>
      </c>
      <c r="M1234" s="11">
        <v>0.060999999999999999</v>
      </c>
      <c r="N1234" s="5" t="e">
        <f>IF(AND(M1234&gt;#REF!,Cartera!O1234="Guaraníes"),"Rendimiento significativo",IF(AND(M1234&gt;#REF!,Cartera!O1234="Dólares americanos"),"Rendimiento significativo","Rendimiento no significativo"))</f>
        <v>#REF!</v>
      </c>
      <c r="O1234" s="5" t="s">
        <v>51</v>
      </c>
      <c r="P1234" s="13">
        <v>187.17808000000002</v>
      </c>
      <c r="Q1234" s="12" t="e">
        <f>IF(O1234="Guaraníes",P1234,P1234*#REF!)</f>
        <v>#REF!</v>
      </c>
      <c r="R1234" s="12">
        <f>IF(O1234="Guaraníes",P1234/#REF!,P1234)</f>
        <v>187.17808000000002</v>
      </c>
      <c r="S1234" s="5" t="s">
        <v>52</v>
      </c>
      <c r="T1234" s="5">
        <v>1057</v>
      </c>
      <c r="W1234" s="5" t="s">
        <v>65</v>
      </c>
      <c r="X1234" s="5">
        <v>0</v>
      </c>
      <c r="Y1234" s="5">
        <v>0</v>
      </c>
      <c r="Z1234" s="5">
        <v>4.6794520000000004</v>
      </c>
      <c r="AA1234" s="5">
        <v>40</v>
      </c>
      <c r="AB1234" s="5">
        <v>187.17807999999999</v>
      </c>
      <c r="AC1234" s="5" t="str">
        <f t="shared" si="61"/>
        <v>Bonos</v>
      </c>
      <c r="AD1234" s="5" t="s">
        <v>43</v>
      </c>
      <c r="AE1234" s="5">
        <f t="shared" ref="AE1234:AE1297" si="62">IFERROR((MONTH(J1234)),0)</f>
        <v>2</v>
      </c>
      <c r="AF1234" s="5">
        <f t="shared" ref="AF1234:AF1297" si="63">IFERROR((YEAR(J1234)),0)</f>
        <v>2019</v>
      </c>
    </row>
    <row r="1235" s="5" customFormat="1" ht="13">
      <c r="A1235" s="5" t="s">
        <v>44</v>
      </c>
      <c r="B1235" s="5" t="s">
        <v>44</v>
      </c>
      <c r="C1235" s="5" t="s">
        <v>143</v>
      </c>
      <c r="D1235" s="5" t="s">
        <v>21</v>
      </c>
      <c r="E1235" s="5" t="s">
        <v>44</v>
      </c>
      <c r="F1235" s="5" t="s">
        <v>144</v>
      </c>
      <c r="G1235" s="5" t="s">
        <v>145</v>
      </c>
      <c r="H1235" s="9" t="s">
        <v>272</v>
      </c>
      <c r="I1235" s="10">
        <v>43532</v>
      </c>
      <c r="J1235" s="10">
        <v>43553</v>
      </c>
      <c r="K1235" s="5" t="s">
        <v>49</v>
      </c>
      <c r="L1235" s="5" t="s">
        <v>106</v>
      </c>
      <c r="M1235" s="11">
        <v>0.057500000000000002</v>
      </c>
      <c r="N1235" s="5" t="e">
        <f>IF(AND(M1235&gt;#REF!,Cartera!O1235="Guaraníes"),"Rendimiento significativo",IF(AND(M1235&gt;#REF!,Cartera!O1235="Dólares americanos"),"Rendimiento significativo","Rendimiento no significativo"))</f>
        <v>#REF!</v>
      </c>
      <c r="O1235" s="5" t="s">
        <v>51</v>
      </c>
      <c r="P1235" s="13">
        <v>45.684930000000001</v>
      </c>
      <c r="Q1235" s="12" t="e">
        <f>IF(O1235="Guaraníes",P1235,P1235*#REF!)</f>
        <v>#REF!</v>
      </c>
      <c r="R1235" s="12">
        <f>IF(O1235="Guaraníes",P1235/#REF!,P1235)</f>
        <v>45.684930000000001</v>
      </c>
      <c r="S1235" s="5" t="s">
        <v>52</v>
      </c>
      <c r="T1235" s="5">
        <v>1057</v>
      </c>
      <c r="W1235" s="5" t="s">
        <v>65</v>
      </c>
      <c r="X1235" s="5">
        <v>0</v>
      </c>
      <c r="Y1235" s="5">
        <v>0</v>
      </c>
      <c r="Z1235" s="5">
        <v>4.5684930000000001</v>
      </c>
      <c r="AA1235" s="5">
        <v>10</v>
      </c>
      <c r="AB1235" s="5">
        <v>45.684930000000001</v>
      </c>
      <c r="AC1235" s="5" t="str">
        <f t="shared" si="61"/>
        <v>Bonos</v>
      </c>
      <c r="AD1235" s="5" t="s">
        <v>43</v>
      </c>
      <c r="AE1235" s="5">
        <f t="shared" si="62"/>
        <v>3</v>
      </c>
      <c r="AF1235" s="5">
        <f t="shared" si="63"/>
        <v>2019</v>
      </c>
    </row>
    <row r="1236" s="5" customFormat="1" ht="13">
      <c r="A1236" s="5" t="s">
        <v>44</v>
      </c>
      <c r="B1236" s="5" t="s">
        <v>44</v>
      </c>
      <c r="C1236" s="5" t="s">
        <v>143</v>
      </c>
      <c r="D1236" s="5" t="s">
        <v>21</v>
      </c>
      <c r="E1236" s="5" t="s">
        <v>44</v>
      </c>
      <c r="F1236" s="5" t="s">
        <v>144</v>
      </c>
      <c r="G1236" s="5" t="s">
        <v>145</v>
      </c>
      <c r="H1236" s="9" t="s">
        <v>146</v>
      </c>
      <c r="I1236" s="10"/>
      <c r="J1236" s="10">
        <v>43553</v>
      </c>
      <c r="K1236" s="5" t="s">
        <v>49</v>
      </c>
      <c r="L1236" s="5" t="s">
        <v>106</v>
      </c>
      <c r="M1236" s="11">
        <v>0.060999999999999999</v>
      </c>
      <c r="N1236" s="5" t="e">
        <f>IF(AND(M1236&gt;#REF!,Cartera!O1236="Guaraníes"),"Rendimiento significativo",IF(AND(M1236&gt;#REF!,Cartera!O1236="Dólares americanos"),"Rendimiento significativo","Rendimiento no significativo"))</f>
        <v>#REF!</v>
      </c>
      <c r="O1236" s="5" t="s">
        <v>51</v>
      </c>
      <c r="P1236" s="13">
        <v>193.863</v>
      </c>
      <c r="Q1236" s="12" t="e">
        <f>IF(O1236="Guaraníes",P1236,P1236*#REF!)</f>
        <v>#REF!</v>
      </c>
      <c r="R1236" s="12">
        <f>IF(O1236="Guaraníes",P1236/#REF!,P1236)</f>
        <v>193.863</v>
      </c>
      <c r="S1236" s="5" t="s">
        <v>52</v>
      </c>
      <c r="T1236" s="5">
        <v>1057</v>
      </c>
      <c r="W1236" s="5" t="s">
        <v>65</v>
      </c>
      <c r="X1236" s="5">
        <v>0</v>
      </c>
      <c r="Y1236" s="5">
        <v>0</v>
      </c>
      <c r="Z1236" s="5">
        <v>4.8465749999999996</v>
      </c>
      <c r="AA1236" s="5">
        <v>40</v>
      </c>
      <c r="AB1236" s="5">
        <v>193.863</v>
      </c>
      <c r="AC1236" s="5" t="str">
        <f t="shared" si="61"/>
        <v>Bonos</v>
      </c>
      <c r="AD1236" s="5" t="s">
        <v>43</v>
      </c>
      <c r="AE1236" s="5">
        <f t="shared" si="62"/>
        <v>3</v>
      </c>
      <c r="AF1236" s="5">
        <f t="shared" si="63"/>
        <v>2019</v>
      </c>
    </row>
    <row r="1237" s="5" customFormat="1" ht="13">
      <c r="A1237" s="5" t="s">
        <v>44</v>
      </c>
      <c r="B1237" s="5" t="s">
        <v>44</v>
      </c>
      <c r="C1237" s="5" t="s">
        <v>356</v>
      </c>
      <c r="D1237" s="5" t="s">
        <v>21</v>
      </c>
      <c r="E1237" s="5" t="s">
        <v>44</v>
      </c>
      <c r="F1237" s="5" t="s">
        <v>90</v>
      </c>
      <c r="G1237" s="5" t="s">
        <v>145</v>
      </c>
      <c r="H1237" s="9" t="s">
        <v>357</v>
      </c>
      <c r="I1237" s="10"/>
      <c r="J1237" s="10">
        <v>43558</v>
      </c>
      <c r="K1237" s="5" t="s">
        <v>77</v>
      </c>
      <c r="L1237" s="5" t="s">
        <v>58</v>
      </c>
      <c r="M1237" s="11">
        <v>0.12</v>
      </c>
      <c r="N1237" s="5" t="e">
        <f>IF(AND(M1237&gt;#REF!,Cartera!O1237="Guaraníes"),"Rendimiento significativo",IF(AND(M1237&gt;#REF!,Cartera!O1237="Dólares americanos"),"Rendimiento significativo","Rendimiento no significativo"))</f>
        <v>#REF!</v>
      </c>
      <c r="O1237" s="5" t="s">
        <v>41</v>
      </c>
      <c r="P1237" s="12">
        <v>2958904.1096000001</v>
      </c>
      <c r="Q1237" s="12">
        <f>IF(O1237="Guaraníes",P1237,P1237*#REF!)</f>
        <v>2958904.1096000001</v>
      </c>
      <c r="R1237" s="12" t="e">
        <f>IF(O1237="Guaraníes",P1237/#REF!,P1237)</f>
        <v>#REF!</v>
      </c>
      <c r="S1237" s="5" t="s">
        <v>52</v>
      </c>
      <c r="T1237" s="5">
        <v>1057</v>
      </c>
      <c r="W1237" s="5" t="s">
        <v>65</v>
      </c>
      <c r="X1237" s="5">
        <v>0</v>
      </c>
      <c r="Y1237" s="5">
        <v>0</v>
      </c>
      <c r="Z1237" s="5">
        <v>29589.041096000001</v>
      </c>
      <c r="AA1237" s="5">
        <v>100</v>
      </c>
      <c r="AB1237" s="5">
        <v>2958904.1096000001</v>
      </c>
      <c r="AC1237" s="5" t="str">
        <f t="shared" si="61"/>
        <v>Bonos</v>
      </c>
      <c r="AD1237" s="5" t="s">
        <v>43</v>
      </c>
      <c r="AE1237" s="5">
        <f t="shared" si="62"/>
        <v>4</v>
      </c>
      <c r="AF1237" s="5">
        <f t="shared" si="63"/>
        <v>2019</v>
      </c>
    </row>
    <row r="1238" s="5" customFormat="1" ht="13">
      <c r="A1238" s="5">
        <v>12312</v>
      </c>
      <c r="B1238" s="5" t="s">
        <v>360</v>
      </c>
      <c r="C1238" s="5" t="s">
        <v>361</v>
      </c>
      <c r="D1238" s="5" t="s">
        <v>20</v>
      </c>
      <c r="E1238" s="5" t="s">
        <v>34</v>
      </c>
      <c r="F1238" s="5" t="s">
        <v>362</v>
      </c>
      <c r="G1238" s="5" t="s">
        <v>145</v>
      </c>
      <c r="H1238" s="9" t="s">
        <v>151</v>
      </c>
      <c r="I1238" s="10" t="s">
        <v>152</v>
      </c>
      <c r="J1238" s="10" t="s">
        <v>152</v>
      </c>
      <c r="K1238" s="5" t="s">
        <v>153</v>
      </c>
      <c r="L1238" s="5" t="s">
        <v>151</v>
      </c>
      <c r="M1238" s="11">
        <v>0.062199999999999998</v>
      </c>
      <c r="N1238" s="5" t="e">
        <f>IF(AND(M1238&gt;#REF!,Cartera!O1238="Guaraníes"),"Rendimiento significativo",IF(AND(M1238&gt;#REF!,Cartera!O1238="Dólares americanos"),"Rendimiento significativo","Rendimiento no significativo"))</f>
        <v>#REF!</v>
      </c>
      <c r="O1238" s="5" t="s">
        <v>41</v>
      </c>
      <c r="P1238" s="12">
        <v>138533339</v>
      </c>
      <c r="Q1238" s="12">
        <f>IF(O1238="Guaraníes",P1238,P1238*#REF!)</f>
        <v>138533339</v>
      </c>
      <c r="R1238" s="13" t="e">
        <f>IF(O1238="Guaraníes",P1238/#REF!,P1238)</f>
        <v>#REF!</v>
      </c>
      <c r="S1238" s="5" t="s">
        <v>120</v>
      </c>
      <c r="AC1238" s="5" t="str">
        <f t="shared" si="61"/>
        <v>Fondo</v>
      </c>
      <c r="AD1238" s="5" t="s">
        <v>43</v>
      </c>
      <c r="AE1238" s="5">
        <f t="shared" si="62"/>
        <v>0</v>
      </c>
      <c r="AF1238" s="5">
        <f t="shared" si="63"/>
        <v>0</v>
      </c>
    </row>
    <row r="1239" s="5" customFormat="1" ht="13">
      <c r="A1239" s="5" t="s">
        <v>44</v>
      </c>
      <c r="B1239" s="5" t="s">
        <v>44</v>
      </c>
      <c r="C1239" s="5" t="s">
        <v>33</v>
      </c>
      <c r="D1239" s="5" t="s">
        <v>21</v>
      </c>
      <c r="E1239" s="5" t="s">
        <v>44</v>
      </c>
      <c r="F1239" s="5" t="s">
        <v>35</v>
      </c>
      <c r="G1239" s="5" t="s">
        <v>145</v>
      </c>
      <c r="H1239" s="9" t="s">
        <v>358</v>
      </c>
      <c r="I1239" s="10"/>
      <c r="J1239" s="10">
        <v>43580</v>
      </c>
      <c r="K1239" s="5" t="s">
        <v>39</v>
      </c>
      <c r="L1239" s="5" t="s">
        <v>50</v>
      </c>
      <c r="M1239" s="11">
        <v>0.0625</v>
      </c>
      <c r="N1239" s="5" t="e">
        <f>IF(AND(M1239&gt;#REF!,Cartera!O1239="Guaraníes"),"Rendimiento significativo",IF(AND(M1239&gt;#REF!,Cartera!O1239="Dólares americanos"),"Rendimiento significativo","Rendimiento no significativo"))</f>
        <v>#REF!</v>
      </c>
      <c r="O1239" s="5" t="s">
        <v>51</v>
      </c>
      <c r="P1239" s="13">
        <v>701.91779999999994</v>
      </c>
      <c r="Q1239" s="12" t="e">
        <f>IF(O1239="Guaraníes",P1239,P1239*#REF!)</f>
        <v>#REF!</v>
      </c>
      <c r="R1239" s="12">
        <f>IF(O1239="Guaraníes",P1239/#REF!,P1239)</f>
        <v>701.91779999999994</v>
      </c>
      <c r="S1239" s="5" t="s">
        <v>52</v>
      </c>
      <c r="T1239" s="5">
        <v>1057</v>
      </c>
      <c r="W1239" s="5" t="s">
        <v>65</v>
      </c>
      <c r="X1239" s="5">
        <v>0</v>
      </c>
      <c r="Y1239" s="5">
        <v>0</v>
      </c>
      <c r="Z1239" s="5">
        <v>35.095889999999997</v>
      </c>
      <c r="AA1239" s="5">
        <v>20</v>
      </c>
      <c r="AB1239" s="5">
        <v>701.91780000000006</v>
      </c>
      <c r="AC1239" s="5" t="str">
        <f t="shared" si="61"/>
        <v>Bonos</v>
      </c>
      <c r="AD1239" s="5" t="s">
        <v>43</v>
      </c>
      <c r="AE1239" s="5">
        <f t="shared" si="62"/>
        <v>4</v>
      </c>
      <c r="AF1239" s="5">
        <f t="shared" si="63"/>
        <v>2019</v>
      </c>
    </row>
    <row r="1240" s="5" customFormat="1" ht="13">
      <c r="A1240" s="5" t="s">
        <v>44</v>
      </c>
      <c r="B1240" s="5" t="s">
        <v>44</v>
      </c>
      <c r="C1240" s="5" t="s">
        <v>143</v>
      </c>
      <c r="D1240" s="5" t="s">
        <v>21</v>
      </c>
      <c r="E1240" s="5" t="s">
        <v>44</v>
      </c>
      <c r="F1240" s="5" t="s">
        <v>144</v>
      </c>
      <c r="G1240" s="5" t="s">
        <v>145</v>
      </c>
      <c r="H1240" s="9" t="s">
        <v>272</v>
      </c>
      <c r="I1240" s="10">
        <v>43532</v>
      </c>
      <c r="J1240" s="10">
        <v>43585</v>
      </c>
      <c r="K1240" s="5" t="s">
        <v>49</v>
      </c>
      <c r="L1240" s="5" t="s">
        <v>106</v>
      </c>
      <c r="M1240" s="11">
        <v>0.057500000000000002</v>
      </c>
      <c r="N1240" s="5" t="e">
        <f>IF(AND(M1240&gt;#REF!,Cartera!O1240="Guaraníes"),"Rendimiento significativo",IF(AND(M1240&gt;#REF!,Cartera!O1240="Dólares americanos"),"Rendimiento significativo","Rendimiento no significativo"))</f>
        <v>#REF!</v>
      </c>
      <c r="O1240" s="5" t="s">
        <v>51</v>
      </c>
      <c r="P1240" s="13">
        <v>50.410959999999996</v>
      </c>
      <c r="Q1240" s="12" t="e">
        <f>IF(O1240="Guaraníes",P1240,P1240*#REF!)</f>
        <v>#REF!</v>
      </c>
      <c r="R1240" s="12">
        <f>IF(O1240="Guaraníes",P1240/#REF!,P1240)</f>
        <v>50.410959999999996</v>
      </c>
      <c r="S1240" s="5" t="s">
        <v>52</v>
      </c>
      <c r="T1240" s="5">
        <v>1057</v>
      </c>
      <c r="W1240" s="5" t="s">
        <v>65</v>
      </c>
      <c r="X1240" s="5">
        <v>0</v>
      </c>
      <c r="Y1240" s="5">
        <v>0</v>
      </c>
      <c r="Z1240" s="5">
        <v>5.0410959999999996</v>
      </c>
      <c r="AA1240" s="5">
        <v>10</v>
      </c>
      <c r="AB1240" s="5">
        <v>50.410960000000003</v>
      </c>
      <c r="AC1240" s="5" t="str">
        <f t="shared" si="61"/>
        <v>Bonos</v>
      </c>
      <c r="AD1240" s="5" t="s">
        <v>43</v>
      </c>
      <c r="AE1240" s="5">
        <f t="shared" si="62"/>
        <v>4</v>
      </c>
      <c r="AF1240" s="5">
        <f t="shared" si="63"/>
        <v>2019</v>
      </c>
    </row>
    <row r="1241" s="5" customFormat="1" ht="13">
      <c r="A1241" s="5" t="s">
        <v>44</v>
      </c>
      <c r="B1241" s="5" t="s">
        <v>44</v>
      </c>
      <c r="C1241" s="5" t="s">
        <v>143</v>
      </c>
      <c r="D1241" s="5" t="s">
        <v>21</v>
      </c>
      <c r="E1241" s="5" t="s">
        <v>44</v>
      </c>
      <c r="F1241" s="5" t="s">
        <v>144</v>
      </c>
      <c r="G1241" s="5" t="s">
        <v>145</v>
      </c>
      <c r="H1241" s="9" t="s">
        <v>146</v>
      </c>
      <c r="I1241" s="10"/>
      <c r="J1241" s="10">
        <v>43585</v>
      </c>
      <c r="K1241" s="5" t="s">
        <v>49</v>
      </c>
      <c r="L1241" s="5" t="s">
        <v>106</v>
      </c>
      <c r="M1241" s="11">
        <v>0.060999999999999999</v>
      </c>
      <c r="N1241" s="5" t="e">
        <f>IF(AND(M1241&gt;#REF!,Cartera!O1241="Guaraníes"),"Rendimiento significativo",IF(AND(M1241&gt;#REF!,Cartera!O1241="Dólares americanos"),"Rendimiento significativo","Rendimiento no significativo"))</f>
        <v>#REF!</v>
      </c>
      <c r="O1241" s="5" t="s">
        <v>51</v>
      </c>
      <c r="P1241" s="13">
        <v>213.9178</v>
      </c>
      <c r="Q1241" s="12" t="e">
        <f>IF(O1241="Guaraníes",P1241,P1241*#REF!)</f>
        <v>#REF!</v>
      </c>
      <c r="R1241" s="12">
        <f>IF(O1241="Guaraníes",P1241/#REF!,P1241)</f>
        <v>213.9178</v>
      </c>
      <c r="S1241" s="5" t="s">
        <v>52</v>
      </c>
      <c r="T1241" s="5">
        <v>1057</v>
      </c>
      <c r="W1241" s="5" t="s">
        <v>65</v>
      </c>
      <c r="X1241" s="5">
        <v>0</v>
      </c>
      <c r="Y1241" s="5">
        <v>0</v>
      </c>
      <c r="Z1241" s="5">
        <v>5.3479450000000002</v>
      </c>
      <c r="AA1241" s="5">
        <v>40</v>
      </c>
      <c r="AB1241" s="5">
        <v>213.9178</v>
      </c>
      <c r="AC1241" s="5" t="str">
        <f t="shared" si="61"/>
        <v>Bonos</v>
      </c>
      <c r="AD1241" s="5" t="s">
        <v>43</v>
      </c>
      <c r="AE1241" s="5">
        <f t="shared" si="62"/>
        <v>4</v>
      </c>
      <c r="AF1241" s="5">
        <f t="shared" si="63"/>
        <v>2019</v>
      </c>
    </row>
    <row r="1242" s="5" customFormat="1" ht="13">
      <c r="A1242" s="5" t="s">
        <v>44</v>
      </c>
      <c r="B1242" s="5" t="s">
        <v>44</v>
      </c>
      <c r="C1242" s="5" t="s">
        <v>45</v>
      </c>
      <c r="D1242" s="5" t="s">
        <v>21</v>
      </c>
      <c r="E1242" s="5" t="s">
        <v>44</v>
      </c>
      <c r="F1242" s="5" t="s">
        <v>46</v>
      </c>
      <c r="G1242" s="5" t="s">
        <v>145</v>
      </c>
      <c r="H1242" s="9" t="s">
        <v>359</v>
      </c>
      <c r="I1242" s="10"/>
      <c r="J1242" s="10">
        <v>43608</v>
      </c>
      <c r="K1242" s="5" t="s">
        <v>49</v>
      </c>
      <c r="L1242" s="5" t="s">
        <v>50</v>
      </c>
      <c r="M1242" s="11">
        <v>0.070000000000000007</v>
      </c>
      <c r="N1242" s="5" t="e">
        <f>IF(AND(M1242&gt;#REF!,Cartera!O1242="Guaraníes"),"Rendimiento significativo",IF(AND(M1242&gt;#REF!,Cartera!O1242="Dólares americanos"),"Rendimiento significativo","Rendimiento no significativo"))</f>
        <v>#REF!</v>
      </c>
      <c r="O1242" s="5" t="s">
        <v>51</v>
      </c>
      <c r="P1242" s="13">
        <v>149.58904000000001</v>
      </c>
      <c r="Q1242" s="12" t="e">
        <f>IF(O1242="Guaraníes",P1242,P1242*#REF!)</f>
        <v>#REF!</v>
      </c>
      <c r="R1242" s="12">
        <f>IF(O1242="Guaraníes",P1242/#REF!,P1242)</f>
        <v>149.58904000000001</v>
      </c>
      <c r="S1242" s="5" t="s">
        <v>52</v>
      </c>
      <c r="T1242" s="5">
        <v>1057</v>
      </c>
      <c r="W1242" s="5" t="s">
        <v>65</v>
      </c>
      <c r="X1242" s="5">
        <v>0</v>
      </c>
      <c r="Y1242" s="5">
        <v>0</v>
      </c>
      <c r="Z1242" s="5">
        <v>14.958904</v>
      </c>
      <c r="AA1242" s="5">
        <v>10</v>
      </c>
      <c r="AB1242" s="5">
        <v>149.58904000000001</v>
      </c>
      <c r="AC1242" s="5" t="str">
        <f t="shared" si="61"/>
        <v>Bonos</v>
      </c>
      <c r="AD1242" s="5" t="s">
        <v>43</v>
      </c>
      <c r="AE1242" s="5">
        <f t="shared" si="62"/>
        <v>5</v>
      </c>
      <c r="AF1242" s="5">
        <f t="shared" si="63"/>
        <v>2019</v>
      </c>
    </row>
    <row r="1243" s="5" customFormat="1" ht="13">
      <c r="A1243" s="5" t="s">
        <v>44</v>
      </c>
      <c r="B1243" s="5" t="s">
        <v>44</v>
      </c>
      <c r="C1243" s="5" t="s">
        <v>143</v>
      </c>
      <c r="D1243" s="5" t="s">
        <v>21</v>
      </c>
      <c r="E1243" s="5" t="s">
        <v>44</v>
      </c>
      <c r="F1243" s="5" t="s">
        <v>144</v>
      </c>
      <c r="G1243" s="5" t="s">
        <v>145</v>
      </c>
      <c r="H1243" s="9" t="s">
        <v>272</v>
      </c>
      <c r="I1243" s="10">
        <v>43532</v>
      </c>
      <c r="J1243" s="10">
        <v>43616</v>
      </c>
      <c r="K1243" s="5" t="s">
        <v>49</v>
      </c>
      <c r="L1243" s="5" t="s">
        <v>106</v>
      </c>
      <c r="M1243" s="11">
        <v>0.057500000000000002</v>
      </c>
      <c r="N1243" s="5" t="e">
        <f>IF(AND(M1243&gt;#REF!,Cartera!O1243="Guaraníes"),"Rendimiento significativo",IF(AND(M1243&gt;#REF!,Cartera!O1243="Dólares americanos"),"Rendimiento significativo","Rendimiento no significativo"))</f>
        <v>#REF!</v>
      </c>
      <c r="O1243" s="5" t="s">
        <v>51</v>
      </c>
      <c r="P1243" s="13">
        <v>48.835620000000006</v>
      </c>
      <c r="Q1243" s="12" t="e">
        <f>IF(O1243="Guaraníes",P1243,P1243*#REF!)</f>
        <v>#REF!</v>
      </c>
      <c r="R1243" s="12">
        <f>IF(O1243="Guaraníes",P1243/#REF!,P1243)</f>
        <v>48.835620000000006</v>
      </c>
      <c r="S1243" s="5" t="s">
        <v>52</v>
      </c>
      <c r="T1243" s="5">
        <v>1057</v>
      </c>
      <c r="W1243" s="5" t="s">
        <v>65</v>
      </c>
      <c r="X1243" s="5">
        <v>0</v>
      </c>
      <c r="Y1243" s="5">
        <v>0</v>
      </c>
      <c r="Z1243" s="5">
        <v>4.8835620000000004</v>
      </c>
      <c r="AA1243" s="5">
        <v>10</v>
      </c>
      <c r="AB1243" s="5">
        <v>48.835619999999999</v>
      </c>
      <c r="AC1243" s="5" t="str">
        <f t="shared" si="61"/>
        <v>Bonos</v>
      </c>
      <c r="AD1243" s="5" t="s">
        <v>43</v>
      </c>
      <c r="AE1243" s="5">
        <f t="shared" si="62"/>
        <v>5</v>
      </c>
      <c r="AF1243" s="5">
        <f t="shared" si="63"/>
        <v>2019</v>
      </c>
    </row>
    <row r="1244" s="5" customFormat="1" ht="13">
      <c r="A1244" s="5" t="s">
        <v>44</v>
      </c>
      <c r="B1244" s="5" t="s">
        <v>44</v>
      </c>
      <c r="C1244" s="5" t="s">
        <v>143</v>
      </c>
      <c r="D1244" s="5" t="s">
        <v>21</v>
      </c>
      <c r="E1244" s="5" t="s">
        <v>44</v>
      </c>
      <c r="F1244" s="5" t="s">
        <v>144</v>
      </c>
      <c r="G1244" s="5" t="s">
        <v>145</v>
      </c>
      <c r="H1244" s="9" t="s">
        <v>146</v>
      </c>
      <c r="I1244" s="10"/>
      <c r="J1244" s="10">
        <v>43616</v>
      </c>
      <c r="K1244" s="5" t="s">
        <v>49</v>
      </c>
      <c r="L1244" s="5" t="s">
        <v>106</v>
      </c>
      <c r="M1244" s="11">
        <v>0.060999999999999999</v>
      </c>
      <c r="N1244" s="5" t="e">
        <f>IF(AND(M1244&gt;#REF!,Cartera!O1244="Guaraníes"),"Rendimiento significativo",IF(AND(M1244&gt;#REF!,Cartera!O1244="Dólares americanos"),"Rendimiento significativo","Rendimiento no significativo"))</f>
        <v>#REF!</v>
      </c>
      <c r="O1244" s="5" t="s">
        <v>51</v>
      </c>
      <c r="P1244" s="13">
        <v>207.23287999999999</v>
      </c>
      <c r="Q1244" s="12" t="e">
        <f>IF(O1244="Guaraníes",P1244,P1244*#REF!)</f>
        <v>#REF!</v>
      </c>
      <c r="R1244" s="12">
        <f>IF(O1244="Guaraníes",P1244/#REF!,P1244)</f>
        <v>207.23287999999999</v>
      </c>
      <c r="S1244" s="5" t="s">
        <v>52</v>
      </c>
      <c r="T1244" s="5">
        <v>1057</v>
      </c>
      <c r="W1244" s="5" t="s">
        <v>65</v>
      </c>
      <c r="X1244" s="5">
        <v>0</v>
      </c>
      <c r="Y1244" s="5">
        <v>0</v>
      </c>
      <c r="Z1244" s="5">
        <v>5.180822</v>
      </c>
      <c r="AA1244" s="5">
        <v>40</v>
      </c>
      <c r="AB1244" s="5">
        <v>207.23287999999999</v>
      </c>
      <c r="AC1244" s="5" t="str">
        <f t="shared" si="61"/>
        <v>Bonos</v>
      </c>
      <c r="AD1244" s="5" t="s">
        <v>43</v>
      </c>
      <c r="AE1244" s="5">
        <f t="shared" si="62"/>
        <v>5</v>
      </c>
      <c r="AF1244" s="5">
        <f t="shared" si="63"/>
        <v>2019</v>
      </c>
    </row>
    <row r="1245" s="5" customFormat="1" ht="13">
      <c r="A1245" s="5" t="s">
        <v>44</v>
      </c>
      <c r="B1245" s="5" t="s">
        <v>44</v>
      </c>
      <c r="C1245" s="5" t="s">
        <v>304</v>
      </c>
      <c r="D1245" s="5" t="s">
        <v>21</v>
      </c>
      <c r="E1245" s="5" t="s">
        <v>44</v>
      </c>
      <c r="F1245" s="5" t="s">
        <v>68</v>
      </c>
      <c r="G1245" s="5" t="s">
        <v>145</v>
      </c>
      <c r="H1245" s="9" t="s">
        <v>363</v>
      </c>
      <c r="I1245" s="10"/>
      <c r="J1245" s="10">
        <v>43627</v>
      </c>
      <c r="K1245" s="5" t="s">
        <v>39</v>
      </c>
      <c r="L1245" s="5" t="s">
        <v>58</v>
      </c>
      <c r="M1245" s="11">
        <v>0.089999999999999997</v>
      </c>
      <c r="N1245" s="5" t="e">
        <f>IF(AND(M1245&gt;#REF!,Cartera!O1245="Guaraníes"),"Rendimiento significativo",IF(AND(M1245&gt;#REF!,Cartera!O1245="Dólares americanos"),"Rendimiento significativo","Rendimiento no significativo"))</f>
        <v>#REF!</v>
      </c>
      <c r="O1245" s="5" t="s">
        <v>41</v>
      </c>
      <c r="P1245" s="12">
        <v>8975342.4656000007</v>
      </c>
      <c r="Q1245" s="12">
        <f>IF(O1245="Guaraníes",P1245,P1245*#REF!)</f>
        <v>8975342.4656000007</v>
      </c>
      <c r="R1245" s="12" t="e">
        <f>IF(O1245="Guaraníes",P1245/#REF!,P1245)</f>
        <v>#REF!</v>
      </c>
      <c r="S1245" s="5" t="s">
        <v>52</v>
      </c>
      <c r="T1245" s="5">
        <v>1057</v>
      </c>
      <c r="W1245" s="5" t="s">
        <v>65</v>
      </c>
      <c r="X1245" s="5">
        <v>0</v>
      </c>
      <c r="Y1245" s="5">
        <v>0</v>
      </c>
      <c r="Z1245" s="5">
        <v>22438.356164000001</v>
      </c>
      <c r="AA1245" s="5">
        <v>400</v>
      </c>
      <c r="AB1245" s="5">
        <v>8975342.4656000007</v>
      </c>
      <c r="AC1245" s="5" t="str">
        <f t="shared" si="61"/>
        <v>Bonos</v>
      </c>
      <c r="AD1245" s="5" t="s">
        <v>43</v>
      </c>
      <c r="AE1245" s="5">
        <f t="shared" si="62"/>
        <v>6</v>
      </c>
      <c r="AF1245" s="5">
        <f t="shared" si="63"/>
        <v>2019</v>
      </c>
    </row>
    <row r="1246" s="5" customFormat="1" ht="13">
      <c r="A1246" s="5" t="s">
        <v>44</v>
      </c>
      <c r="B1246" s="5" t="s">
        <v>44</v>
      </c>
      <c r="C1246" s="5" t="s">
        <v>304</v>
      </c>
      <c r="D1246" s="5" t="s">
        <v>21</v>
      </c>
      <c r="E1246" s="5" t="s">
        <v>44</v>
      </c>
      <c r="F1246" s="5" t="s">
        <v>68</v>
      </c>
      <c r="G1246" s="5" t="s">
        <v>145</v>
      </c>
      <c r="H1246" s="9" t="s">
        <v>305</v>
      </c>
      <c r="I1246" s="10"/>
      <c r="J1246" s="10">
        <v>43643</v>
      </c>
      <c r="K1246" s="5" t="s">
        <v>39</v>
      </c>
      <c r="L1246" s="5" t="s">
        <v>58</v>
      </c>
      <c r="M1246" s="11">
        <v>0.089999999999999997</v>
      </c>
      <c r="N1246" s="5" t="e">
        <f>IF(AND(M1246&gt;#REF!,Cartera!O1246="Guaraníes"),"Rendimiento significativo",IF(AND(M1246&gt;#REF!,Cartera!O1246="Dólares americanos"),"Rendimiento significativo","Rendimiento no significativo"))</f>
        <v>#REF!</v>
      </c>
      <c r="O1246" s="5" t="s">
        <v>41</v>
      </c>
      <c r="P1246" s="12">
        <v>673150.68492000003</v>
      </c>
      <c r="Q1246" s="12">
        <f>IF(O1246="Guaraníes",P1246,P1246*#REF!)</f>
        <v>673150.68492000003</v>
      </c>
      <c r="R1246" s="12" t="e">
        <f>IF(O1246="Guaraníes",P1246/#REF!,P1246)</f>
        <v>#REF!</v>
      </c>
      <c r="S1246" s="5" t="s">
        <v>52</v>
      </c>
      <c r="T1246" s="5">
        <v>1057</v>
      </c>
      <c r="W1246" s="5" t="s">
        <v>65</v>
      </c>
      <c r="X1246" s="5">
        <v>0</v>
      </c>
      <c r="Y1246" s="5">
        <v>0</v>
      </c>
      <c r="Z1246" s="5">
        <v>22438.356164000001</v>
      </c>
      <c r="AA1246" s="5">
        <v>30</v>
      </c>
      <c r="AB1246" s="5">
        <v>673150.68492000003</v>
      </c>
      <c r="AC1246" s="5" t="str">
        <f t="shared" si="61"/>
        <v>Bonos</v>
      </c>
      <c r="AD1246" s="5" t="s">
        <v>43</v>
      </c>
      <c r="AE1246" s="5">
        <f t="shared" si="62"/>
        <v>6</v>
      </c>
      <c r="AF1246" s="5">
        <f t="shared" si="63"/>
        <v>2019</v>
      </c>
    </row>
    <row r="1247" s="5" customFormat="1" ht="13">
      <c r="A1247" s="5" t="s">
        <v>44</v>
      </c>
      <c r="B1247" s="5" t="s">
        <v>44</v>
      </c>
      <c r="C1247" s="5" t="s">
        <v>143</v>
      </c>
      <c r="D1247" s="5" t="s">
        <v>21</v>
      </c>
      <c r="E1247" s="5" t="s">
        <v>44</v>
      </c>
      <c r="F1247" s="5" t="s">
        <v>144</v>
      </c>
      <c r="G1247" s="5" t="s">
        <v>145</v>
      </c>
      <c r="H1247" s="9" t="s">
        <v>272</v>
      </c>
      <c r="I1247" s="10">
        <v>43532</v>
      </c>
      <c r="J1247" s="10">
        <v>43644</v>
      </c>
      <c r="K1247" s="5" t="s">
        <v>49</v>
      </c>
      <c r="L1247" s="5" t="s">
        <v>106</v>
      </c>
      <c r="M1247" s="11">
        <v>0.057500000000000002</v>
      </c>
      <c r="N1247" s="5" t="e">
        <f>IF(AND(M1247&gt;#REF!,Cartera!O1247="Guaraníes"),"Rendimiento significativo",IF(AND(M1247&gt;#REF!,Cartera!O1247="Dólares americanos"),"Rendimiento significativo","Rendimiento no significativo"))</f>
        <v>#REF!</v>
      </c>
      <c r="O1247" s="5" t="s">
        <v>51</v>
      </c>
      <c r="P1247" s="13">
        <v>44.109589999999997</v>
      </c>
      <c r="Q1247" s="12" t="e">
        <f>IF(O1247="Guaraníes",P1247,P1247*#REF!)</f>
        <v>#REF!</v>
      </c>
      <c r="R1247" s="12">
        <f>IF(O1247="Guaraníes",P1247/#REF!,P1247)</f>
        <v>44.109589999999997</v>
      </c>
      <c r="S1247" s="5" t="s">
        <v>52</v>
      </c>
      <c r="T1247" s="5">
        <v>1057</v>
      </c>
      <c r="W1247" s="5" t="s">
        <v>65</v>
      </c>
      <c r="X1247" s="5">
        <v>0</v>
      </c>
      <c r="Y1247" s="5">
        <v>0</v>
      </c>
      <c r="Z1247" s="5">
        <v>4.4109590000000001</v>
      </c>
      <c r="AA1247" s="5">
        <v>10</v>
      </c>
      <c r="AB1247" s="5">
        <v>44.109589999999997</v>
      </c>
      <c r="AC1247" s="5" t="str">
        <f t="shared" si="61"/>
        <v>Bonos</v>
      </c>
      <c r="AD1247" s="5" t="s">
        <v>43</v>
      </c>
      <c r="AE1247" s="5">
        <f t="shared" si="62"/>
        <v>6</v>
      </c>
      <c r="AF1247" s="5">
        <f t="shared" si="63"/>
        <v>2019</v>
      </c>
    </row>
    <row r="1248" s="5" customFormat="1" ht="13">
      <c r="A1248" s="5" t="s">
        <v>44</v>
      </c>
      <c r="B1248" s="5" t="s">
        <v>44</v>
      </c>
      <c r="C1248" s="5" t="s">
        <v>143</v>
      </c>
      <c r="D1248" s="5" t="s">
        <v>21</v>
      </c>
      <c r="E1248" s="5" t="s">
        <v>44</v>
      </c>
      <c r="F1248" s="5" t="s">
        <v>144</v>
      </c>
      <c r="G1248" s="5" t="s">
        <v>145</v>
      </c>
      <c r="H1248" s="9" t="s">
        <v>146</v>
      </c>
      <c r="I1248" s="10"/>
      <c r="J1248" s="10">
        <v>43644</v>
      </c>
      <c r="K1248" s="5" t="s">
        <v>49</v>
      </c>
      <c r="L1248" s="5" t="s">
        <v>106</v>
      </c>
      <c r="M1248" s="11">
        <v>0.060999999999999999</v>
      </c>
      <c r="N1248" s="5" t="e">
        <f>IF(AND(M1248&gt;#REF!,Cartera!O1248="Guaraníes"),"Rendimiento significativo",IF(AND(M1248&gt;#REF!,Cartera!O1248="Dólares americanos"),"Rendimiento significativo","Rendimiento no significativo"))</f>
        <v>#REF!</v>
      </c>
      <c r="O1248" s="5" t="s">
        <v>51</v>
      </c>
      <c r="P1248" s="13">
        <v>187.17808000000002</v>
      </c>
      <c r="Q1248" s="12" t="e">
        <f>IF(O1248="Guaraníes",P1248,P1248*#REF!)</f>
        <v>#REF!</v>
      </c>
      <c r="R1248" s="12">
        <f>IF(O1248="Guaraníes",P1248/#REF!,P1248)</f>
        <v>187.17808000000002</v>
      </c>
      <c r="S1248" s="5" t="s">
        <v>52</v>
      </c>
      <c r="T1248" s="5">
        <v>1057</v>
      </c>
      <c r="W1248" s="5" t="s">
        <v>65</v>
      </c>
      <c r="X1248" s="5">
        <v>0</v>
      </c>
      <c r="Y1248" s="5">
        <v>0</v>
      </c>
      <c r="Z1248" s="5">
        <v>4.6794520000000004</v>
      </c>
      <c r="AA1248" s="5">
        <v>40</v>
      </c>
      <c r="AB1248" s="5">
        <v>187.17807999999999</v>
      </c>
      <c r="AC1248" s="5" t="str">
        <f t="shared" si="61"/>
        <v>Bonos</v>
      </c>
      <c r="AD1248" s="5" t="s">
        <v>43</v>
      </c>
      <c r="AE1248" s="5">
        <f t="shared" si="62"/>
        <v>6</v>
      </c>
      <c r="AF1248" s="5">
        <f t="shared" si="63"/>
        <v>2019</v>
      </c>
    </row>
    <row r="1249" s="5" customFormat="1" ht="13">
      <c r="A1249" s="5" t="s">
        <v>44</v>
      </c>
      <c r="B1249" s="5" t="s">
        <v>44</v>
      </c>
      <c r="C1249" s="5" t="s">
        <v>164</v>
      </c>
      <c r="D1249" s="5" t="s">
        <v>21</v>
      </c>
      <c r="E1249" s="5" t="s">
        <v>44</v>
      </c>
      <c r="F1249" s="5" t="s">
        <v>68</v>
      </c>
      <c r="G1249" s="5" t="s">
        <v>145</v>
      </c>
      <c r="H1249" s="9" t="s">
        <v>165</v>
      </c>
      <c r="I1249" s="10"/>
      <c r="J1249" s="10">
        <v>43644</v>
      </c>
      <c r="K1249" s="5" t="s">
        <v>124</v>
      </c>
      <c r="L1249" s="5" t="s">
        <v>58</v>
      </c>
      <c r="M1249" s="11">
        <v>0.10000000000000001</v>
      </c>
      <c r="N1249" s="5" t="e">
        <f>IF(AND(M1249&gt;#REF!,Cartera!O1249="Guaraníes"),"Rendimiento significativo",IF(AND(M1249&gt;#REF!,Cartera!O1249="Dólares americanos"),"Rendimiento significativo","Rendimiento no significativo"))</f>
        <v>#REF!</v>
      </c>
      <c r="O1249" s="5" t="s">
        <v>41</v>
      </c>
      <c r="P1249" s="12">
        <v>1479452.0547000002</v>
      </c>
      <c r="Q1249" s="12">
        <f>IF(O1249="Guaraníes",P1249,P1249*#REF!)</f>
        <v>1479452.0547000002</v>
      </c>
      <c r="R1249" s="12" t="e">
        <f>IF(O1249="Guaraníes",P1249/#REF!,P1249)</f>
        <v>#REF!</v>
      </c>
      <c r="S1249" s="5" t="s">
        <v>52</v>
      </c>
      <c r="T1249" s="5">
        <v>1057</v>
      </c>
      <c r="W1249" s="5" t="s">
        <v>65</v>
      </c>
      <c r="X1249" s="5">
        <v>0</v>
      </c>
      <c r="Y1249" s="5">
        <v>0</v>
      </c>
      <c r="Z1249" s="5">
        <v>4931.5068490000003</v>
      </c>
      <c r="AA1249" s="5">
        <v>300</v>
      </c>
      <c r="AB1249" s="5">
        <v>1479452.0547</v>
      </c>
      <c r="AC1249" s="5" t="str">
        <f t="shared" si="61"/>
        <v>Bonos</v>
      </c>
      <c r="AD1249" s="5" t="s">
        <v>43</v>
      </c>
      <c r="AE1249" s="5">
        <f t="shared" si="62"/>
        <v>6</v>
      </c>
      <c r="AF1249" s="5">
        <f t="shared" si="63"/>
        <v>2019</v>
      </c>
    </row>
    <row r="1250" s="5" customFormat="1" ht="13">
      <c r="A1250" s="5" t="s">
        <v>44</v>
      </c>
      <c r="B1250" s="5" t="s">
        <v>44</v>
      </c>
      <c r="C1250" s="5" t="s">
        <v>356</v>
      </c>
      <c r="D1250" s="5" t="s">
        <v>21</v>
      </c>
      <c r="E1250" s="5" t="s">
        <v>44</v>
      </c>
      <c r="F1250" s="5" t="s">
        <v>90</v>
      </c>
      <c r="G1250" s="5" t="s">
        <v>145</v>
      </c>
      <c r="H1250" s="9" t="s">
        <v>357</v>
      </c>
      <c r="I1250" s="10"/>
      <c r="J1250" s="10">
        <v>43648</v>
      </c>
      <c r="K1250" s="5" t="s">
        <v>77</v>
      </c>
      <c r="L1250" s="5" t="s">
        <v>58</v>
      </c>
      <c r="M1250" s="11">
        <v>0.12</v>
      </c>
      <c r="N1250" s="5" t="e">
        <f>IF(AND(M1250&gt;#REF!,Cartera!O1250="Guaraníes"),"Rendimiento significativo",IF(AND(M1250&gt;#REF!,Cartera!O1250="Dólares americanos"),"Rendimiento significativo","Rendimiento no significativo"))</f>
        <v>#REF!</v>
      </c>
      <c r="O1250" s="5" t="s">
        <v>41</v>
      </c>
      <c r="P1250" s="12">
        <v>2958904.1096000001</v>
      </c>
      <c r="Q1250" s="12">
        <f>IF(O1250="Guaraníes",P1250,P1250*#REF!)</f>
        <v>2958904.1096000001</v>
      </c>
      <c r="R1250" s="12" t="e">
        <f>IF(O1250="Guaraníes",P1250/#REF!,P1250)</f>
        <v>#REF!</v>
      </c>
      <c r="S1250" s="5" t="s">
        <v>52</v>
      </c>
      <c r="T1250" s="5">
        <v>1057</v>
      </c>
      <c r="W1250" s="5" t="s">
        <v>65</v>
      </c>
      <c r="X1250" s="5">
        <v>0</v>
      </c>
      <c r="Y1250" s="5">
        <v>0</v>
      </c>
      <c r="Z1250" s="5">
        <v>29589.041096000001</v>
      </c>
      <c r="AA1250" s="5">
        <v>100</v>
      </c>
      <c r="AB1250" s="5">
        <v>2958904.1096000001</v>
      </c>
      <c r="AC1250" s="5" t="str">
        <f t="shared" si="61"/>
        <v>Bonos</v>
      </c>
      <c r="AD1250" s="5" t="s">
        <v>43</v>
      </c>
      <c r="AE1250" s="5">
        <f t="shared" si="62"/>
        <v>7</v>
      </c>
      <c r="AF1250" s="5">
        <f t="shared" si="63"/>
        <v>2019</v>
      </c>
    </row>
    <row r="1251" s="5" customFormat="1" ht="13">
      <c r="A1251" s="5" t="s">
        <v>44</v>
      </c>
      <c r="B1251" s="5" t="s">
        <v>44</v>
      </c>
      <c r="C1251" s="5" t="s">
        <v>143</v>
      </c>
      <c r="D1251" s="5" t="s">
        <v>21</v>
      </c>
      <c r="E1251" s="5" t="s">
        <v>44</v>
      </c>
      <c r="F1251" s="5" t="s">
        <v>144</v>
      </c>
      <c r="G1251" s="5" t="s">
        <v>145</v>
      </c>
      <c r="H1251" s="9" t="s">
        <v>272</v>
      </c>
      <c r="I1251" s="10">
        <v>43532</v>
      </c>
      <c r="J1251" s="10">
        <v>43677</v>
      </c>
      <c r="K1251" s="5" t="s">
        <v>49</v>
      </c>
      <c r="L1251" s="5" t="s">
        <v>106</v>
      </c>
      <c r="M1251" s="11">
        <v>0.057500000000000002</v>
      </c>
      <c r="N1251" s="5" t="e">
        <f>IF(AND(M1251&gt;#REF!,Cartera!O1251="Guaraníes"),"Rendimiento significativo",IF(AND(M1251&gt;#REF!,Cartera!O1251="Dólares americanos"),"Rendimiento significativo","Rendimiento no significativo"))</f>
        <v>#REF!</v>
      </c>
      <c r="O1251" s="5" t="s">
        <v>51</v>
      </c>
      <c r="P1251" s="13">
        <v>51.9863</v>
      </c>
      <c r="Q1251" s="12" t="e">
        <f>IF(O1251="Guaraníes",P1251,P1251*#REF!)</f>
        <v>#REF!</v>
      </c>
      <c r="R1251" s="12">
        <f>IF(O1251="Guaraníes",P1251/#REF!,P1251)</f>
        <v>51.9863</v>
      </c>
      <c r="S1251" s="5" t="s">
        <v>52</v>
      </c>
      <c r="T1251" s="5">
        <v>1057</v>
      </c>
      <c r="W1251" s="5" t="s">
        <v>65</v>
      </c>
      <c r="X1251" s="5">
        <v>0</v>
      </c>
      <c r="Y1251" s="5">
        <v>0</v>
      </c>
      <c r="Z1251" s="5">
        <v>5.1986299999999996</v>
      </c>
      <c r="AA1251" s="5">
        <v>10</v>
      </c>
      <c r="AB1251" s="5">
        <v>51.9863</v>
      </c>
      <c r="AC1251" s="5" t="str">
        <f t="shared" si="61"/>
        <v>Bonos</v>
      </c>
      <c r="AD1251" s="5" t="s">
        <v>43</v>
      </c>
      <c r="AE1251" s="5">
        <f t="shared" si="62"/>
        <v>7</v>
      </c>
      <c r="AF1251" s="5">
        <f t="shared" si="63"/>
        <v>2019</v>
      </c>
    </row>
    <row r="1252" s="5" customFormat="1" ht="13">
      <c r="A1252" s="5" t="s">
        <v>44</v>
      </c>
      <c r="B1252" s="5" t="s">
        <v>44</v>
      </c>
      <c r="C1252" s="5" t="s">
        <v>143</v>
      </c>
      <c r="D1252" s="5" t="s">
        <v>21</v>
      </c>
      <c r="E1252" s="5" t="s">
        <v>44</v>
      </c>
      <c r="F1252" s="5" t="s">
        <v>144</v>
      </c>
      <c r="G1252" s="5" t="s">
        <v>145</v>
      </c>
      <c r="H1252" s="9" t="s">
        <v>146</v>
      </c>
      <c r="I1252" s="10"/>
      <c r="J1252" s="10">
        <v>43677</v>
      </c>
      <c r="K1252" s="5" t="s">
        <v>49</v>
      </c>
      <c r="L1252" s="5" t="s">
        <v>106</v>
      </c>
      <c r="M1252" s="11">
        <v>0.060999999999999999</v>
      </c>
      <c r="N1252" s="5" t="e">
        <f>IF(AND(M1252&gt;#REF!,Cartera!O1252="Guaraníes"),"Rendimiento significativo",IF(AND(M1252&gt;#REF!,Cartera!O1252="Dólares americanos"),"Rendimiento significativo","Rendimiento no significativo"))</f>
        <v>#REF!</v>
      </c>
      <c r="O1252" s="5" t="s">
        <v>51</v>
      </c>
      <c r="P1252" s="13">
        <v>220.60272000000001</v>
      </c>
      <c r="Q1252" s="12" t="e">
        <f>IF(O1252="Guaraníes",P1252,P1252*#REF!)</f>
        <v>#REF!</v>
      </c>
      <c r="R1252" s="12">
        <f>IF(O1252="Guaraníes",P1252/#REF!,P1252)</f>
        <v>220.60272000000001</v>
      </c>
      <c r="S1252" s="5" t="s">
        <v>52</v>
      </c>
      <c r="T1252" s="5">
        <v>1057</v>
      </c>
      <c r="W1252" s="5" t="s">
        <v>65</v>
      </c>
      <c r="X1252" s="5">
        <v>0</v>
      </c>
      <c r="Y1252" s="5">
        <v>0</v>
      </c>
      <c r="Z1252" s="5">
        <v>5.5150680000000003</v>
      </c>
      <c r="AA1252" s="5">
        <v>40</v>
      </c>
      <c r="AB1252" s="5">
        <v>220.60272000000001</v>
      </c>
      <c r="AC1252" s="5" t="str">
        <f t="shared" si="61"/>
        <v>Bonos</v>
      </c>
      <c r="AD1252" s="5" t="s">
        <v>43</v>
      </c>
      <c r="AE1252" s="5">
        <f t="shared" si="62"/>
        <v>7</v>
      </c>
      <c r="AF1252" s="5">
        <f t="shared" si="63"/>
        <v>2019</v>
      </c>
    </row>
    <row r="1253" s="5" customFormat="1" ht="13">
      <c r="A1253" s="5" t="s">
        <v>44</v>
      </c>
      <c r="B1253" s="5" t="s">
        <v>44</v>
      </c>
      <c r="C1253" s="5" t="s">
        <v>164</v>
      </c>
      <c r="D1253" s="5" t="s">
        <v>21</v>
      </c>
      <c r="E1253" s="5" t="s">
        <v>44</v>
      </c>
      <c r="F1253" s="5" t="s">
        <v>68</v>
      </c>
      <c r="G1253" s="5" t="s">
        <v>145</v>
      </c>
      <c r="H1253" s="9" t="s">
        <v>165</v>
      </c>
      <c r="I1253" s="10"/>
      <c r="J1253" s="10">
        <v>43677</v>
      </c>
      <c r="K1253" s="5" t="s">
        <v>124</v>
      </c>
      <c r="L1253" s="5" t="s">
        <v>58</v>
      </c>
      <c r="M1253" s="11">
        <v>0.10000000000000001</v>
      </c>
      <c r="N1253" s="5" t="e">
        <f>IF(AND(M1253&gt;#REF!,Cartera!O1253="Guaraníes"),"Rendimiento significativo",IF(AND(M1253&gt;#REF!,Cartera!O1253="Dólares americanos"),"Rendimiento significativo","Rendimiento no significativo"))</f>
        <v>#REF!</v>
      </c>
      <c r="O1253" s="5" t="s">
        <v>41</v>
      </c>
      <c r="P1253" s="12">
        <v>2712328.767</v>
      </c>
      <c r="Q1253" s="12">
        <f>IF(O1253="Guaraníes",P1253,P1253*#REF!)</f>
        <v>2712328.767</v>
      </c>
      <c r="R1253" s="12" t="e">
        <f>IF(O1253="Guaraníes",P1253/#REF!,P1253)</f>
        <v>#REF!</v>
      </c>
      <c r="S1253" s="5" t="s">
        <v>52</v>
      </c>
      <c r="T1253" s="5">
        <v>1057</v>
      </c>
      <c r="W1253" s="5" t="s">
        <v>65</v>
      </c>
      <c r="X1253" s="5">
        <v>0</v>
      </c>
      <c r="Y1253" s="5">
        <v>0</v>
      </c>
      <c r="Z1253" s="5">
        <v>9041.0958900000005</v>
      </c>
      <c r="AA1253" s="5">
        <v>300</v>
      </c>
      <c r="AB1253" s="5">
        <v>2712328.767</v>
      </c>
      <c r="AC1253" s="5" t="str">
        <f t="shared" si="61"/>
        <v>Bonos</v>
      </c>
      <c r="AD1253" s="5" t="s">
        <v>43</v>
      </c>
      <c r="AE1253" s="5">
        <f t="shared" si="62"/>
        <v>7</v>
      </c>
      <c r="AF1253" s="5">
        <f t="shared" si="63"/>
        <v>2019</v>
      </c>
    </row>
    <row r="1254" s="5" customFormat="1" ht="13">
      <c r="A1254" s="5" t="s">
        <v>44</v>
      </c>
      <c r="B1254" s="5" t="s">
        <v>44</v>
      </c>
      <c r="C1254" s="5" t="s">
        <v>45</v>
      </c>
      <c r="D1254" s="5" t="s">
        <v>21</v>
      </c>
      <c r="E1254" s="5" t="s">
        <v>44</v>
      </c>
      <c r="F1254" s="5" t="s">
        <v>46</v>
      </c>
      <c r="G1254" s="5" t="s">
        <v>145</v>
      </c>
      <c r="H1254" s="9" t="s">
        <v>359</v>
      </c>
      <c r="I1254" s="10"/>
      <c r="J1254" s="10">
        <v>43699</v>
      </c>
      <c r="K1254" s="5" t="s">
        <v>49</v>
      </c>
      <c r="L1254" s="5" t="s">
        <v>50</v>
      </c>
      <c r="M1254" s="11">
        <v>0.070000000000000007</v>
      </c>
      <c r="N1254" s="5" t="e">
        <f>IF(AND(M1254&gt;#REF!,Cartera!O1254="Guaraníes"),"Rendimiento significativo",IF(AND(M1254&gt;#REF!,Cartera!O1254="Dólares americanos"),"Rendimiento significativo","Rendimiento no significativo"))</f>
        <v>#REF!</v>
      </c>
      <c r="O1254" s="5" t="s">
        <v>51</v>
      </c>
      <c r="P1254" s="13">
        <v>149.58904000000001</v>
      </c>
      <c r="Q1254" s="12" t="e">
        <f>IF(O1254="Guaraníes",P1254,P1254*#REF!)</f>
        <v>#REF!</v>
      </c>
      <c r="R1254" s="12">
        <f>IF(O1254="Guaraníes",P1254/#REF!,P1254)</f>
        <v>149.58904000000001</v>
      </c>
      <c r="S1254" s="5" t="s">
        <v>52</v>
      </c>
      <c r="T1254" s="5">
        <v>1057</v>
      </c>
      <c r="W1254" s="5" t="s">
        <v>65</v>
      </c>
      <c r="X1254" s="5">
        <v>0</v>
      </c>
      <c r="Y1254" s="5">
        <v>0</v>
      </c>
      <c r="Z1254" s="5">
        <v>14.958904</v>
      </c>
      <c r="AA1254" s="5">
        <v>10</v>
      </c>
      <c r="AB1254" s="5">
        <v>149.58904000000001</v>
      </c>
      <c r="AC1254" s="5" t="str">
        <f t="shared" si="61"/>
        <v>Bonos</v>
      </c>
      <c r="AD1254" s="5" t="s">
        <v>43</v>
      </c>
      <c r="AE1254" s="5">
        <f t="shared" si="62"/>
        <v>8</v>
      </c>
      <c r="AF1254" s="5">
        <f t="shared" si="63"/>
        <v>2019</v>
      </c>
    </row>
    <row r="1255" s="5" customFormat="1" ht="13">
      <c r="A1255" s="5" t="s">
        <v>44</v>
      </c>
      <c r="B1255" s="5" t="s">
        <v>44</v>
      </c>
      <c r="C1255" s="5" t="s">
        <v>143</v>
      </c>
      <c r="D1255" s="5" t="s">
        <v>21</v>
      </c>
      <c r="E1255" s="5" t="s">
        <v>44</v>
      </c>
      <c r="F1255" s="5" t="s">
        <v>144</v>
      </c>
      <c r="G1255" s="5" t="s">
        <v>145</v>
      </c>
      <c r="H1255" s="9" t="s">
        <v>272</v>
      </c>
      <c r="I1255" s="10">
        <v>43532</v>
      </c>
      <c r="J1255" s="10">
        <v>43707</v>
      </c>
      <c r="K1255" s="5" t="s">
        <v>49</v>
      </c>
      <c r="L1255" s="5" t="s">
        <v>106</v>
      </c>
      <c r="M1255" s="11">
        <v>0.057500000000000002</v>
      </c>
      <c r="N1255" s="5" t="e">
        <f>IF(AND(M1255&gt;#REF!,Cartera!O1255="Guaraníes"),"Rendimiento significativo",IF(AND(M1255&gt;#REF!,Cartera!O1255="Dólares americanos"),"Rendimiento significativo","Rendimiento no significativo"))</f>
        <v>#REF!</v>
      </c>
      <c r="O1255" s="5" t="s">
        <v>51</v>
      </c>
      <c r="P1255" s="13">
        <v>47.260270000000006</v>
      </c>
      <c r="Q1255" s="12" t="e">
        <f>IF(O1255="Guaraníes",P1255,P1255*#REF!)</f>
        <v>#REF!</v>
      </c>
      <c r="R1255" s="12">
        <f>IF(O1255="Guaraníes",P1255/#REF!,P1255)</f>
        <v>47.260270000000006</v>
      </c>
      <c r="S1255" s="5" t="s">
        <v>52</v>
      </c>
      <c r="T1255" s="5">
        <v>1057</v>
      </c>
      <c r="W1255" s="5" t="s">
        <v>65</v>
      </c>
      <c r="X1255" s="5">
        <v>0</v>
      </c>
      <c r="Y1255" s="5">
        <v>0</v>
      </c>
      <c r="Z1255" s="5">
        <v>4.7260270000000002</v>
      </c>
      <c r="AA1255" s="5">
        <v>10</v>
      </c>
      <c r="AB1255" s="5">
        <v>47.260269999999998</v>
      </c>
      <c r="AC1255" s="5" t="str">
        <f t="shared" si="61"/>
        <v>Bonos</v>
      </c>
      <c r="AD1255" s="5" t="s">
        <v>43</v>
      </c>
      <c r="AE1255" s="5">
        <f t="shared" si="62"/>
        <v>8</v>
      </c>
      <c r="AF1255" s="5">
        <f t="shared" si="63"/>
        <v>2019</v>
      </c>
    </row>
    <row r="1256" s="5" customFormat="1" ht="13">
      <c r="A1256" s="5" t="s">
        <v>44</v>
      </c>
      <c r="B1256" s="5" t="s">
        <v>44</v>
      </c>
      <c r="C1256" s="5" t="s">
        <v>143</v>
      </c>
      <c r="D1256" s="5" t="s">
        <v>21</v>
      </c>
      <c r="E1256" s="5" t="s">
        <v>44</v>
      </c>
      <c r="F1256" s="5" t="s">
        <v>144</v>
      </c>
      <c r="G1256" s="5" t="s">
        <v>145</v>
      </c>
      <c r="H1256" s="9" t="s">
        <v>146</v>
      </c>
      <c r="I1256" s="10"/>
      <c r="J1256" s="10">
        <v>43707</v>
      </c>
      <c r="K1256" s="5" t="s">
        <v>49</v>
      </c>
      <c r="L1256" s="5" t="s">
        <v>106</v>
      </c>
      <c r="M1256" s="11">
        <v>0.060999999999999999</v>
      </c>
      <c r="N1256" s="5" t="e">
        <f>IF(AND(M1256&gt;#REF!,Cartera!O1256="Guaraníes"),"Rendimiento significativo",IF(AND(M1256&gt;#REF!,Cartera!O1256="Dólares americanos"),"Rendimiento significativo","Rendimiento no significativo"))</f>
        <v>#REF!</v>
      </c>
      <c r="O1256" s="5" t="s">
        <v>51</v>
      </c>
      <c r="P1256" s="13">
        <v>200.54795999999999</v>
      </c>
      <c r="Q1256" s="12" t="e">
        <f>IF(O1256="Guaraníes",P1256,P1256*#REF!)</f>
        <v>#REF!</v>
      </c>
      <c r="R1256" s="12">
        <f>IF(O1256="Guaraníes",P1256/#REF!,P1256)</f>
        <v>200.54795999999999</v>
      </c>
      <c r="S1256" s="5" t="s">
        <v>52</v>
      </c>
      <c r="T1256" s="5">
        <v>1057</v>
      </c>
      <c r="W1256" s="5" t="s">
        <v>65</v>
      </c>
      <c r="X1256" s="5">
        <v>0</v>
      </c>
      <c r="Y1256" s="5">
        <v>0</v>
      </c>
      <c r="Z1256" s="5">
        <v>5.0136989999999999</v>
      </c>
      <c r="AA1256" s="5">
        <v>40</v>
      </c>
      <c r="AB1256" s="5">
        <v>200.54795999999999</v>
      </c>
      <c r="AC1256" s="5" t="str">
        <f t="shared" si="61"/>
        <v>Bonos</v>
      </c>
      <c r="AD1256" s="5" t="s">
        <v>43</v>
      </c>
      <c r="AE1256" s="5">
        <f t="shared" si="62"/>
        <v>8</v>
      </c>
      <c r="AF1256" s="5">
        <f t="shared" si="63"/>
        <v>2019</v>
      </c>
    </row>
    <row r="1257" s="5" customFormat="1" ht="13">
      <c r="A1257" s="5" t="s">
        <v>44</v>
      </c>
      <c r="B1257" s="5" t="s">
        <v>44</v>
      </c>
      <c r="C1257" s="5" t="s">
        <v>164</v>
      </c>
      <c r="D1257" s="5" t="s">
        <v>21</v>
      </c>
      <c r="E1257" s="5" t="s">
        <v>44</v>
      </c>
      <c r="F1257" s="5" t="s">
        <v>68</v>
      </c>
      <c r="G1257" s="5" t="s">
        <v>145</v>
      </c>
      <c r="H1257" s="9" t="s">
        <v>165</v>
      </c>
      <c r="I1257" s="10"/>
      <c r="J1257" s="10">
        <v>43707</v>
      </c>
      <c r="K1257" s="5" t="s">
        <v>124</v>
      </c>
      <c r="L1257" s="5" t="s">
        <v>58</v>
      </c>
      <c r="M1257" s="11">
        <v>0.10000000000000001</v>
      </c>
      <c r="N1257" s="5" t="e">
        <f>IF(AND(M1257&gt;#REF!,Cartera!O1257="Guaraníes"),"Rendimiento significativo",IF(AND(M1257&gt;#REF!,Cartera!O1257="Dólares americanos"),"Rendimiento significativo","Rendimiento no significativo"))</f>
        <v>#REF!</v>
      </c>
      <c r="O1257" s="5" t="s">
        <v>41</v>
      </c>
      <c r="P1257" s="12">
        <v>2465753.4246</v>
      </c>
      <c r="Q1257" s="12">
        <f>IF(O1257="Guaraníes",P1257,P1257*#REF!)</f>
        <v>2465753.4246</v>
      </c>
      <c r="R1257" s="12" t="e">
        <f>IF(O1257="Guaraníes",P1257/#REF!,P1257)</f>
        <v>#REF!</v>
      </c>
      <c r="S1257" s="5" t="s">
        <v>52</v>
      </c>
      <c r="T1257" s="5">
        <v>1057</v>
      </c>
      <c r="W1257" s="5" t="s">
        <v>65</v>
      </c>
      <c r="X1257" s="5">
        <v>0</v>
      </c>
      <c r="Y1257" s="5">
        <v>0</v>
      </c>
      <c r="Z1257" s="5">
        <v>8219.1780820000004</v>
      </c>
      <c r="AA1257" s="5">
        <v>300</v>
      </c>
      <c r="AB1257" s="5">
        <v>2465753.4246</v>
      </c>
      <c r="AC1257" s="5" t="str">
        <f t="shared" si="61"/>
        <v>Bonos</v>
      </c>
      <c r="AD1257" s="5" t="s">
        <v>43</v>
      </c>
      <c r="AE1257" s="5">
        <f t="shared" si="62"/>
        <v>8</v>
      </c>
      <c r="AF1257" s="5">
        <f t="shared" si="63"/>
        <v>2019</v>
      </c>
    </row>
    <row r="1258" s="5" customFormat="1" ht="13">
      <c r="A1258" s="5" t="s">
        <v>44</v>
      </c>
      <c r="B1258" s="5" t="s">
        <v>44</v>
      </c>
      <c r="C1258" s="5" t="s">
        <v>304</v>
      </c>
      <c r="D1258" s="5" t="s">
        <v>21</v>
      </c>
      <c r="E1258" s="5" t="s">
        <v>44</v>
      </c>
      <c r="F1258" s="5" t="s">
        <v>68</v>
      </c>
      <c r="G1258" s="5" t="s">
        <v>145</v>
      </c>
      <c r="H1258" s="9" t="s">
        <v>363</v>
      </c>
      <c r="I1258" s="10"/>
      <c r="J1258" s="10">
        <v>43718</v>
      </c>
      <c r="K1258" s="5" t="s">
        <v>39</v>
      </c>
      <c r="L1258" s="5" t="s">
        <v>58</v>
      </c>
      <c r="M1258" s="11">
        <v>0.089999999999999997</v>
      </c>
      <c r="N1258" s="5" t="e">
        <f>IF(AND(M1258&gt;#REF!,Cartera!O1258="Guaraníes"),"Rendimiento significativo",IF(AND(M1258&gt;#REF!,Cartera!O1258="Dólares americanos"),"Rendimiento significativo","Rendimiento no significativo"))</f>
        <v>#REF!</v>
      </c>
      <c r="O1258" s="5" t="s">
        <v>41</v>
      </c>
      <c r="P1258" s="12">
        <v>8975342.4656000007</v>
      </c>
      <c r="Q1258" s="12">
        <f>IF(O1258="Guaraníes",P1258,P1258*#REF!)</f>
        <v>8975342.4656000007</v>
      </c>
      <c r="R1258" s="12" t="e">
        <f>IF(O1258="Guaraníes",P1258/#REF!,P1258)</f>
        <v>#REF!</v>
      </c>
      <c r="S1258" s="5" t="s">
        <v>52</v>
      </c>
      <c r="T1258" s="5">
        <v>1057</v>
      </c>
      <c r="W1258" s="5" t="s">
        <v>65</v>
      </c>
      <c r="X1258" s="5">
        <v>0</v>
      </c>
      <c r="Y1258" s="5">
        <v>0</v>
      </c>
      <c r="Z1258" s="5">
        <v>22438.356164000001</v>
      </c>
      <c r="AA1258" s="5">
        <v>400</v>
      </c>
      <c r="AB1258" s="5">
        <v>8975342.4656000007</v>
      </c>
      <c r="AC1258" s="5" t="str">
        <f t="shared" si="61"/>
        <v>Bonos</v>
      </c>
      <c r="AD1258" s="5" t="s">
        <v>43</v>
      </c>
      <c r="AE1258" s="5">
        <f t="shared" si="62"/>
        <v>9</v>
      </c>
      <c r="AF1258" s="5">
        <f t="shared" si="63"/>
        <v>2019</v>
      </c>
    </row>
    <row r="1259" s="5" customFormat="1" ht="13">
      <c r="A1259" s="5" t="s">
        <v>44</v>
      </c>
      <c r="B1259" s="5" t="s">
        <v>44</v>
      </c>
      <c r="C1259" s="5" t="s">
        <v>304</v>
      </c>
      <c r="D1259" s="5" t="s">
        <v>21</v>
      </c>
      <c r="E1259" s="5" t="s">
        <v>44</v>
      </c>
      <c r="F1259" s="5" t="s">
        <v>68</v>
      </c>
      <c r="G1259" s="5" t="s">
        <v>145</v>
      </c>
      <c r="H1259" s="9" t="s">
        <v>305</v>
      </c>
      <c r="I1259" s="10"/>
      <c r="J1259" s="10">
        <v>43734</v>
      </c>
      <c r="K1259" s="5" t="s">
        <v>39</v>
      </c>
      <c r="L1259" s="5" t="s">
        <v>58</v>
      </c>
      <c r="M1259" s="11">
        <v>0.089999999999999997</v>
      </c>
      <c r="N1259" s="5" t="e">
        <f>IF(AND(M1259&gt;#REF!,Cartera!O1259="Guaraníes"),"Rendimiento significativo",IF(AND(M1259&gt;#REF!,Cartera!O1259="Dólares americanos"),"Rendimiento significativo","Rendimiento no significativo"))</f>
        <v>#REF!</v>
      </c>
      <c r="O1259" s="5" t="s">
        <v>41</v>
      </c>
      <c r="P1259" s="12">
        <v>673150.68492000003</v>
      </c>
      <c r="Q1259" s="12">
        <f>IF(O1259="Guaraníes",P1259,P1259*#REF!)</f>
        <v>673150.68492000003</v>
      </c>
      <c r="R1259" s="12" t="e">
        <f>IF(O1259="Guaraníes",P1259/#REF!,P1259)</f>
        <v>#REF!</v>
      </c>
      <c r="S1259" s="5" t="s">
        <v>52</v>
      </c>
      <c r="T1259" s="5">
        <v>1057</v>
      </c>
      <c r="W1259" s="5" t="s">
        <v>65</v>
      </c>
      <c r="X1259" s="5">
        <v>0</v>
      </c>
      <c r="Y1259" s="5">
        <v>0</v>
      </c>
      <c r="Z1259" s="5">
        <v>22438.356164000001</v>
      </c>
      <c r="AA1259" s="5">
        <v>30</v>
      </c>
      <c r="AB1259" s="5">
        <v>673150.68492000003</v>
      </c>
      <c r="AC1259" s="5" t="str">
        <f t="shared" si="61"/>
        <v>Bonos</v>
      </c>
      <c r="AD1259" s="5" t="s">
        <v>43</v>
      </c>
      <c r="AE1259" s="5">
        <f t="shared" si="62"/>
        <v>9</v>
      </c>
      <c r="AF1259" s="5">
        <f t="shared" si="63"/>
        <v>2019</v>
      </c>
    </row>
    <row r="1260" s="5" customFormat="1" ht="13">
      <c r="A1260" s="5" t="s">
        <v>44</v>
      </c>
      <c r="B1260" s="5" t="s">
        <v>44</v>
      </c>
      <c r="C1260" s="5" t="s">
        <v>143</v>
      </c>
      <c r="D1260" s="5" t="s">
        <v>21</v>
      </c>
      <c r="E1260" s="5" t="s">
        <v>44</v>
      </c>
      <c r="F1260" s="5" t="s">
        <v>144</v>
      </c>
      <c r="G1260" s="5" t="s">
        <v>145</v>
      </c>
      <c r="H1260" s="9" t="s">
        <v>272</v>
      </c>
      <c r="I1260" s="10">
        <v>43532</v>
      </c>
      <c r="J1260" s="10">
        <v>43738</v>
      </c>
      <c r="K1260" s="5" t="s">
        <v>49</v>
      </c>
      <c r="L1260" s="5" t="s">
        <v>106</v>
      </c>
      <c r="M1260" s="11">
        <v>0.057500000000000002</v>
      </c>
      <c r="N1260" s="5" t="e">
        <f>IF(AND(M1260&gt;#REF!,Cartera!O1260="Guaraníes"),"Rendimiento significativo",IF(AND(M1260&gt;#REF!,Cartera!O1260="Dólares americanos"),"Rendimiento significativo","Rendimiento no significativo"))</f>
        <v>#REF!</v>
      </c>
      <c r="O1260" s="5" t="s">
        <v>51</v>
      </c>
      <c r="P1260" s="13">
        <v>48.835620000000006</v>
      </c>
      <c r="Q1260" s="12" t="e">
        <f>IF(O1260="Guaraníes",P1260,P1260*#REF!)</f>
        <v>#REF!</v>
      </c>
      <c r="R1260" s="12">
        <f>IF(O1260="Guaraníes",P1260/#REF!,P1260)</f>
        <v>48.835620000000006</v>
      </c>
      <c r="S1260" s="5" t="s">
        <v>52</v>
      </c>
      <c r="T1260" s="5">
        <v>1057</v>
      </c>
      <c r="W1260" s="5" t="s">
        <v>65</v>
      </c>
      <c r="X1260" s="5">
        <v>0</v>
      </c>
      <c r="Y1260" s="5">
        <v>0</v>
      </c>
      <c r="Z1260" s="5">
        <v>4.8835620000000004</v>
      </c>
      <c r="AA1260" s="5">
        <v>10</v>
      </c>
      <c r="AB1260" s="5">
        <v>48.835619999999999</v>
      </c>
      <c r="AC1260" s="5" t="str">
        <f t="shared" si="61"/>
        <v>Bonos</v>
      </c>
      <c r="AD1260" s="5" t="s">
        <v>43</v>
      </c>
      <c r="AE1260" s="5">
        <f t="shared" si="62"/>
        <v>9</v>
      </c>
      <c r="AF1260" s="5">
        <f t="shared" si="63"/>
        <v>2019</v>
      </c>
    </row>
    <row r="1261" s="5" customFormat="1" ht="13">
      <c r="A1261" s="5" t="s">
        <v>44</v>
      </c>
      <c r="B1261" s="5" t="s">
        <v>44</v>
      </c>
      <c r="C1261" s="5" t="s">
        <v>143</v>
      </c>
      <c r="D1261" s="5" t="s">
        <v>21</v>
      </c>
      <c r="E1261" s="5" t="s">
        <v>44</v>
      </c>
      <c r="F1261" s="5" t="s">
        <v>144</v>
      </c>
      <c r="G1261" s="5" t="s">
        <v>145</v>
      </c>
      <c r="H1261" s="9" t="s">
        <v>146</v>
      </c>
      <c r="I1261" s="10"/>
      <c r="J1261" s="10">
        <v>43738</v>
      </c>
      <c r="K1261" s="5" t="s">
        <v>49</v>
      </c>
      <c r="L1261" s="5" t="s">
        <v>106</v>
      </c>
      <c r="M1261" s="11">
        <v>0.060999999999999999</v>
      </c>
      <c r="N1261" s="5" t="e">
        <f>IF(AND(M1261&gt;#REF!,Cartera!O1261="Guaraníes"),"Rendimiento significativo",IF(AND(M1261&gt;#REF!,Cartera!O1261="Dólares americanos"),"Rendimiento significativo","Rendimiento no significativo"))</f>
        <v>#REF!</v>
      </c>
      <c r="O1261" s="5" t="s">
        <v>51</v>
      </c>
      <c r="P1261" s="13">
        <v>207.23287999999999</v>
      </c>
      <c r="Q1261" s="12" t="e">
        <f>IF(O1261="Guaraníes",P1261,P1261*#REF!)</f>
        <v>#REF!</v>
      </c>
      <c r="R1261" s="12">
        <f>IF(O1261="Guaraníes",P1261/#REF!,P1261)</f>
        <v>207.23287999999999</v>
      </c>
      <c r="S1261" s="5" t="s">
        <v>52</v>
      </c>
      <c r="T1261" s="5">
        <v>1057</v>
      </c>
      <c r="W1261" s="5" t="s">
        <v>65</v>
      </c>
      <c r="X1261" s="5">
        <v>0</v>
      </c>
      <c r="Y1261" s="5">
        <v>0</v>
      </c>
      <c r="Z1261" s="5">
        <v>5.180822</v>
      </c>
      <c r="AA1261" s="5">
        <v>40</v>
      </c>
      <c r="AB1261" s="5">
        <v>207.23287999999999</v>
      </c>
      <c r="AC1261" s="5" t="str">
        <f t="shared" si="61"/>
        <v>Bonos</v>
      </c>
      <c r="AD1261" s="5" t="s">
        <v>43</v>
      </c>
      <c r="AE1261" s="5">
        <f t="shared" si="62"/>
        <v>9</v>
      </c>
      <c r="AF1261" s="5">
        <f t="shared" si="63"/>
        <v>2019</v>
      </c>
    </row>
    <row r="1262" s="5" customFormat="1" ht="13">
      <c r="A1262" s="5" t="s">
        <v>44</v>
      </c>
      <c r="B1262" s="5" t="s">
        <v>44</v>
      </c>
      <c r="C1262" s="5" t="s">
        <v>164</v>
      </c>
      <c r="D1262" s="5" t="s">
        <v>21</v>
      </c>
      <c r="E1262" s="5" t="s">
        <v>44</v>
      </c>
      <c r="F1262" s="5" t="s">
        <v>68</v>
      </c>
      <c r="G1262" s="5" t="s">
        <v>145</v>
      </c>
      <c r="H1262" s="9" t="s">
        <v>165</v>
      </c>
      <c r="I1262" s="10"/>
      <c r="J1262" s="10">
        <v>43738</v>
      </c>
      <c r="K1262" s="5" t="s">
        <v>124</v>
      </c>
      <c r="L1262" s="5" t="s">
        <v>58</v>
      </c>
      <c r="M1262" s="11">
        <v>0.10000000000000001</v>
      </c>
      <c r="N1262" s="5" t="e">
        <f>IF(AND(M1262&gt;#REF!,Cartera!O1262="Guaraníes"),"Rendimiento significativo",IF(AND(M1262&gt;#REF!,Cartera!O1262="Dólares americanos"),"Rendimiento significativo","Rendimiento no significativo"))</f>
        <v>#REF!</v>
      </c>
      <c r="O1262" s="5" t="s">
        <v>41</v>
      </c>
      <c r="P1262" s="12">
        <v>3397260.2740000002</v>
      </c>
      <c r="Q1262" s="12">
        <f>IF(O1262="Guaraníes",P1262,P1262*#REF!)</f>
        <v>3397260.2740000002</v>
      </c>
      <c r="R1262" s="12" t="e">
        <f>IF(O1262="Guaraníes",P1262/#REF!,P1262)</f>
        <v>#REF!</v>
      </c>
      <c r="S1262" s="5" t="s">
        <v>52</v>
      </c>
      <c r="T1262" s="5">
        <v>1057</v>
      </c>
      <c r="W1262" s="5" t="s">
        <v>65</v>
      </c>
      <c r="X1262" s="5">
        <v>0</v>
      </c>
      <c r="Y1262" s="5">
        <v>0</v>
      </c>
      <c r="Z1262" s="5">
        <v>8493.1506850000005</v>
      </c>
      <c r="AA1262" s="5">
        <v>400</v>
      </c>
      <c r="AB1262" s="5">
        <v>3397260.2740000002</v>
      </c>
      <c r="AC1262" s="5" t="str">
        <f t="shared" si="61"/>
        <v>Bonos</v>
      </c>
      <c r="AD1262" s="5" t="s">
        <v>43</v>
      </c>
      <c r="AE1262" s="5">
        <f t="shared" si="62"/>
        <v>9</v>
      </c>
      <c r="AF1262" s="5">
        <f t="shared" si="63"/>
        <v>2019</v>
      </c>
    </row>
    <row r="1263" s="5" customFormat="1" ht="13">
      <c r="A1263" s="5" t="s">
        <v>44</v>
      </c>
      <c r="B1263" s="5" t="s">
        <v>44</v>
      </c>
      <c r="C1263" s="5" t="s">
        <v>356</v>
      </c>
      <c r="D1263" s="5" t="s">
        <v>21</v>
      </c>
      <c r="E1263" s="5" t="s">
        <v>44</v>
      </c>
      <c r="F1263" s="5" t="s">
        <v>90</v>
      </c>
      <c r="G1263" s="5" t="s">
        <v>145</v>
      </c>
      <c r="H1263" s="9" t="s">
        <v>357</v>
      </c>
      <c r="I1263" s="10"/>
      <c r="J1263" s="10">
        <v>43739</v>
      </c>
      <c r="K1263" s="5" t="s">
        <v>77</v>
      </c>
      <c r="L1263" s="5" t="s">
        <v>58</v>
      </c>
      <c r="M1263" s="11">
        <v>0.12</v>
      </c>
      <c r="N1263" s="5" t="e">
        <f>IF(AND(M1263&gt;#REF!,Cartera!O1263="Guaraníes"),"Rendimiento significativo",IF(AND(M1263&gt;#REF!,Cartera!O1263="Dólares americanos"),"Rendimiento significativo","Rendimiento no significativo"))</f>
        <v>#REF!</v>
      </c>
      <c r="O1263" s="5" t="s">
        <v>41</v>
      </c>
      <c r="P1263" s="12">
        <v>2991780.8218999999</v>
      </c>
      <c r="Q1263" s="12">
        <f>IF(O1263="Guaraníes",P1263,P1263*#REF!)</f>
        <v>2991780.8218999999</v>
      </c>
      <c r="R1263" s="12" t="e">
        <f>IF(O1263="Guaraníes",P1263/#REF!,P1263)</f>
        <v>#REF!</v>
      </c>
      <c r="S1263" s="5" t="s">
        <v>52</v>
      </c>
      <c r="T1263" s="5">
        <v>1057</v>
      </c>
      <c r="W1263" s="5" t="s">
        <v>65</v>
      </c>
      <c r="X1263" s="5">
        <v>0</v>
      </c>
      <c r="Y1263" s="5">
        <v>0</v>
      </c>
      <c r="Z1263" s="5">
        <v>29917.808218999999</v>
      </c>
      <c r="AA1263" s="5">
        <v>100</v>
      </c>
      <c r="AB1263" s="5">
        <v>2991780.8218999999</v>
      </c>
      <c r="AC1263" s="5" t="str">
        <f t="shared" si="61"/>
        <v>Bonos</v>
      </c>
      <c r="AD1263" s="5" t="s">
        <v>43</v>
      </c>
      <c r="AE1263" s="5">
        <f t="shared" si="62"/>
        <v>10</v>
      </c>
      <c r="AF1263" s="5">
        <f t="shared" si="63"/>
        <v>2019</v>
      </c>
    </row>
    <row r="1264" s="5" customFormat="1" ht="13">
      <c r="A1264" s="5" t="s">
        <v>44</v>
      </c>
      <c r="B1264" s="5" t="s">
        <v>44</v>
      </c>
      <c r="C1264" s="5" t="s">
        <v>33</v>
      </c>
      <c r="D1264" s="5" t="s">
        <v>21</v>
      </c>
      <c r="E1264" s="5" t="s">
        <v>44</v>
      </c>
      <c r="F1264" s="5" t="s">
        <v>35</v>
      </c>
      <c r="G1264" s="5" t="s">
        <v>145</v>
      </c>
      <c r="H1264" s="9" t="s">
        <v>358</v>
      </c>
      <c r="I1264" s="10"/>
      <c r="J1264" s="10">
        <v>43762</v>
      </c>
      <c r="K1264" s="5" t="s">
        <v>39</v>
      </c>
      <c r="L1264" s="5" t="s">
        <v>50</v>
      </c>
      <c r="M1264" s="11">
        <v>0.0625</v>
      </c>
      <c r="N1264" s="5" t="e">
        <f>IF(AND(M1264&gt;#REF!,Cartera!O1264="Guaraníes"),"Rendimiento significativo",IF(AND(M1264&gt;#REF!,Cartera!O1264="Dólares americanos"),"Rendimiento significativo","Rendimiento no significativo"))</f>
        <v>#REF!</v>
      </c>
      <c r="O1264" s="5" t="s">
        <v>51</v>
      </c>
      <c r="P1264" s="13">
        <v>698.08220000000006</v>
      </c>
      <c r="Q1264" s="12" t="e">
        <f>IF(O1264="Guaraníes",P1264,P1264*#REF!)</f>
        <v>#REF!</v>
      </c>
      <c r="R1264" s="12">
        <f>IF(O1264="Guaraníes",P1264/#REF!,P1264)</f>
        <v>698.08220000000006</v>
      </c>
      <c r="S1264" s="5" t="s">
        <v>52</v>
      </c>
      <c r="T1264" s="5">
        <v>1057</v>
      </c>
      <c r="W1264" s="5" t="s">
        <v>65</v>
      </c>
      <c r="X1264" s="5">
        <v>0</v>
      </c>
      <c r="Y1264" s="5">
        <v>0</v>
      </c>
      <c r="Z1264" s="5">
        <v>34.904110000000003</v>
      </c>
      <c r="AA1264" s="5">
        <v>20</v>
      </c>
      <c r="AB1264" s="5">
        <v>698.08219999999994</v>
      </c>
      <c r="AC1264" s="5" t="str">
        <f t="shared" si="61"/>
        <v>Bonos</v>
      </c>
      <c r="AD1264" s="5" t="s">
        <v>43</v>
      </c>
      <c r="AE1264" s="5">
        <f t="shared" si="62"/>
        <v>10</v>
      </c>
      <c r="AF1264" s="5">
        <f t="shared" si="63"/>
        <v>2019</v>
      </c>
    </row>
    <row r="1265" s="5" customFormat="1" ht="13">
      <c r="A1265" s="5" t="s">
        <v>44</v>
      </c>
      <c r="B1265" s="5" t="s">
        <v>44</v>
      </c>
      <c r="C1265" s="5" t="s">
        <v>143</v>
      </c>
      <c r="D1265" s="5" t="s">
        <v>21</v>
      </c>
      <c r="E1265" s="5" t="s">
        <v>44</v>
      </c>
      <c r="F1265" s="5" t="s">
        <v>144</v>
      </c>
      <c r="G1265" s="5" t="s">
        <v>145</v>
      </c>
      <c r="H1265" s="9" t="s">
        <v>272</v>
      </c>
      <c r="I1265" s="10">
        <v>43532</v>
      </c>
      <c r="J1265" s="10">
        <v>43769</v>
      </c>
      <c r="K1265" s="5" t="s">
        <v>49</v>
      </c>
      <c r="L1265" s="5" t="s">
        <v>106</v>
      </c>
      <c r="M1265" s="11">
        <v>0.057500000000000002</v>
      </c>
      <c r="N1265" s="5" t="e">
        <f>IF(AND(M1265&gt;#REF!,Cartera!O1265="Guaraníes"),"Rendimiento significativo",IF(AND(M1265&gt;#REF!,Cartera!O1265="Dólares americanos"),"Rendimiento significativo","Rendimiento no significativo"))</f>
        <v>#REF!</v>
      </c>
      <c r="O1265" s="5" t="s">
        <v>51</v>
      </c>
      <c r="P1265" s="13">
        <v>48.835620000000006</v>
      </c>
      <c r="Q1265" s="12" t="e">
        <f>IF(O1265="Guaraníes",P1265,P1265*#REF!)</f>
        <v>#REF!</v>
      </c>
      <c r="R1265" s="12">
        <f>IF(O1265="Guaraníes",P1265/#REF!,P1265)</f>
        <v>48.835620000000006</v>
      </c>
      <c r="S1265" s="5" t="s">
        <v>52</v>
      </c>
      <c r="T1265" s="5">
        <v>1057</v>
      </c>
      <c r="W1265" s="5" t="s">
        <v>65</v>
      </c>
      <c r="X1265" s="5">
        <v>0</v>
      </c>
      <c r="Y1265" s="5">
        <v>0</v>
      </c>
      <c r="Z1265" s="5">
        <v>4.8835620000000004</v>
      </c>
      <c r="AA1265" s="5">
        <v>10</v>
      </c>
      <c r="AB1265" s="5">
        <v>48.835619999999999</v>
      </c>
      <c r="AC1265" s="5" t="str">
        <f t="shared" si="61"/>
        <v>Bonos</v>
      </c>
      <c r="AD1265" s="5" t="s">
        <v>43</v>
      </c>
      <c r="AE1265" s="5">
        <f t="shared" si="62"/>
        <v>10</v>
      </c>
      <c r="AF1265" s="5">
        <f t="shared" si="63"/>
        <v>2019</v>
      </c>
    </row>
    <row r="1266" s="5" customFormat="1" ht="13">
      <c r="A1266" s="5" t="s">
        <v>44</v>
      </c>
      <c r="B1266" s="5" t="s">
        <v>44</v>
      </c>
      <c r="C1266" s="5" t="s">
        <v>143</v>
      </c>
      <c r="D1266" s="5" t="s">
        <v>21</v>
      </c>
      <c r="E1266" s="5" t="s">
        <v>44</v>
      </c>
      <c r="F1266" s="5" t="s">
        <v>144</v>
      </c>
      <c r="G1266" s="5" t="s">
        <v>145</v>
      </c>
      <c r="H1266" s="9" t="s">
        <v>146</v>
      </c>
      <c r="I1266" s="10"/>
      <c r="J1266" s="10">
        <v>43769</v>
      </c>
      <c r="K1266" s="5" t="s">
        <v>49</v>
      </c>
      <c r="L1266" s="5" t="s">
        <v>106</v>
      </c>
      <c r="M1266" s="11">
        <v>0.060999999999999999</v>
      </c>
      <c r="N1266" s="5" t="e">
        <f>IF(AND(M1266&gt;#REF!,Cartera!O1266="Guaraníes"),"Rendimiento significativo",IF(AND(M1266&gt;#REF!,Cartera!O1266="Dólares americanos"),"Rendimiento significativo","Rendimiento no significativo"))</f>
        <v>#REF!</v>
      </c>
      <c r="O1266" s="5" t="s">
        <v>51</v>
      </c>
      <c r="P1266" s="13">
        <v>207.23287999999999</v>
      </c>
      <c r="Q1266" s="12" t="e">
        <f>IF(O1266="Guaraníes",P1266,P1266*#REF!)</f>
        <v>#REF!</v>
      </c>
      <c r="R1266" s="12">
        <f>IF(O1266="Guaraníes",P1266/#REF!,P1266)</f>
        <v>207.23287999999999</v>
      </c>
      <c r="S1266" s="5" t="s">
        <v>52</v>
      </c>
      <c r="T1266" s="5">
        <v>1057</v>
      </c>
      <c r="W1266" s="5" t="s">
        <v>65</v>
      </c>
      <c r="X1266" s="5">
        <v>0</v>
      </c>
      <c r="Y1266" s="5">
        <v>0</v>
      </c>
      <c r="Z1266" s="5">
        <v>5.180822</v>
      </c>
      <c r="AA1266" s="5">
        <v>40</v>
      </c>
      <c r="AB1266" s="5">
        <v>207.23287999999999</v>
      </c>
      <c r="AC1266" s="5" t="str">
        <f t="shared" si="61"/>
        <v>Bonos</v>
      </c>
      <c r="AD1266" s="5" t="s">
        <v>43</v>
      </c>
      <c r="AE1266" s="5">
        <f t="shared" si="62"/>
        <v>10</v>
      </c>
      <c r="AF1266" s="5">
        <f t="shared" si="63"/>
        <v>2019</v>
      </c>
    </row>
    <row r="1267" s="5" customFormat="1" ht="13">
      <c r="A1267" s="5" t="s">
        <v>44</v>
      </c>
      <c r="B1267" s="5" t="s">
        <v>44</v>
      </c>
      <c r="C1267" s="5" t="s">
        <v>164</v>
      </c>
      <c r="D1267" s="5" t="s">
        <v>21</v>
      </c>
      <c r="E1267" s="5" t="s">
        <v>44</v>
      </c>
      <c r="F1267" s="5" t="s">
        <v>68</v>
      </c>
      <c r="G1267" s="5" t="s">
        <v>145</v>
      </c>
      <c r="H1267" s="9" t="s">
        <v>165</v>
      </c>
      <c r="I1267" s="10"/>
      <c r="J1267" s="10">
        <v>43769</v>
      </c>
      <c r="K1267" s="5" t="s">
        <v>124</v>
      </c>
      <c r="L1267" s="5" t="s">
        <v>58</v>
      </c>
      <c r="M1267" s="11">
        <v>0.10000000000000001</v>
      </c>
      <c r="N1267" s="5" t="e">
        <f>IF(AND(M1267&gt;#REF!,Cartera!O1267="Guaraníes"),"Rendimiento significativo",IF(AND(M1267&gt;#REF!,Cartera!O1267="Dólares americanos"),"Rendimiento significativo","Rendimiento no significativo"))</f>
        <v>#REF!</v>
      </c>
      <c r="O1267" s="5" t="s">
        <v>41</v>
      </c>
      <c r="P1267" s="12">
        <v>3397260.2740000002</v>
      </c>
      <c r="Q1267" s="12">
        <f>IF(O1267="Guaraníes",P1267,P1267*#REF!)</f>
        <v>3397260.2740000002</v>
      </c>
      <c r="R1267" s="12" t="e">
        <f>IF(O1267="Guaraníes",P1267/#REF!,P1267)</f>
        <v>#REF!</v>
      </c>
      <c r="S1267" s="5" t="s">
        <v>52</v>
      </c>
      <c r="T1267" s="5">
        <v>1057</v>
      </c>
      <c r="W1267" s="5" t="s">
        <v>65</v>
      </c>
      <c r="X1267" s="5">
        <v>0</v>
      </c>
      <c r="Y1267" s="5">
        <v>0</v>
      </c>
      <c r="Z1267" s="5">
        <v>8493.1506850000005</v>
      </c>
      <c r="AA1267" s="5">
        <v>400</v>
      </c>
      <c r="AB1267" s="5">
        <v>3397260.2740000002</v>
      </c>
      <c r="AC1267" s="5" t="str">
        <f t="shared" si="61"/>
        <v>Bonos</v>
      </c>
      <c r="AD1267" s="5" t="s">
        <v>43</v>
      </c>
      <c r="AE1267" s="5">
        <f t="shared" si="62"/>
        <v>10</v>
      </c>
      <c r="AF1267" s="5">
        <f t="shared" si="63"/>
        <v>2019</v>
      </c>
    </row>
    <row r="1268" s="5" customFormat="1" ht="13">
      <c r="A1268" s="5" t="s">
        <v>44</v>
      </c>
      <c r="B1268" s="5" t="s">
        <v>44</v>
      </c>
      <c r="C1268" s="5" t="s">
        <v>45</v>
      </c>
      <c r="D1268" s="5" t="s">
        <v>21</v>
      </c>
      <c r="E1268" s="5" t="s">
        <v>44</v>
      </c>
      <c r="F1268" s="5" t="s">
        <v>46</v>
      </c>
      <c r="G1268" s="5" t="s">
        <v>145</v>
      </c>
      <c r="H1268" s="9" t="s">
        <v>359</v>
      </c>
      <c r="I1268" s="10"/>
      <c r="J1268" s="10">
        <v>43790</v>
      </c>
      <c r="K1268" s="5" t="s">
        <v>49</v>
      </c>
      <c r="L1268" s="5" t="s">
        <v>50</v>
      </c>
      <c r="M1268" s="11">
        <v>0.070000000000000007</v>
      </c>
      <c r="N1268" s="5" t="e">
        <f>IF(AND(M1268&gt;#REF!,Cartera!O1268="Guaraníes"),"Rendimiento significativo",IF(AND(M1268&gt;#REF!,Cartera!O1268="Dólares americanos"),"Rendimiento significativo","Rendimiento no significativo"))</f>
        <v>#REF!</v>
      </c>
      <c r="O1268" s="5" t="s">
        <v>51</v>
      </c>
      <c r="P1268" s="13">
        <v>149.58904000000001</v>
      </c>
      <c r="Q1268" s="12" t="e">
        <f>IF(O1268="Guaraníes",P1268,P1268*#REF!)</f>
        <v>#REF!</v>
      </c>
      <c r="R1268" s="12">
        <f>IF(O1268="Guaraníes",P1268/#REF!,P1268)</f>
        <v>149.58904000000001</v>
      </c>
      <c r="S1268" s="5" t="s">
        <v>52</v>
      </c>
      <c r="T1268" s="5">
        <v>1057</v>
      </c>
      <c r="W1268" s="5" t="s">
        <v>65</v>
      </c>
      <c r="X1268" s="5">
        <v>0</v>
      </c>
      <c r="Y1268" s="5">
        <v>0</v>
      </c>
      <c r="Z1268" s="5">
        <v>14.958904</v>
      </c>
      <c r="AA1268" s="5">
        <v>10</v>
      </c>
      <c r="AB1268" s="5">
        <v>149.58904000000001</v>
      </c>
      <c r="AC1268" s="5" t="str">
        <f t="shared" si="61"/>
        <v>Bonos</v>
      </c>
      <c r="AD1268" s="5" t="s">
        <v>43</v>
      </c>
      <c r="AE1268" s="5">
        <f t="shared" si="62"/>
        <v>11</v>
      </c>
      <c r="AF1268" s="5">
        <f t="shared" si="63"/>
        <v>2019</v>
      </c>
    </row>
    <row r="1269" s="5" customFormat="1" ht="13">
      <c r="A1269" s="5" t="s">
        <v>44</v>
      </c>
      <c r="B1269" s="5" t="s">
        <v>44</v>
      </c>
      <c r="C1269" s="5" t="s">
        <v>143</v>
      </c>
      <c r="D1269" s="5" t="s">
        <v>21</v>
      </c>
      <c r="E1269" s="5" t="s">
        <v>44</v>
      </c>
      <c r="F1269" s="5" t="s">
        <v>144</v>
      </c>
      <c r="G1269" s="5" t="s">
        <v>145</v>
      </c>
      <c r="H1269" s="9" t="s">
        <v>272</v>
      </c>
      <c r="I1269" s="10">
        <v>43532</v>
      </c>
      <c r="J1269" s="10">
        <v>43798</v>
      </c>
      <c r="K1269" s="5" t="s">
        <v>49</v>
      </c>
      <c r="L1269" s="5" t="s">
        <v>106</v>
      </c>
      <c r="M1269" s="11">
        <v>0.057500000000000002</v>
      </c>
      <c r="N1269" s="5" t="e">
        <f>IF(AND(M1269&gt;#REF!,Cartera!O1269="Guaraníes"),"Rendimiento significativo",IF(AND(M1269&gt;#REF!,Cartera!O1269="Dólares americanos"),"Rendimiento significativo","Rendimiento no significativo"))</f>
        <v>#REF!</v>
      </c>
      <c r="O1269" s="5" t="s">
        <v>51</v>
      </c>
      <c r="P1269" s="13">
        <v>45.684930000000001</v>
      </c>
      <c r="Q1269" s="12" t="e">
        <f>IF(O1269="Guaraníes",P1269,P1269*#REF!)</f>
        <v>#REF!</v>
      </c>
      <c r="R1269" s="12">
        <f>IF(O1269="Guaraníes",P1269/#REF!,P1269)</f>
        <v>45.684930000000001</v>
      </c>
      <c r="S1269" s="5" t="s">
        <v>52</v>
      </c>
      <c r="T1269" s="5">
        <v>1057</v>
      </c>
      <c r="W1269" s="5" t="s">
        <v>65</v>
      </c>
      <c r="X1269" s="5">
        <v>0</v>
      </c>
      <c r="Y1269" s="5">
        <v>0</v>
      </c>
      <c r="Z1269" s="5">
        <v>4.5684930000000001</v>
      </c>
      <c r="AA1269" s="5">
        <v>10</v>
      </c>
      <c r="AB1269" s="5">
        <v>45.684930000000001</v>
      </c>
      <c r="AC1269" s="5" t="str">
        <f t="shared" si="61"/>
        <v>Bonos</v>
      </c>
      <c r="AD1269" s="5" t="s">
        <v>43</v>
      </c>
      <c r="AE1269" s="5">
        <f t="shared" si="62"/>
        <v>11</v>
      </c>
      <c r="AF1269" s="5">
        <f t="shared" si="63"/>
        <v>2019</v>
      </c>
    </row>
    <row r="1270" s="5" customFormat="1" ht="13">
      <c r="A1270" s="5" t="s">
        <v>44</v>
      </c>
      <c r="B1270" s="5" t="s">
        <v>44</v>
      </c>
      <c r="C1270" s="5" t="s">
        <v>143</v>
      </c>
      <c r="D1270" s="5" t="s">
        <v>21</v>
      </c>
      <c r="E1270" s="5" t="s">
        <v>44</v>
      </c>
      <c r="F1270" s="5" t="s">
        <v>144</v>
      </c>
      <c r="G1270" s="5" t="s">
        <v>145</v>
      </c>
      <c r="H1270" s="9" t="s">
        <v>146</v>
      </c>
      <c r="I1270" s="10"/>
      <c r="J1270" s="10">
        <v>43798</v>
      </c>
      <c r="K1270" s="5" t="s">
        <v>49</v>
      </c>
      <c r="L1270" s="5" t="s">
        <v>106</v>
      </c>
      <c r="M1270" s="11">
        <v>0.060999999999999999</v>
      </c>
      <c r="N1270" s="5" t="e">
        <f>IF(AND(M1270&gt;#REF!,Cartera!O1270="Guaraníes"),"Rendimiento significativo",IF(AND(M1270&gt;#REF!,Cartera!O1270="Dólares americanos"),"Rendimiento significativo","Rendimiento no significativo"))</f>
        <v>#REF!</v>
      </c>
      <c r="O1270" s="5" t="s">
        <v>51</v>
      </c>
      <c r="P1270" s="13">
        <v>193.863</v>
      </c>
      <c r="Q1270" s="12" t="e">
        <f>IF(O1270="Guaraníes",P1270,P1270*#REF!)</f>
        <v>#REF!</v>
      </c>
      <c r="R1270" s="12">
        <f>IF(O1270="Guaraníes",P1270/#REF!,P1270)</f>
        <v>193.863</v>
      </c>
      <c r="S1270" s="5" t="s">
        <v>52</v>
      </c>
      <c r="T1270" s="5">
        <v>1057</v>
      </c>
      <c r="W1270" s="5" t="s">
        <v>65</v>
      </c>
      <c r="X1270" s="5">
        <v>0</v>
      </c>
      <c r="Y1270" s="5">
        <v>0</v>
      </c>
      <c r="Z1270" s="5">
        <v>4.8465749999999996</v>
      </c>
      <c r="AA1270" s="5">
        <v>40</v>
      </c>
      <c r="AB1270" s="5">
        <v>193.863</v>
      </c>
      <c r="AC1270" s="5" t="str">
        <f t="shared" si="61"/>
        <v>Bonos</v>
      </c>
      <c r="AD1270" s="5" t="s">
        <v>43</v>
      </c>
      <c r="AE1270" s="5">
        <f t="shared" si="62"/>
        <v>11</v>
      </c>
      <c r="AF1270" s="5">
        <f t="shared" si="63"/>
        <v>2019</v>
      </c>
    </row>
    <row r="1271" s="5" customFormat="1" ht="13">
      <c r="A1271" s="5" t="s">
        <v>44</v>
      </c>
      <c r="B1271" s="5" t="s">
        <v>44</v>
      </c>
      <c r="C1271" s="5" t="s">
        <v>164</v>
      </c>
      <c r="D1271" s="5" t="s">
        <v>21</v>
      </c>
      <c r="E1271" s="5" t="s">
        <v>44</v>
      </c>
      <c r="F1271" s="5" t="s">
        <v>68</v>
      </c>
      <c r="G1271" s="5" t="s">
        <v>145</v>
      </c>
      <c r="H1271" s="9" t="s">
        <v>165</v>
      </c>
      <c r="I1271" s="10"/>
      <c r="J1271" s="10">
        <v>43798</v>
      </c>
      <c r="K1271" s="5" t="s">
        <v>124</v>
      </c>
      <c r="L1271" s="5" t="s">
        <v>58</v>
      </c>
      <c r="M1271" s="11">
        <v>0.10000000000000001</v>
      </c>
      <c r="N1271" s="5" t="e">
        <f>IF(AND(M1271&gt;#REF!,Cartera!O1271="Guaraníes"),"Rendimiento significativo",IF(AND(M1271&gt;#REF!,Cartera!O1271="Dólares americanos"),"Rendimiento significativo","Rendimiento no significativo"))</f>
        <v>#REF!</v>
      </c>
      <c r="O1271" s="5" t="s">
        <v>41</v>
      </c>
      <c r="P1271" s="12">
        <v>3178082.1916</v>
      </c>
      <c r="Q1271" s="12">
        <f>IF(O1271="Guaraníes",P1271,P1271*#REF!)</f>
        <v>3178082.1916</v>
      </c>
      <c r="R1271" s="12" t="e">
        <f>IF(O1271="Guaraníes",P1271/#REF!,P1271)</f>
        <v>#REF!</v>
      </c>
      <c r="S1271" s="5" t="s">
        <v>52</v>
      </c>
      <c r="T1271" s="5">
        <v>1057</v>
      </c>
      <c r="W1271" s="5" t="s">
        <v>65</v>
      </c>
      <c r="X1271" s="5">
        <v>0</v>
      </c>
      <c r="Y1271" s="5">
        <v>0</v>
      </c>
      <c r="Z1271" s="5">
        <v>7945.2054790000002</v>
      </c>
      <c r="AA1271" s="5">
        <v>400</v>
      </c>
      <c r="AB1271" s="5">
        <v>3178082.1916</v>
      </c>
      <c r="AC1271" s="5" t="str">
        <f t="shared" ref="AC1271:AC1334" si="64">IF(ISNUMBER(SEARCH("Acciones",L1271)),"Acciones",IF(ISNUMBER(SEARCH("Bono",L1271)),"Bonos",IF(ISNUMBER(SEARCH("CDA",L1271)),"CDA",IF(ISNUMBER(SEARCH("Fondo",L1271)),"Fondo",0))))</f>
        <v>Bonos</v>
      </c>
      <c r="AD1271" s="5" t="s">
        <v>43</v>
      </c>
      <c r="AE1271" s="5">
        <f t="shared" si="62"/>
        <v>11</v>
      </c>
      <c r="AF1271" s="5">
        <f t="shared" si="63"/>
        <v>2019</v>
      </c>
    </row>
    <row r="1272" s="5" customFormat="1" ht="13">
      <c r="A1272" s="5" t="s">
        <v>44</v>
      </c>
      <c r="B1272" s="5" t="s">
        <v>44</v>
      </c>
      <c r="C1272" s="5" t="s">
        <v>304</v>
      </c>
      <c r="D1272" s="5" t="s">
        <v>21</v>
      </c>
      <c r="E1272" s="5" t="s">
        <v>44</v>
      </c>
      <c r="F1272" s="5" t="s">
        <v>68</v>
      </c>
      <c r="G1272" s="5" t="s">
        <v>145</v>
      </c>
      <c r="H1272" s="9" t="s">
        <v>363</v>
      </c>
      <c r="I1272" s="10"/>
      <c r="J1272" s="10">
        <v>43809</v>
      </c>
      <c r="K1272" s="5" t="s">
        <v>39</v>
      </c>
      <c r="L1272" s="5" t="s">
        <v>58</v>
      </c>
      <c r="M1272" s="11">
        <v>0.089999999999999997</v>
      </c>
      <c r="N1272" s="5" t="e">
        <f>IF(AND(M1272&gt;#REF!,Cartera!O1272="Guaraníes"),"Rendimiento significativo",IF(AND(M1272&gt;#REF!,Cartera!O1272="Dólares americanos"),"Rendimiento significativo","Rendimiento no significativo"))</f>
        <v>#REF!</v>
      </c>
      <c r="O1272" s="5" t="s">
        <v>41</v>
      </c>
      <c r="P1272" s="12">
        <v>8975342.4656000007</v>
      </c>
      <c r="Q1272" s="12">
        <f>IF(O1272="Guaraníes",P1272,P1272*#REF!)</f>
        <v>8975342.4656000007</v>
      </c>
      <c r="R1272" s="12" t="e">
        <f>IF(O1272="Guaraníes",P1272/#REF!,P1272)</f>
        <v>#REF!</v>
      </c>
      <c r="S1272" s="5" t="s">
        <v>52</v>
      </c>
      <c r="T1272" s="5">
        <v>1057</v>
      </c>
      <c r="W1272" s="5" t="s">
        <v>65</v>
      </c>
      <c r="X1272" s="5">
        <v>0</v>
      </c>
      <c r="Y1272" s="5">
        <v>0</v>
      </c>
      <c r="Z1272" s="5">
        <v>22438.356164000001</v>
      </c>
      <c r="AA1272" s="5">
        <v>400</v>
      </c>
      <c r="AB1272" s="5">
        <v>8975342.4656000007</v>
      </c>
      <c r="AC1272" s="5" t="str">
        <f t="shared" si="64"/>
        <v>Bonos</v>
      </c>
      <c r="AD1272" s="5" t="s">
        <v>43</v>
      </c>
      <c r="AE1272" s="5">
        <f t="shared" si="62"/>
        <v>12</v>
      </c>
      <c r="AF1272" s="5">
        <f t="shared" si="63"/>
        <v>2019</v>
      </c>
    </row>
    <row r="1273" s="5" customFormat="1" ht="13">
      <c r="A1273" s="5" t="s">
        <v>44</v>
      </c>
      <c r="B1273" s="5" t="s">
        <v>44</v>
      </c>
      <c r="C1273" s="5" t="s">
        <v>304</v>
      </c>
      <c r="D1273" s="5" t="s">
        <v>21</v>
      </c>
      <c r="E1273" s="5" t="s">
        <v>44</v>
      </c>
      <c r="F1273" s="5" t="s">
        <v>68</v>
      </c>
      <c r="G1273" s="5" t="s">
        <v>145</v>
      </c>
      <c r="H1273" s="9" t="s">
        <v>305</v>
      </c>
      <c r="I1273" s="10"/>
      <c r="J1273" s="10">
        <v>43825</v>
      </c>
      <c r="K1273" s="5" t="s">
        <v>39</v>
      </c>
      <c r="L1273" s="5" t="s">
        <v>58</v>
      </c>
      <c r="M1273" s="11">
        <v>0.089999999999999997</v>
      </c>
      <c r="N1273" s="5" t="e">
        <f>IF(AND(M1273&gt;#REF!,Cartera!O1273="Guaraníes"),"Rendimiento significativo",IF(AND(M1273&gt;#REF!,Cartera!O1273="Dólares americanos"),"Rendimiento significativo","Rendimiento no significativo"))</f>
        <v>#REF!</v>
      </c>
      <c r="O1273" s="5" t="s">
        <v>41</v>
      </c>
      <c r="P1273" s="12">
        <v>673150.68492000003</v>
      </c>
      <c r="Q1273" s="12">
        <f>IF(O1273="Guaraníes",P1273,P1273*#REF!)</f>
        <v>673150.68492000003</v>
      </c>
      <c r="R1273" s="12" t="e">
        <f>IF(O1273="Guaraníes",P1273/#REF!,P1273)</f>
        <v>#REF!</v>
      </c>
      <c r="S1273" s="5" t="s">
        <v>52</v>
      </c>
      <c r="T1273" s="5">
        <v>1057</v>
      </c>
      <c r="W1273" s="5" t="s">
        <v>65</v>
      </c>
      <c r="X1273" s="5">
        <v>0</v>
      </c>
      <c r="Y1273" s="5">
        <v>0</v>
      </c>
      <c r="Z1273" s="5">
        <v>22438.356164000001</v>
      </c>
      <c r="AA1273" s="5">
        <v>30</v>
      </c>
      <c r="AB1273" s="5">
        <v>673150.68492000003</v>
      </c>
      <c r="AC1273" s="5" t="str">
        <f t="shared" si="64"/>
        <v>Bonos</v>
      </c>
      <c r="AD1273" s="5" t="s">
        <v>43</v>
      </c>
      <c r="AE1273" s="5">
        <f t="shared" si="62"/>
        <v>12</v>
      </c>
      <c r="AF1273" s="5">
        <f t="shared" si="63"/>
        <v>2019</v>
      </c>
    </row>
    <row r="1274" s="5" customFormat="1" ht="13">
      <c r="A1274" s="5" t="s">
        <v>44</v>
      </c>
      <c r="B1274" s="5" t="s">
        <v>44</v>
      </c>
      <c r="C1274" s="5" t="s">
        <v>143</v>
      </c>
      <c r="D1274" s="5" t="s">
        <v>21</v>
      </c>
      <c r="E1274" s="5" t="s">
        <v>44</v>
      </c>
      <c r="F1274" s="5" t="s">
        <v>144</v>
      </c>
      <c r="G1274" s="5" t="s">
        <v>145</v>
      </c>
      <c r="H1274" s="9" t="s">
        <v>272</v>
      </c>
      <c r="I1274" s="10">
        <v>43532</v>
      </c>
      <c r="J1274" s="10">
        <v>43829</v>
      </c>
      <c r="K1274" s="5" t="s">
        <v>49</v>
      </c>
      <c r="L1274" s="5" t="s">
        <v>106</v>
      </c>
      <c r="M1274" s="11">
        <v>0.057500000000000002</v>
      </c>
      <c r="N1274" s="5" t="e">
        <f>IF(AND(M1274&gt;#REF!,Cartera!O1274="Guaraníes"),"Rendimiento significativo",IF(AND(M1274&gt;#REF!,Cartera!O1274="Dólares americanos"),"Rendimiento significativo","Rendimiento no significativo"))</f>
        <v>#REF!</v>
      </c>
      <c r="O1274" s="5" t="s">
        <v>51</v>
      </c>
      <c r="P1274" s="13">
        <v>48.835620000000006</v>
      </c>
      <c r="Q1274" s="12" t="e">
        <f>IF(O1274="Guaraníes",P1274,P1274*#REF!)</f>
        <v>#REF!</v>
      </c>
      <c r="R1274" s="12">
        <f>IF(O1274="Guaraníes",P1274/#REF!,P1274)</f>
        <v>48.835620000000006</v>
      </c>
      <c r="S1274" s="5" t="s">
        <v>52</v>
      </c>
      <c r="T1274" s="5">
        <v>1057</v>
      </c>
      <c r="W1274" s="5" t="s">
        <v>65</v>
      </c>
      <c r="X1274" s="5">
        <v>0</v>
      </c>
      <c r="Y1274" s="5">
        <v>0</v>
      </c>
      <c r="Z1274" s="5">
        <v>4.8835620000000004</v>
      </c>
      <c r="AA1274" s="5">
        <v>10</v>
      </c>
      <c r="AB1274" s="5">
        <v>48.835619999999999</v>
      </c>
      <c r="AC1274" s="5" t="str">
        <f t="shared" si="64"/>
        <v>Bonos</v>
      </c>
      <c r="AD1274" s="5" t="s">
        <v>43</v>
      </c>
      <c r="AE1274" s="5">
        <f t="shared" si="62"/>
        <v>12</v>
      </c>
      <c r="AF1274" s="5">
        <f t="shared" si="63"/>
        <v>2019</v>
      </c>
    </row>
    <row r="1275" s="5" customFormat="1" ht="13">
      <c r="A1275" s="5" t="s">
        <v>44</v>
      </c>
      <c r="B1275" s="5" t="s">
        <v>44</v>
      </c>
      <c r="C1275" s="5" t="s">
        <v>143</v>
      </c>
      <c r="D1275" s="5" t="s">
        <v>21</v>
      </c>
      <c r="E1275" s="5" t="s">
        <v>44</v>
      </c>
      <c r="F1275" s="5" t="s">
        <v>144</v>
      </c>
      <c r="G1275" s="5" t="s">
        <v>145</v>
      </c>
      <c r="H1275" s="9" t="s">
        <v>146</v>
      </c>
      <c r="I1275" s="10"/>
      <c r="J1275" s="10">
        <v>43829</v>
      </c>
      <c r="K1275" s="5" t="s">
        <v>49</v>
      </c>
      <c r="L1275" s="5" t="s">
        <v>106</v>
      </c>
      <c r="M1275" s="11">
        <v>0.060999999999999999</v>
      </c>
      <c r="N1275" s="5" t="e">
        <f>IF(AND(M1275&gt;#REF!,Cartera!O1275="Guaraníes"),"Rendimiento significativo",IF(AND(M1275&gt;#REF!,Cartera!O1275="Dólares americanos"),"Rendimiento significativo","Rendimiento no significativo"))</f>
        <v>#REF!</v>
      </c>
      <c r="O1275" s="5" t="s">
        <v>51</v>
      </c>
      <c r="P1275" s="13">
        <v>207.23287999999999</v>
      </c>
      <c r="Q1275" s="12" t="e">
        <f>IF(O1275="Guaraníes",P1275,P1275*#REF!)</f>
        <v>#REF!</v>
      </c>
      <c r="R1275" s="12">
        <f>IF(O1275="Guaraníes",P1275/#REF!,P1275)</f>
        <v>207.23287999999999</v>
      </c>
      <c r="S1275" s="5" t="s">
        <v>52</v>
      </c>
      <c r="T1275" s="5">
        <v>1057</v>
      </c>
      <c r="W1275" s="5" t="s">
        <v>65</v>
      </c>
      <c r="X1275" s="5">
        <v>0</v>
      </c>
      <c r="Y1275" s="5">
        <v>0</v>
      </c>
      <c r="Z1275" s="5">
        <v>5.180822</v>
      </c>
      <c r="AA1275" s="5">
        <v>40</v>
      </c>
      <c r="AB1275" s="5">
        <v>207.23287999999999</v>
      </c>
      <c r="AC1275" s="5" t="str">
        <f t="shared" si="64"/>
        <v>Bonos</v>
      </c>
      <c r="AD1275" s="5" t="s">
        <v>43</v>
      </c>
      <c r="AE1275" s="5">
        <f t="shared" si="62"/>
        <v>12</v>
      </c>
      <c r="AF1275" s="5">
        <f t="shared" si="63"/>
        <v>2019</v>
      </c>
    </row>
    <row r="1276" s="5" customFormat="1" ht="13">
      <c r="A1276" s="5" t="s">
        <v>44</v>
      </c>
      <c r="B1276" s="5" t="s">
        <v>44</v>
      </c>
      <c r="C1276" s="5" t="s">
        <v>356</v>
      </c>
      <c r="D1276" s="5" t="s">
        <v>21</v>
      </c>
      <c r="E1276" s="5" t="s">
        <v>44</v>
      </c>
      <c r="F1276" s="5" t="s">
        <v>90</v>
      </c>
      <c r="G1276" s="5" t="s">
        <v>145</v>
      </c>
      <c r="H1276" s="9" t="s">
        <v>357</v>
      </c>
      <c r="I1276" s="10"/>
      <c r="J1276" s="10">
        <v>43829</v>
      </c>
      <c r="K1276" s="5" t="s">
        <v>77</v>
      </c>
      <c r="L1276" s="5" t="s">
        <v>58</v>
      </c>
      <c r="M1276" s="11">
        <v>0.12</v>
      </c>
      <c r="N1276" s="5" t="e">
        <f>IF(AND(M1276&gt;#REF!,Cartera!O1276="Guaraníes"),"Rendimiento significativo",IF(AND(M1276&gt;#REF!,Cartera!O1276="Dólares americanos"),"Rendimiento significativo","Rendimiento no significativo"))</f>
        <v>#REF!</v>
      </c>
      <c r="O1276" s="5" t="s">
        <v>41</v>
      </c>
      <c r="P1276" s="12">
        <v>2958904.1096000001</v>
      </c>
      <c r="Q1276" s="12">
        <f>IF(O1276="Guaraníes",P1276,P1276*#REF!)</f>
        <v>2958904.1096000001</v>
      </c>
      <c r="R1276" s="12" t="e">
        <f>IF(O1276="Guaraníes",P1276/#REF!,P1276)</f>
        <v>#REF!</v>
      </c>
      <c r="S1276" s="5" t="s">
        <v>52</v>
      </c>
      <c r="T1276" s="5">
        <v>1057</v>
      </c>
      <c r="W1276" s="5" t="s">
        <v>65</v>
      </c>
      <c r="X1276" s="5">
        <v>0</v>
      </c>
      <c r="Y1276" s="5">
        <v>0</v>
      </c>
      <c r="Z1276" s="5">
        <v>29589.041096000001</v>
      </c>
      <c r="AA1276" s="5">
        <v>100</v>
      </c>
      <c r="AB1276" s="5">
        <v>2958904.1096000001</v>
      </c>
      <c r="AC1276" s="5" t="str">
        <f t="shared" si="64"/>
        <v>Bonos</v>
      </c>
      <c r="AD1276" s="5" t="s">
        <v>43</v>
      </c>
      <c r="AE1276" s="5">
        <f t="shared" si="62"/>
        <v>12</v>
      </c>
      <c r="AF1276" s="5">
        <f t="shared" si="63"/>
        <v>2019</v>
      </c>
    </row>
    <row r="1277" s="5" customFormat="1" ht="13">
      <c r="A1277" s="5" t="s">
        <v>44</v>
      </c>
      <c r="B1277" s="5" t="s">
        <v>44</v>
      </c>
      <c r="C1277" s="5" t="s">
        <v>164</v>
      </c>
      <c r="D1277" s="5" t="s">
        <v>21</v>
      </c>
      <c r="E1277" s="5" t="s">
        <v>44</v>
      </c>
      <c r="F1277" s="5" t="s">
        <v>68</v>
      </c>
      <c r="G1277" s="5" t="s">
        <v>145</v>
      </c>
      <c r="H1277" s="9" t="s">
        <v>165</v>
      </c>
      <c r="I1277" s="10"/>
      <c r="J1277" s="10">
        <v>43829</v>
      </c>
      <c r="K1277" s="5" t="s">
        <v>124</v>
      </c>
      <c r="L1277" s="5" t="s">
        <v>58</v>
      </c>
      <c r="M1277" s="11">
        <v>0.10000000000000001</v>
      </c>
      <c r="N1277" s="5" t="e">
        <f>IF(AND(M1277&gt;#REF!,Cartera!O1277="Guaraníes"),"Rendimiento significativo",IF(AND(M1277&gt;#REF!,Cartera!O1277="Dólares americanos"),"Rendimiento significativo","Rendimiento no significativo"))</f>
        <v>#REF!</v>
      </c>
      <c r="O1277" s="5" t="s">
        <v>41</v>
      </c>
      <c r="P1277" s="12">
        <v>3397260.2740000002</v>
      </c>
      <c r="Q1277" s="12">
        <f>IF(O1277="Guaraníes",P1277,P1277*#REF!)</f>
        <v>3397260.2740000002</v>
      </c>
      <c r="R1277" s="12" t="e">
        <f>IF(O1277="Guaraníes",P1277/#REF!,P1277)</f>
        <v>#REF!</v>
      </c>
      <c r="S1277" s="5" t="s">
        <v>52</v>
      </c>
      <c r="T1277" s="5">
        <v>1057</v>
      </c>
      <c r="W1277" s="5" t="s">
        <v>65</v>
      </c>
      <c r="X1277" s="5">
        <v>0</v>
      </c>
      <c r="Y1277" s="5">
        <v>0</v>
      </c>
      <c r="Z1277" s="5">
        <v>8493.1506850000005</v>
      </c>
      <c r="AA1277" s="5">
        <v>400</v>
      </c>
      <c r="AB1277" s="5">
        <v>3397260.2740000002</v>
      </c>
      <c r="AC1277" s="5" t="str">
        <f t="shared" si="64"/>
        <v>Bonos</v>
      </c>
      <c r="AD1277" s="5" t="s">
        <v>43</v>
      </c>
      <c r="AE1277" s="5">
        <f t="shared" si="62"/>
        <v>12</v>
      </c>
      <c r="AF1277" s="5">
        <f t="shared" si="63"/>
        <v>2019</v>
      </c>
    </row>
    <row r="1278" s="5" customFormat="1" ht="13">
      <c r="A1278" s="5" t="s">
        <v>44</v>
      </c>
      <c r="B1278" s="5" t="s">
        <v>44</v>
      </c>
      <c r="C1278" s="5" t="s">
        <v>143</v>
      </c>
      <c r="D1278" s="5" t="s">
        <v>21</v>
      </c>
      <c r="E1278" s="5" t="s">
        <v>44</v>
      </c>
      <c r="F1278" s="5" t="s">
        <v>144</v>
      </c>
      <c r="G1278" s="5" t="s">
        <v>145</v>
      </c>
      <c r="H1278" s="9" t="s">
        <v>272</v>
      </c>
      <c r="I1278" s="10">
        <v>43532</v>
      </c>
      <c r="J1278" s="10">
        <v>43861</v>
      </c>
      <c r="K1278" s="5" t="s">
        <v>49</v>
      </c>
      <c r="L1278" s="5" t="s">
        <v>106</v>
      </c>
      <c r="M1278" s="11">
        <v>0.057500000000000002</v>
      </c>
      <c r="N1278" s="5" t="e">
        <f>IF(AND(M1278&gt;#REF!,Cartera!O1278="Guaraníes"),"Rendimiento significativo",IF(AND(M1278&gt;#REF!,Cartera!O1278="Dólares americanos"),"Rendimiento significativo","Rendimiento no significativo"))</f>
        <v>#REF!</v>
      </c>
      <c r="O1278" s="5" t="s">
        <v>51</v>
      </c>
      <c r="P1278" s="13">
        <v>50.410959999999996</v>
      </c>
      <c r="Q1278" s="12" t="e">
        <f>IF(O1278="Guaraníes",P1278,P1278*#REF!)</f>
        <v>#REF!</v>
      </c>
      <c r="R1278" s="12">
        <f>IF(O1278="Guaraníes",P1278/#REF!,P1278)</f>
        <v>50.410959999999996</v>
      </c>
      <c r="S1278" s="5" t="s">
        <v>52</v>
      </c>
      <c r="T1278" s="5">
        <v>1057</v>
      </c>
      <c r="W1278" s="5" t="s">
        <v>65</v>
      </c>
      <c r="X1278" s="5">
        <v>0</v>
      </c>
      <c r="Y1278" s="5">
        <v>0</v>
      </c>
      <c r="Z1278" s="5">
        <v>5.0410959999999996</v>
      </c>
      <c r="AA1278" s="5">
        <v>10</v>
      </c>
      <c r="AB1278" s="5">
        <v>50.410960000000003</v>
      </c>
      <c r="AC1278" s="5" t="str">
        <f t="shared" si="64"/>
        <v>Bonos</v>
      </c>
      <c r="AD1278" s="5" t="s">
        <v>43</v>
      </c>
      <c r="AE1278" s="5">
        <f t="shared" si="62"/>
        <v>1</v>
      </c>
      <c r="AF1278" s="5">
        <f t="shared" si="63"/>
        <v>2020</v>
      </c>
    </row>
    <row r="1279" s="5" customFormat="1" ht="13">
      <c r="A1279" s="5" t="s">
        <v>44</v>
      </c>
      <c r="B1279" s="5" t="s">
        <v>44</v>
      </c>
      <c r="C1279" s="5" t="s">
        <v>143</v>
      </c>
      <c r="D1279" s="5" t="s">
        <v>21</v>
      </c>
      <c r="E1279" s="5" t="s">
        <v>44</v>
      </c>
      <c r="F1279" s="5" t="s">
        <v>144</v>
      </c>
      <c r="G1279" s="5" t="s">
        <v>145</v>
      </c>
      <c r="H1279" s="9" t="s">
        <v>146</v>
      </c>
      <c r="I1279" s="10"/>
      <c r="J1279" s="10">
        <v>43861</v>
      </c>
      <c r="K1279" s="5" t="s">
        <v>49</v>
      </c>
      <c r="L1279" s="5" t="s">
        <v>106</v>
      </c>
      <c r="M1279" s="11">
        <v>0.060999999999999999</v>
      </c>
      <c r="N1279" s="5" t="e">
        <f>IF(AND(M1279&gt;#REF!,Cartera!O1279="Guaraníes"),"Rendimiento significativo",IF(AND(M1279&gt;#REF!,Cartera!O1279="Dólares americanos"),"Rendimiento significativo","Rendimiento no significativo"))</f>
        <v>#REF!</v>
      </c>
      <c r="O1279" s="5" t="s">
        <v>51</v>
      </c>
      <c r="P1279" s="13">
        <v>213.9178</v>
      </c>
      <c r="Q1279" s="12" t="e">
        <f>IF(O1279="Guaraníes",P1279,P1279*#REF!)</f>
        <v>#REF!</v>
      </c>
      <c r="R1279" s="12">
        <f>IF(O1279="Guaraníes",P1279/#REF!,P1279)</f>
        <v>213.9178</v>
      </c>
      <c r="S1279" s="5" t="s">
        <v>52</v>
      </c>
      <c r="T1279" s="5">
        <v>1057</v>
      </c>
      <c r="W1279" s="5" t="s">
        <v>65</v>
      </c>
      <c r="X1279" s="5">
        <v>0</v>
      </c>
      <c r="Y1279" s="5">
        <v>0</v>
      </c>
      <c r="Z1279" s="5">
        <v>5.3479450000000002</v>
      </c>
      <c r="AA1279" s="5">
        <v>40</v>
      </c>
      <c r="AB1279" s="5">
        <v>213.9178</v>
      </c>
      <c r="AC1279" s="5" t="str">
        <f t="shared" si="64"/>
        <v>Bonos</v>
      </c>
      <c r="AD1279" s="5" t="s">
        <v>43</v>
      </c>
      <c r="AE1279" s="5">
        <f t="shared" si="62"/>
        <v>1</v>
      </c>
      <c r="AF1279" s="5">
        <f t="shared" si="63"/>
        <v>2020</v>
      </c>
    </row>
    <row r="1280" s="5" customFormat="1" ht="13">
      <c r="A1280" s="5" t="s">
        <v>44</v>
      </c>
      <c r="B1280" s="5" t="s">
        <v>44</v>
      </c>
      <c r="C1280" s="5" t="s">
        <v>164</v>
      </c>
      <c r="D1280" s="5" t="s">
        <v>21</v>
      </c>
      <c r="E1280" s="5" t="s">
        <v>44</v>
      </c>
      <c r="F1280" s="5" t="s">
        <v>68</v>
      </c>
      <c r="G1280" s="5" t="s">
        <v>145</v>
      </c>
      <c r="H1280" s="9" t="s">
        <v>165</v>
      </c>
      <c r="I1280" s="10"/>
      <c r="J1280" s="10">
        <v>43861</v>
      </c>
      <c r="K1280" s="5" t="s">
        <v>124</v>
      </c>
      <c r="L1280" s="5" t="s">
        <v>58</v>
      </c>
      <c r="M1280" s="11">
        <v>0.10000000000000001</v>
      </c>
      <c r="N1280" s="5" t="e">
        <f>IF(AND(M1280&gt;#REF!,Cartera!O1280="Guaraníes"),"Rendimiento significativo",IF(AND(M1280&gt;#REF!,Cartera!O1280="Dólares americanos"),"Rendimiento significativo","Rendimiento no significativo"))</f>
        <v>#REF!</v>
      </c>
      <c r="O1280" s="5" t="s">
        <v>41</v>
      </c>
      <c r="P1280" s="12">
        <v>3506849.3152000001</v>
      </c>
      <c r="Q1280" s="12">
        <f>IF(O1280="Guaraníes",P1280,P1280*#REF!)</f>
        <v>3506849.3152000001</v>
      </c>
      <c r="R1280" s="12" t="e">
        <f>IF(O1280="Guaraníes",P1280/#REF!,P1280)</f>
        <v>#REF!</v>
      </c>
      <c r="S1280" s="5" t="s">
        <v>52</v>
      </c>
      <c r="T1280" s="5">
        <v>1057</v>
      </c>
      <c r="W1280" s="5" t="s">
        <v>65</v>
      </c>
      <c r="X1280" s="5">
        <v>0</v>
      </c>
      <c r="Y1280" s="5">
        <v>0</v>
      </c>
      <c r="Z1280" s="5">
        <v>8767.1232880000007</v>
      </c>
      <c r="AA1280" s="5">
        <v>400</v>
      </c>
      <c r="AB1280" s="5">
        <v>3506849.3152000001</v>
      </c>
      <c r="AC1280" s="5" t="str">
        <f t="shared" si="64"/>
        <v>Bonos</v>
      </c>
      <c r="AD1280" s="5" t="s">
        <v>43</v>
      </c>
      <c r="AE1280" s="5">
        <f t="shared" si="62"/>
        <v>1</v>
      </c>
      <c r="AF1280" s="5">
        <f t="shared" si="63"/>
        <v>2020</v>
      </c>
    </row>
    <row r="1281" s="5" customFormat="1" ht="13">
      <c r="A1281" s="5" t="s">
        <v>44</v>
      </c>
      <c r="B1281" s="5" t="s">
        <v>44</v>
      </c>
      <c r="C1281" s="5" t="s">
        <v>45</v>
      </c>
      <c r="D1281" s="5" t="s">
        <v>21</v>
      </c>
      <c r="E1281" s="5" t="s">
        <v>44</v>
      </c>
      <c r="F1281" s="5" t="s">
        <v>46</v>
      </c>
      <c r="G1281" s="5" t="s">
        <v>145</v>
      </c>
      <c r="H1281" s="9" t="s">
        <v>359</v>
      </c>
      <c r="I1281" s="10"/>
      <c r="J1281" s="10">
        <v>43881</v>
      </c>
      <c r="K1281" s="5" t="s">
        <v>49</v>
      </c>
      <c r="L1281" s="5" t="s">
        <v>50</v>
      </c>
      <c r="M1281" s="11">
        <v>0.070000000000000007</v>
      </c>
      <c r="N1281" s="5" t="e">
        <f>IF(AND(M1281&gt;#REF!,Cartera!O1281="Guaraníes"),"Rendimiento significativo",IF(AND(M1281&gt;#REF!,Cartera!O1281="Dólares americanos"),"Rendimiento significativo","Rendimiento no significativo"))</f>
        <v>#REF!</v>
      </c>
      <c r="O1281" s="5" t="s">
        <v>51</v>
      </c>
      <c r="P1281" s="13">
        <v>149.58904000000001</v>
      </c>
      <c r="Q1281" s="12" t="e">
        <f>IF(O1281="Guaraníes",P1281,P1281*#REF!)</f>
        <v>#REF!</v>
      </c>
      <c r="R1281" s="12">
        <f>IF(O1281="Guaraníes",P1281/#REF!,P1281)</f>
        <v>149.58904000000001</v>
      </c>
      <c r="S1281" s="5" t="s">
        <v>52</v>
      </c>
      <c r="T1281" s="5">
        <v>1057</v>
      </c>
      <c r="W1281" s="5" t="s">
        <v>65</v>
      </c>
      <c r="X1281" s="5">
        <v>0</v>
      </c>
      <c r="Y1281" s="5">
        <v>0</v>
      </c>
      <c r="Z1281" s="5">
        <v>14.958904</v>
      </c>
      <c r="AA1281" s="5">
        <v>10</v>
      </c>
      <c r="AB1281" s="5">
        <v>149.58904000000001</v>
      </c>
      <c r="AC1281" s="5" t="str">
        <f t="shared" si="64"/>
        <v>Bonos</v>
      </c>
      <c r="AD1281" s="5" t="s">
        <v>43</v>
      </c>
      <c r="AE1281" s="5">
        <f t="shared" si="62"/>
        <v>2</v>
      </c>
      <c r="AF1281" s="5">
        <f t="shared" si="63"/>
        <v>2020</v>
      </c>
    </row>
    <row r="1282" s="5" customFormat="1" ht="13">
      <c r="A1282" s="5" t="s">
        <v>44</v>
      </c>
      <c r="B1282" s="5" t="s">
        <v>44</v>
      </c>
      <c r="C1282" s="5" t="s">
        <v>143</v>
      </c>
      <c r="D1282" s="5" t="s">
        <v>21</v>
      </c>
      <c r="E1282" s="5" t="s">
        <v>44</v>
      </c>
      <c r="F1282" s="5" t="s">
        <v>144</v>
      </c>
      <c r="G1282" s="5" t="s">
        <v>145</v>
      </c>
      <c r="H1282" s="9" t="s">
        <v>272</v>
      </c>
      <c r="I1282" s="10">
        <v>43532</v>
      </c>
      <c r="J1282" s="10">
        <v>43889</v>
      </c>
      <c r="K1282" s="5" t="s">
        <v>49</v>
      </c>
      <c r="L1282" s="5" t="s">
        <v>106</v>
      </c>
      <c r="M1282" s="11">
        <v>0.057500000000000002</v>
      </c>
      <c r="N1282" s="5" t="e">
        <f>IF(AND(M1282&gt;#REF!,Cartera!O1282="Guaraníes"),"Rendimiento significativo",IF(AND(M1282&gt;#REF!,Cartera!O1282="Dólares americanos"),"Rendimiento significativo","Rendimiento no significativo"))</f>
        <v>#REF!</v>
      </c>
      <c r="O1282" s="5" t="s">
        <v>51</v>
      </c>
      <c r="P1282" s="13">
        <v>44.109589999999997</v>
      </c>
      <c r="Q1282" s="12" t="e">
        <f>IF(O1282="Guaraníes",P1282,P1282*#REF!)</f>
        <v>#REF!</v>
      </c>
      <c r="R1282" s="12">
        <f>IF(O1282="Guaraníes",P1282/#REF!,P1282)</f>
        <v>44.109589999999997</v>
      </c>
      <c r="S1282" s="5" t="s">
        <v>52</v>
      </c>
      <c r="T1282" s="5">
        <v>1057</v>
      </c>
      <c r="W1282" s="5" t="s">
        <v>65</v>
      </c>
      <c r="X1282" s="5">
        <v>0</v>
      </c>
      <c r="Y1282" s="5">
        <v>0</v>
      </c>
      <c r="Z1282" s="5">
        <v>4.4109590000000001</v>
      </c>
      <c r="AA1282" s="5">
        <v>10</v>
      </c>
      <c r="AB1282" s="5">
        <v>44.109589999999997</v>
      </c>
      <c r="AC1282" s="5" t="str">
        <f t="shared" si="64"/>
        <v>Bonos</v>
      </c>
      <c r="AD1282" s="5" t="s">
        <v>43</v>
      </c>
      <c r="AE1282" s="5">
        <f t="shared" si="62"/>
        <v>2</v>
      </c>
      <c r="AF1282" s="5">
        <f t="shared" si="63"/>
        <v>2020</v>
      </c>
    </row>
    <row r="1283" s="5" customFormat="1" ht="13">
      <c r="A1283" s="5" t="s">
        <v>44</v>
      </c>
      <c r="B1283" s="5" t="s">
        <v>44</v>
      </c>
      <c r="C1283" s="5" t="s">
        <v>143</v>
      </c>
      <c r="D1283" s="5" t="s">
        <v>21</v>
      </c>
      <c r="E1283" s="5" t="s">
        <v>44</v>
      </c>
      <c r="F1283" s="5" t="s">
        <v>144</v>
      </c>
      <c r="G1283" s="5" t="s">
        <v>145</v>
      </c>
      <c r="H1283" s="9" t="s">
        <v>146</v>
      </c>
      <c r="I1283" s="10"/>
      <c r="J1283" s="10">
        <v>43889</v>
      </c>
      <c r="K1283" s="5" t="s">
        <v>49</v>
      </c>
      <c r="L1283" s="5" t="s">
        <v>106</v>
      </c>
      <c r="M1283" s="11">
        <v>0.060999999999999999</v>
      </c>
      <c r="N1283" s="5" t="e">
        <f>IF(AND(M1283&gt;#REF!,Cartera!O1283="Guaraníes"),"Rendimiento significativo",IF(AND(M1283&gt;#REF!,Cartera!O1283="Dólares americanos"),"Rendimiento significativo","Rendimiento no significativo"))</f>
        <v>#REF!</v>
      </c>
      <c r="O1283" s="5" t="s">
        <v>51</v>
      </c>
      <c r="P1283" s="13">
        <v>187.17808000000002</v>
      </c>
      <c r="Q1283" s="12" t="e">
        <f>IF(O1283="Guaraníes",P1283,P1283*#REF!)</f>
        <v>#REF!</v>
      </c>
      <c r="R1283" s="12">
        <f>IF(O1283="Guaraníes",P1283/#REF!,P1283)</f>
        <v>187.17808000000002</v>
      </c>
      <c r="S1283" s="5" t="s">
        <v>52</v>
      </c>
      <c r="T1283" s="5">
        <v>1057</v>
      </c>
      <c r="W1283" s="5" t="s">
        <v>65</v>
      </c>
      <c r="X1283" s="5">
        <v>0</v>
      </c>
      <c r="Y1283" s="5">
        <v>0</v>
      </c>
      <c r="Z1283" s="5">
        <v>4.6794520000000004</v>
      </c>
      <c r="AA1283" s="5">
        <v>40</v>
      </c>
      <c r="AB1283" s="5">
        <v>187.17807999999999</v>
      </c>
      <c r="AC1283" s="5" t="str">
        <f t="shared" si="64"/>
        <v>Bonos</v>
      </c>
      <c r="AD1283" s="5" t="s">
        <v>43</v>
      </c>
      <c r="AE1283" s="5">
        <f t="shared" si="62"/>
        <v>2</v>
      </c>
      <c r="AF1283" s="5">
        <f t="shared" si="63"/>
        <v>2020</v>
      </c>
    </row>
    <row r="1284" s="5" customFormat="1" ht="13">
      <c r="A1284" s="5" t="s">
        <v>44</v>
      </c>
      <c r="B1284" s="5" t="s">
        <v>44</v>
      </c>
      <c r="C1284" s="5" t="s">
        <v>164</v>
      </c>
      <c r="D1284" s="5" t="s">
        <v>21</v>
      </c>
      <c r="E1284" s="5" t="s">
        <v>44</v>
      </c>
      <c r="F1284" s="5" t="s">
        <v>68</v>
      </c>
      <c r="G1284" s="5" t="s">
        <v>145</v>
      </c>
      <c r="H1284" s="9" t="s">
        <v>165</v>
      </c>
      <c r="I1284" s="10"/>
      <c r="J1284" s="10">
        <v>43889</v>
      </c>
      <c r="K1284" s="5" t="s">
        <v>124</v>
      </c>
      <c r="L1284" s="5" t="s">
        <v>58</v>
      </c>
      <c r="M1284" s="11">
        <v>0.10000000000000001</v>
      </c>
      <c r="N1284" s="5" t="e">
        <f>IF(AND(M1284&gt;#REF!,Cartera!O1284="Guaraníes"),"Rendimiento significativo",IF(AND(M1284&gt;#REF!,Cartera!O1284="Dólares americanos"),"Rendimiento significativo","Rendimiento no significativo"))</f>
        <v>#REF!</v>
      </c>
      <c r="O1284" s="5" t="s">
        <v>41</v>
      </c>
      <c r="P1284" s="12">
        <v>3068493.1507999999</v>
      </c>
      <c r="Q1284" s="12">
        <f>IF(O1284="Guaraníes",P1284,P1284*#REF!)</f>
        <v>3068493.1507999999</v>
      </c>
      <c r="R1284" s="12" t="e">
        <f>IF(O1284="Guaraníes",P1284/#REF!,P1284)</f>
        <v>#REF!</v>
      </c>
      <c r="S1284" s="5" t="s">
        <v>52</v>
      </c>
      <c r="T1284" s="5">
        <v>1057</v>
      </c>
      <c r="W1284" s="5" t="s">
        <v>65</v>
      </c>
      <c r="X1284" s="5">
        <v>0</v>
      </c>
      <c r="Y1284" s="5">
        <v>0</v>
      </c>
      <c r="Z1284" s="5">
        <v>7671.2328770000004</v>
      </c>
      <c r="AA1284" s="5">
        <v>400</v>
      </c>
      <c r="AB1284" s="5">
        <v>3068493.1507999999</v>
      </c>
      <c r="AC1284" s="5" t="str">
        <f t="shared" si="64"/>
        <v>Bonos</v>
      </c>
      <c r="AD1284" s="5" t="s">
        <v>43</v>
      </c>
      <c r="AE1284" s="5">
        <f t="shared" si="62"/>
        <v>2</v>
      </c>
      <c r="AF1284" s="5">
        <f t="shared" si="63"/>
        <v>2020</v>
      </c>
    </row>
    <row r="1285" s="5" customFormat="1" ht="13">
      <c r="A1285" s="5" t="s">
        <v>44</v>
      </c>
      <c r="B1285" s="5" t="s">
        <v>44</v>
      </c>
      <c r="C1285" s="5" t="s">
        <v>304</v>
      </c>
      <c r="D1285" s="5" t="s">
        <v>21</v>
      </c>
      <c r="E1285" s="5" t="s">
        <v>44</v>
      </c>
      <c r="F1285" s="5" t="s">
        <v>68</v>
      </c>
      <c r="G1285" s="5" t="s">
        <v>145</v>
      </c>
      <c r="H1285" s="9" t="s">
        <v>363</v>
      </c>
      <c r="I1285" s="10"/>
      <c r="J1285" s="10">
        <v>43900</v>
      </c>
      <c r="K1285" s="5" t="s">
        <v>39</v>
      </c>
      <c r="L1285" s="5" t="s">
        <v>58</v>
      </c>
      <c r="M1285" s="11">
        <v>0.089999999999999997</v>
      </c>
      <c r="N1285" s="5" t="e">
        <f>IF(AND(M1285&gt;#REF!,Cartera!O1285="Guaraníes"),"Rendimiento significativo",IF(AND(M1285&gt;#REF!,Cartera!O1285="Dólares americanos"),"Rendimiento significativo","Rendimiento no significativo"))</f>
        <v>#REF!</v>
      </c>
      <c r="O1285" s="5" t="s">
        <v>41</v>
      </c>
      <c r="P1285" s="12">
        <v>8975342.4656000007</v>
      </c>
      <c r="Q1285" s="12">
        <f>IF(O1285="Guaraníes",P1285,P1285*#REF!)</f>
        <v>8975342.4656000007</v>
      </c>
      <c r="R1285" s="12" t="e">
        <f>IF(O1285="Guaraníes",P1285/#REF!,P1285)</f>
        <v>#REF!</v>
      </c>
      <c r="S1285" s="5" t="s">
        <v>52</v>
      </c>
      <c r="T1285" s="5">
        <v>1057</v>
      </c>
      <c r="W1285" s="5" t="s">
        <v>65</v>
      </c>
      <c r="X1285" s="5">
        <v>0</v>
      </c>
      <c r="Y1285" s="5">
        <v>0</v>
      </c>
      <c r="Z1285" s="5">
        <v>22438.356164000001</v>
      </c>
      <c r="AA1285" s="5">
        <v>400</v>
      </c>
      <c r="AB1285" s="5">
        <v>8975342.4656000007</v>
      </c>
      <c r="AC1285" s="5" t="str">
        <f t="shared" si="64"/>
        <v>Bonos</v>
      </c>
      <c r="AD1285" s="5" t="s">
        <v>43</v>
      </c>
      <c r="AE1285" s="5">
        <f t="shared" si="62"/>
        <v>3</v>
      </c>
      <c r="AF1285" s="5">
        <f t="shared" si="63"/>
        <v>2020</v>
      </c>
    </row>
    <row r="1286" s="5" customFormat="1" ht="13">
      <c r="A1286" s="5" t="s">
        <v>44</v>
      </c>
      <c r="B1286" s="5" t="s">
        <v>44</v>
      </c>
      <c r="C1286" s="5" t="s">
        <v>304</v>
      </c>
      <c r="D1286" s="5" t="s">
        <v>21</v>
      </c>
      <c r="E1286" s="5" t="s">
        <v>44</v>
      </c>
      <c r="F1286" s="5" t="s">
        <v>68</v>
      </c>
      <c r="G1286" s="5" t="s">
        <v>145</v>
      </c>
      <c r="H1286" s="9" t="s">
        <v>305</v>
      </c>
      <c r="I1286" s="10"/>
      <c r="J1286" s="10">
        <v>43916</v>
      </c>
      <c r="K1286" s="5" t="s">
        <v>39</v>
      </c>
      <c r="L1286" s="5" t="s">
        <v>58</v>
      </c>
      <c r="M1286" s="11">
        <v>0.089999999999999997</v>
      </c>
      <c r="N1286" s="5" t="e">
        <f>IF(AND(M1286&gt;#REF!,Cartera!O1286="Guaraníes"),"Rendimiento significativo",IF(AND(M1286&gt;#REF!,Cartera!O1286="Dólares americanos"),"Rendimiento significativo","Rendimiento no significativo"))</f>
        <v>#REF!</v>
      </c>
      <c r="O1286" s="5" t="s">
        <v>41</v>
      </c>
      <c r="P1286" s="12">
        <v>673150.68492000003</v>
      </c>
      <c r="Q1286" s="12">
        <f>IF(O1286="Guaraníes",P1286,P1286*#REF!)</f>
        <v>673150.68492000003</v>
      </c>
      <c r="R1286" s="12" t="e">
        <f>IF(O1286="Guaraníes",P1286/#REF!,P1286)</f>
        <v>#REF!</v>
      </c>
      <c r="S1286" s="5" t="s">
        <v>52</v>
      </c>
      <c r="T1286" s="5">
        <v>1057</v>
      </c>
      <c r="W1286" s="5" t="s">
        <v>65</v>
      </c>
      <c r="X1286" s="5">
        <v>0</v>
      </c>
      <c r="Y1286" s="5">
        <v>0</v>
      </c>
      <c r="Z1286" s="5">
        <v>22438.356164000001</v>
      </c>
      <c r="AA1286" s="5">
        <v>30</v>
      </c>
      <c r="AB1286" s="5">
        <v>673150.68492000003</v>
      </c>
      <c r="AC1286" s="5" t="str">
        <f t="shared" si="64"/>
        <v>Bonos</v>
      </c>
      <c r="AD1286" s="5" t="s">
        <v>43</v>
      </c>
      <c r="AE1286" s="5">
        <f t="shared" si="62"/>
        <v>3</v>
      </c>
      <c r="AF1286" s="5">
        <f t="shared" si="63"/>
        <v>2020</v>
      </c>
    </row>
    <row r="1287" s="5" customFormat="1" ht="13">
      <c r="A1287" s="5" t="s">
        <v>44</v>
      </c>
      <c r="B1287" s="5" t="s">
        <v>44</v>
      </c>
      <c r="C1287" s="5" t="s">
        <v>143</v>
      </c>
      <c r="D1287" s="5" t="s">
        <v>21</v>
      </c>
      <c r="E1287" s="5" t="s">
        <v>44</v>
      </c>
      <c r="F1287" s="5" t="s">
        <v>144</v>
      </c>
      <c r="G1287" s="5" t="s">
        <v>145</v>
      </c>
      <c r="H1287" s="9" t="s">
        <v>272</v>
      </c>
      <c r="I1287" s="10">
        <v>43532</v>
      </c>
      <c r="J1287" s="10">
        <v>43921</v>
      </c>
      <c r="K1287" s="5" t="s">
        <v>49</v>
      </c>
      <c r="L1287" s="5" t="s">
        <v>106</v>
      </c>
      <c r="M1287" s="11">
        <v>0.057500000000000002</v>
      </c>
      <c r="N1287" s="5" t="e">
        <f>IF(AND(M1287&gt;#REF!,Cartera!O1287="Guaraníes"),"Rendimiento significativo",IF(AND(M1287&gt;#REF!,Cartera!O1287="Dólares americanos"),"Rendimiento significativo","Rendimiento no significativo"))</f>
        <v>#REF!</v>
      </c>
      <c r="O1287" s="5" t="s">
        <v>51</v>
      </c>
      <c r="P1287" s="13">
        <v>50.410959999999996</v>
      </c>
      <c r="Q1287" s="12" t="e">
        <f>IF(O1287="Guaraníes",P1287,P1287*#REF!)</f>
        <v>#REF!</v>
      </c>
      <c r="R1287" s="12">
        <f>IF(O1287="Guaraníes",P1287/#REF!,P1287)</f>
        <v>50.410959999999996</v>
      </c>
      <c r="S1287" s="5" t="s">
        <v>52</v>
      </c>
      <c r="T1287" s="5">
        <v>1057</v>
      </c>
      <c r="W1287" s="5" t="s">
        <v>65</v>
      </c>
      <c r="X1287" s="5">
        <v>0</v>
      </c>
      <c r="Y1287" s="5">
        <v>0</v>
      </c>
      <c r="Z1287" s="5">
        <v>5.0410959999999996</v>
      </c>
      <c r="AA1287" s="5">
        <v>10</v>
      </c>
      <c r="AB1287" s="5">
        <v>50.410960000000003</v>
      </c>
      <c r="AC1287" s="5" t="str">
        <f t="shared" si="64"/>
        <v>Bonos</v>
      </c>
      <c r="AD1287" s="5" t="s">
        <v>43</v>
      </c>
      <c r="AE1287" s="5">
        <f t="shared" si="62"/>
        <v>3</v>
      </c>
      <c r="AF1287" s="5">
        <f t="shared" si="63"/>
        <v>2020</v>
      </c>
    </row>
    <row r="1288" s="5" customFormat="1" ht="13">
      <c r="A1288" s="5" t="s">
        <v>44</v>
      </c>
      <c r="B1288" s="5" t="s">
        <v>44</v>
      </c>
      <c r="C1288" s="5" t="s">
        <v>143</v>
      </c>
      <c r="D1288" s="5" t="s">
        <v>21</v>
      </c>
      <c r="E1288" s="5" t="s">
        <v>44</v>
      </c>
      <c r="F1288" s="5" t="s">
        <v>144</v>
      </c>
      <c r="G1288" s="5" t="s">
        <v>145</v>
      </c>
      <c r="H1288" s="9" t="s">
        <v>146</v>
      </c>
      <c r="I1288" s="10"/>
      <c r="J1288" s="10">
        <v>43921</v>
      </c>
      <c r="K1288" s="5" t="s">
        <v>49</v>
      </c>
      <c r="L1288" s="5" t="s">
        <v>106</v>
      </c>
      <c r="M1288" s="11">
        <v>0.060999999999999999</v>
      </c>
      <c r="N1288" s="5" t="e">
        <f>IF(AND(M1288&gt;#REF!,Cartera!O1288="Guaraníes"),"Rendimiento significativo",IF(AND(M1288&gt;#REF!,Cartera!O1288="Dólares americanos"),"Rendimiento significativo","Rendimiento no significativo"))</f>
        <v>#REF!</v>
      </c>
      <c r="O1288" s="5" t="s">
        <v>51</v>
      </c>
      <c r="P1288" s="13">
        <v>213.9178</v>
      </c>
      <c r="Q1288" s="12" t="e">
        <f>IF(O1288="Guaraníes",P1288,P1288*#REF!)</f>
        <v>#REF!</v>
      </c>
      <c r="R1288" s="12">
        <f>IF(O1288="Guaraníes",P1288/#REF!,P1288)</f>
        <v>213.9178</v>
      </c>
      <c r="S1288" s="5" t="s">
        <v>52</v>
      </c>
      <c r="T1288" s="5">
        <v>1057</v>
      </c>
      <c r="W1288" s="5" t="s">
        <v>65</v>
      </c>
      <c r="X1288" s="5">
        <v>0</v>
      </c>
      <c r="Y1288" s="5">
        <v>0</v>
      </c>
      <c r="Z1288" s="5">
        <v>5.3479450000000002</v>
      </c>
      <c r="AA1288" s="5">
        <v>40</v>
      </c>
      <c r="AB1288" s="5">
        <v>213.9178</v>
      </c>
      <c r="AC1288" s="5" t="str">
        <f t="shared" si="64"/>
        <v>Bonos</v>
      </c>
      <c r="AD1288" s="5" t="s">
        <v>43</v>
      </c>
      <c r="AE1288" s="5">
        <f t="shared" si="62"/>
        <v>3</v>
      </c>
      <c r="AF1288" s="5">
        <f t="shared" si="63"/>
        <v>2020</v>
      </c>
    </row>
    <row r="1289" s="5" customFormat="1" ht="13">
      <c r="A1289" s="5" t="s">
        <v>44</v>
      </c>
      <c r="B1289" s="5" t="s">
        <v>44</v>
      </c>
      <c r="C1289" s="5" t="s">
        <v>356</v>
      </c>
      <c r="D1289" s="5" t="s">
        <v>21</v>
      </c>
      <c r="E1289" s="5" t="s">
        <v>44</v>
      </c>
      <c r="F1289" s="5" t="s">
        <v>90</v>
      </c>
      <c r="G1289" s="5" t="s">
        <v>145</v>
      </c>
      <c r="H1289" s="9" t="s">
        <v>357</v>
      </c>
      <c r="I1289" s="10"/>
      <c r="J1289" s="10">
        <v>43921</v>
      </c>
      <c r="K1289" s="5" t="s">
        <v>77</v>
      </c>
      <c r="L1289" s="5" t="s">
        <v>58</v>
      </c>
      <c r="M1289" s="11">
        <v>0.12</v>
      </c>
      <c r="N1289" s="5" t="e">
        <f>IF(AND(M1289&gt;#REF!,Cartera!O1289="Guaraníes"),"Rendimiento significativo",IF(AND(M1289&gt;#REF!,Cartera!O1289="Dólares americanos"),"Rendimiento significativo","Rendimiento no significativo"))</f>
        <v>#REF!</v>
      </c>
      <c r="O1289" s="5" t="s">
        <v>41</v>
      </c>
      <c r="P1289" s="12">
        <v>3024657.5342000001</v>
      </c>
      <c r="Q1289" s="12">
        <f>IF(O1289="Guaraníes",P1289,P1289*#REF!)</f>
        <v>3024657.5342000001</v>
      </c>
      <c r="R1289" s="12" t="e">
        <f>IF(O1289="Guaraníes",P1289/#REF!,P1289)</f>
        <v>#REF!</v>
      </c>
      <c r="S1289" s="5" t="s">
        <v>52</v>
      </c>
      <c r="T1289" s="5">
        <v>1057</v>
      </c>
      <c r="W1289" s="5" t="s">
        <v>65</v>
      </c>
      <c r="X1289" s="5">
        <v>0</v>
      </c>
      <c r="Y1289" s="5">
        <v>0</v>
      </c>
      <c r="Z1289" s="5">
        <v>30246.575342</v>
      </c>
      <c r="AA1289" s="5">
        <v>100</v>
      </c>
      <c r="AB1289" s="5">
        <v>3024657.5342000001</v>
      </c>
      <c r="AC1289" s="5" t="str">
        <f t="shared" si="64"/>
        <v>Bonos</v>
      </c>
      <c r="AD1289" s="5" t="s">
        <v>43</v>
      </c>
      <c r="AE1289" s="5">
        <f t="shared" si="62"/>
        <v>3</v>
      </c>
      <c r="AF1289" s="5">
        <f t="shared" si="63"/>
        <v>2020</v>
      </c>
    </row>
    <row r="1290" s="5" customFormat="1" ht="13">
      <c r="A1290" s="5" t="s">
        <v>44</v>
      </c>
      <c r="B1290" s="5" t="s">
        <v>44</v>
      </c>
      <c r="C1290" s="5" t="s">
        <v>164</v>
      </c>
      <c r="D1290" s="5" t="s">
        <v>21</v>
      </c>
      <c r="E1290" s="5" t="s">
        <v>44</v>
      </c>
      <c r="F1290" s="5" t="s">
        <v>68</v>
      </c>
      <c r="G1290" s="5" t="s">
        <v>145</v>
      </c>
      <c r="H1290" s="9" t="s">
        <v>165</v>
      </c>
      <c r="I1290" s="10"/>
      <c r="J1290" s="10">
        <v>43921</v>
      </c>
      <c r="K1290" s="5" t="s">
        <v>124</v>
      </c>
      <c r="L1290" s="5" t="s">
        <v>58</v>
      </c>
      <c r="M1290" s="11">
        <v>0.10000000000000001</v>
      </c>
      <c r="N1290" s="5" t="e">
        <f>IF(AND(M1290&gt;#REF!,Cartera!O1290="Guaraníes"),"Rendimiento significativo",IF(AND(M1290&gt;#REF!,Cartera!O1290="Dólares americanos"),"Rendimiento significativo","Rendimiento no significativo"))</f>
        <v>#REF!</v>
      </c>
      <c r="O1290" s="5" t="s">
        <v>41</v>
      </c>
      <c r="P1290" s="12">
        <v>3506849.3152000001</v>
      </c>
      <c r="Q1290" s="12">
        <f>IF(O1290="Guaraníes",P1290,P1290*#REF!)</f>
        <v>3506849.3152000001</v>
      </c>
      <c r="R1290" s="12" t="e">
        <f>IF(O1290="Guaraníes",P1290/#REF!,P1290)</f>
        <v>#REF!</v>
      </c>
      <c r="S1290" s="5" t="s">
        <v>52</v>
      </c>
      <c r="T1290" s="5">
        <v>1057</v>
      </c>
      <c r="W1290" s="5" t="s">
        <v>65</v>
      </c>
      <c r="X1290" s="5">
        <v>0</v>
      </c>
      <c r="Y1290" s="5">
        <v>0</v>
      </c>
      <c r="Z1290" s="5">
        <v>8767.1232880000007</v>
      </c>
      <c r="AA1290" s="5">
        <v>400</v>
      </c>
      <c r="AB1290" s="5">
        <v>3506849.3152000001</v>
      </c>
      <c r="AC1290" s="5" t="str">
        <f t="shared" si="64"/>
        <v>Bonos</v>
      </c>
      <c r="AD1290" s="5" t="s">
        <v>43</v>
      </c>
      <c r="AE1290" s="5">
        <f t="shared" si="62"/>
        <v>3</v>
      </c>
      <c r="AF1290" s="5">
        <f t="shared" si="63"/>
        <v>2020</v>
      </c>
    </row>
    <row r="1291" s="5" customFormat="1" ht="13">
      <c r="A1291" s="5" t="s">
        <v>44</v>
      </c>
      <c r="B1291" s="5" t="s">
        <v>44</v>
      </c>
      <c r="C1291" s="5" t="s">
        <v>33</v>
      </c>
      <c r="D1291" s="5" t="s">
        <v>21</v>
      </c>
      <c r="E1291" s="5" t="s">
        <v>44</v>
      </c>
      <c r="F1291" s="5" t="s">
        <v>35</v>
      </c>
      <c r="G1291" s="5" t="s">
        <v>145</v>
      </c>
      <c r="H1291" s="9" t="s">
        <v>358</v>
      </c>
      <c r="I1291" s="10"/>
      <c r="J1291" s="10">
        <v>43945</v>
      </c>
      <c r="K1291" s="5" t="s">
        <v>39</v>
      </c>
      <c r="L1291" s="5" t="s">
        <v>50</v>
      </c>
      <c r="M1291" s="11">
        <v>0.0625</v>
      </c>
      <c r="N1291" s="5" t="e">
        <f>IF(AND(M1291&gt;#REF!,Cartera!O1291="Guaraníes"),"Rendimiento significativo",IF(AND(M1291&gt;#REF!,Cartera!O1291="Dólares americanos"),"Rendimiento significativo","Rendimiento no significativo"))</f>
        <v>#REF!</v>
      </c>
      <c r="O1291" s="5" t="s">
        <v>51</v>
      </c>
      <c r="P1291" s="13">
        <v>701.91779999999994</v>
      </c>
      <c r="Q1291" s="12" t="e">
        <f>IF(O1291="Guaraníes",P1291,P1291*#REF!)</f>
        <v>#REF!</v>
      </c>
      <c r="R1291" s="12">
        <f>IF(O1291="Guaraníes",P1291/#REF!,P1291)</f>
        <v>701.91779999999994</v>
      </c>
      <c r="S1291" s="5" t="s">
        <v>52</v>
      </c>
      <c r="T1291" s="5">
        <v>1057</v>
      </c>
      <c r="W1291" s="5" t="s">
        <v>65</v>
      </c>
      <c r="X1291" s="5">
        <v>0</v>
      </c>
      <c r="Y1291" s="5">
        <v>0</v>
      </c>
      <c r="Z1291" s="5">
        <v>35.095889999999997</v>
      </c>
      <c r="AA1291" s="5">
        <v>20</v>
      </c>
      <c r="AB1291" s="5">
        <v>701.91780000000006</v>
      </c>
      <c r="AC1291" s="5" t="str">
        <f t="shared" si="64"/>
        <v>Bonos</v>
      </c>
      <c r="AD1291" s="5" t="s">
        <v>43</v>
      </c>
      <c r="AE1291" s="5">
        <f t="shared" si="62"/>
        <v>4</v>
      </c>
      <c r="AF1291" s="5">
        <f t="shared" si="63"/>
        <v>2020</v>
      </c>
    </row>
    <row r="1292" s="5" customFormat="1" ht="13">
      <c r="A1292" s="5" t="s">
        <v>44</v>
      </c>
      <c r="B1292" s="5" t="s">
        <v>44</v>
      </c>
      <c r="C1292" s="5" t="s">
        <v>143</v>
      </c>
      <c r="D1292" s="5" t="s">
        <v>21</v>
      </c>
      <c r="E1292" s="5" t="s">
        <v>44</v>
      </c>
      <c r="F1292" s="5" t="s">
        <v>144</v>
      </c>
      <c r="G1292" s="5" t="s">
        <v>145</v>
      </c>
      <c r="H1292" s="9" t="s">
        <v>272</v>
      </c>
      <c r="I1292" s="10">
        <v>43532</v>
      </c>
      <c r="J1292" s="10">
        <v>43951</v>
      </c>
      <c r="K1292" s="5" t="s">
        <v>49</v>
      </c>
      <c r="L1292" s="5" t="s">
        <v>106</v>
      </c>
      <c r="M1292" s="11">
        <v>0.057500000000000002</v>
      </c>
      <c r="N1292" s="5" t="e">
        <f>IF(AND(M1292&gt;#REF!,Cartera!O1292="Guaraníes"),"Rendimiento significativo",IF(AND(M1292&gt;#REF!,Cartera!O1292="Dólares americanos"),"Rendimiento significativo","Rendimiento no significativo"))</f>
        <v>#REF!</v>
      </c>
      <c r="O1292" s="5" t="s">
        <v>51</v>
      </c>
      <c r="P1292" s="13">
        <v>47.260270000000006</v>
      </c>
      <c r="Q1292" s="12" t="e">
        <f>IF(O1292="Guaraníes",P1292,P1292*#REF!)</f>
        <v>#REF!</v>
      </c>
      <c r="R1292" s="12">
        <f>IF(O1292="Guaraníes",P1292/#REF!,P1292)</f>
        <v>47.260270000000006</v>
      </c>
      <c r="S1292" s="5" t="s">
        <v>52</v>
      </c>
      <c r="T1292" s="5">
        <v>1057</v>
      </c>
      <c r="W1292" s="5" t="s">
        <v>65</v>
      </c>
      <c r="X1292" s="5">
        <v>0</v>
      </c>
      <c r="Y1292" s="5">
        <v>0</v>
      </c>
      <c r="Z1292" s="5">
        <v>4.7260270000000002</v>
      </c>
      <c r="AA1292" s="5">
        <v>10</v>
      </c>
      <c r="AB1292" s="5">
        <v>47.260269999999998</v>
      </c>
      <c r="AC1292" s="5" t="str">
        <f t="shared" si="64"/>
        <v>Bonos</v>
      </c>
      <c r="AD1292" s="5" t="s">
        <v>43</v>
      </c>
      <c r="AE1292" s="5">
        <f t="shared" si="62"/>
        <v>4</v>
      </c>
      <c r="AF1292" s="5">
        <f t="shared" si="63"/>
        <v>2020</v>
      </c>
    </row>
    <row r="1293" s="5" customFormat="1" ht="13">
      <c r="A1293" s="5" t="s">
        <v>44</v>
      </c>
      <c r="B1293" s="5" t="s">
        <v>44</v>
      </c>
      <c r="C1293" s="5" t="s">
        <v>143</v>
      </c>
      <c r="D1293" s="5" t="s">
        <v>21</v>
      </c>
      <c r="E1293" s="5" t="s">
        <v>44</v>
      </c>
      <c r="F1293" s="5" t="s">
        <v>144</v>
      </c>
      <c r="G1293" s="5" t="s">
        <v>145</v>
      </c>
      <c r="H1293" s="9" t="s">
        <v>146</v>
      </c>
      <c r="I1293" s="10"/>
      <c r="J1293" s="10">
        <v>43951</v>
      </c>
      <c r="K1293" s="5" t="s">
        <v>49</v>
      </c>
      <c r="L1293" s="5" t="s">
        <v>106</v>
      </c>
      <c r="M1293" s="11">
        <v>0.060999999999999999</v>
      </c>
      <c r="N1293" s="5" t="e">
        <f>IF(AND(M1293&gt;#REF!,Cartera!O1293="Guaraníes"),"Rendimiento significativo",IF(AND(M1293&gt;#REF!,Cartera!O1293="Dólares americanos"),"Rendimiento significativo","Rendimiento no significativo"))</f>
        <v>#REF!</v>
      </c>
      <c r="O1293" s="5" t="s">
        <v>51</v>
      </c>
      <c r="P1293" s="13">
        <v>200.54795999999999</v>
      </c>
      <c r="Q1293" s="12" t="e">
        <f>IF(O1293="Guaraníes",P1293,P1293*#REF!)</f>
        <v>#REF!</v>
      </c>
      <c r="R1293" s="12">
        <f>IF(O1293="Guaraníes",P1293/#REF!,P1293)</f>
        <v>200.54795999999999</v>
      </c>
      <c r="S1293" s="5" t="s">
        <v>52</v>
      </c>
      <c r="T1293" s="5">
        <v>1057</v>
      </c>
      <c r="W1293" s="5" t="s">
        <v>65</v>
      </c>
      <c r="X1293" s="5">
        <v>0</v>
      </c>
      <c r="Y1293" s="5">
        <v>0</v>
      </c>
      <c r="Z1293" s="5">
        <v>5.0136989999999999</v>
      </c>
      <c r="AA1293" s="5">
        <v>40</v>
      </c>
      <c r="AB1293" s="5">
        <v>200.54795999999999</v>
      </c>
      <c r="AC1293" s="5" t="str">
        <f t="shared" si="64"/>
        <v>Bonos</v>
      </c>
      <c r="AD1293" s="5" t="s">
        <v>43</v>
      </c>
      <c r="AE1293" s="5">
        <f t="shared" si="62"/>
        <v>4</v>
      </c>
      <c r="AF1293" s="5">
        <f t="shared" si="63"/>
        <v>2020</v>
      </c>
    </row>
    <row r="1294" s="5" customFormat="1" ht="13">
      <c r="A1294" s="5" t="s">
        <v>44</v>
      </c>
      <c r="B1294" s="5" t="s">
        <v>44</v>
      </c>
      <c r="C1294" s="5" t="s">
        <v>164</v>
      </c>
      <c r="D1294" s="5" t="s">
        <v>21</v>
      </c>
      <c r="E1294" s="5" t="s">
        <v>44</v>
      </c>
      <c r="F1294" s="5" t="s">
        <v>68</v>
      </c>
      <c r="G1294" s="5" t="s">
        <v>145</v>
      </c>
      <c r="H1294" s="9" t="s">
        <v>165</v>
      </c>
      <c r="I1294" s="10"/>
      <c r="J1294" s="10">
        <v>43951</v>
      </c>
      <c r="K1294" s="5" t="s">
        <v>124</v>
      </c>
      <c r="L1294" s="5" t="s">
        <v>58</v>
      </c>
      <c r="M1294" s="11">
        <v>0.10000000000000001</v>
      </c>
      <c r="N1294" s="5" t="e">
        <f>IF(AND(M1294&gt;#REF!,Cartera!O1294="Guaraníes"),"Rendimiento significativo",IF(AND(M1294&gt;#REF!,Cartera!O1294="Dólares americanos"),"Rendimiento significativo","Rendimiento no significativo"))</f>
        <v>#REF!</v>
      </c>
      <c r="O1294" s="5" t="s">
        <v>41</v>
      </c>
      <c r="P1294" s="12">
        <v>3287671.2328000003</v>
      </c>
      <c r="Q1294" s="12">
        <f>IF(O1294="Guaraníes",P1294,P1294*#REF!)</f>
        <v>3287671.2328000003</v>
      </c>
      <c r="R1294" s="12" t="e">
        <f>IF(O1294="Guaraníes",P1294/#REF!,P1294)</f>
        <v>#REF!</v>
      </c>
      <c r="S1294" s="5" t="s">
        <v>52</v>
      </c>
      <c r="T1294" s="5">
        <v>1057</v>
      </c>
      <c r="W1294" s="5" t="s">
        <v>65</v>
      </c>
      <c r="X1294" s="5">
        <v>0</v>
      </c>
      <c r="Y1294" s="5">
        <v>0</v>
      </c>
      <c r="Z1294" s="5">
        <v>8219.1780820000004</v>
      </c>
      <c r="AA1294" s="5">
        <v>400</v>
      </c>
      <c r="AB1294" s="5">
        <v>3287671.2327999999</v>
      </c>
      <c r="AC1294" s="5" t="str">
        <f t="shared" si="64"/>
        <v>Bonos</v>
      </c>
      <c r="AD1294" s="5" t="s">
        <v>43</v>
      </c>
      <c r="AE1294" s="5">
        <f t="shared" si="62"/>
        <v>4</v>
      </c>
      <c r="AF1294" s="5">
        <f t="shared" si="63"/>
        <v>2020</v>
      </c>
    </row>
    <row r="1295" s="5" customFormat="1" ht="13">
      <c r="A1295" s="5" t="s">
        <v>44</v>
      </c>
      <c r="B1295" s="5" t="s">
        <v>44</v>
      </c>
      <c r="C1295" s="5" t="s">
        <v>45</v>
      </c>
      <c r="D1295" s="5" t="s">
        <v>21</v>
      </c>
      <c r="E1295" s="5" t="s">
        <v>44</v>
      </c>
      <c r="F1295" s="5" t="s">
        <v>46</v>
      </c>
      <c r="G1295" s="5" t="s">
        <v>145</v>
      </c>
      <c r="H1295" s="9" t="s">
        <v>359</v>
      </c>
      <c r="I1295" s="10"/>
      <c r="J1295" s="10">
        <v>43972</v>
      </c>
      <c r="K1295" s="5" t="s">
        <v>49</v>
      </c>
      <c r="L1295" s="5" t="s">
        <v>50</v>
      </c>
      <c r="M1295" s="11">
        <v>0.070000000000000007</v>
      </c>
      <c r="N1295" s="5" t="e">
        <f>IF(AND(M1295&gt;#REF!,Cartera!O1295="Guaraníes"),"Rendimiento significativo",IF(AND(M1295&gt;#REF!,Cartera!O1295="Dólares americanos"),"Rendimiento significativo","Rendimiento no significativo"))</f>
        <v>#REF!</v>
      </c>
      <c r="O1295" s="5" t="s">
        <v>51</v>
      </c>
      <c r="P1295" s="13">
        <v>149.58904000000001</v>
      </c>
      <c r="Q1295" s="12" t="e">
        <f>IF(O1295="Guaraníes",P1295,P1295*#REF!)</f>
        <v>#REF!</v>
      </c>
      <c r="R1295" s="12">
        <f>IF(O1295="Guaraníes",P1295/#REF!,P1295)</f>
        <v>149.58904000000001</v>
      </c>
      <c r="S1295" s="5" t="s">
        <v>52</v>
      </c>
      <c r="T1295" s="5">
        <v>1057</v>
      </c>
      <c r="W1295" s="5" t="s">
        <v>65</v>
      </c>
      <c r="X1295" s="5">
        <v>0</v>
      </c>
      <c r="Y1295" s="5">
        <v>0</v>
      </c>
      <c r="Z1295" s="5">
        <v>14.958904</v>
      </c>
      <c r="AA1295" s="5">
        <v>10</v>
      </c>
      <c r="AB1295" s="5">
        <v>149.58904000000001</v>
      </c>
      <c r="AC1295" s="5" t="str">
        <f t="shared" si="64"/>
        <v>Bonos</v>
      </c>
      <c r="AD1295" s="5" t="s">
        <v>43</v>
      </c>
      <c r="AE1295" s="5">
        <f t="shared" si="62"/>
        <v>5</v>
      </c>
      <c r="AF1295" s="5">
        <f t="shared" si="63"/>
        <v>2020</v>
      </c>
    </row>
    <row r="1296" s="5" customFormat="1" ht="13">
      <c r="A1296" s="5" t="s">
        <v>44</v>
      </c>
      <c r="B1296" s="5" t="s">
        <v>44</v>
      </c>
      <c r="C1296" s="5" t="s">
        <v>143</v>
      </c>
      <c r="D1296" s="5" t="s">
        <v>21</v>
      </c>
      <c r="E1296" s="5" t="s">
        <v>44</v>
      </c>
      <c r="F1296" s="5" t="s">
        <v>144</v>
      </c>
      <c r="G1296" s="5" t="s">
        <v>145</v>
      </c>
      <c r="H1296" s="9" t="s">
        <v>272</v>
      </c>
      <c r="I1296" s="10">
        <v>43532</v>
      </c>
      <c r="J1296" s="10">
        <v>43980</v>
      </c>
      <c r="K1296" s="5" t="s">
        <v>49</v>
      </c>
      <c r="L1296" s="5" t="s">
        <v>106</v>
      </c>
      <c r="M1296" s="11">
        <v>0.057500000000000002</v>
      </c>
      <c r="N1296" s="5" t="e">
        <f>IF(AND(M1296&gt;#REF!,Cartera!O1296="Guaraníes"),"Rendimiento significativo",IF(AND(M1296&gt;#REF!,Cartera!O1296="Dólares americanos"),"Rendimiento significativo","Rendimiento no significativo"))</f>
        <v>#REF!</v>
      </c>
      <c r="O1296" s="5" t="s">
        <v>51</v>
      </c>
      <c r="P1296" s="13">
        <v>45.684930000000001</v>
      </c>
      <c r="Q1296" s="12" t="e">
        <f>IF(O1296="Guaraníes",P1296,P1296*#REF!)</f>
        <v>#REF!</v>
      </c>
      <c r="R1296" s="12">
        <f>IF(O1296="Guaraníes",P1296/#REF!,P1296)</f>
        <v>45.684930000000001</v>
      </c>
      <c r="S1296" s="5" t="s">
        <v>52</v>
      </c>
      <c r="T1296" s="5">
        <v>1057</v>
      </c>
      <c r="W1296" s="5" t="s">
        <v>65</v>
      </c>
      <c r="X1296" s="5">
        <v>0</v>
      </c>
      <c r="Y1296" s="5">
        <v>0</v>
      </c>
      <c r="Z1296" s="5">
        <v>4.5684930000000001</v>
      </c>
      <c r="AA1296" s="5">
        <v>10</v>
      </c>
      <c r="AB1296" s="5">
        <v>45.684930000000001</v>
      </c>
      <c r="AC1296" s="5" t="str">
        <f t="shared" si="64"/>
        <v>Bonos</v>
      </c>
      <c r="AD1296" s="5" t="s">
        <v>43</v>
      </c>
      <c r="AE1296" s="5">
        <f t="shared" si="62"/>
        <v>5</v>
      </c>
      <c r="AF1296" s="5">
        <f t="shared" si="63"/>
        <v>2020</v>
      </c>
    </row>
    <row r="1297" s="5" customFormat="1" ht="13">
      <c r="A1297" s="5" t="s">
        <v>44</v>
      </c>
      <c r="B1297" s="5" t="s">
        <v>44</v>
      </c>
      <c r="C1297" s="5" t="s">
        <v>143</v>
      </c>
      <c r="D1297" s="5" t="s">
        <v>21</v>
      </c>
      <c r="E1297" s="5" t="s">
        <v>44</v>
      </c>
      <c r="F1297" s="5" t="s">
        <v>144</v>
      </c>
      <c r="G1297" s="5" t="s">
        <v>145</v>
      </c>
      <c r="H1297" s="9" t="s">
        <v>146</v>
      </c>
      <c r="I1297" s="10"/>
      <c r="J1297" s="10">
        <v>43980</v>
      </c>
      <c r="K1297" s="5" t="s">
        <v>49</v>
      </c>
      <c r="L1297" s="5" t="s">
        <v>106</v>
      </c>
      <c r="M1297" s="11">
        <v>0.060999999999999999</v>
      </c>
      <c r="N1297" s="5" t="e">
        <f>IF(AND(M1297&gt;#REF!,Cartera!O1297="Guaraníes"),"Rendimiento significativo",IF(AND(M1297&gt;#REF!,Cartera!O1297="Dólares americanos"),"Rendimiento significativo","Rendimiento no significativo"))</f>
        <v>#REF!</v>
      </c>
      <c r="O1297" s="5" t="s">
        <v>51</v>
      </c>
      <c r="P1297" s="13">
        <v>193.863</v>
      </c>
      <c r="Q1297" s="12" t="e">
        <f>IF(O1297="Guaraníes",P1297,P1297*#REF!)</f>
        <v>#REF!</v>
      </c>
      <c r="R1297" s="12">
        <f>IF(O1297="Guaraníes",P1297/#REF!,P1297)</f>
        <v>193.863</v>
      </c>
      <c r="S1297" s="5" t="s">
        <v>52</v>
      </c>
      <c r="T1297" s="5">
        <v>1057</v>
      </c>
      <c r="W1297" s="5" t="s">
        <v>65</v>
      </c>
      <c r="X1297" s="5">
        <v>0</v>
      </c>
      <c r="Y1297" s="5">
        <v>0</v>
      </c>
      <c r="Z1297" s="5">
        <v>4.8465749999999996</v>
      </c>
      <c r="AA1297" s="5">
        <v>40</v>
      </c>
      <c r="AB1297" s="5">
        <v>193.863</v>
      </c>
      <c r="AC1297" s="5" t="str">
        <f t="shared" si="64"/>
        <v>Bonos</v>
      </c>
      <c r="AD1297" s="5" t="s">
        <v>43</v>
      </c>
      <c r="AE1297" s="5">
        <f t="shared" si="62"/>
        <v>5</v>
      </c>
      <c r="AF1297" s="5">
        <f t="shared" si="63"/>
        <v>2020</v>
      </c>
    </row>
    <row r="1298" s="5" customFormat="1" ht="13">
      <c r="A1298" s="5" t="s">
        <v>44</v>
      </c>
      <c r="B1298" s="5" t="s">
        <v>44</v>
      </c>
      <c r="C1298" s="5" t="s">
        <v>164</v>
      </c>
      <c r="D1298" s="5" t="s">
        <v>21</v>
      </c>
      <c r="E1298" s="5" t="s">
        <v>44</v>
      </c>
      <c r="F1298" s="5" t="s">
        <v>68</v>
      </c>
      <c r="G1298" s="5" t="s">
        <v>145</v>
      </c>
      <c r="H1298" s="9" t="s">
        <v>165</v>
      </c>
      <c r="I1298" s="10"/>
      <c r="J1298" s="10">
        <v>43980</v>
      </c>
      <c r="K1298" s="5" t="s">
        <v>124</v>
      </c>
      <c r="L1298" s="5" t="s">
        <v>58</v>
      </c>
      <c r="M1298" s="11">
        <v>0.10000000000000001</v>
      </c>
      <c r="N1298" s="5" t="e">
        <f>IF(AND(M1298&gt;#REF!,Cartera!O1298="Guaraníes"),"Rendimiento significativo",IF(AND(M1298&gt;#REF!,Cartera!O1298="Dólares americanos"),"Rendimiento significativo","Rendimiento no significativo"))</f>
        <v>#REF!</v>
      </c>
      <c r="O1298" s="5" t="s">
        <v>41</v>
      </c>
      <c r="P1298" s="12">
        <v>3178082.1916</v>
      </c>
      <c r="Q1298" s="12">
        <f>IF(O1298="Guaraníes",P1298,P1298*#REF!)</f>
        <v>3178082.1916</v>
      </c>
      <c r="R1298" s="12" t="e">
        <f>IF(O1298="Guaraníes",P1298/#REF!,P1298)</f>
        <v>#REF!</v>
      </c>
      <c r="S1298" s="5" t="s">
        <v>52</v>
      </c>
      <c r="T1298" s="5">
        <v>1057</v>
      </c>
      <c r="W1298" s="5" t="s">
        <v>65</v>
      </c>
      <c r="X1298" s="5">
        <v>0</v>
      </c>
      <c r="Y1298" s="5">
        <v>0</v>
      </c>
      <c r="Z1298" s="5">
        <v>7945.2054790000002</v>
      </c>
      <c r="AA1298" s="5">
        <v>400</v>
      </c>
      <c r="AB1298" s="5">
        <v>3178082.1916</v>
      </c>
      <c r="AC1298" s="5" t="str">
        <f t="shared" si="64"/>
        <v>Bonos</v>
      </c>
      <c r="AD1298" s="5" t="s">
        <v>43</v>
      </c>
      <c r="AE1298" s="5">
        <f t="shared" ref="AE1298:AE1361" si="65">IFERROR((MONTH(J1298)),0)</f>
        <v>5</v>
      </c>
      <c r="AF1298" s="5">
        <f t="shared" ref="AF1298:AF1361" si="66">IFERROR((YEAR(J1298)),0)</f>
        <v>2020</v>
      </c>
    </row>
    <row r="1299" s="5" customFormat="1" ht="13">
      <c r="A1299" s="5" t="s">
        <v>44</v>
      </c>
      <c r="B1299" s="5" t="s">
        <v>44</v>
      </c>
      <c r="C1299" s="5" t="s">
        <v>304</v>
      </c>
      <c r="D1299" s="5" t="s">
        <v>21</v>
      </c>
      <c r="E1299" s="5" t="s">
        <v>44</v>
      </c>
      <c r="F1299" s="5" t="s">
        <v>68</v>
      </c>
      <c r="G1299" s="5" t="s">
        <v>145</v>
      </c>
      <c r="H1299" s="9" t="s">
        <v>363</v>
      </c>
      <c r="I1299" s="10"/>
      <c r="J1299" s="10">
        <v>43991</v>
      </c>
      <c r="K1299" s="5" t="s">
        <v>39</v>
      </c>
      <c r="L1299" s="5" t="s">
        <v>58</v>
      </c>
      <c r="M1299" s="11">
        <v>0.089999999999999997</v>
      </c>
      <c r="N1299" s="5" t="e">
        <f>IF(AND(M1299&gt;#REF!,Cartera!O1299="Guaraníes"),"Rendimiento significativo",IF(AND(M1299&gt;#REF!,Cartera!O1299="Dólares americanos"),"Rendimiento significativo","Rendimiento no significativo"))</f>
        <v>#REF!</v>
      </c>
      <c r="O1299" s="5" t="s">
        <v>41</v>
      </c>
      <c r="P1299" s="12">
        <v>8975342.4656000007</v>
      </c>
      <c r="Q1299" s="12">
        <f>IF(O1299="Guaraníes",P1299,P1299*#REF!)</f>
        <v>8975342.4656000007</v>
      </c>
      <c r="R1299" s="12" t="e">
        <f>IF(O1299="Guaraníes",P1299/#REF!,P1299)</f>
        <v>#REF!</v>
      </c>
      <c r="S1299" s="5" t="s">
        <v>52</v>
      </c>
      <c r="T1299" s="5">
        <v>1057</v>
      </c>
      <c r="W1299" s="5" t="s">
        <v>65</v>
      </c>
      <c r="X1299" s="5">
        <v>0</v>
      </c>
      <c r="Y1299" s="5">
        <v>0</v>
      </c>
      <c r="Z1299" s="5">
        <v>22438.356164000001</v>
      </c>
      <c r="AA1299" s="5">
        <v>400</v>
      </c>
      <c r="AB1299" s="5">
        <v>8975342.4656000007</v>
      </c>
      <c r="AC1299" s="5" t="str">
        <f t="shared" si="64"/>
        <v>Bonos</v>
      </c>
      <c r="AD1299" s="5" t="s">
        <v>43</v>
      </c>
      <c r="AE1299" s="5">
        <f t="shared" si="65"/>
        <v>6</v>
      </c>
      <c r="AF1299" s="5">
        <f t="shared" si="66"/>
        <v>2020</v>
      </c>
    </row>
    <row r="1300" s="5" customFormat="1" ht="13">
      <c r="A1300" s="5" t="s">
        <v>44</v>
      </c>
      <c r="B1300" s="5" t="s">
        <v>44</v>
      </c>
      <c r="C1300" s="5" t="s">
        <v>304</v>
      </c>
      <c r="D1300" s="5" t="s">
        <v>21</v>
      </c>
      <c r="E1300" s="5" t="s">
        <v>44</v>
      </c>
      <c r="F1300" s="5" t="s">
        <v>68</v>
      </c>
      <c r="G1300" s="5" t="s">
        <v>145</v>
      </c>
      <c r="H1300" s="9" t="s">
        <v>305</v>
      </c>
      <c r="I1300" s="10"/>
      <c r="J1300" s="10">
        <v>44007</v>
      </c>
      <c r="K1300" s="5" t="s">
        <v>39</v>
      </c>
      <c r="L1300" s="5" t="s">
        <v>58</v>
      </c>
      <c r="M1300" s="11">
        <v>0.089999999999999997</v>
      </c>
      <c r="N1300" s="5" t="e">
        <f>IF(AND(M1300&gt;#REF!,Cartera!O1300="Guaraníes"),"Rendimiento significativo",IF(AND(M1300&gt;#REF!,Cartera!O1300="Dólares americanos"),"Rendimiento significativo","Rendimiento no significativo"))</f>
        <v>#REF!</v>
      </c>
      <c r="O1300" s="5" t="s">
        <v>41</v>
      </c>
      <c r="P1300" s="12">
        <v>673150.68492000003</v>
      </c>
      <c r="Q1300" s="12">
        <f>IF(O1300="Guaraníes",P1300,P1300*#REF!)</f>
        <v>673150.68492000003</v>
      </c>
      <c r="R1300" s="12" t="e">
        <f>IF(O1300="Guaraníes",P1300/#REF!,P1300)</f>
        <v>#REF!</v>
      </c>
      <c r="S1300" s="5" t="s">
        <v>52</v>
      </c>
      <c r="T1300" s="5">
        <v>1057</v>
      </c>
      <c r="W1300" s="5" t="s">
        <v>65</v>
      </c>
      <c r="X1300" s="5">
        <v>0</v>
      </c>
      <c r="Y1300" s="5">
        <v>0</v>
      </c>
      <c r="Z1300" s="5">
        <v>22438.356164000001</v>
      </c>
      <c r="AA1300" s="5">
        <v>30</v>
      </c>
      <c r="AB1300" s="5">
        <v>673150.68492000003</v>
      </c>
      <c r="AC1300" s="5" t="str">
        <f t="shared" si="64"/>
        <v>Bonos</v>
      </c>
      <c r="AD1300" s="5" t="s">
        <v>43</v>
      </c>
      <c r="AE1300" s="5">
        <f t="shared" si="65"/>
        <v>6</v>
      </c>
      <c r="AF1300" s="5">
        <f t="shared" si="66"/>
        <v>2020</v>
      </c>
    </row>
    <row r="1301" s="5" customFormat="1" ht="13">
      <c r="A1301" s="5" t="s">
        <v>44</v>
      </c>
      <c r="B1301" s="5" t="s">
        <v>44</v>
      </c>
      <c r="C1301" s="5" t="s">
        <v>356</v>
      </c>
      <c r="D1301" s="5" t="s">
        <v>21</v>
      </c>
      <c r="E1301" s="5" t="s">
        <v>44</v>
      </c>
      <c r="F1301" s="5" t="s">
        <v>90</v>
      </c>
      <c r="G1301" s="5" t="s">
        <v>145</v>
      </c>
      <c r="H1301" s="9" t="s">
        <v>357</v>
      </c>
      <c r="I1301" s="10"/>
      <c r="J1301" s="10">
        <v>44011</v>
      </c>
      <c r="K1301" s="5" t="s">
        <v>77</v>
      </c>
      <c r="L1301" s="5" t="s">
        <v>58</v>
      </c>
      <c r="M1301" s="11">
        <v>0.12</v>
      </c>
      <c r="N1301" s="5" t="e">
        <f>IF(AND(M1301&gt;#REF!,Cartera!O1301="Guaraníes"),"Rendimiento significativo",IF(AND(M1301&gt;#REF!,Cartera!O1301="Dólares americanos"),"Rendimiento significativo","Rendimiento no significativo"))</f>
        <v>#REF!</v>
      </c>
      <c r="O1301" s="5" t="s">
        <v>41</v>
      </c>
      <c r="P1301" s="12">
        <v>2958904.1096000001</v>
      </c>
      <c r="Q1301" s="12">
        <f>IF(O1301="Guaraníes",P1301,P1301*#REF!)</f>
        <v>2958904.1096000001</v>
      </c>
      <c r="R1301" s="12" t="e">
        <f>IF(O1301="Guaraníes",P1301/#REF!,P1301)</f>
        <v>#REF!</v>
      </c>
      <c r="S1301" s="5" t="s">
        <v>52</v>
      </c>
      <c r="T1301" s="5">
        <v>1057</v>
      </c>
      <c r="W1301" s="5" t="s">
        <v>65</v>
      </c>
      <c r="X1301" s="5">
        <v>0</v>
      </c>
      <c r="Y1301" s="5">
        <v>0</v>
      </c>
      <c r="Z1301" s="5">
        <v>29589.041096000001</v>
      </c>
      <c r="AA1301" s="5">
        <v>100</v>
      </c>
      <c r="AB1301" s="5">
        <v>2958904.1096000001</v>
      </c>
      <c r="AC1301" s="5" t="str">
        <f t="shared" si="64"/>
        <v>Bonos</v>
      </c>
      <c r="AD1301" s="5" t="s">
        <v>43</v>
      </c>
      <c r="AE1301" s="5">
        <f t="shared" si="65"/>
        <v>6</v>
      </c>
      <c r="AF1301" s="5">
        <f t="shared" si="66"/>
        <v>2020</v>
      </c>
    </row>
    <row r="1302" s="5" customFormat="1" ht="13">
      <c r="A1302" s="5" t="s">
        <v>44</v>
      </c>
      <c r="B1302" s="5" t="s">
        <v>44</v>
      </c>
      <c r="C1302" s="5" t="s">
        <v>143</v>
      </c>
      <c r="D1302" s="5" t="s">
        <v>21</v>
      </c>
      <c r="E1302" s="5" t="s">
        <v>44</v>
      </c>
      <c r="F1302" s="5" t="s">
        <v>144</v>
      </c>
      <c r="G1302" s="5" t="s">
        <v>145</v>
      </c>
      <c r="H1302" s="9" t="s">
        <v>272</v>
      </c>
      <c r="I1302" s="10">
        <v>43532</v>
      </c>
      <c r="J1302" s="10">
        <v>44012</v>
      </c>
      <c r="K1302" s="5" t="s">
        <v>49</v>
      </c>
      <c r="L1302" s="5" t="s">
        <v>106</v>
      </c>
      <c r="M1302" s="11">
        <v>0.057500000000000002</v>
      </c>
      <c r="N1302" s="5" t="e">
        <f>IF(AND(M1302&gt;#REF!,Cartera!O1302="Guaraníes"),"Rendimiento significativo",IF(AND(M1302&gt;#REF!,Cartera!O1302="Dólares americanos"),"Rendimiento significativo","Rendimiento no significativo"))</f>
        <v>#REF!</v>
      </c>
      <c r="O1302" s="5" t="s">
        <v>51</v>
      </c>
      <c r="P1302" s="13">
        <v>50.410959999999996</v>
      </c>
      <c r="Q1302" s="12" t="e">
        <f>IF(O1302="Guaraníes",P1302,P1302*#REF!)</f>
        <v>#REF!</v>
      </c>
      <c r="R1302" s="12">
        <f>IF(O1302="Guaraníes",P1302/#REF!,P1302)</f>
        <v>50.410959999999996</v>
      </c>
      <c r="S1302" s="5" t="s">
        <v>52</v>
      </c>
      <c r="T1302" s="5">
        <v>1057</v>
      </c>
      <c r="W1302" s="5" t="s">
        <v>65</v>
      </c>
      <c r="X1302" s="5">
        <v>0</v>
      </c>
      <c r="Y1302" s="5">
        <v>0</v>
      </c>
      <c r="Z1302" s="5">
        <v>5.0410959999999996</v>
      </c>
      <c r="AA1302" s="5">
        <v>10</v>
      </c>
      <c r="AB1302" s="5">
        <v>50.410960000000003</v>
      </c>
      <c r="AC1302" s="5" t="str">
        <f t="shared" si="64"/>
        <v>Bonos</v>
      </c>
      <c r="AD1302" s="5" t="s">
        <v>43</v>
      </c>
      <c r="AE1302" s="5">
        <f t="shared" si="65"/>
        <v>6</v>
      </c>
      <c r="AF1302" s="5">
        <f t="shared" si="66"/>
        <v>2020</v>
      </c>
    </row>
    <row r="1303" s="5" customFormat="1" ht="13">
      <c r="A1303" s="5" t="s">
        <v>44</v>
      </c>
      <c r="B1303" s="5" t="s">
        <v>44</v>
      </c>
      <c r="C1303" s="5" t="s">
        <v>143</v>
      </c>
      <c r="D1303" s="5" t="s">
        <v>21</v>
      </c>
      <c r="E1303" s="5" t="s">
        <v>44</v>
      </c>
      <c r="F1303" s="5" t="s">
        <v>144</v>
      </c>
      <c r="G1303" s="5" t="s">
        <v>145</v>
      </c>
      <c r="H1303" s="9" t="s">
        <v>146</v>
      </c>
      <c r="I1303" s="10"/>
      <c r="J1303" s="10">
        <v>44012</v>
      </c>
      <c r="K1303" s="5" t="s">
        <v>49</v>
      </c>
      <c r="L1303" s="5" t="s">
        <v>106</v>
      </c>
      <c r="M1303" s="11">
        <v>0.060999999999999999</v>
      </c>
      <c r="N1303" s="5" t="e">
        <f>IF(AND(M1303&gt;#REF!,Cartera!O1303="Guaraníes"),"Rendimiento significativo",IF(AND(M1303&gt;#REF!,Cartera!O1303="Dólares americanos"),"Rendimiento significativo","Rendimiento no significativo"))</f>
        <v>#REF!</v>
      </c>
      <c r="O1303" s="5" t="s">
        <v>51</v>
      </c>
      <c r="P1303" s="13">
        <v>213.9178</v>
      </c>
      <c r="Q1303" s="12" t="e">
        <f>IF(O1303="Guaraníes",P1303,P1303*#REF!)</f>
        <v>#REF!</v>
      </c>
      <c r="R1303" s="12">
        <f>IF(O1303="Guaraníes",P1303/#REF!,P1303)</f>
        <v>213.9178</v>
      </c>
      <c r="S1303" s="5" t="s">
        <v>52</v>
      </c>
      <c r="T1303" s="5">
        <v>1057</v>
      </c>
      <c r="W1303" s="5" t="s">
        <v>65</v>
      </c>
      <c r="X1303" s="5">
        <v>0</v>
      </c>
      <c r="Y1303" s="5">
        <v>0</v>
      </c>
      <c r="Z1303" s="5">
        <v>5.3479450000000002</v>
      </c>
      <c r="AA1303" s="5">
        <v>40</v>
      </c>
      <c r="AB1303" s="5">
        <v>213.9178</v>
      </c>
      <c r="AC1303" s="5" t="str">
        <f t="shared" si="64"/>
        <v>Bonos</v>
      </c>
      <c r="AD1303" s="5" t="s">
        <v>43</v>
      </c>
      <c r="AE1303" s="5">
        <f t="shared" si="65"/>
        <v>6</v>
      </c>
      <c r="AF1303" s="5">
        <f t="shared" si="66"/>
        <v>2020</v>
      </c>
    </row>
    <row r="1304" s="5" customFormat="1" ht="13">
      <c r="A1304" s="5" t="s">
        <v>44</v>
      </c>
      <c r="B1304" s="5" t="s">
        <v>44</v>
      </c>
      <c r="C1304" s="5" t="s">
        <v>164</v>
      </c>
      <c r="D1304" s="5" t="s">
        <v>21</v>
      </c>
      <c r="E1304" s="5" t="s">
        <v>44</v>
      </c>
      <c r="F1304" s="5" t="s">
        <v>68</v>
      </c>
      <c r="G1304" s="5" t="s">
        <v>145</v>
      </c>
      <c r="H1304" s="9" t="s">
        <v>165</v>
      </c>
      <c r="I1304" s="10"/>
      <c r="J1304" s="10">
        <v>44012</v>
      </c>
      <c r="K1304" s="5" t="s">
        <v>124</v>
      </c>
      <c r="L1304" s="5" t="s">
        <v>58</v>
      </c>
      <c r="M1304" s="11">
        <v>0.10000000000000001</v>
      </c>
      <c r="N1304" s="5" t="e">
        <f>IF(AND(M1304&gt;#REF!,Cartera!O1304="Guaraníes"),"Rendimiento significativo",IF(AND(M1304&gt;#REF!,Cartera!O1304="Dólares americanos"),"Rendimiento significativo","Rendimiento no significativo"))</f>
        <v>#REF!</v>
      </c>
      <c r="O1304" s="5" t="s">
        <v>41</v>
      </c>
      <c r="P1304" s="12">
        <v>3506849.3152000001</v>
      </c>
      <c r="Q1304" s="12">
        <f>IF(O1304="Guaraníes",P1304,P1304*#REF!)</f>
        <v>3506849.3152000001</v>
      </c>
      <c r="R1304" s="12" t="e">
        <f>IF(O1304="Guaraníes",P1304/#REF!,P1304)</f>
        <v>#REF!</v>
      </c>
      <c r="S1304" s="5" t="s">
        <v>52</v>
      </c>
      <c r="T1304" s="5">
        <v>1057</v>
      </c>
      <c r="W1304" s="5" t="s">
        <v>65</v>
      </c>
      <c r="X1304" s="5">
        <v>0</v>
      </c>
      <c r="Y1304" s="5">
        <v>0</v>
      </c>
      <c r="Z1304" s="5">
        <v>8767.1232880000007</v>
      </c>
      <c r="AA1304" s="5">
        <v>400</v>
      </c>
      <c r="AB1304" s="5">
        <v>3506849.3152000001</v>
      </c>
      <c r="AC1304" s="5" t="str">
        <f t="shared" si="64"/>
        <v>Bonos</v>
      </c>
      <c r="AD1304" s="5" t="s">
        <v>43</v>
      </c>
      <c r="AE1304" s="5">
        <f t="shared" si="65"/>
        <v>6</v>
      </c>
      <c r="AF1304" s="5">
        <f t="shared" si="66"/>
        <v>2020</v>
      </c>
    </row>
    <row r="1305" s="5" customFormat="1" ht="13">
      <c r="A1305" s="5" t="s">
        <v>44</v>
      </c>
      <c r="B1305" s="5" t="s">
        <v>44</v>
      </c>
      <c r="C1305" s="5" t="s">
        <v>143</v>
      </c>
      <c r="D1305" s="5" t="s">
        <v>21</v>
      </c>
      <c r="E1305" s="5" t="s">
        <v>44</v>
      </c>
      <c r="F1305" s="5" t="s">
        <v>144</v>
      </c>
      <c r="G1305" s="5" t="s">
        <v>145</v>
      </c>
      <c r="H1305" s="9" t="s">
        <v>272</v>
      </c>
      <c r="I1305" s="10">
        <v>43532</v>
      </c>
      <c r="J1305" s="10">
        <v>44043</v>
      </c>
      <c r="K1305" s="5" t="s">
        <v>49</v>
      </c>
      <c r="L1305" s="5" t="s">
        <v>106</v>
      </c>
      <c r="M1305" s="11">
        <v>0.057500000000000002</v>
      </c>
      <c r="N1305" s="5" t="e">
        <f>IF(AND(M1305&gt;#REF!,Cartera!O1305="Guaraníes"),"Rendimiento significativo",IF(AND(M1305&gt;#REF!,Cartera!O1305="Dólares americanos"),"Rendimiento significativo","Rendimiento no significativo"))</f>
        <v>#REF!</v>
      </c>
      <c r="O1305" s="5" t="s">
        <v>51</v>
      </c>
      <c r="P1305" s="13">
        <v>48.835620000000006</v>
      </c>
      <c r="Q1305" s="12" t="e">
        <f>IF(O1305="Guaraníes",P1305,P1305*#REF!)</f>
        <v>#REF!</v>
      </c>
      <c r="R1305" s="12">
        <f>IF(O1305="Guaraníes",P1305/#REF!,P1305)</f>
        <v>48.835620000000006</v>
      </c>
      <c r="S1305" s="5" t="s">
        <v>52</v>
      </c>
      <c r="T1305" s="5">
        <v>1057</v>
      </c>
      <c r="W1305" s="5" t="s">
        <v>65</v>
      </c>
      <c r="X1305" s="5">
        <v>0</v>
      </c>
      <c r="Y1305" s="5">
        <v>0</v>
      </c>
      <c r="Z1305" s="5">
        <v>4.8835620000000004</v>
      </c>
      <c r="AA1305" s="5">
        <v>10</v>
      </c>
      <c r="AB1305" s="5">
        <v>48.835619999999999</v>
      </c>
      <c r="AC1305" s="5" t="str">
        <f t="shared" si="64"/>
        <v>Bonos</v>
      </c>
      <c r="AD1305" s="5" t="s">
        <v>43</v>
      </c>
      <c r="AE1305" s="5">
        <f t="shared" si="65"/>
        <v>7</v>
      </c>
      <c r="AF1305" s="5">
        <f t="shared" si="66"/>
        <v>2020</v>
      </c>
    </row>
    <row r="1306" s="5" customFormat="1" ht="13">
      <c r="A1306" s="5" t="s">
        <v>44</v>
      </c>
      <c r="B1306" s="5" t="s">
        <v>44</v>
      </c>
      <c r="C1306" s="5" t="s">
        <v>143</v>
      </c>
      <c r="D1306" s="5" t="s">
        <v>21</v>
      </c>
      <c r="E1306" s="5" t="s">
        <v>44</v>
      </c>
      <c r="F1306" s="5" t="s">
        <v>144</v>
      </c>
      <c r="G1306" s="5" t="s">
        <v>145</v>
      </c>
      <c r="H1306" s="9" t="s">
        <v>146</v>
      </c>
      <c r="I1306" s="10"/>
      <c r="J1306" s="10">
        <v>44043</v>
      </c>
      <c r="K1306" s="5" t="s">
        <v>49</v>
      </c>
      <c r="L1306" s="5" t="s">
        <v>106</v>
      </c>
      <c r="M1306" s="11">
        <v>0.060999999999999999</v>
      </c>
      <c r="N1306" s="5" t="e">
        <f>IF(AND(M1306&gt;#REF!,Cartera!O1306="Guaraníes"),"Rendimiento significativo",IF(AND(M1306&gt;#REF!,Cartera!O1306="Dólares americanos"),"Rendimiento significativo","Rendimiento no significativo"))</f>
        <v>#REF!</v>
      </c>
      <c r="O1306" s="5" t="s">
        <v>51</v>
      </c>
      <c r="P1306" s="13">
        <v>207.23287999999999</v>
      </c>
      <c r="Q1306" s="12" t="e">
        <f>IF(O1306="Guaraníes",P1306,P1306*#REF!)</f>
        <v>#REF!</v>
      </c>
      <c r="R1306" s="12">
        <f>IF(O1306="Guaraníes",P1306/#REF!,P1306)</f>
        <v>207.23287999999999</v>
      </c>
      <c r="S1306" s="5" t="s">
        <v>52</v>
      </c>
      <c r="T1306" s="5">
        <v>1057</v>
      </c>
      <c r="W1306" s="5" t="s">
        <v>65</v>
      </c>
      <c r="X1306" s="5">
        <v>0</v>
      </c>
      <c r="Y1306" s="5">
        <v>0</v>
      </c>
      <c r="Z1306" s="5">
        <v>5.180822</v>
      </c>
      <c r="AA1306" s="5">
        <v>40</v>
      </c>
      <c r="AB1306" s="5">
        <v>207.23287999999999</v>
      </c>
      <c r="AC1306" s="5" t="str">
        <f t="shared" si="64"/>
        <v>Bonos</v>
      </c>
      <c r="AD1306" s="5" t="s">
        <v>43</v>
      </c>
      <c r="AE1306" s="5">
        <f t="shared" si="65"/>
        <v>7</v>
      </c>
      <c r="AF1306" s="5">
        <f t="shared" si="66"/>
        <v>2020</v>
      </c>
    </row>
    <row r="1307" s="5" customFormat="1" ht="13">
      <c r="A1307" s="5" t="s">
        <v>44</v>
      </c>
      <c r="B1307" s="5" t="s">
        <v>44</v>
      </c>
      <c r="C1307" s="5" t="s">
        <v>164</v>
      </c>
      <c r="D1307" s="5" t="s">
        <v>21</v>
      </c>
      <c r="E1307" s="5" t="s">
        <v>44</v>
      </c>
      <c r="F1307" s="5" t="s">
        <v>68</v>
      </c>
      <c r="G1307" s="5" t="s">
        <v>145</v>
      </c>
      <c r="H1307" s="9" t="s">
        <v>165</v>
      </c>
      <c r="I1307" s="10"/>
      <c r="J1307" s="10">
        <v>44043</v>
      </c>
      <c r="K1307" s="5" t="s">
        <v>124</v>
      </c>
      <c r="L1307" s="5" t="s">
        <v>58</v>
      </c>
      <c r="M1307" s="11">
        <v>0.10000000000000001</v>
      </c>
      <c r="N1307" s="5" t="e">
        <f>IF(AND(M1307&gt;#REF!,Cartera!O1307="Guaraníes"),"Rendimiento significativo",IF(AND(M1307&gt;#REF!,Cartera!O1307="Dólares americanos"),"Rendimiento significativo","Rendimiento no significativo"))</f>
        <v>#REF!</v>
      </c>
      <c r="O1307" s="5" t="s">
        <v>41</v>
      </c>
      <c r="P1307" s="12">
        <v>3397260.2740000002</v>
      </c>
      <c r="Q1307" s="12">
        <f>IF(O1307="Guaraníes",P1307,P1307*#REF!)</f>
        <v>3397260.2740000002</v>
      </c>
      <c r="R1307" s="12" t="e">
        <f>IF(O1307="Guaraníes",P1307/#REF!,P1307)</f>
        <v>#REF!</v>
      </c>
      <c r="S1307" s="5" t="s">
        <v>52</v>
      </c>
      <c r="T1307" s="5">
        <v>1057</v>
      </c>
      <c r="W1307" s="5" t="s">
        <v>65</v>
      </c>
      <c r="X1307" s="5">
        <v>0</v>
      </c>
      <c r="Y1307" s="5">
        <v>0</v>
      </c>
      <c r="Z1307" s="5">
        <v>8493.1506850000005</v>
      </c>
      <c r="AA1307" s="5">
        <v>400</v>
      </c>
      <c r="AB1307" s="5">
        <v>3397260.2740000002</v>
      </c>
      <c r="AC1307" s="5" t="str">
        <f t="shared" si="64"/>
        <v>Bonos</v>
      </c>
      <c r="AD1307" s="5" t="s">
        <v>43</v>
      </c>
      <c r="AE1307" s="5">
        <f t="shared" si="65"/>
        <v>7</v>
      </c>
      <c r="AF1307" s="5">
        <f t="shared" si="66"/>
        <v>2020</v>
      </c>
    </row>
    <row r="1308" s="5" customFormat="1" ht="13">
      <c r="A1308" s="5" t="s">
        <v>44</v>
      </c>
      <c r="B1308" s="5" t="s">
        <v>44</v>
      </c>
      <c r="C1308" s="5" t="s">
        <v>45</v>
      </c>
      <c r="D1308" s="5" t="s">
        <v>21</v>
      </c>
      <c r="E1308" s="5" t="s">
        <v>44</v>
      </c>
      <c r="F1308" s="5" t="s">
        <v>46</v>
      </c>
      <c r="G1308" s="5" t="s">
        <v>145</v>
      </c>
      <c r="H1308" s="9" t="s">
        <v>359</v>
      </c>
      <c r="I1308" s="10"/>
      <c r="J1308" s="10">
        <v>44063</v>
      </c>
      <c r="K1308" s="5" t="s">
        <v>49</v>
      </c>
      <c r="L1308" s="5" t="s">
        <v>50</v>
      </c>
      <c r="M1308" s="11">
        <v>0.070000000000000007</v>
      </c>
      <c r="N1308" s="5" t="e">
        <f>IF(AND(M1308&gt;#REF!,Cartera!O1308="Guaraníes"),"Rendimiento significativo",IF(AND(M1308&gt;#REF!,Cartera!O1308="Dólares americanos"),"Rendimiento significativo","Rendimiento no significativo"))</f>
        <v>#REF!</v>
      </c>
      <c r="O1308" s="5" t="s">
        <v>51</v>
      </c>
      <c r="P1308" s="13">
        <v>149.58904000000001</v>
      </c>
      <c r="Q1308" s="12" t="e">
        <f>IF(O1308="Guaraníes",P1308,P1308*#REF!)</f>
        <v>#REF!</v>
      </c>
      <c r="R1308" s="12">
        <f>IF(O1308="Guaraníes",P1308/#REF!,P1308)</f>
        <v>149.58904000000001</v>
      </c>
      <c r="S1308" s="5" t="s">
        <v>52</v>
      </c>
      <c r="T1308" s="5">
        <v>1057</v>
      </c>
      <c r="W1308" s="5" t="s">
        <v>65</v>
      </c>
      <c r="X1308" s="5">
        <v>0</v>
      </c>
      <c r="Y1308" s="5">
        <v>0</v>
      </c>
      <c r="Z1308" s="5">
        <v>14.958904</v>
      </c>
      <c r="AA1308" s="5">
        <v>10</v>
      </c>
      <c r="AB1308" s="5">
        <v>149.58904000000001</v>
      </c>
      <c r="AC1308" s="5" t="str">
        <f t="shared" si="64"/>
        <v>Bonos</v>
      </c>
      <c r="AD1308" s="5" t="s">
        <v>43</v>
      </c>
      <c r="AE1308" s="5">
        <f t="shared" si="65"/>
        <v>8</v>
      </c>
      <c r="AF1308" s="5">
        <f t="shared" si="66"/>
        <v>2020</v>
      </c>
    </row>
    <row r="1309" s="5" customFormat="1" ht="13">
      <c r="A1309" s="5" t="s">
        <v>44</v>
      </c>
      <c r="B1309" s="5" t="s">
        <v>44</v>
      </c>
      <c r="C1309" s="5" t="s">
        <v>143</v>
      </c>
      <c r="D1309" s="5" t="s">
        <v>21</v>
      </c>
      <c r="E1309" s="5" t="s">
        <v>44</v>
      </c>
      <c r="F1309" s="5" t="s">
        <v>144</v>
      </c>
      <c r="G1309" s="5" t="s">
        <v>145</v>
      </c>
      <c r="H1309" s="9" t="s">
        <v>272</v>
      </c>
      <c r="I1309" s="10">
        <v>43532</v>
      </c>
      <c r="J1309" s="10">
        <v>44074</v>
      </c>
      <c r="K1309" s="5" t="s">
        <v>49</v>
      </c>
      <c r="L1309" s="5" t="s">
        <v>106</v>
      </c>
      <c r="M1309" s="11">
        <v>0.057500000000000002</v>
      </c>
      <c r="N1309" s="5" t="e">
        <f>IF(AND(M1309&gt;#REF!,Cartera!O1309="Guaraníes"),"Rendimiento significativo",IF(AND(M1309&gt;#REF!,Cartera!O1309="Dólares americanos"),"Rendimiento significativo","Rendimiento no significativo"))</f>
        <v>#REF!</v>
      </c>
      <c r="O1309" s="5" t="s">
        <v>51</v>
      </c>
      <c r="P1309" s="13">
        <v>48.835620000000006</v>
      </c>
      <c r="Q1309" s="12" t="e">
        <f>IF(O1309="Guaraníes",P1309,P1309*#REF!)</f>
        <v>#REF!</v>
      </c>
      <c r="R1309" s="12">
        <f>IF(O1309="Guaraníes",P1309/#REF!,P1309)</f>
        <v>48.835620000000006</v>
      </c>
      <c r="S1309" s="5" t="s">
        <v>52</v>
      </c>
      <c r="T1309" s="5">
        <v>1057</v>
      </c>
      <c r="W1309" s="5" t="s">
        <v>65</v>
      </c>
      <c r="X1309" s="5">
        <v>0</v>
      </c>
      <c r="Y1309" s="5">
        <v>0</v>
      </c>
      <c r="Z1309" s="5">
        <v>4.8835620000000004</v>
      </c>
      <c r="AA1309" s="5">
        <v>10</v>
      </c>
      <c r="AB1309" s="5">
        <v>48.835619999999999</v>
      </c>
      <c r="AC1309" s="5" t="str">
        <f t="shared" si="64"/>
        <v>Bonos</v>
      </c>
      <c r="AD1309" s="5" t="s">
        <v>43</v>
      </c>
      <c r="AE1309" s="5">
        <f t="shared" si="65"/>
        <v>8</v>
      </c>
      <c r="AF1309" s="5">
        <f t="shared" si="66"/>
        <v>2020</v>
      </c>
    </row>
    <row r="1310" s="5" customFormat="1" ht="13">
      <c r="A1310" s="5" t="s">
        <v>44</v>
      </c>
      <c r="B1310" s="5" t="s">
        <v>44</v>
      </c>
      <c r="C1310" s="5" t="s">
        <v>143</v>
      </c>
      <c r="D1310" s="5" t="s">
        <v>21</v>
      </c>
      <c r="E1310" s="5" t="s">
        <v>44</v>
      </c>
      <c r="F1310" s="5" t="s">
        <v>144</v>
      </c>
      <c r="G1310" s="5" t="s">
        <v>145</v>
      </c>
      <c r="H1310" s="9" t="s">
        <v>146</v>
      </c>
      <c r="I1310" s="10"/>
      <c r="J1310" s="10">
        <v>44074</v>
      </c>
      <c r="K1310" s="5" t="s">
        <v>49</v>
      </c>
      <c r="L1310" s="5" t="s">
        <v>106</v>
      </c>
      <c r="M1310" s="11">
        <v>0.060999999999999999</v>
      </c>
      <c r="N1310" s="5" t="e">
        <f>IF(AND(M1310&gt;#REF!,Cartera!O1310="Guaraníes"),"Rendimiento significativo",IF(AND(M1310&gt;#REF!,Cartera!O1310="Dólares americanos"),"Rendimiento significativo","Rendimiento no significativo"))</f>
        <v>#REF!</v>
      </c>
      <c r="O1310" s="5" t="s">
        <v>51</v>
      </c>
      <c r="P1310" s="13">
        <v>207.23287999999999</v>
      </c>
      <c r="Q1310" s="12" t="e">
        <f>IF(O1310="Guaraníes",P1310,P1310*#REF!)</f>
        <v>#REF!</v>
      </c>
      <c r="R1310" s="12">
        <f>IF(O1310="Guaraníes",P1310/#REF!,P1310)</f>
        <v>207.23287999999999</v>
      </c>
      <c r="S1310" s="5" t="s">
        <v>52</v>
      </c>
      <c r="T1310" s="5">
        <v>1057</v>
      </c>
      <c r="W1310" s="5" t="s">
        <v>65</v>
      </c>
      <c r="X1310" s="5">
        <v>0</v>
      </c>
      <c r="Y1310" s="5">
        <v>0</v>
      </c>
      <c r="Z1310" s="5">
        <v>5.180822</v>
      </c>
      <c r="AA1310" s="5">
        <v>40</v>
      </c>
      <c r="AB1310" s="5">
        <v>207.23287999999999</v>
      </c>
      <c r="AC1310" s="5" t="str">
        <f t="shared" si="64"/>
        <v>Bonos</v>
      </c>
      <c r="AD1310" s="5" t="s">
        <v>43</v>
      </c>
      <c r="AE1310" s="5">
        <f t="shared" si="65"/>
        <v>8</v>
      </c>
      <c r="AF1310" s="5">
        <f t="shared" si="66"/>
        <v>2020</v>
      </c>
    </row>
    <row r="1311" s="5" customFormat="1" ht="13">
      <c r="A1311" s="5" t="s">
        <v>44</v>
      </c>
      <c r="B1311" s="5" t="s">
        <v>44</v>
      </c>
      <c r="C1311" s="5" t="s">
        <v>164</v>
      </c>
      <c r="D1311" s="5" t="s">
        <v>21</v>
      </c>
      <c r="E1311" s="5" t="s">
        <v>44</v>
      </c>
      <c r="F1311" s="5" t="s">
        <v>68</v>
      </c>
      <c r="G1311" s="5" t="s">
        <v>145</v>
      </c>
      <c r="H1311" s="9" t="s">
        <v>165</v>
      </c>
      <c r="I1311" s="10"/>
      <c r="J1311" s="10">
        <v>44074</v>
      </c>
      <c r="K1311" s="5" t="s">
        <v>124</v>
      </c>
      <c r="L1311" s="5" t="s">
        <v>58</v>
      </c>
      <c r="M1311" s="11">
        <v>0.10000000000000001</v>
      </c>
      <c r="N1311" s="5" t="e">
        <f>IF(AND(M1311&gt;#REF!,Cartera!O1311="Guaraníes"),"Rendimiento significativo",IF(AND(M1311&gt;#REF!,Cartera!O1311="Dólares americanos"),"Rendimiento significativo","Rendimiento no significativo"))</f>
        <v>#REF!</v>
      </c>
      <c r="O1311" s="5" t="s">
        <v>41</v>
      </c>
      <c r="P1311" s="12">
        <v>3397260.2740000002</v>
      </c>
      <c r="Q1311" s="12">
        <f>IF(O1311="Guaraníes",P1311,P1311*#REF!)</f>
        <v>3397260.2740000002</v>
      </c>
      <c r="R1311" s="12" t="e">
        <f>IF(O1311="Guaraníes",P1311/#REF!,P1311)</f>
        <v>#REF!</v>
      </c>
      <c r="S1311" s="5" t="s">
        <v>52</v>
      </c>
      <c r="T1311" s="5">
        <v>1057</v>
      </c>
      <c r="W1311" s="5" t="s">
        <v>65</v>
      </c>
      <c r="X1311" s="5">
        <v>0</v>
      </c>
      <c r="Y1311" s="5">
        <v>0</v>
      </c>
      <c r="Z1311" s="5">
        <v>8493.1506850000005</v>
      </c>
      <c r="AA1311" s="5">
        <v>400</v>
      </c>
      <c r="AB1311" s="5">
        <v>3397260.2740000002</v>
      </c>
      <c r="AC1311" s="5" t="str">
        <f t="shared" si="64"/>
        <v>Bonos</v>
      </c>
      <c r="AD1311" s="5" t="s">
        <v>43</v>
      </c>
      <c r="AE1311" s="5">
        <f t="shared" si="65"/>
        <v>8</v>
      </c>
      <c r="AF1311" s="5">
        <f t="shared" si="66"/>
        <v>2020</v>
      </c>
    </row>
    <row r="1312" s="5" customFormat="1" ht="13">
      <c r="A1312" s="5" t="s">
        <v>44</v>
      </c>
      <c r="B1312" s="5" t="s">
        <v>44</v>
      </c>
      <c r="C1312" s="5" t="s">
        <v>304</v>
      </c>
      <c r="D1312" s="5" t="s">
        <v>21</v>
      </c>
      <c r="E1312" s="5" t="s">
        <v>44</v>
      </c>
      <c r="F1312" s="5" t="s">
        <v>68</v>
      </c>
      <c r="G1312" s="5" t="s">
        <v>145</v>
      </c>
      <c r="H1312" s="9" t="s">
        <v>363</v>
      </c>
      <c r="I1312" s="10"/>
      <c r="J1312" s="10">
        <v>44082</v>
      </c>
      <c r="K1312" s="5" t="s">
        <v>39</v>
      </c>
      <c r="L1312" s="5" t="s">
        <v>58</v>
      </c>
      <c r="M1312" s="11">
        <v>0.089999999999999997</v>
      </c>
      <c r="N1312" s="5" t="e">
        <f>IF(AND(M1312&gt;#REF!,Cartera!O1312="Guaraníes"),"Rendimiento significativo",IF(AND(M1312&gt;#REF!,Cartera!O1312="Dólares americanos"),"Rendimiento significativo","Rendimiento no significativo"))</f>
        <v>#REF!</v>
      </c>
      <c r="O1312" s="5" t="s">
        <v>41</v>
      </c>
      <c r="P1312" s="12">
        <v>8975342.4656000007</v>
      </c>
      <c r="Q1312" s="12">
        <f>IF(O1312="Guaraníes",P1312,P1312*#REF!)</f>
        <v>8975342.4656000007</v>
      </c>
      <c r="R1312" s="12" t="e">
        <f>IF(O1312="Guaraníes",P1312/#REF!,P1312)</f>
        <v>#REF!</v>
      </c>
      <c r="S1312" s="5" t="s">
        <v>52</v>
      </c>
      <c r="T1312" s="5">
        <v>1057</v>
      </c>
      <c r="W1312" s="5" t="s">
        <v>65</v>
      </c>
      <c r="X1312" s="5">
        <v>0</v>
      </c>
      <c r="Y1312" s="5">
        <v>0</v>
      </c>
      <c r="Z1312" s="5">
        <v>22438.356164000001</v>
      </c>
      <c r="AA1312" s="5">
        <v>400</v>
      </c>
      <c r="AB1312" s="5">
        <v>8975342.4656000007</v>
      </c>
      <c r="AC1312" s="5" t="str">
        <f t="shared" si="64"/>
        <v>Bonos</v>
      </c>
      <c r="AD1312" s="5" t="s">
        <v>43</v>
      </c>
      <c r="AE1312" s="5">
        <f t="shared" si="65"/>
        <v>9</v>
      </c>
      <c r="AF1312" s="5">
        <f t="shared" si="66"/>
        <v>2020</v>
      </c>
    </row>
    <row r="1313" s="5" customFormat="1" ht="13">
      <c r="A1313" s="5" t="s">
        <v>44</v>
      </c>
      <c r="B1313" s="5" t="s">
        <v>44</v>
      </c>
      <c r="C1313" s="5" t="s">
        <v>304</v>
      </c>
      <c r="D1313" s="5" t="s">
        <v>21</v>
      </c>
      <c r="E1313" s="5" t="s">
        <v>44</v>
      </c>
      <c r="F1313" s="5" t="s">
        <v>68</v>
      </c>
      <c r="G1313" s="5" t="s">
        <v>145</v>
      </c>
      <c r="H1313" s="9" t="s">
        <v>305</v>
      </c>
      <c r="I1313" s="10"/>
      <c r="J1313" s="10">
        <v>44098</v>
      </c>
      <c r="K1313" s="5" t="s">
        <v>39</v>
      </c>
      <c r="L1313" s="5" t="s">
        <v>58</v>
      </c>
      <c r="M1313" s="11">
        <v>0.089999999999999997</v>
      </c>
      <c r="N1313" s="5" t="e">
        <f>IF(AND(M1313&gt;#REF!,Cartera!O1313="Guaraníes"),"Rendimiento significativo",IF(AND(M1313&gt;#REF!,Cartera!O1313="Dólares americanos"),"Rendimiento significativo","Rendimiento no significativo"))</f>
        <v>#REF!</v>
      </c>
      <c r="O1313" s="5" t="s">
        <v>41</v>
      </c>
      <c r="P1313" s="12">
        <v>673150.68492000003</v>
      </c>
      <c r="Q1313" s="12">
        <f>IF(O1313="Guaraníes",P1313,P1313*#REF!)</f>
        <v>673150.68492000003</v>
      </c>
      <c r="R1313" s="12" t="e">
        <f>IF(O1313="Guaraníes",P1313/#REF!,P1313)</f>
        <v>#REF!</v>
      </c>
      <c r="S1313" s="5" t="s">
        <v>52</v>
      </c>
      <c r="T1313" s="5">
        <v>1057</v>
      </c>
      <c r="W1313" s="5" t="s">
        <v>65</v>
      </c>
      <c r="X1313" s="5">
        <v>0</v>
      </c>
      <c r="Y1313" s="5">
        <v>0</v>
      </c>
      <c r="Z1313" s="5">
        <v>22438.356164000001</v>
      </c>
      <c r="AA1313" s="5">
        <v>30</v>
      </c>
      <c r="AB1313" s="5">
        <v>673150.68492000003</v>
      </c>
      <c r="AC1313" s="5" t="str">
        <f t="shared" si="64"/>
        <v>Bonos</v>
      </c>
      <c r="AD1313" s="5" t="s">
        <v>43</v>
      </c>
      <c r="AE1313" s="5">
        <f t="shared" si="65"/>
        <v>9</v>
      </c>
      <c r="AF1313" s="5">
        <f t="shared" si="66"/>
        <v>2020</v>
      </c>
    </row>
    <row r="1314" s="5" customFormat="1" ht="13">
      <c r="A1314" s="5" t="s">
        <v>44</v>
      </c>
      <c r="B1314" s="5" t="s">
        <v>44</v>
      </c>
      <c r="C1314" s="5" t="s">
        <v>356</v>
      </c>
      <c r="D1314" s="5" t="s">
        <v>21</v>
      </c>
      <c r="E1314" s="5" t="s">
        <v>44</v>
      </c>
      <c r="F1314" s="5" t="s">
        <v>90</v>
      </c>
      <c r="G1314" s="5" t="s">
        <v>145</v>
      </c>
      <c r="H1314" s="9" t="s">
        <v>357</v>
      </c>
      <c r="I1314" s="10"/>
      <c r="J1314" s="10">
        <v>44102</v>
      </c>
      <c r="K1314" s="5" t="s">
        <v>77</v>
      </c>
      <c r="L1314" s="5" t="s">
        <v>58</v>
      </c>
      <c r="M1314" s="11">
        <v>0.12</v>
      </c>
      <c r="N1314" s="5" t="e">
        <f>IF(AND(M1314&gt;#REF!,Cartera!O1314="Guaraníes"),"Rendimiento significativo",IF(AND(M1314&gt;#REF!,Cartera!O1314="Dólares americanos"),"Rendimiento significativo","Rendimiento no significativo"))</f>
        <v>#REF!</v>
      </c>
      <c r="O1314" s="5" t="s">
        <v>41</v>
      </c>
      <c r="P1314" s="12">
        <v>2991780.8218999999</v>
      </c>
      <c r="Q1314" s="12">
        <f>IF(O1314="Guaraníes",P1314,P1314*#REF!)</f>
        <v>2991780.8218999999</v>
      </c>
      <c r="R1314" s="12" t="e">
        <f>IF(O1314="Guaraníes",P1314/#REF!,P1314)</f>
        <v>#REF!</v>
      </c>
      <c r="S1314" s="5" t="s">
        <v>52</v>
      </c>
      <c r="T1314" s="5">
        <v>1057</v>
      </c>
      <c r="W1314" s="5" t="s">
        <v>65</v>
      </c>
      <c r="X1314" s="5">
        <v>0</v>
      </c>
      <c r="Y1314" s="5">
        <v>0</v>
      </c>
      <c r="Z1314" s="5">
        <v>29917.808218999999</v>
      </c>
      <c r="AA1314" s="5">
        <v>100</v>
      </c>
      <c r="AB1314" s="5">
        <v>2991780.8218999999</v>
      </c>
      <c r="AC1314" s="5" t="str">
        <f t="shared" si="64"/>
        <v>Bonos</v>
      </c>
      <c r="AD1314" s="5" t="s">
        <v>43</v>
      </c>
      <c r="AE1314" s="5">
        <f t="shared" si="65"/>
        <v>9</v>
      </c>
      <c r="AF1314" s="5">
        <f t="shared" si="66"/>
        <v>2020</v>
      </c>
    </row>
    <row r="1315" s="5" customFormat="1" ht="13">
      <c r="A1315" s="5" t="s">
        <v>44</v>
      </c>
      <c r="B1315" s="5" t="s">
        <v>44</v>
      </c>
      <c r="C1315" s="5" t="s">
        <v>143</v>
      </c>
      <c r="D1315" s="5" t="s">
        <v>21</v>
      </c>
      <c r="E1315" s="5" t="s">
        <v>44</v>
      </c>
      <c r="F1315" s="5" t="s">
        <v>144</v>
      </c>
      <c r="G1315" s="5" t="s">
        <v>145</v>
      </c>
      <c r="H1315" s="9" t="s">
        <v>272</v>
      </c>
      <c r="I1315" s="10">
        <v>43532</v>
      </c>
      <c r="J1315" s="10">
        <v>44104</v>
      </c>
      <c r="K1315" s="5" t="s">
        <v>49</v>
      </c>
      <c r="L1315" s="5" t="s">
        <v>106</v>
      </c>
      <c r="M1315" s="11">
        <v>0.057500000000000002</v>
      </c>
      <c r="N1315" s="5" t="e">
        <f>IF(AND(M1315&gt;#REF!,Cartera!O1315="Guaraníes"),"Rendimiento significativo",IF(AND(M1315&gt;#REF!,Cartera!O1315="Dólares americanos"),"Rendimiento significativo","Rendimiento no significativo"))</f>
        <v>#REF!</v>
      </c>
      <c r="O1315" s="5" t="s">
        <v>51</v>
      </c>
      <c r="P1315" s="13">
        <v>47.260270000000006</v>
      </c>
      <c r="Q1315" s="12" t="e">
        <f>IF(O1315="Guaraníes",P1315,P1315*#REF!)</f>
        <v>#REF!</v>
      </c>
      <c r="R1315" s="12">
        <f>IF(O1315="Guaraníes",P1315/#REF!,P1315)</f>
        <v>47.260270000000006</v>
      </c>
      <c r="S1315" s="5" t="s">
        <v>52</v>
      </c>
      <c r="T1315" s="5">
        <v>1057</v>
      </c>
      <c r="W1315" s="5" t="s">
        <v>65</v>
      </c>
      <c r="X1315" s="5">
        <v>0</v>
      </c>
      <c r="Y1315" s="5">
        <v>0</v>
      </c>
      <c r="Z1315" s="5">
        <v>4.7260270000000002</v>
      </c>
      <c r="AA1315" s="5">
        <v>10</v>
      </c>
      <c r="AB1315" s="5">
        <v>47.260269999999998</v>
      </c>
      <c r="AC1315" s="5" t="str">
        <f t="shared" si="64"/>
        <v>Bonos</v>
      </c>
      <c r="AD1315" s="5" t="s">
        <v>43</v>
      </c>
      <c r="AE1315" s="5">
        <f t="shared" si="65"/>
        <v>9</v>
      </c>
      <c r="AF1315" s="5">
        <f t="shared" si="66"/>
        <v>2020</v>
      </c>
    </row>
    <row r="1316" s="5" customFormat="1" ht="13">
      <c r="A1316" s="5" t="s">
        <v>44</v>
      </c>
      <c r="B1316" s="5" t="s">
        <v>44</v>
      </c>
      <c r="C1316" s="5" t="s">
        <v>143</v>
      </c>
      <c r="D1316" s="5" t="s">
        <v>21</v>
      </c>
      <c r="E1316" s="5" t="s">
        <v>44</v>
      </c>
      <c r="F1316" s="5" t="s">
        <v>144</v>
      </c>
      <c r="G1316" s="5" t="s">
        <v>145</v>
      </c>
      <c r="H1316" s="9" t="s">
        <v>146</v>
      </c>
      <c r="I1316" s="10"/>
      <c r="J1316" s="10">
        <v>44104</v>
      </c>
      <c r="K1316" s="5" t="s">
        <v>49</v>
      </c>
      <c r="L1316" s="5" t="s">
        <v>106</v>
      </c>
      <c r="M1316" s="11">
        <v>0.060999999999999999</v>
      </c>
      <c r="N1316" s="5" t="e">
        <f>IF(AND(M1316&gt;#REF!,Cartera!O1316="Guaraníes"),"Rendimiento significativo",IF(AND(M1316&gt;#REF!,Cartera!O1316="Dólares americanos"),"Rendimiento significativo","Rendimiento no significativo"))</f>
        <v>#REF!</v>
      </c>
      <c r="O1316" s="5" t="s">
        <v>51</v>
      </c>
      <c r="P1316" s="13">
        <v>200.54795999999999</v>
      </c>
      <c r="Q1316" s="12" t="e">
        <f>IF(O1316="Guaraníes",P1316,P1316*#REF!)</f>
        <v>#REF!</v>
      </c>
      <c r="R1316" s="12">
        <f>IF(O1316="Guaraníes",P1316/#REF!,P1316)</f>
        <v>200.54795999999999</v>
      </c>
      <c r="S1316" s="5" t="s">
        <v>52</v>
      </c>
      <c r="T1316" s="5">
        <v>1057</v>
      </c>
      <c r="W1316" s="5" t="s">
        <v>65</v>
      </c>
      <c r="X1316" s="5">
        <v>0</v>
      </c>
      <c r="Y1316" s="5">
        <v>0</v>
      </c>
      <c r="Z1316" s="5">
        <v>5.0136989999999999</v>
      </c>
      <c r="AA1316" s="5">
        <v>40</v>
      </c>
      <c r="AB1316" s="5">
        <v>200.54795999999999</v>
      </c>
      <c r="AC1316" s="5" t="str">
        <f t="shared" si="64"/>
        <v>Bonos</v>
      </c>
      <c r="AD1316" s="5" t="s">
        <v>43</v>
      </c>
      <c r="AE1316" s="5">
        <f t="shared" si="65"/>
        <v>9</v>
      </c>
      <c r="AF1316" s="5">
        <f t="shared" si="66"/>
        <v>2020</v>
      </c>
    </row>
    <row r="1317" s="5" customFormat="1" ht="13">
      <c r="A1317" s="5" t="s">
        <v>44</v>
      </c>
      <c r="B1317" s="5" t="s">
        <v>44</v>
      </c>
      <c r="C1317" s="5" t="s">
        <v>164</v>
      </c>
      <c r="D1317" s="5" t="s">
        <v>21</v>
      </c>
      <c r="E1317" s="5" t="s">
        <v>44</v>
      </c>
      <c r="F1317" s="5" t="s">
        <v>68</v>
      </c>
      <c r="G1317" s="5" t="s">
        <v>145</v>
      </c>
      <c r="H1317" s="9" t="s">
        <v>165</v>
      </c>
      <c r="I1317" s="10"/>
      <c r="J1317" s="10">
        <v>44104</v>
      </c>
      <c r="K1317" s="5" t="s">
        <v>124</v>
      </c>
      <c r="L1317" s="5" t="s">
        <v>58</v>
      </c>
      <c r="M1317" s="11">
        <v>0.10000000000000001</v>
      </c>
      <c r="N1317" s="5" t="e">
        <f>IF(AND(M1317&gt;#REF!,Cartera!O1317="Guaraníes"),"Rendimiento significativo",IF(AND(M1317&gt;#REF!,Cartera!O1317="Dólares americanos"),"Rendimiento significativo","Rendimiento no significativo"))</f>
        <v>#REF!</v>
      </c>
      <c r="O1317" s="5" t="s">
        <v>41</v>
      </c>
      <c r="P1317" s="12">
        <v>3287671.2328000003</v>
      </c>
      <c r="Q1317" s="12">
        <f>IF(O1317="Guaraníes",P1317,P1317*#REF!)</f>
        <v>3287671.2328000003</v>
      </c>
      <c r="R1317" s="12" t="e">
        <f>IF(O1317="Guaraníes",P1317/#REF!,P1317)</f>
        <v>#REF!</v>
      </c>
      <c r="S1317" s="5" t="s">
        <v>52</v>
      </c>
      <c r="T1317" s="5">
        <v>1057</v>
      </c>
      <c r="W1317" s="5" t="s">
        <v>65</v>
      </c>
      <c r="X1317" s="5">
        <v>0</v>
      </c>
      <c r="Y1317" s="5">
        <v>0</v>
      </c>
      <c r="Z1317" s="5">
        <v>8219.1780820000004</v>
      </c>
      <c r="AA1317" s="5">
        <v>400</v>
      </c>
      <c r="AB1317" s="5">
        <v>3287671.2327999999</v>
      </c>
      <c r="AC1317" s="5" t="str">
        <f t="shared" si="64"/>
        <v>Bonos</v>
      </c>
      <c r="AD1317" s="5" t="s">
        <v>43</v>
      </c>
      <c r="AE1317" s="5">
        <f t="shared" si="65"/>
        <v>9</v>
      </c>
      <c r="AF1317" s="5">
        <f t="shared" si="66"/>
        <v>2020</v>
      </c>
    </row>
    <row r="1318" s="5" customFormat="1" ht="13">
      <c r="A1318" s="5" t="s">
        <v>44</v>
      </c>
      <c r="B1318" s="5" t="s">
        <v>44</v>
      </c>
      <c r="C1318" s="5" t="s">
        <v>33</v>
      </c>
      <c r="D1318" s="5" t="s">
        <v>21</v>
      </c>
      <c r="E1318" s="5" t="s">
        <v>44</v>
      </c>
      <c r="F1318" s="5" t="s">
        <v>35</v>
      </c>
      <c r="G1318" s="5" t="s">
        <v>145</v>
      </c>
      <c r="H1318" s="9" t="s">
        <v>358</v>
      </c>
      <c r="I1318" s="10"/>
      <c r="J1318" s="10">
        <v>44127</v>
      </c>
      <c r="K1318" s="5" t="s">
        <v>39</v>
      </c>
      <c r="L1318" s="5" t="s">
        <v>50</v>
      </c>
      <c r="M1318" s="11">
        <v>0.0625</v>
      </c>
      <c r="N1318" s="5" t="e">
        <f>IF(AND(M1318&gt;#REF!,Cartera!O1318="Guaraníes"),"Rendimiento significativo",IF(AND(M1318&gt;#REF!,Cartera!O1318="Dólares americanos"),"Rendimiento significativo","Rendimiento no significativo"))</f>
        <v>#REF!</v>
      </c>
      <c r="O1318" s="5" t="s">
        <v>51</v>
      </c>
      <c r="P1318" s="13">
        <v>698.08220000000006</v>
      </c>
      <c r="Q1318" s="12" t="e">
        <f>IF(O1318="Guaraníes",P1318,P1318*#REF!)</f>
        <v>#REF!</v>
      </c>
      <c r="R1318" s="12">
        <f>IF(O1318="Guaraníes",P1318/#REF!,P1318)</f>
        <v>698.08220000000006</v>
      </c>
      <c r="S1318" s="5" t="s">
        <v>52</v>
      </c>
      <c r="T1318" s="5">
        <v>1057</v>
      </c>
      <c r="W1318" s="5" t="s">
        <v>65</v>
      </c>
      <c r="X1318" s="5">
        <v>0</v>
      </c>
      <c r="Y1318" s="5">
        <v>0</v>
      </c>
      <c r="Z1318" s="5">
        <v>34.904110000000003</v>
      </c>
      <c r="AA1318" s="5">
        <v>20</v>
      </c>
      <c r="AB1318" s="5">
        <v>698.08219999999994</v>
      </c>
      <c r="AC1318" s="5" t="str">
        <f t="shared" si="64"/>
        <v>Bonos</v>
      </c>
      <c r="AD1318" s="5" t="s">
        <v>43</v>
      </c>
      <c r="AE1318" s="5">
        <f t="shared" si="65"/>
        <v>10</v>
      </c>
      <c r="AF1318" s="5">
        <f t="shared" si="66"/>
        <v>2020</v>
      </c>
    </row>
    <row r="1319" s="5" customFormat="1" ht="13">
      <c r="A1319" s="5" t="s">
        <v>44</v>
      </c>
      <c r="B1319" s="5" t="s">
        <v>44</v>
      </c>
      <c r="C1319" s="5" t="s">
        <v>143</v>
      </c>
      <c r="D1319" s="5" t="s">
        <v>21</v>
      </c>
      <c r="E1319" s="5" t="s">
        <v>44</v>
      </c>
      <c r="F1319" s="5" t="s">
        <v>144</v>
      </c>
      <c r="G1319" s="5" t="s">
        <v>145</v>
      </c>
      <c r="H1319" s="9" t="s">
        <v>272</v>
      </c>
      <c r="I1319" s="10">
        <v>43532</v>
      </c>
      <c r="J1319" s="10">
        <v>44134</v>
      </c>
      <c r="K1319" s="5" t="s">
        <v>49</v>
      </c>
      <c r="L1319" s="5" t="s">
        <v>106</v>
      </c>
      <c r="M1319" s="11">
        <v>0.057500000000000002</v>
      </c>
      <c r="N1319" s="5" t="e">
        <f>IF(AND(M1319&gt;#REF!,Cartera!O1319="Guaraníes"),"Rendimiento significativo",IF(AND(M1319&gt;#REF!,Cartera!O1319="Dólares americanos"),"Rendimiento significativo","Rendimiento no significativo"))</f>
        <v>#REF!</v>
      </c>
      <c r="O1319" s="5" t="s">
        <v>51</v>
      </c>
      <c r="P1319" s="13">
        <v>47.260270000000006</v>
      </c>
      <c r="Q1319" s="12" t="e">
        <f>IF(O1319="Guaraníes",P1319,P1319*#REF!)</f>
        <v>#REF!</v>
      </c>
      <c r="R1319" s="12">
        <f>IF(O1319="Guaraníes",P1319/#REF!,P1319)</f>
        <v>47.260270000000006</v>
      </c>
      <c r="S1319" s="5" t="s">
        <v>52</v>
      </c>
      <c r="T1319" s="5">
        <v>1057</v>
      </c>
      <c r="W1319" s="5" t="s">
        <v>65</v>
      </c>
      <c r="X1319" s="5">
        <v>0</v>
      </c>
      <c r="Y1319" s="5">
        <v>0</v>
      </c>
      <c r="Z1319" s="5">
        <v>4.7260270000000002</v>
      </c>
      <c r="AA1319" s="5">
        <v>10</v>
      </c>
      <c r="AB1319" s="5">
        <v>47.260269999999998</v>
      </c>
      <c r="AC1319" s="5" t="str">
        <f t="shared" si="64"/>
        <v>Bonos</v>
      </c>
      <c r="AD1319" s="5" t="s">
        <v>43</v>
      </c>
      <c r="AE1319" s="5">
        <f t="shared" si="65"/>
        <v>10</v>
      </c>
      <c r="AF1319" s="5">
        <f t="shared" si="66"/>
        <v>2020</v>
      </c>
    </row>
    <row r="1320" s="5" customFormat="1" ht="13">
      <c r="A1320" s="5" t="s">
        <v>44</v>
      </c>
      <c r="B1320" s="5" t="s">
        <v>44</v>
      </c>
      <c r="C1320" s="5" t="s">
        <v>143</v>
      </c>
      <c r="D1320" s="5" t="s">
        <v>21</v>
      </c>
      <c r="E1320" s="5" t="s">
        <v>44</v>
      </c>
      <c r="F1320" s="5" t="s">
        <v>144</v>
      </c>
      <c r="G1320" s="5" t="s">
        <v>145</v>
      </c>
      <c r="H1320" s="9" t="s">
        <v>146</v>
      </c>
      <c r="I1320" s="10"/>
      <c r="J1320" s="10">
        <v>44134</v>
      </c>
      <c r="K1320" s="5" t="s">
        <v>49</v>
      </c>
      <c r="L1320" s="5" t="s">
        <v>106</v>
      </c>
      <c r="M1320" s="11">
        <v>0.060999999999999999</v>
      </c>
      <c r="N1320" s="5" t="e">
        <f>IF(AND(M1320&gt;#REF!,Cartera!O1320="Guaraníes"),"Rendimiento significativo",IF(AND(M1320&gt;#REF!,Cartera!O1320="Dólares americanos"),"Rendimiento significativo","Rendimiento no significativo"))</f>
        <v>#REF!</v>
      </c>
      <c r="O1320" s="5" t="s">
        <v>51</v>
      </c>
      <c r="P1320" s="13">
        <v>200.54795999999999</v>
      </c>
      <c r="Q1320" s="12" t="e">
        <f>IF(O1320="Guaraníes",P1320,P1320*#REF!)</f>
        <v>#REF!</v>
      </c>
      <c r="R1320" s="12">
        <f>IF(O1320="Guaraníes",P1320/#REF!,P1320)</f>
        <v>200.54795999999999</v>
      </c>
      <c r="S1320" s="5" t="s">
        <v>52</v>
      </c>
      <c r="T1320" s="5">
        <v>1057</v>
      </c>
      <c r="W1320" s="5" t="s">
        <v>65</v>
      </c>
      <c r="X1320" s="5">
        <v>0</v>
      </c>
      <c r="Y1320" s="5">
        <v>0</v>
      </c>
      <c r="Z1320" s="5">
        <v>5.0136989999999999</v>
      </c>
      <c r="AA1320" s="5">
        <v>40</v>
      </c>
      <c r="AB1320" s="5">
        <v>200.54795999999999</v>
      </c>
      <c r="AC1320" s="5" t="str">
        <f t="shared" si="64"/>
        <v>Bonos</v>
      </c>
      <c r="AD1320" s="5" t="s">
        <v>43</v>
      </c>
      <c r="AE1320" s="5">
        <f t="shared" si="65"/>
        <v>10</v>
      </c>
      <c r="AF1320" s="5">
        <f t="shared" si="66"/>
        <v>2020</v>
      </c>
    </row>
    <row r="1321" s="5" customFormat="1" ht="13">
      <c r="A1321" s="5" t="s">
        <v>44</v>
      </c>
      <c r="B1321" s="5" t="s">
        <v>44</v>
      </c>
      <c r="C1321" s="5" t="s">
        <v>164</v>
      </c>
      <c r="D1321" s="5" t="s">
        <v>21</v>
      </c>
      <c r="E1321" s="5" t="s">
        <v>44</v>
      </c>
      <c r="F1321" s="5" t="s">
        <v>68</v>
      </c>
      <c r="G1321" s="5" t="s">
        <v>145</v>
      </c>
      <c r="H1321" s="9" t="s">
        <v>165</v>
      </c>
      <c r="I1321" s="10"/>
      <c r="J1321" s="10">
        <v>44134</v>
      </c>
      <c r="K1321" s="5" t="s">
        <v>124</v>
      </c>
      <c r="L1321" s="5" t="s">
        <v>58</v>
      </c>
      <c r="M1321" s="11">
        <v>0.10000000000000001</v>
      </c>
      <c r="N1321" s="5" t="e">
        <f>IF(AND(M1321&gt;#REF!,Cartera!O1321="Guaraníes"),"Rendimiento significativo",IF(AND(M1321&gt;#REF!,Cartera!O1321="Dólares americanos"),"Rendimiento significativo","Rendimiento no significativo"))</f>
        <v>#REF!</v>
      </c>
      <c r="O1321" s="5" t="s">
        <v>41</v>
      </c>
      <c r="P1321" s="12">
        <v>3287671.2328000003</v>
      </c>
      <c r="Q1321" s="12">
        <f>IF(O1321="Guaraníes",P1321,P1321*#REF!)</f>
        <v>3287671.2328000003</v>
      </c>
      <c r="R1321" s="12" t="e">
        <f>IF(O1321="Guaraníes",P1321/#REF!,P1321)</f>
        <v>#REF!</v>
      </c>
      <c r="S1321" s="5" t="s">
        <v>52</v>
      </c>
      <c r="T1321" s="5">
        <v>1057</v>
      </c>
      <c r="W1321" s="5" t="s">
        <v>65</v>
      </c>
      <c r="X1321" s="5">
        <v>0</v>
      </c>
      <c r="Y1321" s="5">
        <v>0</v>
      </c>
      <c r="Z1321" s="5">
        <v>8219.1780820000004</v>
      </c>
      <c r="AA1321" s="5">
        <v>400</v>
      </c>
      <c r="AB1321" s="5">
        <v>3287671.2327999999</v>
      </c>
      <c r="AC1321" s="5" t="str">
        <f t="shared" si="64"/>
        <v>Bonos</v>
      </c>
      <c r="AD1321" s="5" t="s">
        <v>43</v>
      </c>
      <c r="AE1321" s="5">
        <f t="shared" si="65"/>
        <v>10</v>
      </c>
      <c r="AF1321" s="5">
        <f t="shared" si="66"/>
        <v>2020</v>
      </c>
    </row>
    <row r="1322" s="5" customFormat="1" ht="13">
      <c r="A1322" s="5" t="s">
        <v>44</v>
      </c>
      <c r="B1322" s="5" t="s">
        <v>44</v>
      </c>
      <c r="C1322" s="5" t="s">
        <v>45</v>
      </c>
      <c r="D1322" s="5" t="s">
        <v>21</v>
      </c>
      <c r="E1322" s="5" t="s">
        <v>44</v>
      </c>
      <c r="F1322" s="5" t="s">
        <v>46</v>
      </c>
      <c r="G1322" s="5" t="s">
        <v>145</v>
      </c>
      <c r="H1322" s="9" t="s">
        <v>359</v>
      </c>
      <c r="I1322" s="10"/>
      <c r="J1322" s="10">
        <v>44154</v>
      </c>
      <c r="K1322" s="5" t="s">
        <v>49</v>
      </c>
      <c r="L1322" s="5" t="s">
        <v>50</v>
      </c>
      <c r="M1322" s="11">
        <v>0.070000000000000007</v>
      </c>
      <c r="N1322" s="5" t="e">
        <f>IF(AND(M1322&gt;#REF!,Cartera!O1322="Guaraníes"),"Rendimiento significativo",IF(AND(M1322&gt;#REF!,Cartera!O1322="Dólares americanos"),"Rendimiento significativo","Rendimiento no significativo"))</f>
        <v>#REF!</v>
      </c>
      <c r="O1322" s="5" t="s">
        <v>51</v>
      </c>
      <c r="P1322" s="13">
        <v>149.58904000000001</v>
      </c>
      <c r="Q1322" s="12" t="e">
        <f>IF(O1322="Guaraníes",P1322,P1322*#REF!)</f>
        <v>#REF!</v>
      </c>
      <c r="R1322" s="12">
        <f>IF(O1322="Guaraníes",P1322/#REF!,P1322)</f>
        <v>149.58904000000001</v>
      </c>
      <c r="S1322" s="5" t="s">
        <v>52</v>
      </c>
      <c r="T1322" s="5">
        <v>1057</v>
      </c>
      <c r="W1322" s="5" t="s">
        <v>65</v>
      </c>
      <c r="X1322" s="5">
        <v>0</v>
      </c>
      <c r="Y1322" s="5">
        <v>0</v>
      </c>
      <c r="Z1322" s="5">
        <v>14.958904</v>
      </c>
      <c r="AA1322" s="5">
        <v>10</v>
      </c>
      <c r="AB1322" s="5">
        <v>149.58904000000001</v>
      </c>
      <c r="AC1322" s="5" t="str">
        <f t="shared" si="64"/>
        <v>Bonos</v>
      </c>
      <c r="AD1322" s="5" t="s">
        <v>43</v>
      </c>
      <c r="AE1322" s="5">
        <f t="shared" si="65"/>
        <v>11</v>
      </c>
      <c r="AF1322" s="5">
        <f t="shared" si="66"/>
        <v>2020</v>
      </c>
    </row>
    <row r="1323" s="5" customFormat="1" ht="13">
      <c r="A1323" s="5" t="s">
        <v>44</v>
      </c>
      <c r="B1323" s="5" t="s">
        <v>44</v>
      </c>
      <c r="C1323" s="5" t="s">
        <v>143</v>
      </c>
      <c r="D1323" s="5" t="s">
        <v>21</v>
      </c>
      <c r="E1323" s="5" t="s">
        <v>44</v>
      </c>
      <c r="F1323" s="5" t="s">
        <v>144</v>
      </c>
      <c r="G1323" s="5" t="s">
        <v>145</v>
      </c>
      <c r="H1323" s="9" t="s">
        <v>272</v>
      </c>
      <c r="I1323" s="10">
        <v>43532</v>
      </c>
      <c r="J1323" s="10">
        <v>44165</v>
      </c>
      <c r="K1323" s="5" t="s">
        <v>49</v>
      </c>
      <c r="L1323" s="5" t="s">
        <v>106</v>
      </c>
      <c r="M1323" s="11">
        <v>0.057500000000000002</v>
      </c>
      <c r="N1323" s="5" t="e">
        <f>IF(AND(M1323&gt;#REF!,Cartera!O1323="Guaraníes"),"Rendimiento significativo",IF(AND(M1323&gt;#REF!,Cartera!O1323="Dólares americanos"),"Rendimiento significativo","Rendimiento no significativo"))</f>
        <v>#REF!</v>
      </c>
      <c r="O1323" s="5" t="s">
        <v>51</v>
      </c>
      <c r="P1323" s="13">
        <v>48.835620000000006</v>
      </c>
      <c r="Q1323" s="12" t="e">
        <f>IF(O1323="Guaraníes",P1323,P1323*#REF!)</f>
        <v>#REF!</v>
      </c>
      <c r="R1323" s="12">
        <f>IF(O1323="Guaraníes",P1323/#REF!,P1323)</f>
        <v>48.835620000000006</v>
      </c>
      <c r="S1323" s="5" t="s">
        <v>52</v>
      </c>
      <c r="T1323" s="5">
        <v>1057</v>
      </c>
      <c r="W1323" s="5" t="s">
        <v>65</v>
      </c>
      <c r="X1323" s="5">
        <v>0</v>
      </c>
      <c r="Y1323" s="5">
        <v>0</v>
      </c>
      <c r="Z1323" s="5">
        <v>4.8835620000000004</v>
      </c>
      <c r="AA1323" s="5">
        <v>10</v>
      </c>
      <c r="AB1323" s="5">
        <v>48.835619999999999</v>
      </c>
      <c r="AC1323" s="5" t="str">
        <f t="shared" si="64"/>
        <v>Bonos</v>
      </c>
      <c r="AD1323" s="5" t="s">
        <v>43</v>
      </c>
      <c r="AE1323" s="5">
        <f t="shared" si="65"/>
        <v>11</v>
      </c>
      <c r="AF1323" s="5">
        <f t="shared" si="66"/>
        <v>2020</v>
      </c>
    </row>
    <row r="1324" s="5" customFormat="1" ht="13">
      <c r="A1324" s="5" t="s">
        <v>44</v>
      </c>
      <c r="B1324" s="5" t="s">
        <v>44</v>
      </c>
      <c r="C1324" s="5" t="s">
        <v>143</v>
      </c>
      <c r="D1324" s="5" t="s">
        <v>21</v>
      </c>
      <c r="E1324" s="5" t="s">
        <v>44</v>
      </c>
      <c r="F1324" s="5" t="s">
        <v>144</v>
      </c>
      <c r="G1324" s="5" t="s">
        <v>145</v>
      </c>
      <c r="H1324" s="9" t="s">
        <v>146</v>
      </c>
      <c r="I1324" s="10"/>
      <c r="J1324" s="10">
        <v>44165</v>
      </c>
      <c r="K1324" s="5" t="s">
        <v>49</v>
      </c>
      <c r="L1324" s="5" t="s">
        <v>106</v>
      </c>
      <c r="M1324" s="11">
        <v>0.060999999999999999</v>
      </c>
      <c r="N1324" s="5" t="e">
        <f>IF(AND(M1324&gt;#REF!,Cartera!O1324="Guaraníes"),"Rendimiento significativo",IF(AND(M1324&gt;#REF!,Cartera!O1324="Dólares americanos"),"Rendimiento significativo","Rendimiento no significativo"))</f>
        <v>#REF!</v>
      </c>
      <c r="O1324" s="5" t="s">
        <v>51</v>
      </c>
      <c r="P1324" s="13">
        <v>207.23287999999999</v>
      </c>
      <c r="Q1324" s="12" t="e">
        <f>IF(O1324="Guaraníes",P1324,P1324*#REF!)</f>
        <v>#REF!</v>
      </c>
      <c r="R1324" s="12">
        <f>IF(O1324="Guaraníes",P1324/#REF!,P1324)</f>
        <v>207.23287999999999</v>
      </c>
      <c r="S1324" s="5" t="s">
        <v>52</v>
      </c>
      <c r="T1324" s="5">
        <v>1057</v>
      </c>
      <c r="W1324" s="5" t="s">
        <v>65</v>
      </c>
      <c r="X1324" s="5">
        <v>0</v>
      </c>
      <c r="Y1324" s="5">
        <v>0</v>
      </c>
      <c r="Z1324" s="5">
        <v>5.180822</v>
      </c>
      <c r="AA1324" s="5">
        <v>40</v>
      </c>
      <c r="AB1324" s="5">
        <v>207.23287999999999</v>
      </c>
      <c r="AC1324" s="5" t="str">
        <f t="shared" si="64"/>
        <v>Bonos</v>
      </c>
      <c r="AD1324" s="5" t="s">
        <v>43</v>
      </c>
      <c r="AE1324" s="5">
        <f t="shared" si="65"/>
        <v>11</v>
      </c>
      <c r="AF1324" s="5">
        <f t="shared" si="66"/>
        <v>2020</v>
      </c>
    </row>
    <row r="1325" s="5" customFormat="1" ht="13">
      <c r="A1325" s="5" t="s">
        <v>44</v>
      </c>
      <c r="B1325" s="5" t="s">
        <v>44</v>
      </c>
      <c r="C1325" s="5" t="s">
        <v>164</v>
      </c>
      <c r="D1325" s="5" t="s">
        <v>21</v>
      </c>
      <c r="E1325" s="5" t="s">
        <v>44</v>
      </c>
      <c r="F1325" s="5" t="s">
        <v>68</v>
      </c>
      <c r="G1325" s="5" t="s">
        <v>145</v>
      </c>
      <c r="H1325" s="9" t="s">
        <v>165</v>
      </c>
      <c r="I1325" s="10"/>
      <c r="J1325" s="10">
        <v>44165</v>
      </c>
      <c r="K1325" s="5" t="s">
        <v>124</v>
      </c>
      <c r="L1325" s="5" t="s">
        <v>58</v>
      </c>
      <c r="M1325" s="11">
        <v>0.10000000000000001</v>
      </c>
      <c r="N1325" s="5" t="e">
        <f>IF(AND(M1325&gt;#REF!,Cartera!O1325="Guaraníes"),"Rendimiento significativo",IF(AND(M1325&gt;#REF!,Cartera!O1325="Dólares americanos"),"Rendimiento significativo","Rendimiento no significativo"))</f>
        <v>#REF!</v>
      </c>
      <c r="O1325" s="5" t="s">
        <v>41</v>
      </c>
      <c r="P1325" s="12">
        <v>3397260.2740000002</v>
      </c>
      <c r="Q1325" s="12">
        <f>IF(O1325="Guaraníes",P1325,P1325*#REF!)</f>
        <v>3397260.2740000002</v>
      </c>
      <c r="R1325" s="12" t="e">
        <f>IF(O1325="Guaraníes",P1325/#REF!,P1325)</f>
        <v>#REF!</v>
      </c>
      <c r="S1325" s="5" t="s">
        <v>52</v>
      </c>
      <c r="T1325" s="5">
        <v>1057</v>
      </c>
      <c r="W1325" s="5" t="s">
        <v>65</v>
      </c>
      <c r="X1325" s="5">
        <v>0</v>
      </c>
      <c r="Y1325" s="5">
        <v>0</v>
      </c>
      <c r="Z1325" s="5">
        <v>8493.1506850000005</v>
      </c>
      <c r="AA1325" s="5">
        <v>400</v>
      </c>
      <c r="AB1325" s="5">
        <v>3397260.2740000002</v>
      </c>
      <c r="AC1325" s="5" t="str">
        <f t="shared" si="64"/>
        <v>Bonos</v>
      </c>
      <c r="AD1325" s="5" t="s">
        <v>43</v>
      </c>
      <c r="AE1325" s="5">
        <f t="shared" si="65"/>
        <v>11</v>
      </c>
      <c r="AF1325" s="5">
        <f t="shared" si="66"/>
        <v>2020</v>
      </c>
    </row>
    <row r="1326" s="5" customFormat="1" ht="13">
      <c r="A1326" s="5" t="s">
        <v>44</v>
      </c>
      <c r="B1326" s="5" t="s">
        <v>44</v>
      </c>
      <c r="C1326" s="5" t="s">
        <v>304</v>
      </c>
      <c r="D1326" s="5" t="s">
        <v>21</v>
      </c>
      <c r="E1326" s="5" t="s">
        <v>44</v>
      </c>
      <c r="F1326" s="5" t="s">
        <v>68</v>
      </c>
      <c r="G1326" s="5" t="s">
        <v>145</v>
      </c>
      <c r="H1326" s="9" t="s">
        <v>363</v>
      </c>
      <c r="I1326" s="10"/>
      <c r="J1326" s="10">
        <v>44174</v>
      </c>
      <c r="K1326" s="5" t="s">
        <v>39</v>
      </c>
      <c r="L1326" s="5" t="s">
        <v>58</v>
      </c>
      <c r="M1326" s="11">
        <v>0.089999999999999997</v>
      </c>
      <c r="N1326" s="5" t="e">
        <f>IF(AND(M1326&gt;#REF!,Cartera!O1326="Guaraníes"),"Rendimiento significativo",IF(AND(M1326&gt;#REF!,Cartera!O1326="Dólares americanos"),"Rendimiento significativo","Rendimiento no significativo"))</f>
        <v>#REF!</v>
      </c>
      <c r="O1326" s="5" t="s">
        <v>41</v>
      </c>
      <c r="P1326" s="12">
        <v>9073972.6028000005</v>
      </c>
      <c r="Q1326" s="12">
        <f>IF(O1326="Guaraníes",P1326,P1326*#REF!)</f>
        <v>9073972.6028000005</v>
      </c>
      <c r="R1326" s="12" t="e">
        <f>IF(O1326="Guaraníes",P1326/#REF!,P1326)</f>
        <v>#REF!</v>
      </c>
      <c r="S1326" s="5" t="s">
        <v>52</v>
      </c>
      <c r="T1326" s="5">
        <v>1057</v>
      </c>
      <c r="W1326" s="5" t="s">
        <v>65</v>
      </c>
      <c r="X1326" s="5">
        <v>0</v>
      </c>
      <c r="Y1326" s="5">
        <v>0</v>
      </c>
      <c r="Z1326" s="5">
        <v>22684.931507000001</v>
      </c>
      <c r="AA1326" s="5">
        <v>400</v>
      </c>
      <c r="AB1326" s="5">
        <v>9073972.6028000005</v>
      </c>
      <c r="AC1326" s="5" t="str">
        <f t="shared" si="64"/>
        <v>Bonos</v>
      </c>
      <c r="AD1326" s="5" t="s">
        <v>43</v>
      </c>
      <c r="AE1326" s="5">
        <f t="shared" si="65"/>
        <v>12</v>
      </c>
      <c r="AF1326" s="5">
        <f t="shared" si="66"/>
        <v>2020</v>
      </c>
    </row>
    <row r="1327" s="5" customFormat="1" ht="13">
      <c r="A1327" s="5" t="s">
        <v>44</v>
      </c>
      <c r="B1327" s="5" t="s">
        <v>44</v>
      </c>
      <c r="C1327" s="5" t="s">
        <v>304</v>
      </c>
      <c r="D1327" s="5" t="s">
        <v>21</v>
      </c>
      <c r="E1327" s="5" t="s">
        <v>44</v>
      </c>
      <c r="F1327" s="5" t="s">
        <v>68</v>
      </c>
      <c r="G1327" s="5" t="s">
        <v>145</v>
      </c>
      <c r="H1327" s="9" t="s">
        <v>305</v>
      </c>
      <c r="I1327" s="10"/>
      <c r="J1327" s="10">
        <v>44188</v>
      </c>
      <c r="K1327" s="5" t="s">
        <v>39</v>
      </c>
      <c r="L1327" s="5" t="s">
        <v>58</v>
      </c>
      <c r="M1327" s="11">
        <v>0.089999999999999997</v>
      </c>
      <c r="N1327" s="5" t="e">
        <f>IF(AND(M1327&gt;#REF!,Cartera!O1327="Guaraníes"),"Rendimiento significativo",IF(AND(M1327&gt;#REF!,Cartera!O1327="Dólares americanos"),"Rendimiento significativo","Rendimiento no significativo"))</f>
        <v>#REF!</v>
      </c>
      <c r="O1327" s="5" t="s">
        <v>41</v>
      </c>
      <c r="P1327" s="12">
        <v>665753.42466000002</v>
      </c>
      <c r="Q1327" s="12">
        <f>IF(O1327="Guaraníes",P1327,P1327*#REF!)</f>
        <v>665753.42466000002</v>
      </c>
      <c r="R1327" s="12" t="e">
        <f>IF(O1327="Guaraníes",P1327/#REF!,P1327)</f>
        <v>#REF!</v>
      </c>
      <c r="S1327" s="5" t="s">
        <v>52</v>
      </c>
      <c r="T1327" s="5">
        <v>1057</v>
      </c>
      <c r="W1327" s="5" t="s">
        <v>65</v>
      </c>
      <c r="X1327" s="5">
        <v>0</v>
      </c>
      <c r="Y1327" s="5">
        <v>0</v>
      </c>
      <c r="Z1327" s="5">
        <v>22191.780822000001</v>
      </c>
      <c r="AA1327" s="5">
        <v>30</v>
      </c>
      <c r="AB1327" s="5">
        <v>665753.42466000002</v>
      </c>
      <c r="AC1327" s="5" t="str">
        <f t="shared" si="64"/>
        <v>Bonos</v>
      </c>
      <c r="AD1327" s="5" t="s">
        <v>43</v>
      </c>
      <c r="AE1327" s="5">
        <f t="shared" si="65"/>
        <v>12</v>
      </c>
      <c r="AF1327" s="5">
        <f t="shared" si="66"/>
        <v>2020</v>
      </c>
    </row>
    <row r="1328" s="5" customFormat="1" ht="13">
      <c r="A1328" s="5" t="s">
        <v>44</v>
      </c>
      <c r="B1328" s="5" t="s">
        <v>44</v>
      </c>
      <c r="C1328" s="5" t="s">
        <v>356</v>
      </c>
      <c r="D1328" s="5" t="s">
        <v>21</v>
      </c>
      <c r="E1328" s="5" t="s">
        <v>44</v>
      </c>
      <c r="F1328" s="5" t="s">
        <v>90</v>
      </c>
      <c r="G1328" s="5" t="s">
        <v>145</v>
      </c>
      <c r="H1328" s="9" t="s">
        <v>357</v>
      </c>
      <c r="I1328" s="10"/>
      <c r="J1328" s="10">
        <v>44193</v>
      </c>
      <c r="K1328" s="5" t="s">
        <v>77</v>
      </c>
      <c r="L1328" s="5" t="s">
        <v>58</v>
      </c>
      <c r="M1328" s="11">
        <v>0.12</v>
      </c>
      <c r="N1328" s="5" t="e">
        <f>IF(AND(M1328&gt;#REF!,Cartera!O1328="Guaraníes"),"Rendimiento significativo",IF(AND(M1328&gt;#REF!,Cartera!O1328="Dólares americanos"),"Rendimiento significativo","Rendimiento no significativo"))</f>
        <v>#REF!</v>
      </c>
      <c r="O1328" s="5" t="s">
        <v>41</v>
      </c>
      <c r="P1328" s="12">
        <v>2991780.8218999999</v>
      </c>
      <c r="Q1328" s="12">
        <f>IF(O1328="Guaraníes",P1328,P1328*#REF!)</f>
        <v>2991780.8218999999</v>
      </c>
      <c r="R1328" s="12" t="e">
        <f>IF(O1328="Guaraníes",P1328/#REF!,P1328)</f>
        <v>#REF!</v>
      </c>
      <c r="S1328" s="5" t="s">
        <v>52</v>
      </c>
      <c r="T1328" s="5">
        <v>1057</v>
      </c>
      <c r="W1328" s="5" t="s">
        <v>65</v>
      </c>
      <c r="X1328" s="5">
        <v>0</v>
      </c>
      <c r="Y1328" s="5">
        <v>0</v>
      </c>
      <c r="Z1328" s="5">
        <v>29917.808218999999</v>
      </c>
      <c r="AA1328" s="5">
        <v>100</v>
      </c>
      <c r="AB1328" s="5">
        <v>2991780.8218999999</v>
      </c>
      <c r="AC1328" s="5" t="str">
        <f t="shared" si="64"/>
        <v>Bonos</v>
      </c>
      <c r="AD1328" s="5" t="s">
        <v>43</v>
      </c>
      <c r="AE1328" s="5">
        <f t="shared" si="65"/>
        <v>12</v>
      </c>
      <c r="AF1328" s="5">
        <f t="shared" si="66"/>
        <v>2020</v>
      </c>
    </row>
    <row r="1329" s="5" customFormat="1" ht="13">
      <c r="A1329" s="5" t="s">
        <v>44</v>
      </c>
      <c r="B1329" s="5" t="s">
        <v>44</v>
      </c>
      <c r="C1329" s="5" t="s">
        <v>143</v>
      </c>
      <c r="D1329" s="5" t="s">
        <v>21</v>
      </c>
      <c r="E1329" s="5" t="s">
        <v>44</v>
      </c>
      <c r="F1329" s="5" t="s">
        <v>144</v>
      </c>
      <c r="G1329" s="5" t="s">
        <v>145</v>
      </c>
      <c r="H1329" s="9" t="s">
        <v>272</v>
      </c>
      <c r="I1329" s="10">
        <v>43532</v>
      </c>
      <c r="J1329" s="10">
        <v>44195</v>
      </c>
      <c r="K1329" s="5" t="s">
        <v>49</v>
      </c>
      <c r="L1329" s="5" t="s">
        <v>106</v>
      </c>
      <c r="M1329" s="11">
        <v>0.057500000000000002</v>
      </c>
      <c r="N1329" s="5" t="e">
        <f>IF(AND(M1329&gt;#REF!,Cartera!O1329="Guaraníes"),"Rendimiento significativo",IF(AND(M1329&gt;#REF!,Cartera!O1329="Dólares americanos"),"Rendimiento significativo","Rendimiento no significativo"))</f>
        <v>#REF!</v>
      </c>
      <c r="O1329" s="5" t="s">
        <v>51</v>
      </c>
      <c r="P1329" s="13">
        <v>47.260270000000006</v>
      </c>
      <c r="Q1329" s="12" t="e">
        <f>IF(O1329="Guaraníes",P1329,P1329*#REF!)</f>
        <v>#REF!</v>
      </c>
      <c r="R1329" s="12">
        <f>IF(O1329="Guaraníes",P1329/#REF!,P1329)</f>
        <v>47.260270000000006</v>
      </c>
      <c r="S1329" s="5" t="s">
        <v>52</v>
      </c>
      <c r="T1329" s="5">
        <v>1057</v>
      </c>
      <c r="W1329" s="5" t="s">
        <v>65</v>
      </c>
      <c r="X1329" s="5">
        <v>0</v>
      </c>
      <c r="Y1329" s="5">
        <v>0</v>
      </c>
      <c r="Z1329" s="5">
        <v>4.7260270000000002</v>
      </c>
      <c r="AA1329" s="5">
        <v>10</v>
      </c>
      <c r="AB1329" s="5">
        <v>47.260269999999998</v>
      </c>
      <c r="AC1329" s="5" t="str">
        <f t="shared" si="64"/>
        <v>Bonos</v>
      </c>
      <c r="AD1329" s="5" t="s">
        <v>43</v>
      </c>
      <c r="AE1329" s="5">
        <f t="shared" si="65"/>
        <v>12</v>
      </c>
      <c r="AF1329" s="5">
        <f t="shared" si="66"/>
        <v>2020</v>
      </c>
    </row>
    <row r="1330" s="5" customFormat="1" ht="13">
      <c r="A1330" s="5" t="s">
        <v>44</v>
      </c>
      <c r="B1330" s="5" t="s">
        <v>44</v>
      </c>
      <c r="C1330" s="5" t="s">
        <v>143</v>
      </c>
      <c r="D1330" s="5" t="s">
        <v>21</v>
      </c>
      <c r="E1330" s="5" t="s">
        <v>44</v>
      </c>
      <c r="F1330" s="5" t="s">
        <v>144</v>
      </c>
      <c r="G1330" s="5" t="s">
        <v>145</v>
      </c>
      <c r="H1330" s="9" t="s">
        <v>146</v>
      </c>
      <c r="I1330" s="10"/>
      <c r="J1330" s="10">
        <v>44195</v>
      </c>
      <c r="K1330" s="5" t="s">
        <v>49</v>
      </c>
      <c r="L1330" s="5" t="s">
        <v>106</v>
      </c>
      <c r="M1330" s="11">
        <v>0.060999999999999999</v>
      </c>
      <c r="N1330" s="5" t="e">
        <f>IF(AND(M1330&gt;#REF!,Cartera!O1330="Guaraníes"),"Rendimiento significativo",IF(AND(M1330&gt;#REF!,Cartera!O1330="Dólares americanos"),"Rendimiento significativo","Rendimiento no significativo"))</f>
        <v>#REF!</v>
      </c>
      <c r="O1330" s="5" t="s">
        <v>51</v>
      </c>
      <c r="P1330" s="13">
        <v>200.54795999999999</v>
      </c>
      <c r="Q1330" s="12" t="e">
        <f>IF(O1330="Guaraníes",P1330,P1330*#REF!)</f>
        <v>#REF!</v>
      </c>
      <c r="R1330" s="12">
        <f>IF(O1330="Guaraníes",P1330/#REF!,P1330)</f>
        <v>200.54795999999999</v>
      </c>
      <c r="S1330" s="5" t="s">
        <v>52</v>
      </c>
      <c r="T1330" s="5">
        <v>1057</v>
      </c>
      <c r="W1330" s="5" t="s">
        <v>65</v>
      </c>
      <c r="X1330" s="5">
        <v>0</v>
      </c>
      <c r="Y1330" s="5">
        <v>0</v>
      </c>
      <c r="Z1330" s="5">
        <v>5.0136989999999999</v>
      </c>
      <c r="AA1330" s="5">
        <v>40</v>
      </c>
      <c r="AB1330" s="5">
        <v>200.54795999999999</v>
      </c>
      <c r="AC1330" s="5" t="str">
        <f t="shared" si="64"/>
        <v>Bonos</v>
      </c>
      <c r="AD1330" s="5" t="s">
        <v>43</v>
      </c>
      <c r="AE1330" s="5">
        <f t="shared" si="65"/>
        <v>12</v>
      </c>
      <c r="AF1330" s="5">
        <f t="shared" si="66"/>
        <v>2020</v>
      </c>
    </row>
    <row r="1331" s="5" customFormat="1" ht="13">
      <c r="A1331" s="5" t="s">
        <v>44</v>
      </c>
      <c r="B1331" s="5" t="s">
        <v>44</v>
      </c>
      <c r="C1331" s="5" t="s">
        <v>164</v>
      </c>
      <c r="D1331" s="5" t="s">
        <v>21</v>
      </c>
      <c r="E1331" s="5" t="s">
        <v>44</v>
      </c>
      <c r="F1331" s="5" t="s">
        <v>68</v>
      </c>
      <c r="G1331" s="5" t="s">
        <v>145</v>
      </c>
      <c r="H1331" s="9" t="s">
        <v>165</v>
      </c>
      <c r="I1331" s="10"/>
      <c r="J1331" s="10">
        <v>44195</v>
      </c>
      <c r="K1331" s="5" t="s">
        <v>124</v>
      </c>
      <c r="L1331" s="5" t="s">
        <v>58</v>
      </c>
      <c r="M1331" s="11">
        <v>0.10000000000000001</v>
      </c>
      <c r="N1331" s="5" t="e">
        <f>IF(AND(M1331&gt;#REF!,Cartera!O1331="Guaraníes"),"Rendimiento significativo",IF(AND(M1331&gt;#REF!,Cartera!O1331="Dólares americanos"),"Rendimiento significativo","Rendimiento no significativo"))</f>
        <v>#REF!</v>
      </c>
      <c r="O1331" s="5" t="s">
        <v>41</v>
      </c>
      <c r="P1331" s="12">
        <v>3287671.2328000003</v>
      </c>
      <c r="Q1331" s="12">
        <f>IF(O1331="Guaraníes",P1331,P1331*#REF!)</f>
        <v>3287671.2328000003</v>
      </c>
      <c r="R1331" s="12" t="e">
        <f>IF(O1331="Guaraníes",P1331/#REF!,P1331)</f>
        <v>#REF!</v>
      </c>
      <c r="S1331" s="5" t="s">
        <v>52</v>
      </c>
      <c r="T1331" s="5">
        <v>1057</v>
      </c>
      <c r="W1331" s="5" t="s">
        <v>65</v>
      </c>
      <c r="X1331" s="5">
        <v>0</v>
      </c>
      <c r="Y1331" s="5">
        <v>0</v>
      </c>
      <c r="Z1331" s="5">
        <v>8219.1780820000004</v>
      </c>
      <c r="AA1331" s="5">
        <v>400</v>
      </c>
      <c r="AB1331" s="5">
        <v>3287671.2327999999</v>
      </c>
      <c r="AC1331" s="5" t="str">
        <f t="shared" si="64"/>
        <v>Bonos</v>
      </c>
      <c r="AD1331" s="5" t="s">
        <v>43</v>
      </c>
      <c r="AE1331" s="5">
        <f t="shared" si="65"/>
        <v>12</v>
      </c>
      <c r="AF1331" s="5">
        <f t="shared" si="66"/>
        <v>2020</v>
      </c>
    </row>
    <row r="1332" s="5" customFormat="1" ht="13">
      <c r="A1332" s="5" t="s">
        <v>44</v>
      </c>
      <c r="B1332" s="5" t="s">
        <v>44</v>
      </c>
      <c r="C1332" s="5" t="s">
        <v>143</v>
      </c>
      <c r="D1332" s="5" t="s">
        <v>21</v>
      </c>
      <c r="E1332" s="5" t="s">
        <v>44</v>
      </c>
      <c r="F1332" s="5" t="s">
        <v>144</v>
      </c>
      <c r="G1332" s="5" t="s">
        <v>145</v>
      </c>
      <c r="H1332" s="9" t="s">
        <v>272</v>
      </c>
      <c r="I1332" s="10">
        <v>43532</v>
      </c>
      <c r="J1332" s="10">
        <v>44225</v>
      </c>
      <c r="K1332" s="5" t="s">
        <v>49</v>
      </c>
      <c r="L1332" s="5" t="s">
        <v>106</v>
      </c>
      <c r="M1332" s="11">
        <v>0.057500000000000002</v>
      </c>
      <c r="N1332" s="5" t="e">
        <f>IF(AND(M1332&gt;#REF!,Cartera!O1332="Guaraníes"),"Rendimiento significativo",IF(AND(M1332&gt;#REF!,Cartera!O1332="Dólares americanos"),"Rendimiento significativo","Rendimiento no significativo"))</f>
        <v>#REF!</v>
      </c>
      <c r="O1332" s="5" t="s">
        <v>51</v>
      </c>
      <c r="P1332" s="13">
        <v>47.260270000000006</v>
      </c>
      <c r="Q1332" s="12" t="e">
        <f>IF(O1332="Guaraníes",P1332,P1332*#REF!)</f>
        <v>#REF!</v>
      </c>
      <c r="R1332" s="12">
        <f>IF(O1332="Guaraníes",P1332/#REF!,P1332)</f>
        <v>47.260270000000006</v>
      </c>
      <c r="S1332" s="5" t="s">
        <v>52</v>
      </c>
      <c r="T1332" s="5">
        <v>1057</v>
      </c>
      <c r="W1332" s="5" t="s">
        <v>65</v>
      </c>
      <c r="X1332" s="5">
        <v>0</v>
      </c>
      <c r="Y1332" s="5">
        <v>0</v>
      </c>
      <c r="Z1332" s="5">
        <v>4.7260270000000002</v>
      </c>
      <c r="AA1332" s="5">
        <v>10</v>
      </c>
      <c r="AB1332" s="5">
        <v>47.260269999999998</v>
      </c>
      <c r="AC1332" s="5" t="str">
        <f t="shared" si="64"/>
        <v>Bonos</v>
      </c>
      <c r="AD1332" s="5" t="s">
        <v>43</v>
      </c>
      <c r="AE1332" s="5">
        <f t="shared" si="65"/>
        <v>1</v>
      </c>
      <c r="AF1332" s="5">
        <f t="shared" si="66"/>
        <v>2021</v>
      </c>
    </row>
    <row r="1333" s="5" customFormat="1" ht="13">
      <c r="A1333" s="5" t="s">
        <v>44</v>
      </c>
      <c r="B1333" s="5" t="s">
        <v>44</v>
      </c>
      <c r="C1333" s="5" t="s">
        <v>143</v>
      </c>
      <c r="D1333" s="5" t="s">
        <v>21</v>
      </c>
      <c r="E1333" s="5" t="s">
        <v>44</v>
      </c>
      <c r="F1333" s="5" t="s">
        <v>144</v>
      </c>
      <c r="G1333" s="5" t="s">
        <v>145</v>
      </c>
      <c r="H1333" s="9" t="s">
        <v>146</v>
      </c>
      <c r="I1333" s="10"/>
      <c r="J1333" s="10">
        <v>44225</v>
      </c>
      <c r="K1333" s="5" t="s">
        <v>49</v>
      </c>
      <c r="L1333" s="5" t="s">
        <v>106</v>
      </c>
      <c r="M1333" s="11">
        <v>0.060999999999999999</v>
      </c>
      <c r="N1333" s="5" t="e">
        <f>IF(AND(M1333&gt;#REF!,Cartera!O1333="Guaraníes"),"Rendimiento significativo",IF(AND(M1333&gt;#REF!,Cartera!O1333="Dólares americanos"),"Rendimiento significativo","Rendimiento no significativo"))</f>
        <v>#REF!</v>
      </c>
      <c r="O1333" s="5" t="s">
        <v>51</v>
      </c>
      <c r="P1333" s="13">
        <v>200.54795999999999</v>
      </c>
      <c r="Q1333" s="12" t="e">
        <f>IF(O1333="Guaraníes",P1333,P1333*#REF!)</f>
        <v>#REF!</v>
      </c>
      <c r="R1333" s="12">
        <f>IF(O1333="Guaraníes",P1333/#REF!,P1333)</f>
        <v>200.54795999999999</v>
      </c>
      <c r="S1333" s="5" t="s">
        <v>52</v>
      </c>
      <c r="T1333" s="5">
        <v>1057</v>
      </c>
      <c r="W1333" s="5" t="s">
        <v>65</v>
      </c>
      <c r="X1333" s="5">
        <v>0</v>
      </c>
      <c r="Y1333" s="5">
        <v>0</v>
      </c>
      <c r="Z1333" s="5">
        <v>5.0136989999999999</v>
      </c>
      <c r="AA1333" s="5">
        <v>40</v>
      </c>
      <c r="AB1333" s="5">
        <v>200.54795999999999</v>
      </c>
      <c r="AC1333" s="5" t="str">
        <f t="shared" si="64"/>
        <v>Bonos</v>
      </c>
      <c r="AD1333" s="5" t="s">
        <v>43</v>
      </c>
      <c r="AE1333" s="5">
        <f t="shared" si="65"/>
        <v>1</v>
      </c>
      <c r="AF1333" s="5">
        <f t="shared" si="66"/>
        <v>2021</v>
      </c>
    </row>
    <row r="1334" s="5" customFormat="1" ht="13">
      <c r="A1334" s="5" t="s">
        <v>44</v>
      </c>
      <c r="B1334" s="5" t="s">
        <v>44</v>
      </c>
      <c r="C1334" s="5" t="s">
        <v>164</v>
      </c>
      <c r="D1334" s="5" t="s">
        <v>21</v>
      </c>
      <c r="E1334" s="5" t="s">
        <v>44</v>
      </c>
      <c r="F1334" s="5" t="s">
        <v>68</v>
      </c>
      <c r="G1334" s="5" t="s">
        <v>145</v>
      </c>
      <c r="H1334" s="9" t="s">
        <v>165</v>
      </c>
      <c r="I1334" s="10"/>
      <c r="J1334" s="10">
        <v>44225</v>
      </c>
      <c r="K1334" s="5" t="s">
        <v>124</v>
      </c>
      <c r="L1334" s="5" t="s">
        <v>58</v>
      </c>
      <c r="M1334" s="11">
        <v>0.10000000000000001</v>
      </c>
      <c r="N1334" s="5" t="e">
        <f>IF(AND(M1334&gt;#REF!,Cartera!O1334="Guaraníes"),"Rendimiento significativo",IF(AND(M1334&gt;#REF!,Cartera!O1334="Dólares americanos"),"Rendimiento significativo","Rendimiento no significativo"))</f>
        <v>#REF!</v>
      </c>
      <c r="O1334" s="5" t="s">
        <v>41</v>
      </c>
      <c r="P1334" s="12">
        <v>3287671.2328000003</v>
      </c>
      <c r="Q1334" s="12">
        <f>IF(O1334="Guaraníes",P1334,P1334*#REF!)</f>
        <v>3287671.2328000003</v>
      </c>
      <c r="R1334" s="12" t="e">
        <f>IF(O1334="Guaraníes",P1334/#REF!,P1334)</f>
        <v>#REF!</v>
      </c>
      <c r="S1334" s="5" t="s">
        <v>52</v>
      </c>
      <c r="T1334" s="5">
        <v>1057</v>
      </c>
      <c r="W1334" s="5" t="s">
        <v>65</v>
      </c>
      <c r="X1334" s="5">
        <v>0</v>
      </c>
      <c r="Y1334" s="5">
        <v>0</v>
      </c>
      <c r="Z1334" s="5">
        <v>8219.1780820000004</v>
      </c>
      <c r="AA1334" s="5">
        <v>400</v>
      </c>
      <c r="AB1334" s="5">
        <v>3287671.2327999999</v>
      </c>
      <c r="AC1334" s="5" t="str">
        <f t="shared" si="64"/>
        <v>Bonos</v>
      </c>
      <c r="AD1334" s="5" t="s">
        <v>43</v>
      </c>
      <c r="AE1334" s="5">
        <f t="shared" si="65"/>
        <v>1</v>
      </c>
      <c r="AF1334" s="5">
        <f t="shared" si="66"/>
        <v>2021</v>
      </c>
    </row>
    <row r="1335" s="5" customFormat="1" ht="13">
      <c r="A1335" s="5" t="s">
        <v>44</v>
      </c>
      <c r="B1335" s="5" t="s">
        <v>44</v>
      </c>
      <c r="C1335" s="5" t="s">
        <v>45</v>
      </c>
      <c r="D1335" s="5" t="s">
        <v>21</v>
      </c>
      <c r="E1335" s="5" t="s">
        <v>44</v>
      </c>
      <c r="F1335" s="5" t="s">
        <v>46</v>
      </c>
      <c r="G1335" s="5" t="s">
        <v>145</v>
      </c>
      <c r="H1335" s="9" t="s">
        <v>359</v>
      </c>
      <c r="I1335" s="10"/>
      <c r="J1335" s="10">
        <v>44245</v>
      </c>
      <c r="K1335" s="5" t="s">
        <v>49</v>
      </c>
      <c r="L1335" s="5" t="s">
        <v>50</v>
      </c>
      <c r="M1335" s="11">
        <v>0.070000000000000007</v>
      </c>
      <c r="N1335" s="5" t="e">
        <f>IF(AND(M1335&gt;#REF!,Cartera!O1335="Guaraníes"),"Rendimiento significativo",IF(AND(M1335&gt;#REF!,Cartera!O1335="Dólares americanos"),"Rendimiento significativo","Rendimiento no significativo"))</f>
        <v>#REF!</v>
      </c>
      <c r="O1335" s="5" t="s">
        <v>51</v>
      </c>
      <c r="P1335" s="13">
        <v>149.58904000000001</v>
      </c>
      <c r="Q1335" s="12" t="e">
        <f>IF(O1335="Guaraníes",P1335,P1335*#REF!)</f>
        <v>#REF!</v>
      </c>
      <c r="R1335" s="12">
        <f>IF(O1335="Guaraníes",P1335/#REF!,P1335)</f>
        <v>149.58904000000001</v>
      </c>
      <c r="S1335" s="5" t="s">
        <v>52</v>
      </c>
      <c r="T1335" s="5">
        <v>1057</v>
      </c>
      <c r="W1335" s="5" t="s">
        <v>65</v>
      </c>
      <c r="X1335" s="5">
        <v>0</v>
      </c>
      <c r="Y1335" s="5">
        <v>0</v>
      </c>
      <c r="Z1335" s="5">
        <v>14.958904</v>
      </c>
      <c r="AA1335" s="5">
        <v>10</v>
      </c>
      <c r="AB1335" s="5">
        <v>149.58904000000001</v>
      </c>
      <c r="AC1335" s="5" t="str">
        <f t="shared" ref="AC1335:AC1398" si="67">IF(ISNUMBER(SEARCH("Acciones",L1335)),"Acciones",IF(ISNUMBER(SEARCH("Bono",L1335)),"Bonos",IF(ISNUMBER(SEARCH("CDA",L1335)),"CDA",IF(ISNUMBER(SEARCH("Fondo",L1335)),"Fondo",0))))</f>
        <v>Bonos</v>
      </c>
      <c r="AD1335" s="5" t="s">
        <v>43</v>
      </c>
      <c r="AE1335" s="5">
        <f t="shared" si="65"/>
        <v>2</v>
      </c>
      <c r="AF1335" s="5">
        <f t="shared" si="66"/>
        <v>2021</v>
      </c>
    </row>
    <row r="1336" s="5" customFormat="1" ht="13">
      <c r="A1336" s="5" t="s">
        <v>44</v>
      </c>
      <c r="B1336" s="5" t="s">
        <v>44</v>
      </c>
      <c r="C1336" s="5" t="s">
        <v>143</v>
      </c>
      <c r="D1336" s="5" t="s">
        <v>21</v>
      </c>
      <c r="E1336" s="5" t="s">
        <v>44</v>
      </c>
      <c r="F1336" s="5" t="s">
        <v>144</v>
      </c>
      <c r="G1336" s="5" t="s">
        <v>145</v>
      </c>
      <c r="H1336" s="9" t="s">
        <v>272</v>
      </c>
      <c r="I1336" s="10">
        <v>43532</v>
      </c>
      <c r="J1336" s="10">
        <v>44253</v>
      </c>
      <c r="K1336" s="5" t="s">
        <v>49</v>
      </c>
      <c r="L1336" s="5" t="s">
        <v>106</v>
      </c>
      <c r="M1336" s="11">
        <v>0.057500000000000002</v>
      </c>
      <c r="N1336" s="5" t="e">
        <f>IF(AND(M1336&gt;#REF!,Cartera!O1336="Guaraníes"),"Rendimiento significativo",IF(AND(M1336&gt;#REF!,Cartera!O1336="Dólares americanos"),"Rendimiento significativo","Rendimiento no significativo"))</f>
        <v>#REF!</v>
      </c>
      <c r="O1336" s="5" t="s">
        <v>51</v>
      </c>
      <c r="P1336" s="13">
        <v>44.109589999999997</v>
      </c>
      <c r="Q1336" s="12" t="e">
        <f>IF(O1336="Guaraníes",P1336,P1336*#REF!)</f>
        <v>#REF!</v>
      </c>
      <c r="R1336" s="12">
        <f>IF(O1336="Guaraníes",P1336/#REF!,P1336)</f>
        <v>44.109589999999997</v>
      </c>
      <c r="S1336" s="5" t="s">
        <v>52</v>
      </c>
      <c r="T1336" s="5">
        <v>1057</v>
      </c>
      <c r="W1336" s="5" t="s">
        <v>65</v>
      </c>
      <c r="X1336" s="5">
        <v>0</v>
      </c>
      <c r="Y1336" s="5">
        <v>0</v>
      </c>
      <c r="Z1336" s="5">
        <v>4.4109590000000001</v>
      </c>
      <c r="AA1336" s="5">
        <v>10</v>
      </c>
      <c r="AB1336" s="5">
        <v>44.109589999999997</v>
      </c>
      <c r="AC1336" s="5" t="str">
        <f t="shared" si="67"/>
        <v>Bonos</v>
      </c>
      <c r="AD1336" s="5" t="s">
        <v>43</v>
      </c>
      <c r="AE1336" s="5">
        <f t="shared" si="65"/>
        <v>2</v>
      </c>
      <c r="AF1336" s="5">
        <f t="shared" si="66"/>
        <v>2021</v>
      </c>
    </row>
    <row r="1337" s="5" customFormat="1" ht="13">
      <c r="A1337" s="5" t="s">
        <v>44</v>
      </c>
      <c r="B1337" s="5" t="s">
        <v>44</v>
      </c>
      <c r="C1337" s="5" t="s">
        <v>143</v>
      </c>
      <c r="D1337" s="5" t="s">
        <v>21</v>
      </c>
      <c r="E1337" s="5" t="s">
        <v>44</v>
      </c>
      <c r="F1337" s="5" t="s">
        <v>144</v>
      </c>
      <c r="G1337" s="5" t="s">
        <v>145</v>
      </c>
      <c r="H1337" s="9" t="s">
        <v>146</v>
      </c>
      <c r="I1337" s="10"/>
      <c r="J1337" s="10">
        <v>44253</v>
      </c>
      <c r="K1337" s="5" t="s">
        <v>49</v>
      </c>
      <c r="L1337" s="5" t="s">
        <v>106</v>
      </c>
      <c r="M1337" s="11">
        <v>0.060999999999999999</v>
      </c>
      <c r="N1337" s="5" t="e">
        <f>IF(AND(M1337&gt;#REF!,Cartera!O1337="Guaraníes"),"Rendimiento significativo",IF(AND(M1337&gt;#REF!,Cartera!O1337="Dólares americanos"),"Rendimiento significativo","Rendimiento no significativo"))</f>
        <v>#REF!</v>
      </c>
      <c r="O1337" s="5" t="s">
        <v>51</v>
      </c>
      <c r="P1337" s="13">
        <v>187.17808000000002</v>
      </c>
      <c r="Q1337" s="12" t="e">
        <f>IF(O1337="Guaraníes",P1337,P1337*#REF!)</f>
        <v>#REF!</v>
      </c>
      <c r="R1337" s="12">
        <f>IF(O1337="Guaraníes",P1337/#REF!,P1337)</f>
        <v>187.17808000000002</v>
      </c>
      <c r="S1337" s="5" t="s">
        <v>52</v>
      </c>
      <c r="T1337" s="5">
        <v>1057</v>
      </c>
      <c r="W1337" s="5" t="s">
        <v>65</v>
      </c>
      <c r="X1337" s="5">
        <v>0</v>
      </c>
      <c r="Y1337" s="5">
        <v>0</v>
      </c>
      <c r="Z1337" s="5">
        <v>4.6794520000000004</v>
      </c>
      <c r="AA1337" s="5">
        <v>40</v>
      </c>
      <c r="AB1337" s="5">
        <v>187.17807999999999</v>
      </c>
      <c r="AC1337" s="5" t="str">
        <f t="shared" si="67"/>
        <v>Bonos</v>
      </c>
      <c r="AD1337" s="5" t="s">
        <v>43</v>
      </c>
      <c r="AE1337" s="5">
        <f t="shared" si="65"/>
        <v>2</v>
      </c>
      <c r="AF1337" s="5">
        <f t="shared" si="66"/>
        <v>2021</v>
      </c>
    </row>
    <row r="1338" s="5" customFormat="1" ht="13">
      <c r="A1338" s="5" t="s">
        <v>44</v>
      </c>
      <c r="B1338" s="5" t="s">
        <v>44</v>
      </c>
      <c r="C1338" s="5" t="s">
        <v>164</v>
      </c>
      <c r="D1338" s="5" t="s">
        <v>21</v>
      </c>
      <c r="E1338" s="5" t="s">
        <v>44</v>
      </c>
      <c r="F1338" s="5" t="s">
        <v>68</v>
      </c>
      <c r="G1338" s="5" t="s">
        <v>145</v>
      </c>
      <c r="H1338" s="9" t="s">
        <v>165</v>
      </c>
      <c r="I1338" s="10"/>
      <c r="J1338" s="10">
        <v>44253</v>
      </c>
      <c r="K1338" s="5" t="s">
        <v>124</v>
      </c>
      <c r="L1338" s="5" t="s">
        <v>58</v>
      </c>
      <c r="M1338" s="11">
        <v>0.10000000000000001</v>
      </c>
      <c r="N1338" s="5" t="e">
        <f>IF(AND(M1338&gt;#REF!,Cartera!O1338="Guaraníes"),"Rendimiento significativo",IF(AND(M1338&gt;#REF!,Cartera!O1338="Dólares americanos"),"Rendimiento significativo","Rendimiento no significativo"))</f>
        <v>#REF!</v>
      </c>
      <c r="O1338" s="5" t="s">
        <v>41</v>
      </c>
      <c r="P1338" s="12">
        <v>3068493.1507999999</v>
      </c>
      <c r="Q1338" s="12">
        <f>IF(O1338="Guaraníes",P1338,P1338*#REF!)</f>
        <v>3068493.1507999999</v>
      </c>
      <c r="R1338" s="12" t="e">
        <f>IF(O1338="Guaraníes",P1338/#REF!,P1338)</f>
        <v>#REF!</v>
      </c>
      <c r="S1338" s="5" t="s">
        <v>52</v>
      </c>
      <c r="T1338" s="5">
        <v>1057</v>
      </c>
      <c r="W1338" s="5" t="s">
        <v>65</v>
      </c>
      <c r="X1338" s="5">
        <v>0</v>
      </c>
      <c r="Y1338" s="5">
        <v>0</v>
      </c>
      <c r="Z1338" s="5">
        <v>7671.2328770000004</v>
      </c>
      <c r="AA1338" s="5">
        <v>400</v>
      </c>
      <c r="AB1338" s="5">
        <v>3068493.1507999999</v>
      </c>
      <c r="AC1338" s="5" t="str">
        <f t="shared" si="67"/>
        <v>Bonos</v>
      </c>
      <c r="AD1338" s="5" t="s">
        <v>43</v>
      </c>
      <c r="AE1338" s="5">
        <f t="shared" si="65"/>
        <v>2</v>
      </c>
      <c r="AF1338" s="5">
        <f t="shared" si="66"/>
        <v>2021</v>
      </c>
    </row>
    <row r="1339" s="5" customFormat="1" ht="13">
      <c r="A1339" s="5" t="s">
        <v>44</v>
      </c>
      <c r="B1339" s="5" t="s">
        <v>44</v>
      </c>
      <c r="C1339" s="5" t="s">
        <v>304</v>
      </c>
      <c r="D1339" s="5" t="s">
        <v>21</v>
      </c>
      <c r="E1339" s="5" t="s">
        <v>44</v>
      </c>
      <c r="F1339" s="5" t="s">
        <v>68</v>
      </c>
      <c r="G1339" s="5" t="s">
        <v>145</v>
      </c>
      <c r="H1339" s="9" t="s">
        <v>363</v>
      </c>
      <c r="I1339" s="10"/>
      <c r="J1339" s="10">
        <v>44265</v>
      </c>
      <c r="K1339" s="5" t="s">
        <v>39</v>
      </c>
      <c r="L1339" s="5" t="s">
        <v>58</v>
      </c>
      <c r="M1339" s="11">
        <v>0.089999999999999997</v>
      </c>
      <c r="N1339" s="5" t="e">
        <f>IF(AND(M1339&gt;#REF!,Cartera!O1339="Guaraníes"),"Rendimiento significativo",IF(AND(M1339&gt;#REF!,Cartera!O1339="Dólares americanos"),"Rendimiento significativo","Rendimiento no significativo"))</f>
        <v>#REF!</v>
      </c>
      <c r="O1339" s="5" t="s">
        <v>41</v>
      </c>
      <c r="P1339" s="12">
        <v>8975342.4656000007</v>
      </c>
      <c r="Q1339" s="12">
        <f>IF(O1339="Guaraníes",P1339,P1339*#REF!)</f>
        <v>8975342.4656000007</v>
      </c>
      <c r="R1339" s="12" t="e">
        <f>IF(O1339="Guaraníes",P1339/#REF!,P1339)</f>
        <v>#REF!</v>
      </c>
      <c r="S1339" s="5" t="s">
        <v>52</v>
      </c>
      <c r="T1339" s="5">
        <v>1057</v>
      </c>
      <c r="W1339" s="5" t="s">
        <v>65</v>
      </c>
      <c r="X1339" s="5">
        <v>0</v>
      </c>
      <c r="Y1339" s="5">
        <v>0</v>
      </c>
      <c r="Z1339" s="5">
        <v>22438.356164000001</v>
      </c>
      <c r="AA1339" s="5">
        <v>400</v>
      </c>
      <c r="AB1339" s="5">
        <v>8975342.4656000007</v>
      </c>
      <c r="AC1339" s="5" t="str">
        <f t="shared" si="67"/>
        <v>Bonos</v>
      </c>
      <c r="AD1339" s="5" t="s">
        <v>43</v>
      </c>
      <c r="AE1339" s="5">
        <f t="shared" si="65"/>
        <v>3</v>
      </c>
      <c r="AF1339" s="5">
        <f t="shared" si="66"/>
        <v>2021</v>
      </c>
    </row>
    <row r="1340" s="5" customFormat="1" ht="13">
      <c r="A1340" s="5" t="s">
        <v>44</v>
      </c>
      <c r="B1340" s="5" t="s">
        <v>44</v>
      </c>
      <c r="C1340" s="5" t="s">
        <v>304</v>
      </c>
      <c r="D1340" s="5" t="s">
        <v>21</v>
      </c>
      <c r="E1340" s="5" t="s">
        <v>44</v>
      </c>
      <c r="F1340" s="5" t="s">
        <v>68</v>
      </c>
      <c r="G1340" s="5" t="s">
        <v>145</v>
      </c>
      <c r="H1340" s="9" t="s">
        <v>305</v>
      </c>
      <c r="I1340" s="10"/>
      <c r="J1340" s="10">
        <v>44279</v>
      </c>
      <c r="K1340" s="5" t="s">
        <v>39</v>
      </c>
      <c r="L1340" s="5" t="s">
        <v>58</v>
      </c>
      <c r="M1340" s="11">
        <v>0.089999999999999997</v>
      </c>
      <c r="N1340" s="5" t="e">
        <f>IF(AND(M1340&gt;#REF!,Cartera!O1340="Guaraníes"),"Rendimiento significativo",IF(AND(M1340&gt;#REF!,Cartera!O1340="Dólares americanos"),"Rendimiento significativo","Rendimiento no significativo"))</f>
        <v>#REF!</v>
      </c>
      <c r="O1340" s="5" t="s">
        <v>41</v>
      </c>
      <c r="P1340" s="12">
        <v>673150.68492000003</v>
      </c>
      <c r="Q1340" s="12">
        <f>IF(O1340="Guaraníes",P1340,P1340*#REF!)</f>
        <v>673150.68492000003</v>
      </c>
      <c r="R1340" s="12" t="e">
        <f>IF(O1340="Guaraníes",P1340/#REF!,P1340)</f>
        <v>#REF!</v>
      </c>
      <c r="S1340" s="5" t="s">
        <v>52</v>
      </c>
      <c r="T1340" s="5">
        <v>1057</v>
      </c>
      <c r="W1340" s="5" t="s">
        <v>65</v>
      </c>
      <c r="X1340" s="5">
        <v>0</v>
      </c>
      <c r="Y1340" s="5">
        <v>0</v>
      </c>
      <c r="Z1340" s="5">
        <v>22438.356164000001</v>
      </c>
      <c r="AA1340" s="5">
        <v>30</v>
      </c>
      <c r="AB1340" s="5">
        <v>673150.68492000003</v>
      </c>
      <c r="AC1340" s="5" t="str">
        <f t="shared" si="67"/>
        <v>Bonos</v>
      </c>
      <c r="AD1340" s="5" t="s">
        <v>43</v>
      </c>
      <c r="AE1340" s="5">
        <f t="shared" si="65"/>
        <v>3</v>
      </c>
      <c r="AF1340" s="5">
        <f t="shared" si="66"/>
        <v>2021</v>
      </c>
    </row>
    <row r="1341" s="5" customFormat="1" ht="13">
      <c r="A1341" s="5" t="s">
        <v>44</v>
      </c>
      <c r="B1341" s="5" t="s">
        <v>44</v>
      </c>
      <c r="C1341" s="5" t="s">
        <v>143</v>
      </c>
      <c r="D1341" s="5" t="s">
        <v>21</v>
      </c>
      <c r="E1341" s="5" t="s">
        <v>44</v>
      </c>
      <c r="F1341" s="5" t="s">
        <v>144</v>
      </c>
      <c r="G1341" s="5" t="s">
        <v>145</v>
      </c>
      <c r="H1341" s="9" t="s">
        <v>272</v>
      </c>
      <c r="I1341" s="10">
        <v>43532</v>
      </c>
      <c r="J1341" s="10">
        <v>44286</v>
      </c>
      <c r="K1341" s="5" t="s">
        <v>49</v>
      </c>
      <c r="L1341" s="5" t="s">
        <v>106</v>
      </c>
      <c r="M1341" s="11">
        <v>0.057500000000000002</v>
      </c>
      <c r="N1341" s="5" t="e">
        <f>IF(AND(M1341&gt;#REF!,Cartera!O1341="Guaraníes"),"Rendimiento significativo",IF(AND(M1341&gt;#REF!,Cartera!O1341="Dólares americanos"),"Rendimiento significativo","Rendimiento no significativo"))</f>
        <v>#REF!</v>
      </c>
      <c r="O1341" s="5" t="s">
        <v>51</v>
      </c>
      <c r="P1341" s="13">
        <v>51.9863</v>
      </c>
      <c r="Q1341" s="12" t="e">
        <f>IF(O1341="Guaraníes",P1341,P1341*#REF!)</f>
        <v>#REF!</v>
      </c>
      <c r="R1341" s="12">
        <f>IF(O1341="Guaraníes",P1341/#REF!,P1341)</f>
        <v>51.9863</v>
      </c>
      <c r="S1341" s="5" t="s">
        <v>52</v>
      </c>
      <c r="T1341" s="5">
        <v>1057</v>
      </c>
      <c r="W1341" s="5" t="s">
        <v>65</v>
      </c>
      <c r="X1341" s="5">
        <v>0</v>
      </c>
      <c r="Y1341" s="5">
        <v>0</v>
      </c>
      <c r="Z1341" s="5">
        <v>5.1986299999999996</v>
      </c>
      <c r="AA1341" s="5">
        <v>10</v>
      </c>
      <c r="AB1341" s="5">
        <v>51.9863</v>
      </c>
      <c r="AC1341" s="5" t="str">
        <f t="shared" si="67"/>
        <v>Bonos</v>
      </c>
      <c r="AD1341" s="5" t="s">
        <v>43</v>
      </c>
      <c r="AE1341" s="5">
        <f t="shared" si="65"/>
        <v>3</v>
      </c>
      <c r="AF1341" s="5">
        <f t="shared" si="66"/>
        <v>2021</v>
      </c>
    </row>
    <row r="1342" s="5" customFormat="1" ht="13">
      <c r="A1342" s="5" t="s">
        <v>44</v>
      </c>
      <c r="B1342" s="5" t="s">
        <v>44</v>
      </c>
      <c r="C1342" s="5" t="s">
        <v>143</v>
      </c>
      <c r="D1342" s="5" t="s">
        <v>21</v>
      </c>
      <c r="E1342" s="5" t="s">
        <v>44</v>
      </c>
      <c r="F1342" s="5" t="s">
        <v>144</v>
      </c>
      <c r="G1342" s="5" t="s">
        <v>145</v>
      </c>
      <c r="H1342" s="9" t="s">
        <v>146</v>
      </c>
      <c r="I1342" s="10"/>
      <c r="J1342" s="10">
        <v>44286</v>
      </c>
      <c r="K1342" s="5" t="s">
        <v>49</v>
      </c>
      <c r="L1342" s="5" t="s">
        <v>106</v>
      </c>
      <c r="M1342" s="11">
        <v>0.060999999999999999</v>
      </c>
      <c r="N1342" s="5" t="e">
        <f>IF(AND(M1342&gt;#REF!,Cartera!O1342="Guaraníes"),"Rendimiento significativo",IF(AND(M1342&gt;#REF!,Cartera!O1342="Dólares americanos"),"Rendimiento significativo","Rendimiento no significativo"))</f>
        <v>#REF!</v>
      </c>
      <c r="O1342" s="5" t="s">
        <v>51</v>
      </c>
      <c r="P1342" s="13">
        <v>220.60272000000001</v>
      </c>
      <c r="Q1342" s="12" t="e">
        <f>IF(O1342="Guaraníes",P1342,P1342*#REF!)</f>
        <v>#REF!</v>
      </c>
      <c r="R1342" s="12">
        <f>IF(O1342="Guaraníes",P1342/#REF!,P1342)</f>
        <v>220.60272000000001</v>
      </c>
      <c r="S1342" s="5" t="s">
        <v>52</v>
      </c>
      <c r="T1342" s="5">
        <v>1057</v>
      </c>
      <c r="W1342" s="5" t="s">
        <v>65</v>
      </c>
      <c r="X1342" s="5">
        <v>0</v>
      </c>
      <c r="Y1342" s="5">
        <v>0</v>
      </c>
      <c r="Z1342" s="5">
        <v>5.5150680000000003</v>
      </c>
      <c r="AA1342" s="5">
        <v>40</v>
      </c>
      <c r="AB1342" s="5">
        <v>220.60272000000001</v>
      </c>
      <c r="AC1342" s="5" t="str">
        <f t="shared" si="67"/>
        <v>Bonos</v>
      </c>
      <c r="AD1342" s="5" t="s">
        <v>43</v>
      </c>
      <c r="AE1342" s="5">
        <f t="shared" si="65"/>
        <v>3</v>
      </c>
      <c r="AF1342" s="5">
        <f t="shared" si="66"/>
        <v>2021</v>
      </c>
    </row>
    <row r="1343" s="5" customFormat="1" ht="13">
      <c r="A1343" s="5" t="s">
        <v>44</v>
      </c>
      <c r="B1343" s="5" t="s">
        <v>44</v>
      </c>
      <c r="C1343" s="5" t="s">
        <v>164</v>
      </c>
      <c r="D1343" s="5" t="s">
        <v>21</v>
      </c>
      <c r="E1343" s="5" t="s">
        <v>44</v>
      </c>
      <c r="F1343" s="5" t="s">
        <v>68</v>
      </c>
      <c r="G1343" s="5" t="s">
        <v>145</v>
      </c>
      <c r="H1343" s="9" t="s">
        <v>165</v>
      </c>
      <c r="I1343" s="10"/>
      <c r="J1343" s="10">
        <v>44286</v>
      </c>
      <c r="K1343" s="5" t="s">
        <v>124</v>
      </c>
      <c r="L1343" s="5" t="s">
        <v>58</v>
      </c>
      <c r="M1343" s="11">
        <v>0.10000000000000001</v>
      </c>
      <c r="N1343" s="5" t="e">
        <f>IF(AND(M1343&gt;#REF!,Cartera!O1343="Guaraníes"),"Rendimiento significativo",IF(AND(M1343&gt;#REF!,Cartera!O1343="Dólares americanos"),"Rendimiento significativo","Rendimiento no significativo"))</f>
        <v>#REF!</v>
      </c>
      <c r="O1343" s="5" t="s">
        <v>41</v>
      </c>
      <c r="P1343" s="12">
        <v>3616438.3560000001</v>
      </c>
      <c r="Q1343" s="12">
        <f>IF(O1343="Guaraníes",P1343,P1343*#REF!)</f>
        <v>3616438.3560000001</v>
      </c>
      <c r="R1343" s="12" t="e">
        <f>IF(O1343="Guaraníes",P1343/#REF!,P1343)</f>
        <v>#REF!</v>
      </c>
      <c r="S1343" s="5" t="s">
        <v>52</v>
      </c>
      <c r="T1343" s="5">
        <v>1057</v>
      </c>
      <c r="W1343" s="5" t="s">
        <v>65</v>
      </c>
      <c r="X1343" s="5">
        <v>0</v>
      </c>
      <c r="Y1343" s="5">
        <v>0</v>
      </c>
      <c r="Z1343" s="5">
        <v>9041.0958900000005</v>
      </c>
      <c r="AA1343" s="5">
        <v>400</v>
      </c>
      <c r="AB1343" s="5">
        <v>3616438.3560000001</v>
      </c>
      <c r="AC1343" s="5" t="str">
        <f t="shared" si="67"/>
        <v>Bonos</v>
      </c>
      <c r="AD1343" s="5" t="s">
        <v>43</v>
      </c>
      <c r="AE1343" s="5">
        <f t="shared" si="65"/>
        <v>3</v>
      </c>
      <c r="AF1343" s="5">
        <f t="shared" si="66"/>
        <v>2021</v>
      </c>
    </row>
    <row r="1344" s="5" customFormat="1" ht="13">
      <c r="A1344" s="5" t="s">
        <v>44</v>
      </c>
      <c r="B1344" s="5" t="s">
        <v>44</v>
      </c>
      <c r="C1344" s="5" t="s">
        <v>33</v>
      </c>
      <c r="D1344" s="5" t="s">
        <v>21</v>
      </c>
      <c r="E1344" s="5" t="s">
        <v>44</v>
      </c>
      <c r="F1344" s="5" t="s">
        <v>35</v>
      </c>
      <c r="G1344" s="5" t="s">
        <v>145</v>
      </c>
      <c r="H1344" s="9" t="s">
        <v>358</v>
      </c>
      <c r="I1344" s="10"/>
      <c r="J1344" s="10">
        <v>44309</v>
      </c>
      <c r="K1344" s="5" t="s">
        <v>39</v>
      </c>
      <c r="L1344" s="5" t="s">
        <v>50</v>
      </c>
      <c r="M1344" s="11">
        <v>0.0625</v>
      </c>
      <c r="N1344" s="5" t="e">
        <f>IF(AND(M1344&gt;#REF!,Cartera!O1344="Guaraníes"),"Rendimiento significativo",IF(AND(M1344&gt;#REF!,Cartera!O1344="Dólares americanos"),"Rendimiento significativo","Rendimiento no significativo"))</f>
        <v>#REF!</v>
      </c>
      <c r="O1344" s="5" t="s">
        <v>51</v>
      </c>
      <c r="P1344" s="13">
        <v>698.08220000000006</v>
      </c>
      <c r="Q1344" s="12" t="e">
        <f>IF(O1344="Guaraníes",P1344,P1344*#REF!)</f>
        <v>#REF!</v>
      </c>
      <c r="R1344" s="12">
        <f>IF(O1344="Guaraníes",P1344/#REF!,P1344)</f>
        <v>698.08220000000006</v>
      </c>
      <c r="S1344" s="5" t="s">
        <v>52</v>
      </c>
      <c r="T1344" s="5">
        <v>1057</v>
      </c>
      <c r="W1344" s="5" t="s">
        <v>65</v>
      </c>
      <c r="X1344" s="5">
        <v>0</v>
      </c>
      <c r="Y1344" s="5">
        <v>0</v>
      </c>
      <c r="Z1344" s="5">
        <v>34.904110000000003</v>
      </c>
      <c r="AA1344" s="5">
        <v>20</v>
      </c>
      <c r="AB1344" s="5">
        <v>698.08219999999994</v>
      </c>
      <c r="AC1344" s="5" t="str">
        <f t="shared" si="67"/>
        <v>Bonos</v>
      </c>
      <c r="AD1344" s="5" t="s">
        <v>43</v>
      </c>
      <c r="AE1344" s="5">
        <f t="shared" si="65"/>
        <v>4</v>
      </c>
      <c r="AF1344" s="5">
        <f t="shared" si="66"/>
        <v>2021</v>
      </c>
    </row>
    <row r="1345" s="5" customFormat="1" ht="13">
      <c r="A1345" s="5" t="s">
        <v>44</v>
      </c>
      <c r="B1345" s="5" t="s">
        <v>44</v>
      </c>
      <c r="C1345" s="5" t="s">
        <v>143</v>
      </c>
      <c r="D1345" s="5" t="s">
        <v>21</v>
      </c>
      <c r="E1345" s="5" t="s">
        <v>44</v>
      </c>
      <c r="F1345" s="5" t="s">
        <v>144</v>
      </c>
      <c r="G1345" s="5" t="s">
        <v>145</v>
      </c>
      <c r="H1345" s="9" t="s">
        <v>272</v>
      </c>
      <c r="I1345" s="10">
        <v>43532</v>
      </c>
      <c r="J1345" s="10">
        <v>44316</v>
      </c>
      <c r="K1345" s="5" t="s">
        <v>49</v>
      </c>
      <c r="L1345" s="5" t="s">
        <v>106</v>
      </c>
      <c r="M1345" s="11">
        <v>0.057500000000000002</v>
      </c>
      <c r="N1345" s="5" t="e">
        <f>IF(AND(M1345&gt;#REF!,Cartera!O1345="Guaraníes"),"Rendimiento significativo",IF(AND(M1345&gt;#REF!,Cartera!O1345="Dólares americanos"),"Rendimiento significativo","Rendimiento no significativo"))</f>
        <v>#REF!</v>
      </c>
      <c r="O1345" s="5" t="s">
        <v>51</v>
      </c>
      <c r="P1345" s="13">
        <v>47.260270000000006</v>
      </c>
      <c r="Q1345" s="12" t="e">
        <f>IF(O1345="Guaraníes",P1345,P1345*#REF!)</f>
        <v>#REF!</v>
      </c>
      <c r="R1345" s="12">
        <f>IF(O1345="Guaraníes",P1345/#REF!,P1345)</f>
        <v>47.260270000000006</v>
      </c>
      <c r="S1345" s="5" t="s">
        <v>52</v>
      </c>
      <c r="T1345" s="5">
        <v>1057</v>
      </c>
      <c r="W1345" s="5" t="s">
        <v>65</v>
      </c>
      <c r="X1345" s="5">
        <v>0</v>
      </c>
      <c r="Y1345" s="5">
        <v>0</v>
      </c>
      <c r="Z1345" s="5">
        <v>4.7260270000000002</v>
      </c>
      <c r="AA1345" s="5">
        <v>10</v>
      </c>
      <c r="AB1345" s="5">
        <v>47.260269999999998</v>
      </c>
      <c r="AC1345" s="5" t="str">
        <f t="shared" si="67"/>
        <v>Bonos</v>
      </c>
      <c r="AD1345" s="5" t="s">
        <v>43</v>
      </c>
      <c r="AE1345" s="5">
        <f t="shared" si="65"/>
        <v>4</v>
      </c>
      <c r="AF1345" s="5">
        <f t="shared" si="66"/>
        <v>2021</v>
      </c>
    </row>
    <row r="1346" s="5" customFormat="1" ht="13">
      <c r="A1346" s="5" t="s">
        <v>44</v>
      </c>
      <c r="B1346" s="5" t="s">
        <v>44</v>
      </c>
      <c r="C1346" s="5" t="s">
        <v>143</v>
      </c>
      <c r="D1346" s="5" t="s">
        <v>21</v>
      </c>
      <c r="E1346" s="5" t="s">
        <v>44</v>
      </c>
      <c r="F1346" s="5" t="s">
        <v>144</v>
      </c>
      <c r="G1346" s="5" t="s">
        <v>145</v>
      </c>
      <c r="H1346" s="9" t="s">
        <v>146</v>
      </c>
      <c r="I1346" s="10"/>
      <c r="J1346" s="10">
        <v>44316</v>
      </c>
      <c r="K1346" s="5" t="s">
        <v>49</v>
      </c>
      <c r="L1346" s="5" t="s">
        <v>106</v>
      </c>
      <c r="M1346" s="11">
        <v>0.060999999999999999</v>
      </c>
      <c r="N1346" s="5" t="e">
        <f>IF(AND(M1346&gt;#REF!,Cartera!O1346="Guaraníes"),"Rendimiento significativo",IF(AND(M1346&gt;#REF!,Cartera!O1346="Dólares americanos"),"Rendimiento significativo","Rendimiento no significativo"))</f>
        <v>#REF!</v>
      </c>
      <c r="O1346" s="5" t="s">
        <v>51</v>
      </c>
      <c r="P1346" s="13">
        <v>200.54795999999999</v>
      </c>
      <c r="Q1346" s="12" t="e">
        <f>IF(O1346="Guaraníes",P1346,P1346*#REF!)</f>
        <v>#REF!</v>
      </c>
      <c r="R1346" s="12">
        <f>IF(O1346="Guaraníes",P1346/#REF!,P1346)</f>
        <v>200.54795999999999</v>
      </c>
      <c r="S1346" s="5" t="s">
        <v>52</v>
      </c>
      <c r="T1346" s="5">
        <v>1057</v>
      </c>
      <c r="W1346" s="5" t="s">
        <v>65</v>
      </c>
      <c r="X1346" s="5">
        <v>0</v>
      </c>
      <c r="Y1346" s="5">
        <v>0</v>
      </c>
      <c r="Z1346" s="5">
        <v>5.0136989999999999</v>
      </c>
      <c r="AA1346" s="5">
        <v>40</v>
      </c>
      <c r="AB1346" s="5">
        <v>200.54795999999999</v>
      </c>
      <c r="AC1346" s="5" t="str">
        <f t="shared" si="67"/>
        <v>Bonos</v>
      </c>
      <c r="AD1346" s="5" t="s">
        <v>43</v>
      </c>
      <c r="AE1346" s="5">
        <f t="shared" si="65"/>
        <v>4</v>
      </c>
      <c r="AF1346" s="5">
        <f t="shared" si="66"/>
        <v>2021</v>
      </c>
    </row>
    <row r="1347" s="5" customFormat="1" ht="13">
      <c r="A1347" s="5" t="s">
        <v>44</v>
      </c>
      <c r="B1347" s="5" t="s">
        <v>44</v>
      </c>
      <c r="C1347" s="5" t="s">
        <v>164</v>
      </c>
      <c r="D1347" s="5" t="s">
        <v>21</v>
      </c>
      <c r="E1347" s="5" t="s">
        <v>44</v>
      </c>
      <c r="F1347" s="5" t="s">
        <v>68</v>
      </c>
      <c r="G1347" s="5" t="s">
        <v>145</v>
      </c>
      <c r="H1347" s="9" t="s">
        <v>165</v>
      </c>
      <c r="I1347" s="10"/>
      <c r="J1347" s="10">
        <v>44316</v>
      </c>
      <c r="K1347" s="5" t="s">
        <v>124</v>
      </c>
      <c r="L1347" s="5" t="s">
        <v>58</v>
      </c>
      <c r="M1347" s="11">
        <v>0.10000000000000001</v>
      </c>
      <c r="N1347" s="5" t="e">
        <f>IF(AND(M1347&gt;#REF!,Cartera!O1347="Guaraníes"),"Rendimiento significativo",IF(AND(M1347&gt;#REF!,Cartera!O1347="Dólares americanos"),"Rendimiento significativo","Rendimiento no significativo"))</f>
        <v>#REF!</v>
      </c>
      <c r="O1347" s="5" t="s">
        <v>41</v>
      </c>
      <c r="P1347" s="12">
        <v>3287671.2328000003</v>
      </c>
      <c r="Q1347" s="12">
        <f>IF(O1347="Guaraníes",P1347,P1347*#REF!)</f>
        <v>3287671.2328000003</v>
      </c>
      <c r="R1347" s="12" t="e">
        <f>IF(O1347="Guaraníes",P1347/#REF!,P1347)</f>
        <v>#REF!</v>
      </c>
      <c r="S1347" s="5" t="s">
        <v>52</v>
      </c>
      <c r="T1347" s="5">
        <v>1057</v>
      </c>
      <c r="W1347" s="5" t="s">
        <v>65</v>
      </c>
      <c r="X1347" s="5">
        <v>0</v>
      </c>
      <c r="Y1347" s="5">
        <v>0</v>
      </c>
      <c r="Z1347" s="5">
        <v>8219.1780820000004</v>
      </c>
      <c r="AA1347" s="5">
        <v>400</v>
      </c>
      <c r="AB1347" s="5">
        <v>3287671.2327999999</v>
      </c>
      <c r="AC1347" s="5" t="str">
        <f t="shared" si="67"/>
        <v>Bonos</v>
      </c>
      <c r="AD1347" s="5" t="s">
        <v>43</v>
      </c>
      <c r="AE1347" s="5">
        <f t="shared" si="65"/>
        <v>4</v>
      </c>
      <c r="AF1347" s="5">
        <f t="shared" si="66"/>
        <v>2021</v>
      </c>
    </row>
    <row r="1348" s="5" customFormat="1" ht="13">
      <c r="A1348" s="5">
        <v>12314</v>
      </c>
      <c r="B1348" s="5" t="s">
        <v>364</v>
      </c>
      <c r="C1348" s="5" t="s">
        <v>361</v>
      </c>
      <c r="D1348" s="5" t="s">
        <v>20</v>
      </c>
      <c r="E1348" s="5" t="s">
        <v>34</v>
      </c>
      <c r="F1348" s="5" t="s">
        <v>362</v>
      </c>
      <c r="G1348" s="5" t="s">
        <v>145</v>
      </c>
      <c r="H1348" s="9" t="s">
        <v>151</v>
      </c>
      <c r="I1348" s="10" t="s">
        <v>152</v>
      </c>
      <c r="J1348" s="10" t="s">
        <v>152</v>
      </c>
      <c r="K1348" s="5" t="s">
        <v>153</v>
      </c>
      <c r="L1348" s="5" t="s">
        <v>151</v>
      </c>
      <c r="M1348" s="11">
        <v>0.0487</v>
      </c>
      <c r="N1348" s="5" t="e">
        <f>IF(AND(M1348&gt;#REF!,Cartera!O1348="Guaraníes"),"Rendimiento significativo",IF(AND(M1348&gt;#REF!,Cartera!O1348="Dólares americanos"),"Rendimiento significativo","Rendimiento no significativo"))</f>
        <v>#REF!</v>
      </c>
      <c r="O1348" s="5" t="s">
        <v>51</v>
      </c>
      <c r="P1348" s="13">
        <v>98768.649999999994</v>
      </c>
      <c r="Q1348" s="12" t="e">
        <f>IF(O1348="Guaraníes",P1348,P1348*#REF!)</f>
        <v>#REF!</v>
      </c>
      <c r="R1348" s="12">
        <f>IF(O1348="Guaraníes",P1348/#REF!,P1348)</f>
        <v>98768.649999999994</v>
      </c>
      <c r="S1348" s="5" t="s">
        <v>52</v>
      </c>
      <c r="AC1348" s="5" t="str">
        <f t="shared" si="67"/>
        <v>Fondo</v>
      </c>
      <c r="AD1348" s="5" t="s">
        <v>43</v>
      </c>
      <c r="AE1348" s="5">
        <f t="shared" si="65"/>
        <v>0</v>
      </c>
      <c r="AF1348" s="5">
        <f t="shared" si="66"/>
        <v>0</v>
      </c>
    </row>
    <row r="1349" s="5" customFormat="1" ht="13">
      <c r="A1349" s="5" t="s">
        <v>44</v>
      </c>
      <c r="B1349" s="5" t="s">
        <v>44</v>
      </c>
      <c r="C1349" s="5" t="s">
        <v>45</v>
      </c>
      <c r="D1349" s="5" t="s">
        <v>21</v>
      </c>
      <c r="E1349" s="5" t="s">
        <v>44</v>
      </c>
      <c r="F1349" s="5" t="s">
        <v>46</v>
      </c>
      <c r="G1349" s="5" t="s">
        <v>145</v>
      </c>
      <c r="H1349" s="9" t="s">
        <v>359</v>
      </c>
      <c r="I1349" s="10"/>
      <c r="J1349" s="10">
        <v>44336</v>
      </c>
      <c r="K1349" s="5" t="s">
        <v>49</v>
      </c>
      <c r="L1349" s="5" t="s">
        <v>50</v>
      </c>
      <c r="M1349" s="11">
        <v>0.070000000000000007</v>
      </c>
      <c r="N1349" s="5" t="e">
        <f>IF(AND(M1349&gt;#REF!,Cartera!O1349="Guaraníes"),"Rendimiento significativo",IF(AND(M1349&gt;#REF!,Cartera!O1349="Dólares americanos"),"Rendimiento significativo","Rendimiento no significativo"))</f>
        <v>#REF!</v>
      </c>
      <c r="O1349" s="5" t="s">
        <v>51</v>
      </c>
      <c r="P1349" s="13">
        <v>149.58904000000001</v>
      </c>
      <c r="Q1349" s="12" t="e">
        <f>IF(O1349="Guaraníes",P1349,P1349*#REF!)</f>
        <v>#REF!</v>
      </c>
      <c r="R1349" s="12">
        <f>IF(O1349="Guaraníes",P1349/#REF!,P1349)</f>
        <v>149.58904000000001</v>
      </c>
      <c r="S1349" s="5" t="s">
        <v>52</v>
      </c>
      <c r="T1349" s="5">
        <v>1057</v>
      </c>
      <c r="W1349" s="5" t="s">
        <v>65</v>
      </c>
      <c r="X1349" s="5">
        <v>0</v>
      </c>
      <c r="Y1349" s="5">
        <v>0</v>
      </c>
      <c r="Z1349" s="5">
        <v>14.958904</v>
      </c>
      <c r="AA1349" s="5">
        <v>10</v>
      </c>
      <c r="AB1349" s="5">
        <v>149.58904000000001</v>
      </c>
      <c r="AC1349" s="5" t="str">
        <f t="shared" si="67"/>
        <v>Bonos</v>
      </c>
      <c r="AD1349" s="5" t="s">
        <v>43</v>
      </c>
      <c r="AE1349" s="5">
        <f t="shared" si="65"/>
        <v>5</v>
      </c>
      <c r="AF1349" s="5">
        <f t="shared" si="66"/>
        <v>2021</v>
      </c>
    </row>
    <row r="1350" s="5" customFormat="1" ht="13">
      <c r="A1350" s="5" t="s">
        <v>44</v>
      </c>
      <c r="B1350" s="5" t="s">
        <v>44</v>
      </c>
      <c r="C1350" s="5" t="s">
        <v>143</v>
      </c>
      <c r="D1350" s="5" t="s">
        <v>21</v>
      </c>
      <c r="E1350" s="5" t="s">
        <v>44</v>
      </c>
      <c r="F1350" s="5" t="s">
        <v>144</v>
      </c>
      <c r="G1350" s="5" t="s">
        <v>145</v>
      </c>
      <c r="H1350" s="9" t="s">
        <v>272</v>
      </c>
      <c r="I1350" s="10">
        <v>43532</v>
      </c>
      <c r="J1350" s="10">
        <v>44347</v>
      </c>
      <c r="K1350" s="5" t="s">
        <v>49</v>
      </c>
      <c r="L1350" s="5" t="s">
        <v>106</v>
      </c>
      <c r="M1350" s="11">
        <v>0.057500000000000002</v>
      </c>
      <c r="N1350" s="5" t="e">
        <f>IF(AND(M1350&gt;#REF!,Cartera!O1350="Guaraníes"),"Rendimiento significativo",IF(AND(M1350&gt;#REF!,Cartera!O1350="Dólares americanos"),"Rendimiento significativo","Rendimiento no significativo"))</f>
        <v>#REF!</v>
      </c>
      <c r="O1350" s="5" t="s">
        <v>51</v>
      </c>
      <c r="P1350" s="13">
        <v>48.835620000000006</v>
      </c>
      <c r="Q1350" s="12" t="e">
        <f>IF(O1350="Guaraníes",P1350,P1350*#REF!)</f>
        <v>#REF!</v>
      </c>
      <c r="R1350" s="12">
        <f>IF(O1350="Guaraníes",P1350/#REF!,P1350)</f>
        <v>48.835620000000006</v>
      </c>
      <c r="S1350" s="5" t="s">
        <v>52</v>
      </c>
      <c r="T1350" s="5">
        <v>1057</v>
      </c>
      <c r="W1350" s="5" t="s">
        <v>65</v>
      </c>
      <c r="X1350" s="5">
        <v>0</v>
      </c>
      <c r="Y1350" s="5">
        <v>0</v>
      </c>
      <c r="Z1350" s="5">
        <v>4.8835620000000004</v>
      </c>
      <c r="AA1350" s="5">
        <v>10</v>
      </c>
      <c r="AB1350" s="5">
        <v>48.835619999999999</v>
      </c>
      <c r="AC1350" s="5" t="str">
        <f t="shared" si="67"/>
        <v>Bonos</v>
      </c>
      <c r="AD1350" s="5" t="s">
        <v>43</v>
      </c>
      <c r="AE1350" s="5">
        <f t="shared" si="65"/>
        <v>5</v>
      </c>
      <c r="AF1350" s="5">
        <f t="shared" si="66"/>
        <v>2021</v>
      </c>
    </row>
    <row r="1351" s="5" customFormat="1" ht="13">
      <c r="A1351" s="5" t="s">
        <v>44</v>
      </c>
      <c r="B1351" s="5" t="s">
        <v>44</v>
      </c>
      <c r="C1351" s="5" t="s">
        <v>143</v>
      </c>
      <c r="D1351" s="5" t="s">
        <v>21</v>
      </c>
      <c r="E1351" s="5" t="s">
        <v>44</v>
      </c>
      <c r="F1351" s="5" t="s">
        <v>144</v>
      </c>
      <c r="G1351" s="5" t="s">
        <v>145</v>
      </c>
      <c r="H1351" s="9" t="s">
        <v>146</v>
      </c>
      <c r="I1351" s="10"/>
      <c r="J1351" s="10">
        <v>44347</v>
      </c>
      <c r="K1351" s="5" t="s">
        <v>49</v>
      </c>
      <c r="L1351" s="5" t="s">
        <v>106</v>
      </c>
      <c r="M1351" s="11">
        <v>0.060999999999999999</v>
      </c>
      <c r="N1351" s="5" t="e">
        <f>IF(AND(M1351&gt;#REF!,Cartera!O1351="Guaraníes"),"Rendimiento significativo",IF(AND(M1351&gt;#REF!,Cartera!O1351="Dólares americanos"),"Rendimiento significativo","Rendimiento no significativo"))</f>
        <v>#REF!</v>
      </c>
      <c r="O1351" s="5" t="s">
        <v>51</v>
      </c>
      <c r="P1351" s="13">
        <v>207.23287999999999</v>
      </c>
      <c r="Q1351" s="12" t="e">
        <f>IF(O1351="Guaraníes",P1351,P1351*#REF!)</f>
        <v>#REF!</v>
      </c>
      <c r="R1351" s="12">
        <f>IF(O1351="Guaraníes",P1351/#REF!,P1351)</f>
        <v>207.23287999999999</v>
      </c>
      <c r="S1351" s="5" t="s">
        <v>52</v>
      </c>
      <c r="T1351" s="5">
        <v>1057</v>
      </c>
      <c r="W1351" s="5" t="s">
        <v>65</v>
      </c>
      <c r="X1351" s="5">
        <v>0</v>
      </c>
      <c r="Y1351" s="5">
        <v>0</v>
      </c>
      <c r="Z1351" s="5">
        <v>5.180822</v>
      </c>
      <c r="AA1351" s="5">
        <v>40</v>
      </c>
      <c r="AB1351" s="5">
        <v>207.23287999999999</v>
      </c>
      <c r="AC1351" s="5" t="str">
        <f t="shared" si="67"/>
        <v>Bonos</v>
      </c>
      <c r="AD1351" s="5" t="s">
        <v>43</v>
      </c>
      <c r="AE1351" s="5">
        <f t="shared" si="65"/>
        <v>5</v>
      </c>
      <c r="AF1351" s="5">
        <f t="shared" si="66"/>
        <v>2021</v>
      </c>
    </row>
    <row r="1352" s="5" customFormat="1" ht="13">
      <c r="A1352" s="5" t="s">
        <v>44</v>
      </c>
      <c r="B1352" s="5" t="s">
        <v>44</v>
      </c>
      <c r="C1352" s="5" t="s">
        <v>164</v>
      </c>
      <c r="D1352" s="5" t="s">
        <v>21</v>
      </c>
      <c r="E1352" s="5" t="s">
        <v>44</v>
      </c>
      <c r="F1352" s="5" t="s">
        <v>68</v>
      </c>
      <c r="G1352" s="5" t="s">
        <v>145</v>
      </c>
      <c r="H1352" s="9" t="s">
        <v>165</v>
      </c>
      <c r="I1352" s="10"/>
      <c r="J1352" s="10">
        <v>44347</v>
      </c>
      <c r="K1352" s="5" t="s">
        <v>124</v>
      </c>
      <c r="L1352" s="5" t="s">
        <v>58</v>
      </c>
      <c r="M1352" s="11">
        <v>0.10000000000000001</v>
      </c>
      <c r="N1352" s="5" t="e">
        <f>IF(AND(M1352&gt;#REF!,Cartera!O1352="Guaraníes"),"Rendimiento significativo",IF(AND(M1352&gt;#REF!,Cartera!O1352="Dólares americanos"),"Rendimiento significativo","Rendimiento no significativo"))</f>
        <v>#REF!</v>
      </c>
      <c r="O1352" s="5" t="s">
        <v>41</v>
      </c>
      <c r="P1352" s="12">
        <v>3397260.2740000002</v>
      </c>
      <c r="Q1352" s="12">
        <f>IF(O1352="Guaraníes",P1352,P1352*#REF!)</f>
        <v>3397260.2740000002</v>
      </c>
      <c r="R1352" s="12" t="e">
        <f>IF(O1352="Guaraníes",P1352/#REF!,P1352)</f>
        <v>#REF!</v>
      </c>
      <c r="S1352" s="5" t="s">
        <v>52</v>
      </c>
      <c r="T1352" s="5">
        <v>1057</v>
      </c>
      <c r="W1352" s="5" t="s">
        <v>65</v>
      </c>
      <c r="X1352" s="5">
        <v>0</v>
      </c>
      <c r="Y1352" s="5">
        <v>0</v>
      </c>
      <c r="Z1352" s="5">
        <v>8493.1506850000005</v>
      </c>
      <c r="AA1352" s="5">
        <v>400</v>
      </c>
      <c r="AB1352" s="5">
        <v>3397260.2740000002</v>
      </c>
      <c r="AC1352" s="5" t="str">
        <f t="shared" si="67"/>
        <v>Bonos</v>
      </c>
      <c r="AD1352" s="5" t="s">
        <v>43</v>
      </c>
      <c r="AE1352" s="5">
        <f t="shared" si="65"/>
        <v>5</v>
      </c>
      <c r="AF1352" s="5">
        <f t="shared" si="66"/>
        <v>2021</v>
      </c>
    </row>
    <row r="1353" s="5" customFormat="1" ht="13">
      <c r="A1353" s="5" t="s">
        <v>44</v>
      </c>
      <c r="B1353" s="5" t="s">
        <v>44</v>
      </c>
      <c r="C1353" s="5" t="s">
        <v>304</v>
      </c>
      <c r="D1353" s="5" t="s">
        <v>21</v>
      </c>
      <c r="E1353" s="5" t="s">
        <v>44</v>
      </c>
      <c r="F1353" s="5" t="s">
        <v>68</v>
      </c>
      <c r="G1353" s="5" t="s">
        <v>145</v>
      </c>
      <c r="H1353" s="9" t="s">
        <v>363</v>
      </c>
      <c r="I1353" s="10"/>
      <c r="J1353" s="10">
        <v>44356</v>
      </c>
      <c r="K1353" s="5" t="s">
        <v>39</v>
      </c>
      <c r="L1353" s="5" t="s">
        <v>58</v>
      </c>
      <c r="M1353" s="11">
        <v>0.089999999999999997</v>
      </c>
      <c r="N1353" s="5" t="e">
        <f>IF(AND(M1353&gt;#REF!,Cartera!O1353="Guaraníes"),"Rendimiento significativo",IF(AND(M1353&gt;#REF!,Cartera!O1353="Dólares americanos"),"Rendimiento significativo","Rendimiento no significativo"))</f>
        <v>#REF!</v>
      </c>
      <c r="O1353" s="5" t="s">
        <v>41</v>
      </c>
      <c r="P1353" s="12">
        <v>8975342.4656000007</v>
      </c>
      <c r="Q1353" s="12">
        <f>IF(O1353="Guaraníes",P1353,P1353*#REF!)</f>
        <v>8975342.4656000007</v>
      </c>
      <c r="R1353" s="12" t="e">
        <f>IF(O1353="Guaraníes",P1353/#REF!,P1353)</f>
        <v>#REF!</v>
      </c>
      <c r="S1353" s="5" t="s">
        <v>52</v>
      </c>
      <c r="T1353" s="5">
        <v>1057</v>
      </c>
      <c r="W1353" s="5" t="s">
        <v>65</v>
      </c>
      <c r="X1353" s="5">
        <v>0</v>
      </c>
      <c r="Y1353" s="5">
        <v>0</v>
      </c>
      <c r="Z1353" s="5">
        <v>22438.356164000001</v>
      </c>
      <c r="AA1353" s="5">
        <v>400</v>
      </c>
      <c r="AB1353" s="5">
        <v>8975342.4656000007</v>
      </c>
      <c r="AC1353" s="5" t="str">
        <f t="shared" si="67"/>
        <v>Bonos</v>
      </c>
      <c r="AD1353" s="5" t="s">
        <v>43</v>
      </c>
      <c r="AE1353" s="5">
        <f t="shared" si="65"/>
        <v>6</v>
      </c>
      <c r="AF1353" s="5">
        <f t="shared" si="66"/>
        <v>2021</v>
      </c>
    </row>
    <row r="1354" s="5" customFormat="1" ht="13">
      <c r="A1354" s="5" t="s">
        <v>44</v>
      </c>
      <c r="B1354" s="5" t="s">
        <v>44</v>
      </c>
      <c r="C1354" s="5" t="s">
        <v>304</v>
      </c>
      <c r="D1354" s="5" t="s">
        <v>21</v>
      </c>
      <c r="E1354" s="5" t="s">
        <v>44</v>
      </c>
      <c r="F1354" s="5" t="s">
        <v>68</v>
      </c>
      <c r="G1354" s="5" t="s">
        <v>145</v>
      </c>
      <c r="H1354" s="9" t="s">
        <v>305</v>
      </c>
      <c r="I1354" s="10"/>
      <c r="J1354" s="10">
        <v>44370</v>
      </c>
      <c r="K1354" s="5" t="s">
        <v>39</v>
      </c>
      <c r="L1354" s="5" t="s">
        <v>58</v>
      </c>
      <c r="M1354" s="11">
        <v>0.089999999999999997</v>
      </c>
      <c r="N1354" s="5" t="e">
        <f>IF(AND(M1354&gt;#REF!,Cartera!O1354="Guaraníes"),"Rendimiento significativo",IF(AND(M1354&gt;#REF!,Cartera!O1354="Dólares americanos"),"Rendimiento significativo","Rendimiento no significativo"))</f>
        <v>#REF!</v>
      </c>
      <c r="O1354" s="5" t="s">
        <v>41</v>
      </c>
      <c r="P1354" s="12">
        <v>673150.68492000003</v>
      </c>
      <c r="Q1354" s="12">
        <f>IF(O1354="Guaraníes",P1354,P1354*#REF!)</f>
        <v>673150.68492000003</v>
      </c>
      <c r="R1354" s="12" t="e">
        <f>IF(O1354="Guaraníes",P1354/#REF!,P1354)</f>
        <v>#REF!</v>
      </c>
      <c r="S1354" s="5" t="s">
        <v>52</v>
      </c>
      <c r="T1354" s="5">
        <v>1057</v>
      </c>
      <c r="W1354" s="5" t="s">
        <v>65</v>
      </c>
      <c r="X1354" s="5">
        <v>0</v>
      </c>
      <c r="Y1354" s="5">
        <v>0</v>
      </c>
      <c r="Z1354" s="5">
        <v>22438.356164000001</v>
      </c>
      <c r="AA1354" s="5">
        <v>30</v>
      </c>
      <c r="AB1354" s="5">
        <v>673150.68492000003</v>
      </c>
      <c r="AC1354" s="5" t="str">
        <f t="shared" si="67"/>
        <v>Bonos</v>
      </c>
      <c r="AD1354" s="5" t="s">
        <v>43</v>
      </c>
      <c r="AE1354" s="5">
        <f t="shared" si="65"/>
        <v>6</v>
      </c>
      <c r="AF1354" s="5">
        <f t="shared" si="66"/>
        <v>2021</v>
      </c>
    </row>
    <row r="1355" s="5" customFormat="1" ht="13">
      <c r="A1355" s="5" t="s">
        <v>44</v>
      </c>
      <c r="B1355" s="5" t="s">
        <v>44</v>
      </c>
      <c r="C1355" s="5" t="s">
        <v>143</v>
      </c>
      <c r="D1355" s="5" t="s">
        <v>21</v>
      </c>
      <c r="E1355" s="5" t="s">
        <v>44</v>
      </c>
      <c r="F1355" s="5" t="s">
        <v>144</v>
      </c>
      <c r="G1355" s="5" t="s">
        <v>145</v>
      </c>
      <c r="H1355" s="9" t="s">
        <v>272</v>
      </c>
      <c r="I1355" s="10">
        <v>43532</v>
      </c>
      <c r="J1355" s="10">
        <v>44377</v>
      </c>
      <c r="K1355" s="5" t="s">
        <v>49</v>
      </c>
      <c r="L1355" s="5" t="s">
        <v>106</v>
      </c>
      <c r="M1355" s="11">
        <v>0.057500000000000002</v>
      </c>
      <c r="N1355" s="5" t="e">
        <f>IF(AND(M1355&gt;#REF!,Cartera!O1355="Guaraníes"),"Rendimiento significativo",IF(AND(M1355&gt;#REF!,Cartera!O1355="Dólares americanos"),"Rendimiento significativo","Rendimiento no significativo"))</f>
        <v>#REF!</v>
      </c>
      <c r="O1355" s="5" t="s">
        <v>51</v>
      </c>
      <c r="P1355" s="13">
        <v>47.260270000000006</v>
      </c>
      <c r="Q1355" s="12" t="e">
        <f>IF(O1355="Guaraníes",P1355,P1355*#REF!)</f>
        <v>#REF!</v>
      </c>
      <c r="R1355" s="12">
        <f>IF(O1355="Guaraníes",P1355/#REF!,P1355)</f>
        <v>47.260270000000006</v>
      </c>
      <c r="S1355" s="5" t="s">
        <v>52</v>
      </c>
      <c r="T1355" s="5">
        <v>1057</v>
      </c>
      <c r="W1355" s="5" t="s">
        <v>65</v>
      </c>
      <c r="X1355" s="5">
        <v>0</v>
      </c>
      <c r="Y1355" s="5">
        <v>0</v>
      </c>
      <c r="Z1355" s="5">
        <v>4.7260270000000002</v>
      </c>
      <c r="AA1355" s="5">
        <v>10</v>
      </c>
      <c r="AB1355" s="5">
        <v>47.260269999999998</v>
      </c>
      <c r="AC1355" s="5" t="str">
        <f t="shared" si="67"/>
        <v>Bonos</v>
      </c>
      <c r="AD1355" s="5" t="s">
        <v>43</v>
      </c>
      <c r="AE1355" s="5">
        <f t="shared" si="65"/>
        <v>6</v>
      </c>
      <c r="AF1355" s="5">
        <f t="shared" si="66"/>
        <v>2021</v>
      </c>
    </row>
    <row r="1356" s="5" customFormat="1" ht="13">
      <c r="A1356" s="5" t="s">
        <v>44</v>
      </c>
      <c r="B1356" s="5" t="s">
        <v>44</v>
      </c>
      <c r="C1356" s="5" t="s">
        <v>143</v>
      </c>
      <c r="D1356" s="5" t="s">
        <v>21</v>
      </c>
      <c r="E1356" s="5" t="s">
        <v>44</v>
      </c>
      <c r="F1356" s="5" t="s">
        <v>144</v>
      </c>
      <c r="G1356" s="5" t="s">
        <v>145</v>
      </c>
      <c r="H1356" s="9" t="s">
        <v>146</v>
      </c>
      <c r="I1356" s="10"/>
      <c r="J1356" s="10">
        <v>44377</v>
      </c>
      <c r="K1356" s="5" t="s">
        <v>49</v>
      </c>
      <c r="L1356" s="5" t="s">
        <v>106</v>
      </c>
      <c r="M1356" s="11">
        <v>0.060999999999999999</v>
      </c>
      <c r="N1356" s="5" t="e">
        <f>IF(AND(M1356&gt;#REF!,Cartera!O1356="Guaraníes"),"Rendimiento significativo",IF(AND(M1356&gt;#REF!,Cartera!O1356="Dólares americanos"),"Rendimiento significativo","Rendimiento no significativo"))</f>
        <v>#REF!</v>
      </c>
      <c r="O1356" s="5" t="s">
        <v>51</v>
      </c>
      <c r="P1356" s="13">
        <v>200.54795999999999</v>
      </c>
      <c r="Q1356" s="12" t="e">
        <f>IF(O1356="Guaraníes",P1356,P1356*#REF!)</f>
        <v>#REF!</v>
      </c>
      <c r="R1356" s="12">
        <f>IF(O1356="Guaraníes",P1356/#REF!,P1356)</f>
        <v>200.54795999999999</v>
      </c>
      <c r="S1356" s="5" t="s">
        <v>52</v>
      </c>
      <c r="T1356" s="5">
        <v>1057</v>
      </c>
      <c r="W1356" s="5" t="s">
        <v>65</v>
      </c>
      <c r="X1356" s="5">
        <v>0</v>
      </c>
      <c r="Y1356" s="5">
        <v>0</v>
      </c>
      <c r="Z1356" s="5">
        <v>5.0136989999999999</v>
      </c>
      <c r="AA1356" s="5">
        <v>40</v>
      </c>
      <c r="AB1356" s="5">
        <v>200.54795999999999</v>
      </c>
      <c r="AC1356" s="5" t="str">
        <f t="shared" si="67"/>
        <v>Bonos</v>
      </c>
      <c r="AD1356" s="5" t="s">
        <v>43</v>
      </c>
      <c r="AE1356" s="5">
        <f t="shared" si="65"/>
        <v>6</v>
      </c>
      <c r="AF1356" s="5">
        <f t="shared" si="66"/>
        <v>2021</v>
      </c>
    </row>
    <row r="1357" s="5" customFormat="1" ht="13">
      <c r="A1357" s="5" t="s">
        <v>44</v>
      </c>
      <c r="B1357" s="5" t="s">
        <v>44</v>
      </c>
      <c r="C1357" s="5" t="s">
        <v>164</v>
      </c>
      <c r="D1357" s="5" t="s">
        <v>21</v>
      </c>
      <c r="E1357" s="5" t="s">
        <v>44</v>
      </c>
      <c r="F1357" s="5" t="s">
        <v>68</v>
      </c>
      <c r="G1357" s="5" t="s">
        <v>145</v>
      </c>
      <c r="H1357" s="9" t="s">
        <v>165</v>
      </c>
      <c r="I1357" s="10"/>
      <c r="J1357" s="10">
        <v>44377</v>
      </c>
      <c r="K1357" s="5" t="s">
        <v>124</v>
      </c>
      <c r="L1357" s="5" t="s">
        <v>58</v>
      </c>
      <c r="M1357" s="11">
        <v>0.10000000000000001</v>
      </c>
      <c r="N1357" s="5" t="e">
        <f>IF(AND(M1357&gt;#REF!,Cartera!O1357="Guaraníes"),"Rendimiento significativo",IF(AND(M1357&gt;#REF!,Cartera!O1357="Dólares americanos"),"Rendimiento significativo","Rendimiento no significativo"))</f>
        <v>#REF!</v>
      </c>
      <c r="O1357" s="5" t="s">
        <v>41</v>
      </c>
      <c r="P1357" s="12">
        <v>3287671.2328000003</v>
      </c>
      <c r="Q1357" s="12">
        <f>IF(O1357="Guaraníes",P1357,P1357*#REF!)</f>
        <v>3287671.2328000003</v>
      </c>
      <c r="R1357" s="12" t="e">
        <f>IF(O1357="Guaraníes",P1357/#REF!,P1357)</f>
        <v>#REF!</v>
      </c>
      <c r="S1357" s="5" t="s">
        <v>52</v>
      </c>
      <c r="T1357" s="5">
        <v>1057</v>
      </c>
      <c r="W1357" s="5" t="s">
        <v>65</v>
      </c>
      <c r="X1357" s="5">
        <v>0</v>
      </c>
      <c r="Y1357" s="5">
        <v>0</v>
      </c>
      <c r="Z1357" s="5">
        <v>8219.1780820000004</v>
      </c>
      <c r="AA1357" s="5">
        <v>400</v>
      </c>
      <c r="AB1357" s="5">
        <v>3287671.2327999999</v>
      </c>
      <c r="AC1357" s="5" t="str">
        <f t="shared" si="67"/>
        <v>Bonos</v>
      </c>
      <c r="AD1357" s="5" t="s">
        <v>43</v>
      </c>
      <c r="AE1357" s="5">
        <f t="shared" si="65"/>
        <v>6</v>
      </c>
      <c r="AF1357" s="5">
        <f t="shared" si="66"/>
        <v>2021</v>
      </c>
    </row>
    <row r="1358" s="5" customFormat="1" ht="13">
      <c r="A1358" s="5" t="s">
        <v>44</v>
      </c>
      <c r="B1358" s="5" t="s">
        <v>44</v>
      </c>
      <c r="C1358" s="5" t="s">
        <v>143</v>
      </c>
      <c r="D1358" s="5" t="s">
        <v>21</v>
      </c>
      <c r="E1358" s="5" t="s">
        <v>44</v>
      </c>
      <c r="F1358" s="5" t="s">
        <v>144</v>
      </c>
      <c r="G1358" s="5" t="s">
        <v>145</v>
      </c>
      <c r="H1358" s="9" t="s">
        <v>272</v>
      </c>
      <c r="I1358" s="10">
        <v>43532</v>
      </c>
      <c r="J1358" s="10">
        <v>44407</v>
      </c>
      <c r="K1358" s="5" t="s">
        <v>49</v>
      </c>
      <c r="L1358" s="5" t="s">
        <v>106</v>
      </c>
      <c r="M1358" s="11">
        <v>0.057500000000000002</v>
      </c>
      <c r="N1358" s="5" t="e">
        <f>IF(AND(M1358&gt;#REF!,Cartera!O1358="Guaraníes"),"Rendimiento significativo",IF(AND(M1358&gt;#REF!,Cartera!O1358="Dólares americanos"),"Rendimiento significativo","Rendimiento no significativo"))</f>
        <v>#REF!</v>
      </c>
      <c r="O1358" s="5" t="s">
        <v>51</v>
      </c>
      <c r="P1358" s="13">
        <v>47.260270000000006</v>
      </c>
      <c r="Q1358" s="12" t="e">
        <f>IF(O1358="Guaraníes",P1358,P1358*#REF!)</f>
        <v>#REF!</v>
      </c>
      <c r="R1358" s="12">
        <f>IF(O1358="Guaraníes",P1358/#REF!,P1358)</f>
        <v>47.260270000000006</v>
      </c>
      <c r="S1358" s="5" t="s">
        <v>52</v>
      </c>
      <c r="T1358" s="5">
        <v>1057</v>
      </c>
      <c r="W1358" s="5" t="s">
        <v>65</v>
      </c>
      <c r="X1358" s="5">
        <v>0</v>
      </c>
      <c r="Y1358" s="5">
        <v>0</v>
      </c>
      <c r="Z1358" s="5">
        <v>4.7260270000000002</v>
      </c>
      <c r="AA1358" s="5">
        <v>10</v>
      </c>
      <c r="AB1358" s="5">
        <v>47.260269999999998</v>
      </c>
      <c r="AC1358" s="5" t="str">
        <f t="shared" si="67"/>
        <v>Bonos</v>
      </c>
      <c r="AD1358" s="5" t="s">
        <v>43</v>
      </c>
      <c r="AE1358" s="5">
        <f t="shared" si="65"/>
        <v>7</v>
      </c>
      <c r="AF1358" s="5">
        <f t="shared" si="66"/>
        <v>2021</v>
      </c>
    </row>
    <row r="1359" s="5" customFormat="1" ht="13">
      <c r="A1359" s="5" t="s">
        <v>44</v>
      </c>
      <c r="B1359" s="5" t="s">
        <v>44</v>
      </c>
      <c r="C1359" s="5" t="s">
        <v>143</v>
      </c>
      <c r="D1359" s="5" t="s">
        <v>21</v>
      </c>
      <c r="E1359" s="5" t="s">
        <v>44</v>
      </c>
      <c r="F1359" s="5" t="s">
        <v>144</v>
      </c>
      <c r="G1359" s="5" t="s">
        <v>145</v>
      </c>
      <c r="H1359" s="9" t="s">
        <v>146</v>
      </c>
      <c r="I1359" s="10"/>
      <c r="J1359" s="10">
        <v>44407</v>
      </c>
      <c r="K1359" s="5" t="s">
        <v>49</v>
      </c>
      <c r="L1359" s="5" t="s">
        <v>106</v>
      </c>
      <c r="M1359" s="11">
        <v>0.060999999999999999</v>
      </c>
      <c r="N1359" s="5" t="e">
        <f>IF(AND(M1359&gt;#REF!,Cartera!O1359="Guaraníes"),"Rendimiento significativo",IF(AND(M1359&gt;#REF!,Cartera!O1359="Dólares americanos"),"Rendimiento significativo","Rendimiento no significativo"))</f>
        <v>#REF!</v>
      </c>
      <c r="O1359" s="5" t="s">
        <v>51</v>
      </c>
      <c r="P1359" s="13">
        <v>200.54795999999999</v>
      </c>
      <c r="Q1359" s="12" t="e">
        <f>IF(O1359="Guaraníes",P1359,P1359*#REF!)</f>
        <v>#REF!</v>
      </c>
      <c r="R1359" s="12">
        <f>IF(O1359="Guaraníes",P1359/#REF!,P1359)</f>
        <v>200.54795999999999</v>
      </c>
      <c r="S1359" s="5" t="s">
        <v>52</v>
      </c>
      <c r="T1359" s="5">
        <v>1057</v>
      </c>
      <c r="W1359" s="5" t="s">
        <v>65</v>
      </c>
      <c r="X1359" s="5">
        <v>0</v>
      </c>
      <c r="Y1359" s="5">
        <v>0</v>
      </c>
      <c r="Z1359" s="5">
        <v>5.0136989999999999</v>
      </c>
      <c r="AA1359" s="5">
        <v>40</v>
      </c>
      <c r="AB1359" s="5">
        <v>200.54795999999999</v>
      </c>
      <c r="AC1359" s="5" t="str">
        <f t="shared" si="67"/>
        <v>Bonos</v>
      </c>
      <c r="AD1359" s="5" t="s">
        <v>43</v>
      </c>
      <c r="AE1359" s="5">
        <f t="shared" si="65"/>
        <v>7</v>
      </c>
      <c r="AF1359" s="5">
        <f t="shared" si="66"/>
        <v>2021</v>
      </c>
    </row>
    <row r="1360" s="5" customFormat="1" ht="13">
      <c r="A1360" s="5" t="s">
        <v>44</v>
      </c>
      <c r="B1360" s="5" t="s">
        <v>44</v>
      </c>
      <c r="C1360" s="5" t="s">
        <v>164</v>
      </c>
      <c r="D1360" s="5" t="s">
        <v>21</v>
      </c>
      <c r="E1360" s="5" t="s">
        <v>44</v>
      </c>
      <c r="F1360" s="5" t="s">
        <v>68</v>
      </c>
      <c r="G1360" s="5" t="s">
        <v>145</v>
      </c>
      <c r="H1360" s="9" t="s">
        <v>165</v>
      </c>
      <c r="I1360" s="10"/>
      <c r="J1360" s="10">
        <v>44407</v>
      </c>
      <c r="K1360" s="5" t="s">
        <v>124</v>
      </c>
      <c r="L1360" s="5" t="s">
        <v>58</v>
      </c>
      <c r="M1360" s="11">
        <v>0.10000000000000001</v>
      </c>
      <c r="N1360" s="5" t="e">
        <f>IF(AND(M1360&gt;#REF!,Cartera!O1360="Guaraníes"),"Rendimiento significativo",IF(AND(M1360&gt;#REF!,Cartera!O1360="Dólares americanos"),"Rendimiento significativo","Rendimiento no significativo"))</f>
        <v>#REF!</v>
      </c>
      <c r="O1360" s="5" t="s">
        <v>41</v>
      </c>
      <c r="P1360" s="12">
        <v>3287671.2328000003</v>
      </c>
      <c r="Q1360" s="12">
        <f>IF(O1360="Guaraníes",P1360,P1360*#REF!)</f>
        <v>3287671.2328000003</v>
      </c>
      <c r="R1360" s="12" t="e">
        <f>IF(O1360="Guaraníes",P1360/#REF!,P1360)</f>
        <v>#REF!</v>
      </c>
      <c r="S1360" s="5" t="s">
        <v>52</v>
      </c>
      <c r="T1360" s="5">
        <v>1057</v>
      </c>
      <c r="W1360" s="5" t="s">
        <v>65</v>
      </c>
      <c r="X1360" s="5">
        <v>0</v>
      </c>
      <c r="Y1360" s="5">
        <v>0</v>
      </c>
      <c r="Z1360" s="5">
        <v>8219.1780820000004</v>
      </c>
      <c r="AA1360" s="5">
        <v>400</v>
      </c>
      <c r="AB1360" s="5">
        <v>3287671.2327999999</v>
      </c>
      <c r="AC1360" s="5" t="str">
        <f t="shared" si="67"/>
        <v>Bonos</v>
      </c>
      <c r="AD1360" s="5" t="s">
        <v>43</v>
      </c>
      <c r="AE1360" s="5">
        <f t="shared" si="65"/>
        <v>7</v>
      </c>
      <c r="AF1360" s="5">
        <f t="shared" si="66"/>
        <v>2021</v>
      </c>
    </row>
    <row r="1361" s="5" customFormat="1" ht="13">
      <c r="A1361" s="5" t="s">
        <v>44</v>
      </c>
      <c r="B1361" s="5" t="s">
        <v>44</v>
      </c>
      <c r="C1361" s="5" t="s">
        <v>45</v>
      </c>
      <c r="D1361" s="5" t="s">
        <v>21</v>
      </c>
      <c r="E1361" s="5" t="s">
        <v>44</v>
      </c>
      <c r="F1361" s="5" t="s">
        <v>46</v>
      </c>
      <c r="G1361" s="5" t="s">
        <v>145</v>
      </c>
      <c r="H1361" s="9" t="s">
        <v>359</v>
      </c>
      <c r="I1361" s="10"/>
      <c r="J1361" s="10">
        <v>44427</v>
      </c>
      <c r="K1361" s="5" t="s">
        <v>49</v>
      </c>
      <c r="L1361" s="5" t="s">
        <v>50</v>
      </c>
      <c r="M1361" s="11">
        <v>0.070000000000000007</v>
      </c>
      <c r="N1361" s="5" t="e">
        <f>IF(AND(M1361&gt;#REF!,Cartera!O1361="Guaraníes"),"Rendimiento significativo",IF(AND(M1361&gt;#REF!,Cartera!O1361="Dólares americanos"),"Rendimiento significativo","Rendimiento no significativo"))</f>
        <v>#REF!</v>
      </c>
      <c r="O1361" s="5" t="s">
        <v>51</v>
      </c>
      <c r="P1361" s="13">
        <v>149.58904000000001</v>
      </c>
      <c r="Q1361" s="12" t="e">
        <f>IF(O1361="Guaraníes",P1361,P1361*#REF!)</f>
        <v>#REF!</v>
      </c>
      <c r="R1361" s="12">
        <f>IF(O1361="Guaraníes",P1361/#REF!,P1361)</f>
        <v>149.58904000000001</v>
      </c>
      <c r="S1361" s="5" t="s">
        <v>52</v>
      </c>
      <c r="T1361" s="5">
        <v>1057</v>
      </c>
      <c r="W1361" s="5" t="s">
        <v>65</v>
      </c>
      <c r="X1361" s="5">
        <v>0</v>
      </c>
      <c r="Y1361" s="5">
        <v>0</v>
      </c>
      <c r="Z1361" s="5">
        <v>14.958904</v>
      </c>
      <c r="AA1361" s="5">
        <v>10</v>
      </c>
      <c r="AB1361" s="5">
        <v>149.58904000000001</v>
      </c>
      <c r="AC1361" s="5" t="str">
        <f t="shared" si="67"/>
        <v>Bonos</v>
      </c>
      <c r="AD1361" s="5" t="s">
        <v>43</v>
      </c>
      <c r="AE1361" s="5">
        <f t="shared" si="65"/>
        <v>8</v>
      </c>
      <c r="AF1361" s="5">
        <f t="shared" si="66"/>
        <v>2021</v>
      </c>
    </row>
    <row r="1362" s="5" customFormat="1" ht="13">
      <c r="A1362" s="5" t="s">
        <v>44</v>
      </c>
      <c r="B1362" s="5" t="s">
        <v>44</v>
      </c>
      <c r="C1362" s="5" t="s">
        <v>143</v>
      </c>
      <c r="D1362" s="5" t="s">
        <v>21</v>
      </c>
      <c r="E1362" s="5" t="s">
        <v>44</v>
      </c>
      <c r="F1362" s="5" t="s">
        <v>144</v>
      </c>
      <c r="G1362" s="5" t="s">
        <v>145</v>
      </c>
      <c r="H1362" s="9" t="s">
        <v>272</v>
      </c>
      <c r="I1362" s="10">
        <v>43532</v>
      </c>
      <c r="J1362" s="10">
        <v>44439</v>
      </c>
      <c r="K1362" s="5" t="s">
        <v>49</v>
      </c>
      <c r="L1362" s="5" t="s">
        <v>106</v>
      </c>
      <c r="M1362" s="11">
        <v>0.057500000000000002</v>
      </c>
      <c r="N1362" s="5" t="e">
        <f>IF(AND(M1362&gt;#REF!,Cartera!O1362="Guaraníes"),"Rendimiento significativo",IF(AND(M1362&gt;#REF!,Cartera!O1362="Dólares americanos"),"Rendimiento significativo","Rendimiento no significativo"))</f>
        <v>#REF!</v>
      </c>
      <c r="O1362" s="5" t="s">
        <v>51</v>
      </c>
      <c r="P1362" s="13">
        <v>50.410959999999996</v>
      </c>
      <c r="Q1362" s="12" t="e">
        <f>IF(O1362="Guaraníes",P1362,P1362*#REF!)</f>
        <v>#REF!</v>
      </c>
      <c r="R1362" s="12">
        <f>IF(O1362="Guaraníes",P1362/#REF!,P1362)</f>
        <v>50.410959999999996</v>
      </c>
      <c r="S1362" s="5" t="s">
        <v>52</v>
      </c>
      <c r="T1362" s="5">
        <v>1057</v>
      </c>
      <c r="W1362" s="5" t="s">
        <v>65</v>
      </c>
      <c r="X1362" s="5">
        <v>0</v>
      </c>
      <c r="Y1362" s="5">
        <v>0</v>
      </c>
      <c r="Z1362" s="5">
        <v>5.0410959999999996</v>
      </c>
      <c r="AA1362" s="5">
        <v>10</v>
      </c>
      <c r="AB1362" s="5">
        <v>50.410960000000003</v>
      </c>
      <c r="AC1362" s="5" t="str">
        <f t="shared" si="67"/>
        <v>Bonos</v>
      </c>
      <c r="AD1362" s="5" t="s">
        <v>43</v>
      </c>
      <c r="AE1362" s="5">
        <f t="shared" ref="AE1362:AE1425" si="68">IFERROR((MONTH(J1362)),0)</f>
        <v>8</v>
      </c>
      <c r="AF1362" s="5">
        <f t="shared" ref="AF1362:AF1425" si="69">IFERROR((YEAR(J1362)),0)</f>
        <v>2021</v>
      </c>
    </row>
    <row r="1363" s="5" customFormat="1" ht="13">
      <c r="A1363" s="5" t="s">
        <v>44</v>
      </c>
      <c r="B1363" s="5" t="s">
        <v>44</v>
      </c>
      <c r="C1363" s="5" t="s">
        <v>143</v>
      </c>
      <c r="D1363" s="5" t="s">
        <v>21</v>
      </c>
      <c r="E1363" s="5" t="s">
        <v>44</v>
      </c>
      <c r="F1363" s="5" t="s">
        <v>144</v>
      </c>
      <c r="G1363" s="5" t="s">
        <v>145</v>
      </c>
      <c r="H1363" s="9" t="s">
        <v>146</v>
      </c>
      <c r="I1363" s="10"/>
      <c r="J1363" s="10">
        <v>44439</v>
      </c>
      <c r="K1363" s="5" t="s">
        <v>49</v>
      </c>
      <c r="L1363" s="5" t="s">
        <v>106</v>
      </c>
      <c r="M1363" s="11">
        <v>0.060999999999999999</v>
      </c>
      <c r="N1363" s="5" t="e">
        <f>IF(AND(M1363&gt;#REF!,Cartera!O1363="Guaraníes"),"Rendimiento significativo",IF(AND(M1363&gt;#REF!,Cartera!O1363="Dólares americanos"),"Rendimiento significativo","Rendimiento no significativo"))</f>
        <v>#REF!</v>
      </c>
      <c r="O1363" s="5" t="s">
        <v>51</v>
      </c>
      <c r="P1363" s="13">
        <v>213.9178</v>
      </c>
      <c r="Q1363" s="12" t="e">
        <f>IF(O1363="Guaraníes",P1363,P1363*#REF!)</f>
        <v>#REF!</v>
      </c>
      <c r="R1363" s="12">
        <f>IF(O1363="Guaraníes",P1363/#REF!,P1363)</f>
        <v>213.9178</v>
      </c>
      <c r="S1363" s="5" t="s">
        <v>52</v>
      </c>
      <c r="T1363" s="5">
        <v>1057</v>
      </c>
      <c r="W1363" s="5" t="s">
        <v>65</v>
      </c>
      <c r="X1363" s="5">
        <v>0</v>
      </c>
      <c r="Y1363" s="5">
        <v>0</v>
      </c>
      <c r="Z1363" s="5">
        <v>5.3479450000000002</v>
      </c>
      <c r="AA1363" s="5">
        <v>40</v>
      </c>
      <c r="AB1363" s="5">
        <v>213.9178</v>
      </c>
      <c r="AC1363" s="5" t="str">
        <f t="shared" si="67"/>
        <v>Bonos</v>
      </c>
      <c r="AD1363" s="5" t="s">
        <v>43</v>
      </c>
      <c r="AE1363" s="5">
        <f t="shared" si="68"/>
        <v>8</v>
      </c>
      <c r="AF1363" s="5">
        <f t="shared" si="69"/>
        <v>2021</v>
      </c>
    </row>
    <row r="1364" s="5" customFormat="1" ht="13">
      <c r="A1364" s="5" t="s">
        <v>44</v>
      </c>
      <c r="B1364" s="5" t="s">
        <v>44</v>
      </c>
      <c r="C1364" s="5" t="s">
        <v>164</v>
      </c>
      <c r="D1364" s="5" t="s">
        <v>21</v>
      </c>
      <c r="E1364" s="5" t="s">
        <v>44</v>
      </c>
      <c r="F1364" s="5" t="s">
        <v>68</v>
      </c>
      <c r="G1364" s="5" t="s">
        <v>145</v>
      </c>
      <c r="H1364" s="9" t="s">
        <v>165</v>
      </c>
      <c r="I1364" s="10"/>
      <c r="J1364" s="10">
        <v>44439</v>
      </c>
      <c r="K1364" s="5" t="s">
        <v>124</v>
      </c>
      <c r="L1364" s="5" t="s">
        <v>58</v>
      </c>
      <c r="M1364" s="11">
        <v>0.10000000000000001</v>
      </c>
      <c r="N1364" s="5" t="e">
        <f>IF(AND(M1364&gt;#REF!,Cartera!O1364="Guaraníes"),"Rendimiento significativo",IF(AND(M1364&gt;#REF!,Cartera!O1364="Dólares americanos"),"Rendimiento significativo","Rendimiento no significativo"))</f>
        <v>#REF!</v>
      </c>
      <c r="O1364" s="5" t="s">
        <v>41</v>
      </c>
      <c r="P1364" s="12">
        <v>3506849.3152000001</v>
      </c>
      <c r="Q1364" s="12">
        <f>IF(O1364="Guaraníes",P1364,P1364*#REF!)</f>
        <v>3506849.3152000001</v>
      </c>
      <c r="R1364" s="12" t="e">
        <f>IF(O1364="Guaraníes",P1364/#REF!,P1364)</f>
        <v>#REF!</v>
      </c>
      <c r="S1364" s="5" t="s">
        <v>52</v>
      </c>
      <c r="T1364" s="5">
        <v>1057</v>
      </c>
      <c r="W1364" s="5" t="s">
        <v>65</v>
      </c>
      <c r="X1364" s="5">
        <v>0</v>
      </c>
      <c r="Y1364" s="5">
        <v>0</v>
      </c>
      <c r="Z1364" s="5">
        <v>8767.1232880000007</v>
      </c>
      <c r="AA1364" s="5">
        <v>400</v>
      </c>
      <c r="AB1364" s="5">
        <v>3506849.3152000001</v>
      </c>
      <c r="AC1364" s="5" t="str">
        <f t="shared" si="67"/>
        <v>Bonos</v>
      </c>
      <c r="AD1364" s="5" t="s">
        <v>43</v>
      </c>
      <c r="AE1364" s="5">
        <f t="shared" si="68"/>
        <v>8</v>
      </c>
      <c r="AF1364" s="5">
        <f t="shared" si="69"/>
        <v>2021</v>
      </c>
    </row>
    <row r="1365" s="5" customFormat="1" ht="13">
      <c r="A1365" s="5" t="s">
        <v>44</v>
      </c>
      <c r="B1365" s="5" t="s">
        <v>44</v>
      </c>
      <c r="C1365" s="5" t="s">
        <v>304</v>
      </c>
      <c r="D1365" s="5" t="s">
        <v>21</v>
      </c>
      <c r="E1365" s="5" t="s">
        <v>44</v>
      </c>
      <c r="F1365" s="5" t="s">
        <v>68</v>
      </c>
      <c r="G1365" s="5" t="s">
        <v>145</v>
      </c>
      <c r="H1365" s="9" t="s">
        <v>363</v>
      </c>
      <c r="I1365" s="10"/>
      <c r="J1365" s="10">
        <v>44447</v>
      </c>
      <c r="K1365" s="5" t="s">
        <v>39</v>
      </c>
      <c r="L1365" s="5" t="s">
        <v>58</v>
      </c>
      <c r="M1365" s="11">
        <v>0.089999999999999997</v>
      </c>
      <c r="N1365" s="5" t="e">
        <f>IF(AND(M1365&gt;#REF!,Cartera!O1365="Guaraníes"),"Rendimiento significativo",IF(AND(M1365&gt;#REF!,Cartera!O1365="Dólares americanos"),"Rendimiento significativo","Rendimiento no significativo"))</f>
        <v>#REF!</v>
      </c>
      <c r="O1365" s="5" t="s">
        <v>41</v>
      </c>
      <c r="P1365" s="12">
        <v>8975342.4656000007</v>
      </c>
      <c r="Q1365" s="12">
        <f>IF(O1365="Guaraníes",P1365,P1365*#REF!)</f>
        <v>8975342.4656000007</v>
      </c>
      <c r="R1365" s="12" t="e">
        <f>IF(O1365="Guaraníes",P1365/#REF!,P1365)</f>
        <v>#REF!</v>
      </c>
      <c r="S1365" s="5" t="s">
        <v>52</v>
      </c>
      <c r="T1365" s="5">
        <v>1057</v>
      </c>
      <c r="W1365" s="5" t="s">
        <v>65</v>
      </c>
      <c r="X1365" s="5">
        <v>0</v>
      </c>
      <c r="Y1365" s="5">
        <v>0</v>
      </c>
      <c r="Z1365" s="5">
        <v>22438.356164000001</v>
      </c>
      <c r="AA1365" s="5">
        <v>400</v>
      </c>
      <c r="AB1365" s="5">
        <v>8975342.4656000007</v>
      </c>
      <c r="AC1365" s="5" t="str">
        <f t="shared" si="67"/>
        <v>Bonos</v>
      </c>
      <c r="AD1365" s="5" t="s">
        <v>43</v>
      </c>
      <c r="AE1365" s="5">
        <f t="shared" si="68"/>
        <v>9</v>
      </c>
      <c r="AF1365" s="5">
        <f t="shared" si="69"/>
        <v>2021</v>
      </c>
    </row>
    <row r="1366" s="5" customFormat="1" ht="13">
      <c r="A1366" s="5" t="s">
        <v>44</v>
      </c>
      <c r="B1366" s="5" t="s">
        <v>44</v>
      </c>
      <c r="C1366" s="5" t="s">
        <v>304</v>
      </c>
      <c r="D1366" s="5" t="s">
        <v>21</v>
      </c>
      <c r="E1366" s="5" t="s">
        <v>44</v>
      </c>
      <c r="F1366" s="5" t="s">
        <v>68</v>
      </c>
      <c r="G1366" s="5" t="s">
        <v>145</v>
      </c>
      <c r="H1366" s="9" t="s">
        <v>305</v>
      </c>
      <c r="I1366" s="10"/>
      <c r="J1366" s="10">
        <v>44461</v>
      </c>
      <c r="K1366" s="5" t="s">
        <v>39</v>
      </c>
      <c r="L1366" s="5" t="s">
        <v>58</v>
      </c>
      <c r="M1366" s="11">
        <v>0.089999999999999997</v>
      </c>
      <c r="N1366" s="5" t="e">
        <f>IF(AND(M1366&gt;#REF!,Cartera!O1366="Guaraníes"),"Rendimiento significativo",IF(AND(M1366&gt;#REF!,Cartera!O1366="Dólares americanos"),"Rendimiento significativo","Rendimiento no significativo"))</f>
        <v>#REF!</v>
      </c>
      <c r="O1366" s="5" t="s">
        <v>41</v>
      </c>
      <c r="P1366" s="12">
        <v>673150.68492000003</v>
      </c>
      <c r="Q1366" s="12">
        <f>IF(O1366="Guaraníes",P1366,P1366*#REF!)</f>
        <v>673150.68492000003</v>
      </c>
      <c r="R1366" s="12" t="e">
        <f>IF(O1366="Guaraníes",P1366/#REF!,P1366)</f>
        <v>#REF!</v>
      </c>
      <c r="S1366" s="5" t="s">
        <v>52</v>
      </c>
      <c r="T1366" s="5">
        <v>1057</v>
      </c>
      <c r="W1366" s="5" t="s">
        <v>65</v>
      </c>
      <c r="X1366" s="5">
        <v>0</v>
      </c>
      <c r="Y1366" s="5">
        <v>0</v>
      </c>
      <c r="Z1366" s="5">
        <v>22438.356164000001</v>
      </c>
      <c r="AA1366" s="5">
        <v>30</v>
      </c>
      <c r="AB1366" s="5">
        <v>673150.68492000003</v>
      </c>
      <c r="AC1366" s="5" t="str">
        <f t="shared" si="67"/>
        <v>Bonos</v>
      </c>
      <c r="AD1366" s="5" t="s">
        <v>43</v>
      </c>
      <c r="AE1366" s="5">
        <f t="shared" si="68"/>
        <v>9</v>
      </c>
      <c r="AF1366" s="5">
        <f t="shared" si="69"/>
        <v>2021</v>
      </c>
    </row>
    <row r="1367" s="5" customFormat="1" ht="13">
      <c r="A1367" s="5" t="s">
        <v>44</v>
      </c>
      <c r="B1367" s="5" t="s">
        <v>44</v>
      </c>
      <c r="C1367" s="5" t="s">
        <v>143</v>
      </c>
      <c r="D1367" s="5" t="s">
        <v>21</v>
      </c>
      <c r="E1367" s="5" t="s">
        <v>44</v>
      </c>
      <c r="F1367" s="5" t="s">
        <v>144</v>
      </c>
      <c r="G1367" s="5" t="s">
        <v>145</v>
      </c>
      <c r="H1367" s="9" t="s">
        <v>272</v>
      </c>
      <c r="I1367" s="10">
        <v>43532</v>
      </c>
      <c r="J1367" s="10">
        <v>44469</v>
      </c>
      <c r="K1367" s="5" t="s">
        <v>49</v>
      </c>
      <c r="L1367" s="5" t="s">
        <v>106</v>
      </c>
      <c r="M1367" s="11">
        <v>0.057500000000000002</v>
      </c>
      <c r="N1367" s="5" t="e">
        <f>IF(AND(M1367&gt;#REF!,Cartera!O1367="Guaraníes"),"Rendimiento significativo",IF(AND(M1367&gt;#REF!,Cartera!O1367="Dólares americanos"),"Rendimiento significativo","Rendimiento no significativo"))</f>
        <v>#REF!</v>
      </c>
      <c r="O1367" s="5" t="s">
        <v>51</v>
      </c>
      <c r="P1367" s="13">
        <v>47.260270000000006</v>
      </c>
      <c r="Q1367" s="12" t="e">
        <f>IF(O1367="Guaraníes",P1367,P1367*#REF!)</f>
        <v>#REF!</v>
      </c>
      <c r="R1367" s="12">
        <f>IF(O1367="Guaraníes",P1367/#REF!,P1367)</f>
        <v>47.260270000000006</v>
      </c>
      <c r="S1367" s="5" t="s">
        <v>52</v>
      </c>
      <c r="T1367" s="5">
        <v>1057</v>
      </c>
      <c r="W1367" s="5" t="s">
        <v>65</v>
      </c>
      <c r="X1367" s="5">
        <v>0</v>
      </c>
      <c r="Y1367" s="5">
        <v>0</v>
      </c>
      <c r="Z1367" s="5">
        <v>4.7260270000000002</v>
      </c>
      <c r="AA1367" s="5">
        <v>10</v>
      </c>
      <c r="AB1367" s="5">
        <v>47.260269999999998</v>
      </c>
      <c r="AC1367" s="5" t="str">
        <f t="shared" si="67"/>
        <v>Bonos</v>
      </c>
      <c r="AD1367" s="5" t="s">
        <v>43</v>
      </c>
      <c r="AE1367" s="5">
        <f t="shared" si="68"/>
        <v>9</v>
      </c>
      <c r="AF1367" s="5">
        <f t="shared" si="69"/>
        <v>2021</v>
      </c>
    </row>
    <row r="1368" s="5" customFormat="1" ht="13">
      <c r="A1368" s="5" t="s">
        <v>44</v>
      </c>
      <c r="B1368" s="5" t="s">
        <v>44</v>
      </c>
      <c r="C1368" s="5" t="s">
        <v>143</v>
      </c>
      <c r="D1368" s="5" t="s">
        <v>21</v>
      </c>
      <c r="E1368" s="5" t="s">
        <v>44</v>
      </c>
      <c r="F1368" s="5" t="s">
        <v>144</v>
      </c>
      <c r="G1368" s="5" t="s">
        <v>145</v>
      </c>
      <c r="H1368" s="9" t="s">
        <v>146</v>
      </c>
      <c r="I1368" s="10"/>
      <c r="J1368" s="10">
        <v>44469</v>
      </c>
      <c r="K1368" s="5" t="s">
        <v>49</v>
      </c>
      <c r="L1368" s="5" t="s">
        <v>106</v>
      </c>
      <c r="M1368" s="11">
        <v>0.060999999999999999</v>
      </c>
      <c r="N1368" s="5" t="e">
        <f>IF(AND(M1368&gt;#REF!,Cartera!O1368="Guaraníes"),"Rendimiento significativo",IF(AND(M1368&gt;#REF!,Cartera!O1368="Dólares americanos"),"Rendimiento significativo","Rendimiento no significativo"))</f>
        <v>#REF!</v>
      </c>
      <c r="O1368" s="5" t="s">
        <v>51</v>
      </c>
      <c r="P1368" s="13">
        <v>200.54795999999999</v>
      </c>
      <c r="Q1368" s="12" t="e">
        <f>IF(O1368="Guaraníes",P1368,P1368*#REF!)</f>
        <v>#REF!</v>
      </c>
      <c r="R1368" s="12">
        <f>IF(O1368="Guaraníes",P1368/#REF!,P1368)</f>
        <v>200.54795999999999</v>
      </c>
      <c r="S1368" s="5" t="s">
        <v>52</v>
      </c>
      <c r="T1368" s="5">
        <v>1057</v>
      </c>
      <c r="W1368" s="5" t="s">
        <v>65</v>
      </c>
      <c r="X1368" s="5">
        <v>0</v>
      </c>
      <c r="Y1368" s="5">
        <v>0</v>
      </c>
      <c r="Z1368" s="5">
        <v>5.0136989999999999</v>
      </c>
      <c r="AA1368" s="5">
        <v>40</v>
      </c>
      <c r="AB1368" s="5">
        <v>200.54795999999999</v>
      </c>
      <c r="AC1368" s="5" t="str">
        <f t="shared" si="67"/>
        <v>Bonos</v>
      </c>
      <c r="AD1368" s="5" t="s">
        <v>43</v>
      </c>
      <c r="AE1368" s="5">
        <f t="shared" si="68"/>
        <v>9</v>
      </c>
      <c r="AF1368" s="5">
        <f t="shared" si="69"/>
        <v>2021</v>
      </c>
    </row>
    <row r="1369" s="5" customFormat="1" ht="13">
      <c r="A1369" s="5" t="s">
        <v>44</v>
      </c>
      <c r="B1369" s="5" t="s">
        <v>44</v>
      </c>
      <c r="C1369" s="5" t="s">
        <v>164</v>
      </c>
      <c r="D1369" s="5" t="s">
        <v>21</v>
      </c>
      <c r="E1369" s="5" t="s">
        <v>44</v>
      </c>
      <c r="F1369" s="5" t="s">
        <v>68</v>
      </c>
      <c r="G1369" s="5" t="s">
        <v>145</v>
      </c>
      <c r="H1369" s="9" t="s">
        <v>165</v>
      </c>
      <c r="I1369" s="10"/>
      <c r="J1369" s="10">
        <v>44469</v>
      </c>
      <c r="K1369" s="5" t="s">
        <v>124</v>
      </c>
      <c r="L1369" s="5" t="s">
        <v>58</v>
      </c>
      <c r="M1369" s="11">
        <v>0.10000000000000001</v>
      </c>
      <c r="N1369" s="5" t="e">
        <f>IF(AND(M1369&gt;#REF!,Cartera!O1369="Guaraníes"),"Rendimiento significativo",IF(AND(M1369&gt;#REF!,Cartera!O1369="Dólares americanos"),"Rendimiento significativo","Rendimiento no significativo"))</f>
        <v>#REF!</v>
      </c>
      <c r="O1369" s="5" t="s">
        <v>41</v>
      </c>
      <c r="P1369" s="12">
        <v>3287671.2328000003</v>
      </c>
      <c r="Q1369" s="12">
        <f>IF(O1369="Guaraníes",P1369,P1369*#REF!)</f>
        <v>3287671.2328000003</v>
      </c>
      <c r="R1369" s="12" t="e">
        <f>IF(O1369="Guaraníes",P1369/#REF!,P1369)</f>
        <v>#REF!</v>
      </c>
      <c r="S1369" s="5" t="s">
        <v>52</v>
      </c>
      <c r="T1369" s="5">
        <v>1057</v>
      </c>
      <c r="W1369" s="5" t="s">
        <v>65</v>
      </c>
      <c r="X1369" s="5">
        <v>0</v>
      </c>
      <c r="Y1369" s="5">
        <v>0</v>
      </c>
      <c r="Z1369" s="5">
        <v>8219.1780820000004</v>
      </c>
      <c r="AA1369" s="5">
        <v>400</v>
      </c>
      <c r="AB1369" s="5">
        <v>3287671.2327999999</v>
      </c>
      <c r="AC1369" s="5" t="str">
        <f t="shared" si="67"/>
        <v>Bonos</v>
      </c>
      <c r="AD1369" s="5" t="s">
        <v>43</v>
      </c>
      <c r="AE1369" s="5">
        <f t="shared" si="68"/>
        <v>9</v>
      </c>
      <c r="AF1369" s="5">
        <f t="shared" si="69"/>
        <v>2021</v>
      </c>
    </row>
    <row r="1370" s="5" customFormat="1" ht="13">
      <c r="A1370" s="5" t="s">
        <v>44</v>
      </c>
      <c r="B1370" s="5" t="s">
        <v>44</v>
      </c>
      <c r="C1370" s="5" t="s">
        <v>33</v>
      </c>
      <c r="D1370" s="5" t="s">
        <v>21</v>
      </c>
      <c r="E1370" s="5" t="s">
        <v>44</v>
      </c>
      <c r="F1370" s="5" t="s">
        <v>35</v>
      </c>
      <c r="G1370" s="5" t="s">
        <v>145</v>
      </c>
      <c r="H1370" s="9" t="s">
        <v>358</v>
      </c>
      <c r="I1370" s="10"/>
      <c r="J1370" s="10">
        <v>44491</v>
      </c>
      <c r="K1370" s="5" t="s">
        <v>39</v>
      </c>
      <c r="L1370" s="5" t="s">
        <v>50</v>
      </c>
      <c r="M1370" s="11">
        <v>0.0625</v>
      </c>
      <c r="N1370" s="5" t="e">
        <f>IF(AND(M1370&gt;#REF!,Cartera!O1370="Guaraníes"),"Rendimiento significativo",IF(AND(M1370&gt;#REF!,Cartera!O1370="Dólares americanos"),"Rendimiento significativo","Rendimiento no significativo"))</f>
        <v>#REF!</v>
      </c>
      <c r="O1370" s="5" t="s">
        <v>51</v>
      </c>
      <c r="P1370" s="13">
        <v>698.08220000000006</v>
      </c>
      <c r="Q1370" s="12" t="e">
        <f>IF(O1370="Guaraníes",P1370,P1370*#REF!)</f>
        <v>#REF!</v>
      </c>
      <c r="R1370" s="12">
        <f>IF(O1370="Guaraníes",P1370/#REF!,P1370)</f>
        <v>698.08220000000006</v>
      </c>
      <c r="S1370" s="5" t="s">
        <v>52</v>
      </c>
      <c r="T1370" s="5">
        <v>1057</v>
      </c>
      <c r="W1370" s="5" t="s">
        <v>65</v>
      </c>
      <c r="X1370" s="5">
        <v>0</v>
      </c>
      <c r="Y1370" s="5">
        <v>0</v>
      </c>
      <c r="Z1370" s="5">
        <v>34.904110000000003</v>
      </c>
      <c r="AA1370" s="5">
        <v>20</v>
      </c>
      <c r="AB1370" s="5">
        <v>698.08219999999994</v>
      </c>
      <c r="AC1370" s="5" t="str">
        <f t="shared" si="67"/>
        <v>Bonos</v>
      </c>
      <c r="AD1370" s="5" t="s">
        <v>43</v>
      </c>
      <c r="AE1370" s="5">
        <f t="shared" si="68"/>
        <v>10</v>
      </c>
      <c r="AF1370" s="5">
        <f t="shared" si="69"/>
        <v>2021</v>
      </c>
    </row>
    <row r="1371" s="5" customFormat="1" ht="13">
      <c r="A1371" s="5" t="s">
        <v>44</v>
      </c>
      <c r="B1371" s="5" t="s">
        <v>44</v>
      </c>
      <c r="C1371" s="5" t="s">
        <v>143</v>
      </c>
      <c r="D1371" s="5" t="s">
        <v>21</v>
      </c>
      <c r="E1371" s="5" t="s">
        <v>44</v>
      </c>
      <c r="F1371" s="5" t="s">
        <v>144</v>
      </c>
      <c r="G1371" s="5" t="s">
        <v>145</v>
      </c>
      <c r="H1371" s="9" t="s">
        <v>272</v>
      </c>
      <c r="I1371" s="10">
        <v>43532</v>
      </c>
      <c r="J1371" s="10">
        <v>44498</v>
      </c>
      <c r="K1371" s="5" t="s">
        <v>49</v>
      </c>
      <c r="L1371" s="5" t="s">
        <v>106</v>
      </c>
      <c r="M1371" s="11">
        <v>0.057500000000000002</v>
      </c>
      <c r="N1371" s="5" t="e">
        <f>IF(AND(M1371&gt;#REF!,Cartera!O1371="Guaraníes"),"Rendimiento significativo",IF(AND(M1371&gt;#REF!,Cartera!O1371="Dólares americanos"),"Rendimiento significativo","Rendimiento no significativo"))</f>
        <v>#REF!</v>
      </c>
      <c r="O1371" s="5" t="s">
        <v>51</v>
      </c>
      <c r="P1371" s="13">
        <v>45.684930000000001</v>
      </c>
      <c r="Q1371" s="12" t="e">
        <f>IF(O1371="Guaraníes",P1371,P1371*#REF!)</f>
        <v>#REF!</v>
      </c>
      <c r="R1371" s="12">
        <f>IF(O1371="Guaraníes",P1371/#REF!,P1371)</f>
        <v>45.684930000000001</v>
      </c>
      <c r="S1371" s="5" t="s">
        <v>52</v>
      </c>
      <c r="T1371" s="5">
        <v>1057</v>
      </c>
      <c r="W1371" s="5" t="s">
        <v>65</v>
      </c>
      <c r="X1371" s="5">
        <v>0</v>
      </c>
      <c r="Y1371" s="5">
        <v>0</v>
      </c>
      <c r="Z1371" s="5">
        <v>4.5684930000000001</v>
      </c>
      <c r="AA1371" s="5">
        <v>10</v>
      </c>
      <c r="AB1371" s="5">
        <v>45.684930000000001</v>
      </c>
      <c r="AC1371" s="5" t="str">
        <f t="shared" si="67"/>
        <v>Bonos</v>
      </c>
      <c r="AD1371" s="5" t="s">
        <v>43</v>
      </c>
      <c r="AE1371" s="5">
        <f t="shared" si="68"/>
        <v>10</v>
      </c>
      <c r="AF1371" s="5">
        <f t="shared" si="69"/>
        <v>2021</v>
      </c>
    </row>
    <row r="1372" s="5" customFormat="1" ht="13">
      <c r="A1372" s="5" t="s">
        <v>44</v>
      </c>
      <c r="B1372" s="5" t="s">
        <v>44</v>
      </c>
      <c r="C1372" s="5" t="s">
        <v>143</v>
      </c>
      <c r="D1372" s="5" t="s">
        <v>21</v>
      </c>
      <c r="E1372" s="5" t="s">
        <v>44</v>
      </c>
      <c r="F1372" s="5" t="s">
        <v>144</v>
      </c>
      <c r="G1372" s="5" t="s">
        <v>145</v>
      </c>
      <c r="H1372" s="9" t="s">
        <v>146</v>
      </c>
      <c r="I1372" s="10"/>
      <c r="J1372" s="10">
        <v>44498</v>
      </c>
      <c r="K1372" s="5" t="s">
        <v>49</v>
      </c>
      <c r="L1372" s="5" t="s">
        <v>106</v>
      </c>
      <c r="M1372" s="11">
        <v>0.060999999999999999</v>
      </c>
      <c r="N1372" s="5" t="e">
        <f>IF(AND(M1372&gt;#REF!,Cartera!O1372="Guaraníes"),"Rendimiento significativo",IF(AND(M1372&gt;#REF!,Cartera!O1372="Dólares americanos"),"Rendimiento significativo","Rendimiento no significativo"))</f>
        <v>#REF!</v>
      </c>
      <c r="O1372" s="5" t="s">
        <v>51</v>
      </c>
      <c r="P1372" s="13">
        <v>193.863</v>
      </c>
      <c r="Q1372" s="12" t="e">
        <f>IF(O1372="Guaraníes",P1372,P1372*#REF!)</f>
        <v>#REF!</v>
      </c>
      <c r="R1372" s="12">
        <f>IF(O1372="Guaraníes",P1372/#REF!,P1372)</f>
        <v>193.863</v>
      </c>
      <c r="S1372" s="5" t="s">
        <v>52</v>
      </c>
      <c r="T1372" s="5">
        <v>1057</v>
      </c>
      <c r="W1372" s="5" t="s">
        <v>65</v>
      </c>
      <c r="X1372" s="5">
        <v>0</v>
      </c>
      <c r="Y1372" s="5">
        <v>0</v>
      </c>
      <c r="Z1372" s="5">
        <v>4.8465749999999996</v>
      </c>
      <c r="AA1372" s="5">
        <v>40</v>
      </c>
      <c r="AB1372" s="5">
        <v>193.863</v>
      </c>
      <c r="AC1372" s="5" t="str">
        <f t="shared" si="67"/>
        <v>Bonos</v>
      </c>
      <c r="AD1372" s="5" t="s">
        <v>43</v>
      </c>
      <c r="AE1372" s="5">
        <f t="shared" si="68"/>
        <v>10</v>
      </c>
      <c r="AF1372" s="5">
        <f t="shared" si="69"/>
        <v>2021</v>
      </c>
    </row>
    <row r="1373" s="5" customFormat="1" ht="13">
      <c r="A1373" s="5" t="s">
        <v>44</v>
      </c>
      <c r="B1373" s="5" t="s">
        <v>44</v>
      </c>
      <c r="C1373" s="5" t="s">
        <v>164</v>
      </c>
      <c r="D1373" s="5" t="s">
        <v>21</v>
      </c>
      <c r="E1373" s="5" t="s">
        <v>44</v>
      </c>
      <c r="F1373" s="5" t="s">
        <v>68</v>
      </c>
      <c r="G1373" s="5" t="s">
        <v>145</v>
      </c>
      <c r="H1373" s="9" t="s">
        <v>165</v>
      </c>
      <c r="I1373" s="10"/>
      <c r="J1373" s="10">
        <v>44498</v>
      </c>
      <c r="K1373" s="5" t="s">
        <v>124</v>
      </c>
      <c r="L1373" s="5" t="s">
        <v>58</v>
      </c>
      <c r="M1373" s="11">
        <v>0.10000000000000001</v>
      </c>
      <c r="N1373" s="5" t="e">
        <f>IF(AND(M1373&gt;#REF!,Cartera!O1373="Guaraníes"),"Rendimiento significativo",IF(AND(M1373&gt;#REF!,Cartera!O1373="Dólares americanos"),"Rendimiento significativo","Rendimiento no significativo"))</f>
        <v>#REF!</v>
      </c>
      <c r="O1373" s="5" t="s">
        <v>41</v>
      </c>
      <c r="P1373" s="12">
        <v>3178082.1916</v>
      </c>
      <c r="Q1373" s="12">
        <f>IF(O1373="Guaraníes",P1373,P1373*#REF!)</f>
        <v>3178082.1916</v>
      </c>
      <c r="R1373" s="12" t="e">
        <f>IF(O1373="Guaraníes",P1373/#REF!,P1373)</f>
        <v>#REF!</v>
      </c>
      <c r="S1373" s="5" t="s">
        <v>52</v>
      </c>
      <c r="T1373" s="5">
        <v>1057</v>
      </c>
      <c r="W1373" s="5" t="s">
        <v>65</v>
      </c>
      <c r="X1373" s="5">
        <v>0</v>
      </c>
      <c r="Y1373" s="5">
        <v>0</v>
      </c>
      <c r="Z1373" s="5">
        <v>7945.2054790000002</v>
      </c>
      <c r="AA1373" s="5">
        <v>400</v>
      </c>
      <c r="AB1373" s="5">
        <v>3178082.1916</v>
      </c>
      <c r="AC1373" s="5" t="str">
        <f t="shared" si="67"/>
        <v>Bonos</v>
      </c>
      <c r="AD1373" s="5" t="s">
        <v>43</v>
      </c>
      <c r="AE1373" s="5">
        <f t="shared" si="68"/>
        <v>10</v>
      </c>
      <c r="AF1373" s="5">
        <f t="shared" si="69"/>
        <v>2021</v>
      </c>
    </row>
    <row r="1374" s="5" customFormat="1" ht="13">
      <c r="A1374" s="5" t="s">
        <v>44</v>
      </c>
      <c r="B1374" s="5" t="s">
        <v>44</v>
      </c>
      <c r="C1374" s="5" t="s">
        <v>45</v>
      </c>
      <c r="D1374" s="5" t="s">
        <v>21</v>
      </c>
      <c r="E1374" s="5" t="s">
        <v>44</v>
      </c>
      <c r="F1374" s="5" t="s">
        <v>46</v>
      </c>
      <c r="G1374" s="5" t="s">
        <v>145</v>
      </c>
      <c r="H1374" s="9" t="s">
        <v>359</v>
      </c>
      <c r="I1374" s="10"/>
      <c r="J1374" s="10">
        <v>44518</v>
      </c>
      <c r="K1374" s="5" t="s">
        <v>49</v>
      </c>
      <c r="L1374" s="5" t="s">
        <v>50</v>
      </c>
      <c r="M1374" s="11">
        <v>0.070000000000000007</v>
      </c>
      <c r="N1374" s="5" t="e">
        <f>IF(AND(M1374&gt;#REF!,Cartera!O1374="Guaraníes"),"Rendimiento significativo",IF(AND(M1374&gt;#REF!,Cartera!O1374="Dólares americanos"),"Rendimiento significativo","Rendimiento no significativo"))</f>
        <v>#REF!</v>
      </c>
      <c r="O1374" s="5" t="s">
        <v>51</v>
      </c>
      <c r="P1374" s="13">
        <v>149.58904000000001</v>
      </c>
      <c r="Q1374" s="12" t="e">
        <f>IF(O1374="Guaraníes",P1374,P1374*#REF!)</f>
        <v>#REF!</v>
      </c>
      <c r="R1374" s="12">
        <f>IF(O1374="Guaraníes",P1374/#REF!,P1374)</f>
        <v>149.58904000000001</v>
      </c>
      <c r="S1374" s="5" t="s">
        <v>52</v>
      </c>
      <c r="T1374" s="5">
        <v>1057</v>
      </c>
      <c r="W1374" s="5" t="s">
        <v>65</v>
      </c>
      <c r="X1374" s="5">
        <v>0</v>
      </c>
      <c r="Y1374" s="5">
        <v>0</v>
      </c>
      <c r="Z1374" s="5">
        <v>14.958904</v>
      </c>
      <c r="AA1374" s="5">
        <v>10</v>
      </c>
      <c r="AB1374" s="5">
        <v>149.58904000000001</v>
      </c>
      <c r="AC1374" s="5" t="str">
        <f t="shared" si="67"/>
        <v>Bonos</v>
      </c>
      <c r="AD1374" s="5" t="s">
        <v>43</v>
      </c>
      <c r="AE1374" s="5">
        <f t="shared" si="68"/>
        <v>11</v>
      </c>
      <c r="AF1374" s="5">
        <f t="shared" si="69"/>
        <v>2021</v>
      </c>
    </row>
    <row r="1375" s="5" customFormat="1" ht="13">
      <c r="A1375" s="5" t="s">
        <v>44</v>
      </c>
      <c r="B1375" s="5" t="s">
        <v>44</v>
      </c>
      <c r="C1375" s="5" t="s">
        <v>143</v>
      </c>
      <c r="D1375" s="5" t="s">
        <v>21</v>
      </c>
      <c r="E1375" s="5" t="s">
        <v>44</v>
      </c>
      <c r="F1375" s="5" t="s">
        <v>144</v>
      </c>
      <c r="G1375" s="5" t="s">
        <v>145</v>
      </c>
      <c r="H1375" s="9" t="s">
        <v>272</v>
      </c>
      <c r="I1375" s="10">
        <v>43532</v>
      </c>
      <c r="J1375" s="10">
        <v>44530</v>
      </c>
      <c r="K1375" s="5" t="s">
        <v>49</v>
      </c>
      <c r="L1375" s="5" t="s">
        <v>106</v>
      </c>
      <c r="M1375" s="11">
        <v>0.057500000000000002</v>
      </c>
      <c r="N1375" s="5" t="e">
        <f>IF(AND(M1375&gt;#REF!,Cartera!O1375="Guaraníes"),"Rendimiento significativo",IF(AND(M1375&gt;#REF!,Cartera!O1375="Dólares americanos"),"Rendimiento significativo","Rendimiento no significativo"))</f>
        <v>#REF!</v>
      </c>
      <c r="O1375" s="5" t="s">
        <v>51</v>
      </c>
      <c r="P1375" s="13">
        <v>50.410959999999996</v>
      </c>
      <c r="Q1375" s="12" t="e">
        <f>IF(O1375="Guaraníes",P1375,P1375*#REF!)</f>
        <v>#REF!</v>
      </c>
      <c r="R1375" s="12">
        <f>IF(O1375="Guaraníes",P1375/#REF!,P1375)</f>
        <v>50.410959999999996</v>
      </c>
      <c r="S1375" s="5" t="s">
        <v>52</v>
      </c>
      <c r="T1375" s="5">
        <v>1057</v>
      </c>
      <c r="W1375" s="5" t="s">
        <v>65</v>
      </c>
      <c r="X1375" s="5">
        <v>0</v>
      </c>
      <c r="Y1375" s="5">
        <v>0</v>
      </c>
      <c r="Z1375" s="5">
        <v>5.0410959999999996</v>
      </c>
      <c r="AA1375" s="5">
        <v>10</v>
      </c>
      <c r="AB1375" s="5">
        <v>50.410960000000003</v>
      </c>
      <c r="AC1375" s="5" t="str">
        <f t="shared" si="67"/>
        <v>Bonos</v>
      </c>
      <c r="AD1375" s="5" t="s">
        <v>43</v>
      </c>
      <c r="AE1375" s="5">
        <f t="shared" si="68"/>
        <v>11</v>
      </c>
      <c r="AF1375" s="5">
        <f t="shared" si="69"/>
        <v>2021</v>
      </c>
    </row>
    <row r="1376" s="5" customFormat="1" ht="13">
      <c r="A1376" s="5" t="s">
        <v>44</v>
      </c>
      <c r="B1376" s="5" t="s">
        <v>44</v>
      </c>
      <c r="C1376" s="5" t="s">
        <v>143</v>
      </c>
      <c r="D1376" s="5" t="s">
        <v>21</v>
      </c>
      <c r="E1376" s="5" t="s">
        <v>44</v>
      </c>
      <c r="F1376" s="5" t="s">
        <v>144</v>
      </c>
      <c r="G1376" s="5" t="s">
        <v>145</v>
      </c>
      <c r="H1376" s="9" t="s">
        <v>146</v>
      </c>
      <c r="I1376" s="10"/>
      <c r="J1376" s="10">
        <v>44530</v>
      </c>
      <c r="K1376" s="5" t="s">
        <v>49</v>
      </c>
      <c r="L1376" s="5" t="s">
        <v>106</v>
      </c>
      <c r="M1376" s="11">
        <v>0.060999999999999999</v>
      </c>
      <c r="N1376" s="5" t="e">
        <f>IF(AND(M1376&gt;#REF!,Cartera!O1376="Guaraníes"),"Rendimiento significativo",IF(AND(M1376&gt;#REF!,Cartera!O1376="Dólares americanos"),"Rendimiento significativo","Rendimiento no significativo"))</f>
        <v>#REF!</v>
      </c>
      <c r="O1376" s="5" t="s">
        <v>51</v>
      </c>
      <c r="P1376" s="13">
        <v>213.9178</v>
      </c>
      <c r="Q1376" s="12" t="e">
        <f>IF(O1376="Guaraníes",P1376,P1376*#REF!)</f>
        <v>#REF!</v>
      </c>
      <c r="R1376" s="12">
        <f>IF(O1376="Guaraníes",P1376/#REF!,P1376)</f>
        <v>213.9178</v>
      </c>
      <c r="S1376" s="5" t="s">
        <v>52</v>
      </c>
      <c r="T1376" s="5">
        <v>1057</v>
      </c>
      <c r="W1376" s="5" t="s">
        <v>65</v>
      </c>
      <c r="X1376" s="5">
        <v>0</v>
      </c>
      <c r="Y1376" s="5">
        <v>0</v>
      </c>
      <c r="Z1376" s="5">
        <v>5.3479450000000002</v>
      </c>
      <c r="AA1376" s="5">
        <v>40</v>
      </c>
      <c r="AB1376" s="5">
        <v>213.9178</v>
      </c>
      <c r="AC1376" s="5" t="str">
        <f t="shared" si="67"/>
        <v>Bonos</v>
      </c>
      <c r="AD1376" s="5" t="s">
        <v>43</v>
      </c>
      <c r="AE1376" s="5">
        <f t="shared" si="68"/>
        <v>11</v>
      </c>
      <c r="AF1376" s="5">
        <f t="shared" si="69"/>
        <v>2021</v>
      </c>
    </row>
    <row r="1377" s="5" customFormat="1" ht="13">
      <c r="A1377" s="5" t="s">
        <v>44</v>
      </c>
      <c r="B1377" s="5" t="s">
        <v>44</v>
      </c>
      <c r="C1377" s="5" t="s">
        <v>164</v>
      </c>
      <c r="D1377" s="5" t="s">
        <v>21</v>
      </c>
      <c r="E1377" s="5" t="s">
        <v>44</v>
      </c>
      <c r="F1377" s="5" t="s">
        <v>68</v>
      </c>
      <c r="G1377" s="5" t="s">
        <v>145</v>
      </c>
      <c r="H1377" s="9" t="s">
        <v>165</v>
      </c>
      <c r="I1377" s="10"/>
      <c r="J1377" s="10">
        <v>44530</v>
      </c>
      <c r="K1377" s="5" t="s">
        <v>124</v>
      </c>
      <c r="L1377" s="5" t="s">
        <v>58</v>
      </c>
      <c r="M1377" s="11">
        <v>0.10000000000000001</v>
      </c>
      <c r="N1377" s="5" t="e">
        <f>IF(AND(M1377&gt;#REF!,Cartera!O1377="Guaraníes"),"Rendimiento significativo",IF(AND(M1377&gt;#REF!,Cartera!O1377="Dólares americanos"),"Rendimiento significativo","Rendimiento no significativo"))</f>
        <v>#REF!</v>
      </c>
      <c r="O1377" s="5" t="s">
        <v>41</v>
      </c>
      <c r="P1377" s="12">
        <v>3506849.3152000001</v>
      </c>
      <c r="Q1377" s="12">
        <f>IF(O1377="Guaraníes",P1377,P1377*#REF!)</f>
        <v>3506849.3152000001</v>
      </c>
      <c r="R1377" s="12" t="e">
        <f>IF(O1377="Guaraníes",P1377/#REF!,P1377)</f>
        <v>#REF!</v>
      </c>
      <c r="S1377" s="5" t="s">
        <v>52</v>
      </c>
      <c r="T1377" s="5">
        <v>1057</v>
      </c>
      <c r="W1377" s="5" t="s">
        <v>65</v>
      </c>
      <c r="X1377" s="5">
        <v>0</v>
      </c>
      <c r="Y1377" s="5">
        <v>0</v>
      </c>
      <c r="Z1377" s="5">
        <v>8767.1232880000007</v>
      </c>
      <c r="AA1377" s="5">
        <v>400</v>
      </c>
      <c r="AB1377" s="5">
        <v>3506849.3152000001</v>
      </c>
      <c r="AC1377" s="5" t="str">
        <f t="shared" si="67"/>
        <v>Bonos</v>
      </c>
      <c r="AD1377" s="5" t="s">
        <v>43</v>
      </c>
      <c r="AE1377" s="5">
        <f t="shared" si="68"/>
        <v>11</v>
      </c>
      <c r="AF1377" s="5">
        <f t="shared" si="69"/>
        <v>2021</v>
      </c>
    </row>
    <row r="1378" s="5" customFormat="1" ht="13">
      <c r="A1378" s="5" t="s">
        <v>44</v>
      </c>
      <c r="B1378" s="5" t="s">
        <v>44</v>
      </c>
      <c r="C1378" s="5" t="s">
        <v>304</v>
      </c>
      <c r="D1378" s="5" t="s">
        <v>21</v>
      </c>
      <c r="E1378" s="5" t="s">
        <v>44</v>
      </c>
      <c r="F1378" s="5" t="s">
        <v>68</v>
      </c>
      <c r="G1378" s="5" t="s">
        <v>145</v>
      </c>
      <c r="H1378" s="9" t="s">
        <v>363</v>
      </c>
      <c r="I1378" s="10"/>
      <c r="J1378" s="10">
        <v>44539</v>
      </c>
      <c r="K1378" s="5" t="s">
        <v>39</v>
      </c>
      <c r="L1378" s="5" t="s">
        <v>58</v>
      </c>
      <c r="M1378" s="11">
        <v>0.089999999999999997</v>
      </c>
      <c r="N1378" s="5" t="e">
        <f>IF(AND(M1378&gt;#REF!,Cartera!O1378="Guaraníes"),"Rendimiento significativo",IF(AND(M1378&gt;#REF!,Cartera!O1378="Dólares americanos"),"Rendimiento significativo","Rendimiento no significativo"))</f>
        <v>#REF!</v>
      </c>
      <c r="O1378" s="5" t="s">
        <v>41</v>
      </c>
      <c r="P1378" s="12">
        <v>9073972.6028000005</v>
      </c>
      <c r="Q1378" s="12">
        <f>IF(O1378="Guaraníes",P1378,P1378*#REF!)</f>
        <v>9073972.6028000005</v>
      </c>
      <c r="R1378" s="12" t="e">
        <f>IF(O1378="Guaraníes",P1378/#REF!,P1378)</f>
        <v>#REF!</v>
      </c>
      <c r="S1378" s="5" t="s">
        <v>52</v>
      </c>
      <c r="T1378" s="5">
        <v>1057</v>
      </c>
      <c r="W1378" s="5" t="s">
        <v>65</v>
      </c>
      <c r="X1378" s="5">
        <v>0</v>
      </c>
      <c r="Y1378" s="5">
        <v>0</v>
      </c>
      <c r="Z1378" s="5">
        <v>22684.931507000001</v>
      </c>
      <c r="AA1378" s="5">
        <v>400</v>
      </c>
      <c r="AB1378" s="5">
        <v>9073972.6028000005</v>
      </c>
      <c r="AC1378" s="5" t="str">
        <f t="shared" si="67"/>
        <v>Bonos</v>
      </c>
      <c r="AD1378" s="5" t="s">
        <v>43</v>
      </c>
      <c r="AE1378" s="5">
        <f t="shared" si="68"/>
        <v>12</v>
      </c>
      <c r="AF1378" s="5">
        <f t="shared" si="69"/>
        <v>2021</v>
      </c>
    </row>
    <row r="1379" s="5" customFormat="1" ht="13">
      <c r="A1379" s="5" t="s">
        <v>44</v>
      </c>
      <c r="B1379" s="5" t="s">
        <v>44</v>
      </c>
      <c r="C1379" s="5" t="s">
        <v>304</v>
      </c>
      <c r="D1379" s="5" t="s">
        <v>21</v>
      </c>
      <c r="E1379" s="5" t="s">
        <v>44</v>
      </c>
      <c r="F1379" s="5" t="s">
        <v>68</v>
      </c>
      <c r="G1379" s="5" t="s">
        <v>145</v>
      </c>
      <c r="H1379" s="9" t="s">
        <v>305</v>
      </c>
      <c r="I1379" s="10"/>
      <c r="J1379" s="10">
        <v>44553</v>
      </c>
      <c r="K1379" s="5" t="s">
        <v>39</v>
      </c>
      <c r="L1379" s="5" t="s">
        <v>58</v>
      </c>
      <c r="M1379" s="11">
        <v>0.089999999999999997</v>
      </c>
      <c r="N1379" s="5" t="e">
        <f>IF(AND(M1379&gt;#REF!,Cartera!O1379="Guaraníes"),"Rendimiento significativo",IF(AND(M1379&gt;#REF!,Cartera!O1379="Dólares americanos"),"Rendimiento significativo","Rendimiento no significativo"))</f>
        <v>#REF!</v>
      </c>
      <c r="O1379" s="5" t="s">
        <v>41</v>
      </c>
      <c r="P1379" s="12">
        <v>680547.94521000003</v>
      </c>
      <c r="Q1379" s="12">
        <f>IF(O1379="Guaraníes",P1379,P1379*#REF!)</f>
        <v>680547.94521000003</v>
      </c>
      <c r="R1379" s="12" t="e">
        <f>IF(O1379="Guaraníes",P1379/#REF!,P1379)</f>
        <v>#REF!</v>
      </c>
      <c r="S1379" s="5" t="s">
        <v>52</v>
      </c>
      <c r="T1379" s="5">
        <v>1057</v>
      </c>
      <c r="W1379" s="5" t="s">
        <v>65</v>
      </c>
      <c r="X1379" s="5">
        <v>0</v>
      </c>
      <c r="Y1379" s="5">
        <v>0</v>
      </c>
      <c r="Z1379" s="5">
        <v>22684.931507000001</v>
      </c>
      <c r="AA1379" s="5">
        <v>30</v>
      </c>
      <c r="AB1379" s="5">
        <v>680547.94521000003</v>
      </c>
      <c r="AC1379" s="5" t="str">
        <f t="shared" si="67"/>
        <v>Bonos</v>
      </c>
      <c r="AD1379" s="5" t="s">
        <v>43</v>
      </c>
      <c r="AE1379" s="5">
        <f t="shared" si="68"/>
        <v>12</v>
      </c>
      <c r="AF1379" s="5">
        <f t="shared" si="69"/>
        <v>2021</v>
      </c>
    </row>
    <row r="1380" s="5" customFormat="1" ht="13">
      <c r="A1380" s="5" t="s">
        <v>44</v>
      </c>
      <c r="B1380" s="5" t="s">
        <v>44</v>
      </c>
      <c r="C1380" s="5" t="s">
        <v>143</v>
      </c>
      <c r="D1380" s="5" t="s">
        <v>21</v>
      </c>
      <c r="E1380" s="5" t="s">
        <v>44</v>
      </c>
      <c r="F1380" s="5" t="s">
        <v>144</v>
      </c>
      <c r="G1380" s="5" t="s">
        <v>145</v>
      </c>
      <c r="H1380" s="9" t="s">
        <v>272</v>
      </c>
      <c r="I1380" s="10">
        <v>43532</v>
      </c>
      <c r="J1380" s="10">
        <v>44560</v>
      </c>
      <c r="K1380" s="5" t="s">
        <v>49</v>
      </c>
      <c r="L1380" s="5" t="s">
        <v>106</v>
      </c>
      <c r="M1380" s="11">
        <v>0.057500000000000002</v>
      </c>
      <c r="N1380" s="5" t="e">
        <f>IF(AND(M1380&gt;#REF!,Cartera!O1380="Guaraníes"),"Rendimiento significativo",IF(AND(M1380&gt;#REF!,Cartera!O1380="Dólares americanos"),"Rendimiento significativo","Rendimiento no significativo"))</f>
        <v>#REF!</v>
      </c>
      <c r="O1380" s="5" t="s">
        <v>51</v>
      </c>
      <c r="P1380" s="13">
        <v>47.260270000000006</v>
      </c>
      <c r="Q1380" s="12" t="e">
        <f>IF(O1380="Guaraníes",P1380,P1380*#REF!)</f>
        <v>#REF!</v>
      </c>
      <c r="R1380" s="12">
        <f>IF(O1380="Guaraníes",P1380/#REF!,P1380)</f>
        <v>47.260270000000006</v>
      </c>
      <c r="S1380" s="5" t="s">
        <v>52</v>
      </c>
      <c r="T1380" s="5">
        <v>1057</v>
      </c>
      <c r="W1380" s="5" t="s">
        <v>65</v>
      </c>
      <c r="X1380" s="5">
        <v>0</v>
      </c>
      <c r="Y1380" s="5">
        <v>0</v>
      </c>
      <c r="Z1380" s="5">
        <v>4.7260270000000002</v>
      </c>
      <c r="AA1380" s="5">
        <v>10</v>
      </c>
      <c r="AB1380" s="5">
        <v>47.260269999999998</v>
      </c>
      <c r="AC1380" s="5" t="str">
        <f t="shared" si="67"/>
        <v>Bonos</v>
      </c>
      <c r="AD1380" s="5" t="s">
        <v>43</v>
      </c>
      <c r="AE1380" s="5">
        <f t="shared" si="68"/>
        <v>12</v>
      </c>
      <c r="AF1380" s="5">
        <f t="shared" si="69"/>
        <v>2021</v>
      </c>
    </row>
    <row r="1381" s="5" customFormat="1" ht="13">
      <c r="A1381" s="5" t="s">
        <v>44</v>
      </c>
      <c r="B1381" s="5" t="s">
        <v>44</v>
      </c>
      <c r="C1381" s="5" t="s">
        <v>143</v>
      </c>
      <c r="D1381" s="5" t="s">
        <v>21</v>
      </c>
      <c r="E1381" s="5" t="s">
        <v>44</v>
      </c>
      <c r="F1381" s="5" t="s">
        <v>144</v>
      </c>
      <c r="G1381" s="5" t="s">
        <v>145</v>
      </c>
      <c r="H1381" s="9" t="s">
        <v>146</v>
      </c>
      <c r="I1381" s="10"/>
      <c r="J1381" s="10">
        <v>44560</v>
      </c>
      <c r="K1381" s="5" t="s">
        <v>49</v>
      </c>
      <c r="L1381" s="5" t="s">
        <v>106</v>
      </c>
      <c r="M1381" s="11">
        <v>0.060999999999999999</v>
      </c>
      <c r="N1381" s="5" t="e">
        <f>IF(AND(M1381&gt;#REF!,Cartera!O1381="Guaraníes"),"Rendimiento significativo",IF(AND(M1381&gt;#REF!,Cartera!O1381="Dólares americanos"),"Rendimiento significativo","Rendimiento no significativo"))</f>
        <v>#REF!</v>
      </c>
      <c r="O1381" s="5" t="s">
        <v>51</v>
      </c>
      <c r="P1381" s="13">
        <v>200.54795999999999</v>
      </c>
      <c r="Q1381" s="12" t="e">
        <f>IF(O1381="Guaraníes",P1381,P1381*#REF!)</f>
        <v>#REF!</v>
      </c>
      <c r="R1381" s="12">
        <f>IF(O1381="Guaraníes",P1381/#REF!,P1381)</f>
        <v>200.54795999999999</v>
      </c>
      <c r="S1381" s="5" t="s">
        <v>52</v>
      </c>
      <c r="T1381" s="5">
        <v>1057</v>
      </c>
      <c r="W1381" s="5" t="s">
        <v>65</v>
      </c>
      <c r="X1381" s="5">
        <v>0</v>
      </c>
      <c r="Y1381" s="5">
        <v>0</v>
      </c>
      <c r="Z1381" s="5">
        <v>5.0136989999999999</v>
      </c>
      <c r="AA1381" s="5">
        <v>40</v>
      </c>
      <c r="AB1381" s="5">
        <v>200.54795999999999</v>
      </c>
      <c r="AC1381" s="5" t="str">
        <f t="shared" si="67"/>
        <v>Bonos</v>
      </c>
      <c r="AD1381" s="5" t="s">
        <v>43</v>
      </c>
      <c r="AE1381" s="5">
        <f t="shared" si="68"/>
        <v>12</v>
      </c>
      <c r="AF1381" s="5">
        <f t="shared" si="69"/>
        <v>2021</v>
      </c>
    </row>
    <row r="1382" s="5" customFormat="1" ht="13">
      <c r="A1382" s="5" t="s">
        <v>44</v>
      </c>
      <c r="B1382" s="5" t="s">
        <v>44</v>
      </c>
      <c r="C1382" s="5" t="s">
        <v>164</v>
      </c>
      <c r="D1382" s="5" t="s">
        <v>21</v>
      </c>
      <c r="E1382" s="5" t="s">
        <v>44</v>
      </c>
      <c r="F1382" s="5" t="s">
        <v>68</v>
      </c>
      <c r="G1382" s="5" t="s">
        <v>145</v>
      </c>
      <c r="H1382" s="9" t="s">
        <v>165</v>
      </c>
      <c r="I1382" s="10"/>
      <c r="J1382" s="10">
        <v>44560</v>
      </c>
      <c r="K1382" s="5" t="s">
        <v>124</v>
      </c>
      <c r="L1382" s="5" t="s">
        <v>58</v>
      </c>
      <c r="M1382" s="11">
        <v>0.10000000000000001</v>
      </c>
      <c r="N1382" s="5" t="e">
        <f>IF(AND(M1382&gt;#REF!,Cartera!O1382="Guaraníes"),"Rendimiento significativo",IF(AND(M1382&gt;#REF!,Cartera!O1382="Dólares americanos"),"Rendimiento significativo","Rendimiento no significativo"))</f>
        <v>#REF!</v>
      </c>
      <c r="O1382" s="5" t="s">
        <v>41</v>
      </c>
      <c r="P1382" s="12">
        <v>3287671.2328000003</v>
      </c>
      <c r="Q1382" s="12">
        <f>IF(O1382="Guaraníes",P1382,P1382*#REF!)</f>
        <v>3287671.2328000003</v>
      </c>
      <c r="R1382" s="12" t="e">
        <f>IF(O1382="Guaraníes",P1382/#REF!,P1382)</f>
        <v>#REF!</v>
      </c>
      <c r="S1382" s="5" t="s">
        <v>52</v>
      </c>
      <c r="T1382" s="5">
        <v>1057</v>
      </c>
      <c r="W1382" s="5" t="s">
        <v>65</v>
      </c>
      <c r="X1382" s="5">
        <v>0</v>
      </c>
      <c r="Y1382" s="5">
        <v>0</v>
      </c>
      <c r="Z1382" s="5">
        <v>8219.1780820000004</v>
      </c>
      <c r="AA1382" s="5">
        <v>400</v>
      </c>
      <c r="AB1382" s="5">
        <v>3287671.2327999999</v>
      </c>
      <c r="AC1382" s="5" t="str">
        <f t="shared" si="67"/>
        <v>Bonos</v>
      </c>
      <c r="AD1382" s="5" t="s">
        <v>43</v>
      </c>
      <c r="AE1382" s="5">
        <f t="shared" si="68"/>
        <v>12</v>
      </c>
      <c r="AF1382" s="5">
        <f t="shared" si="69"/>
        <v>2021</v>
      </c>
    </row>
    <row r="1383" s="5" customFormat="1" ht="13">
      <c r="A1383" s="5" t="s">
        <v>44</v>
      </c>
      <c r="B1383" s="5" t="s">
        <v>44</v>
      </c>
      <c r="C1383" s="5" t="s">
        <v>143</v>
      </c>
      <c r="D1383" s="5" t="s">
        <v>21</v>
      </c>
      <c r="E1383" s="5" t="s">
        <v>44</v>
      </c>
      <c r="F1383" s="5" t="s">
        <v>144</v>
      </c>
      <c r="G1383" s="5" t="s">
        <v>145</v>
      </c>
      <c r="H1383" s="9" t="s">
        <v>272</v>
      </c>
      <c r="I1383" s="10">
        <v>43532</v>
      </c>
      <c r="J1383" s="10">
        <v>44592</v>
      </c>
      <c r="K1383" s="5" t="s">
        <v>49</v>
      </c>
      <c r="L1383" s="5" t="s">
        <v>106</v>
      </c>
      <c r="M1383" s="11">
        <v>0.057500000000000002</v>
      </c>
      <c r="N1383" s="5" t="e">
        <f>IF(AND(M1383&gt;#REF!,Cartera!O1383="Guaraníes"),"Rendimiento significativo",IF(AND(M1383&gt;#REF!,Cartera!O1383="Dólares americanos"),"Rendimiento significativo","Rendimiento no significativo"))</f>
        <v>#REF!</v>
      </c>
      <c r="O1383" s="5" t="s">
        <v>51</v>
      </c>
      <c r="P1383" s="13">
        <v>50.410959999999996</v>
      </c>
      <c r="Q1383" s="12" t="e">
        <f>IF(O1383="Guaraníes",P1383,P1383*#REF!)</f>
        <v>#REF!</v>
      </c>
      <c r="R1383" s="12">
        <f>IF(O1383="Guaraníes",P1383/#REF!,P1383)</f>
        <v>50.410959999999996</v>
      </c>
      <c r="S1383" s="5" t="s">
        <v>52</v>
      </c>
      <c r="T1383" s="5">
        <v>1057</v>
      </c>
      <c r="W1383" s="5" t="s">
        <v>65</v>
      </c>
      <c r="X1383" s="5">
        <v>0</v>
      </c>
      <c r="Y1383" s="5">
        <v>0</v>
      </c>
      <c r="Z1383" s="5">
        <v>5.0410959999999996</v>
      </c>
      <c r="AA1383" s="5">
        <v>10</v>
      </c>
      <c r="AB1383" s="5">
        <v>50.410960000000003</v>
      </c>
      <c r="AC1383" s="5" t="str">
        <f t="shared" si="67"/>
        <v>Bonos</v>
      </c>
      <c r="AD1383" s="5" t="s">
        <v>43</v>
      </c>
      <c r="AE1383" s="5">
        <f t="shared" si="68"/>
        <v>1</v>
      </c>
      <c r="AF1383" s="5">
        <f t="shared" si="69"/>
        <v>2022</v>
      </c>
    </row>
    <row r="1384" s="5" customFormat="1" ht="13">
      <c r="A1384" s="5" t="s">
        <v>44</v>
      </c>
      <c r="B1384" s="5" t="s">
        <v>44</v>
      </c>
      <c r="C1384" s="5" t="s">
        <v>143</v>
      </c>
      <c r="D1384" s="5" t="s">
        <v>21</v>
      </c>
      <c r="E1384" s="5" t="s">
        <v>44</v>
      </c>
      <c r="F1384" s="5" t="s">
        <v>144</v>
      </c>
      <c r="G1384" s="5" t="s">
        <v>145</v>
      </c>
      <c r="H1384" s="9" t="s">
        <v>146</v>
      </c>
      <c r="I1384" s="10"/>
      <c r="J1384" s="10">
        <v>44592</v>
      </c>
      <c r="K1384" s="5" t="s">
        <v>49</v>
      </c>
      <c r="L1384" s="5" t="s">
        <v>106</v>
      </c>
      <c r="M1384" s="11">
        <v>0.060999999999999999</v>
      </c>
      <c r="N1384" s="5" t="e">
        <f>IF(AND(M1384&gt;#REF!,Cartera!O1384="Guaraníes"),"Rendimiento significativo",IF(AND(M1384&gt;#REF!,Cartera!O1384="Dólares americanos"),"Rendimiento significativo","Rendimiento no significativo"))</f>
        <v>#REF!</v>
      </c>
      <c r="O1384" s="5" t="s">
        <v>51</v>
      </c>
      <c r="P1384" s="13">
        <v>213.9178</v>
      </c>
      <c r="Q1384" s="12" t="e">
        <f>IF(O1384="Guaraníes",P1384,P1384*#REF!)</f>
        <v>#REF!</v>
      </c>
      <c r="R1384" s="12">
        <f>IF(O1384="Guaraníes",P1384/#REF!,P1384)</f>
        <v>213.9178</v>
      </c>
      <c r="S1384" s="5" t="s">
        <v>52</v>
      </c>
      <c r="T1384" s="5">
        <v>1057</v>
      </c>
      <c r="W1384" s="5" t="s">
        <v>65</v>
      </c>
      <c r="X1384" s="5">
        <v>0</v>
      </c>
      <c r="Y1384" s="5">
        <v>0</v>
      </c>
      <c r="Z1384" s="5">
        <v>5.3479450000000002</v>
      </c>
      <c r="AA1384" s="5">
        <v>40</v>
      </c>
      <c r="AB1384" s="5">
        <v>213.9178</v>
      </c>
      <c r="AC1384" s="5" t="str">
        <f t="shared" si="67"/>
        <v>Bonos</v>
      </c>
      <c r="AD1384" s="5" t="s">
        <v>43</v>
      </c>
      <c r="AE1384" s="5">
        <f t="shared" si="68"/>
        <v>1</v>
      </c>
      <c r="AF1384" s="5">
        <f t="shared" si="69"/>
        <v>2022</v>
      </c>
    </row>
    <row r="1385" s="5" customFormat="1" ht="13">
      <c r="A1385" s="5" t="s">
        <v>44</v>
      </c>
      <c r="B1385" s="5" t="s">
        <v>44</v>
      </c>
      <c r="C1385" s="5" t="s">
        <v>164</v>
      </c>
      <c r="D1385" s="5" t="s">
        <v>21</v>
      </c>
      <c r="E1385" s="5" t="s">
        <v>44</v>
      </c>
      <c r="F1385" s="5" t="s">
        <v>68</v>
      </c>
      <c r="G1385" s="5" t="s">
        <v>145</v>
      </c>
      <c r="H1385" s="9" t="s">
        <v>165</v>
      </c>
      <c r="I1385" s="10"/>
      <c r="J1385" s="10">
        <v>44592</v>
      </c>
      <c r="K1385" s="5" t="s">
        <v>124</v>
      </c>
      <c r="L1385" s="5" t="s">
        <v>58</v>
      </c>
      <c r="M1385" s="11">
        <v>0.10000000000000001</v>
      </c>
      <c r="N1385" s="5" t="e">
        <f>IF(AND(M1385&gt;#REF!,Cartera!O1385="Guaraníes"),"Rendimiento significativo",IF(AND(M1385&gt;#REF!,Cartera!O1385="Dólares americanos"),"Rendimiento significativo","Rendimiento no significativo"))</f>
        <v>#REF!</v>
      </c>
      <c r="O1385" s="5" t="s">
        <v>41</v>
      </c>
      <c r="P1385" s="12">
        <v>3506849.3152000001</v>
      </c>
      <c r="Q1385" s="12">
        <f>IF(O1385="Guaraníes",P1385,P1385*#REF!)</f>
        <v>3506849.3152000001</v>
      </c>
      <c r="R1385" s="12" t="e">
        <f>IF(O1385="Guaraníes",P1385/#REF!,P1385)</f>
        <v>#REF!</v>
      </c>
      <c r="S1385" s="5" t="s">
        <v>52</v>
      </c>
      <c r="T1385" s="5">
        <v>1057</v>
      </c>
      <c r="W1385" s="5" t="s">
        <v>65</v>
      </c>
      <c r="X1385" s="5">
        <v>0</v>
      </c>
      <c r="Y1385" s="5">
        <v>0</v>
      </c>
      <c r="Z1385" s="5">
        <v>8767.1232880000007</v>
      </c>
      <c r="AA1385" s="5">
        <v>400</v>
      </c>
      <c r="AB1385" s="5">
        <v>3506849.3152000001</v>
      </c>
      <c r="AC1385" s="5" t="str">
        <f t="shared" si="67"/>
        <v>Bonos</v>
      </c>
      <c r="AD1385" s="5" t="s">
        <v>43</v>
      </c>
      <c r="AE1385" s="5">
        <f t="shared" si="68"/>
        <v>1</v>
      </c>
      <c r="AF1385" s="5">
        <f t="shared" si="69"/>
        <v>2022</v>
      </c>
    </row>
    <row r="1386" s="5" customFormat="1" ht="13">
      <c r="A1386" s="5" t="s">
        <v>44</v>
      </c>
      <c r="B1386" s="5" t="s">
        <v>44</v>
      </c>
      <c r="C1386" s="5" t="s">
        <v>45</v>
      </c>
      <c r="D1386" s="5" t="s">
        <v>21</v>
      </c>
      <c r="E1386" s="5" t="s">
        <v>44</v>
      </c>
      <c r="F1386" s="5" t="s">
        <v>46</v>
      </c>
      <c r="G1386" s="5" t="s">
        <v>145</v>
      </c>
      <c r="H1386" s="9" t="s">
        <v>359</v>
      </c>
      <c r="I1386" s="10"/>
      <c r="J1386" s="10">
        <v>44609</v>
      </c>
      <c r="K1386" s="5" t="s">
        <v>49</v>
      </c>
      <c r="L1386" s="5" t="s">
        <v>50</v>
      </c>
      <c r="M1386" s="11">
        <v>0.070000000000000007</v>
      </c>
      <c r="N1386" s="5" t="e">
        <f>IF(AND(M1386&gt;#REF!,Cartera!O1386="Guaraníes"),"Rendimiento significativo",IF(AND(M1386&gt;#REF!,Cartera!O1386="Dólares americanos"),"Rendimiento significativo","Rendimiento no significativo"))</f>
        <v>#REF!</v>
      </c>
      <c r="O1386" s="5" t="s">
        <v>51</v>
      </c>
      <c r="P1386" s="13">
        <v>149.58904000000001</v>
      </c>
      <c r="Q1386" s="12" t="e">
        <f>IF(O1386="Guaraníes",P1386,P1386*#REF!)</f>
        <v>#REF!</v>
      </c>
      <c r="R1386" s="12">
        <f>IF(O1386="Guaraníes",P1386/#REF!,P1386)</f>
        <v>149.58904000000001</v>
      </c>
      <c r="S1386" s="5" t="s">
        <v>52</v>
      </c>
      <c r="T1386" s="5">
        <v>1057</v>
      </c>
      <c r="W1386" s="5" t="s">
        <v>65</v>
      </c>
      <c r="X1386" s="5">
        <v>0</v>
      </c>
      <c r="Y1386" s="5">
        <v>0</v>
      </c>
      <c r="Z1386" s="5">
        <v>14.958904</v>
      </c>
      <c r="AA1386" s="5">
        <v>10</v>
      </c>
      <c r="AB1386" s="5">
        <v>149.58904000000001</v>
      </c>
      <c r="AC1386" s="5" t="str">
        <f t="shared" si="67"/>
        <v>Bonos</v>
      </c>
      <c r="AD1386" s="5" t="s">
        <v>43</v>
      </c>
      <c r="AE1386" s="5">
        <f t="shared" si="68"/>
        <v>2</v>
      </c>
      <c r="AF1386" s="5">
        <f t="shared" si="69"/>
        <v>2022</v>
      </c>
    </row>
    <row r="1387" s="5" customFormat="1" ht="13">
      <c r="A1387" s="5" t="s">
        <v>44</v>
      </c>
      <c r="B1387" s="5" t="s">
        <v>44</v>
      </c>
      <c r="C1387" s="5" t="s">
        <v>143</v>
      </c>
      <c r="D1387" s="5" t="s">
        <v>21</v>
      </c>
      <c r="E1387" s="5" t="s">
        <v>44</v>
      </c>
      <c r="F1387" s="5" t="s">
        <v>144</v>
      </c>
      <c r="G1387" s="5" t="s">
        <v>145</v>
      </c>
      <c r="H1387" s="9" t="s">
        <v>272</v>
      </c>
      <c r="I1387" s="10">
        <v>43532</v>
      </c>
      <c r="J1387" s="10">
        <v>44620</v>
      </c>
      <c r="K1387" s="5" t="s">
        <v>49</v>
      </c>
      <c r="L1387" s="5" t="s">
        <v>106</v>
      </c>
      <c r="M1387" s="11">
        <v>0.057500000000000002</v>
      </c>
      <c r="N1387" s="5" t="e">
        <f>IF(AND(M1387&gt;#REF!,Cartera!O1387="Guaraníes"),"Rendimiento significativo",IF(AND(M1387&gt;#REF!,Cartera!O1387="Dólares americanos"),"Rendimiento significativo","Rendimiento no significativo"))</f>
        <v>#REF!</v>
      </c>
      <c r="O1387" s="5" t="s">
        <v>51</v>
      </c>
      <c r="P1387" s="13">
        <v>44.109589999999997</v>
      </c>
      <c r="Q1387" s="12" t="e">
        <f>IF(O1387="Guaraníes",P1387,P1387*#REF!)</f>
        <v>#REF!</v>
      </c>
      <c r="R1387" s="12">
        <f>IF(O1387="Guaraníes",P1387/#REF!,P1387)</f>
        <v>44.109589999999997</v>
      </c>
      <c r="S1387" s="5" t="s">
        <v>52</v>
      </c>
      <c r="T1387" s="5">
        <v>1057</v>
      </c>
      <c r="W1387" s="5" t="s">
        <v>65</v>
      </c>
      <c r="X1387" s="5">
        <v>0</v>
      </c>
      <c r="Y1387" s="5">
        <v>0</v>
      </c>
      <c r="Z1387" s="5">
        <v>4.4109590000000001</v>
      </c>
      <c r="AA1387" s="5">
        <v>10</v>
      </c>
      <c r="AB1387" s="5">
        <v>44.109589999999997</v>
      </c>
      <c r="AC1387" s="5" t="str">
        <f t="shared" si="67"/>
        <v>Bonos</v>
      </c>
      <c r="AD1387" s="5" t="s">
        <v>43</v>
      </c>
      <c r="AE1387" s="5">
        <f t="shared" si="68"/>
        <v>2</v>
      </c>
      <c r="AF1387" s="5">
        <f t="shared" si="69"/>
        <v>2022</v>
      </c>
    </row>
    <row r="1388" s="5" customFormat="1" ht="13">
      <c r="A1388" s="5" t="s">
        <v>44</v>
      </c>
      <c r="B1388" s="5" t="s">
        <v>44</v>
      </c>
      <c r="C1388" s="5" t="s">
        <v>143</v>
      </c>
      <c r="D1388" s="5" t="s">
        <v>21</v>
      </c>
      <c r="E1388" s="5" t="s">
        <v>44</v>
      </c>
      <c r="F1388" s="5" t="s">
        <v>144</v>
      </c>
      <c r="G1388" s="5" t="s">
        <v>145</v>
      </c>
      <c r="H1388" s="9" t="s">
        <v>146</v>
      </c>
      <c r="I1388" s="10"/>
      <c r="J1388" s="10">
        <v>44620</v>
      </c>
      <c r="K1388" s="5" t="s">
        <v>49</v>
      </c>
      <c r="L1388" s="5" t="s">
        <v>106</v>
      </c>
      <c r="M1388" s="11">
        <v>0.060999999999999999</v>
      </c>
      <c r="N1388" s="5" t="e">
        <f>IF(AND(M1388&gt;#REF!,Cartera!O1388="Guaraníes"),"Rendimiento significativo",IF(AND(M1388&gt;#REF!,Cartera!O1388="Dólares americanos"),"Rendimiento significativo","Rendimiento no significativo"))</f>
        <v>#REF!</v>
      </c>
      <c r="O1388" s="5" t="s">
        <v>51</v>
      </c>
      <c r="P1388" s="13">
        <v>187.17808000000002</v>
      </c>
      <c r="Q1388" s="12" t="e">
        <f>IF(O1388="Guaraníes",P1388,P1388*#REF!)</f>
        <v>#REF!</v>
      </c>
      <c r="R1388" s="12">
        <f>IF(O1388="Guaraníes",P1388/#REF!,P1388)</f>
        <v>187.17808000000002</v>
      </c>
      <c r="S1388" s="5" t="s">
        <v>52</v>
      </c>
      <c r="T1388" s="5">
        <v>1057</v>
      </c>
      <c r="W1388" s="5" t="s">
        <v>65</v>
      </c>
      <c r="X1388" s="5">
        <v>0</v>
      </c>
      <c r="Y1388" s="5">
        <v>0</v>
      </c>
      <c r="Z1388" s="5">
        <v>4.6794520000000004</v>
      </c>
      <c r="AA1388" s="5">
        <v>40</v>
      </c>
      <c r="AB1388" s="5">
        <v>187.17807999999999</v>
      </c>
      <c r="AC1388" s="5" t="str">
        <f t="shared" si="67"/>
        <v>Bonos</v>
      </c>
      <c r="AD1388" s="5" t="s">
        <v>43</v>
      </c>
      <c r="AE1388" s="5">
        <f t="shared" si="68"/>
        <v>2</v>
      </c>
      <c r="AF1388" s="5">
        <f t="shared" si="69"/>
        <v>2022</v>
      </c>
    </row>
    <row r="1389" s="5" customFormat="1" ht="13">
      <c r="A1389" s="5" t="s">
        <v>44</v>
      </c>
      <c r="B1389" s="5" t="s">
        <v>44</v>
      </c>
      <c r="C1389" s="5" t="s">
        <v>164</v>
      </c>
      <c r="D1389" s="5" t="s">
        <v>21</v>
      </c>
      <c r="E1389" s="5" t="s">
        <v>44</v>
      </c>
      <c r="F1389" s="5" t="s">
        <v>68</v>
      </c>
      <c r="G1389" s="5" t="s">
        <v>145</v>
      </c>
      <c r="H1389" s="9" t="s">
        <v>165</v>
      </c>
      <c r="I1389" s="10"/>
      <c r="J1389" s="10">
        <v>44620</v>
      </c>
      <c r="K1389" s="5" t="s">
        <v>124</v>
      </c>
      <c r="L1389" s="5" t="s">
        <v>58</v>
      </c>
      <c r="M1389" s="11">
        <v>0.10000000000000001</v>
      </c>
      <c r="N1389" s="5" t="e">
        <f>IF(AND(M1389&gt;#REF!,Cartera!O1389="Guaraníes"),"Rendimiento significativo",IF(AND(M1389&gt;#REF!,Cartera!O1389="Dólares americanos"),"Rendimiento significativo","Rendimiento no significativo"))</f>
        <v>#REF!</v>
      </c>
      <c r="O1389" s="5" t="s">
        <v>41</v>
      </c>
      <c r="P1389" s="12">
        <v>3068493.1507999999</v>
      </c>
      <c r="Q1389" s="12">
        <f>IF(O1389="Guaraníes",P1389,P1389*#REF!)</f>
        <v>3068493.1507999999</v>
      </c>
      <c r="R1389" s="12" t="e">
        <f>IF(O1389="Guaraníes",P1389/#REF!,P1389)</f>
        <v>#REF!</v>
      </c>
      <c r="S1389" s="5" t="s">
        <v>52</v>
      </c>
      <c r="T1389" s="5">
        <v>1057</v>
      </c>
      <c r="W1389" s="5" t="s">
        <v>65</v>
      </c>
      <c r="X1389" s="5">
        <v>0</v>
      </c>
      <c r="Y1389" s="5">
        <v>0</v>
      </c>
      <c r="Z1389" s="5">
        <v>7671.2328770000004</v>
      </c>
      <c r="AA1389" s="5">
        <v>400</v>
      </c>
      <c r="AB1389" s="5">
        <v>3068493.1507999999</v>
      </c>
      <c r="AC1389" s="5" t="str">
        <f t="shared" si="67"/>
        <v>Bonos</v>
      </c>
      <c r="AD1389" s="5" t="s">
        <v>43</v>
      </c>
      <c r="AE1389" s="5">
        <f t="shared" si="68"/>
        <v>2</v>
      </c>
      <c r="AF1389" s="5">
        <f t="shared" si="69"/>
        <v>2022</v>
      </c>
    </row>
    <row r="1390" s="5" customFormat="1" ht="13">
      <c r="A1390" s="5" t="s">
        <v>44</v>
      </c>
      <c r="B1390" s="5" t="s">
        <v>44</v>
      </c>
      <c r="C1390" s="5" t="s">
        <v>304</v>
      </c>
      <c r="D1390" s="5" t="s">
        <v>21</v>
      </c>
      <c r="E1390" s="5" t="s">
        <v>44</v>
      </c>
      <c r="F1390" s="5" t="s">
        <v>68</v>
      </c>
      <c r="G1390" s="5" t="s">
        <v>145</v>
      </c>
      <c r="H1390" s="9" t="s">
        <v>363</v>
      </c>
      <c r="I1390" s="10"/>
      <c r="J1390" s="10">
        <v>44630</v>
      </c>
      <c r="K1390" s="5" t="s">
        <v>39</v>
      </c>
      <c r="L1390" s="5" t="s">
        <v>58</v>
      </c>
      <c r="M1390" s="11">
        <v>0.089999999999999997</v>
      </c>
      <c r="N1390" s="5" t="e">
        <f>IF(AND(M1390&gt;#REF!,Cartera!O1390="Guaraníes"),"Rendimiento significativo",IF(AND(M1390&gt;#REF!,Cartera!O1390="Dólares americanos"),"Rendimiento significativo","Rendimiento no significativo"))</f>
        <v>#REF!</v>
      </c>
      <c r="O1390" s="5" t="s">
        <v>41</v>
      </c>
      <c r="P1390" s="12">
        <v>8975342.4656000007</v>
      </c>
      <c r="Q1390" s="12">
        <f>IF(O1390="Guaraníes",P1390,P1390*#REF!)</f>
        <v>8975342.4656000007</v>
      </c>
      <c r="R1390" s="12" t="e">
        <f>IF(O1390="Guaraníes",P1390/#REF!,P1390)</f>
        <v>#REF!</v>
      </c>
      <c r="S1390" s="5" t="s">
        <v>52</v>
      </c>
      <c r="T1390" s="5">
        <v>1057</v>
      </c>
      <c r="W1390" s="5" t="s">
        <v>65</v>
      </c>
      <c r="X1390" s="5">
        <v>0</v>
      </c>
      <c r="Y1390" s="5">
        <v>0</v>
      </c>
      <c r="Z1390" s="5">
        <v>22438.356164000001</v>
      </c>
      <c r="AA1390" s="5">
        <v>400</v>
      </c>
      <c r="AB1390" s="5">
        <v>8975342.4656000007</v>
      </c>
      <c r="AC1390" s="5" t="str">
        <f t="shared" si="67"/>
        <v>Bonos</v>
      </c>
      <c r="AD1390" s="5" t="s">
        <v>43</v>
      </c>
      <c r="AE1390" s="5">
        <f t="shared" si="68"/>
        <v>3</v>
      </c>
      <c r="AF1390" s="5">
        <f t="shared" si="69"/>
        <v>2022</v>
      </c>
    </row>
    <row r="1391" s="5" customFormat="1" ht="13">
      <c r="A1391" s="5" t="s">
        <v>44</v>
      </c>
      <c r="B1391" s="5" t="s">
        <v>44</v>
      </c>
      <c r="C1391" s="5" t="s">
        <v>304</v>
      </c>
      <c r="D1391" s="5" t="s">
        <v>21</v>
      </c>
      <c r="E1391" s="5" t="s">
        <v>44</v>
      </c>
      <c r="F1391" s="5" t="s">
        <v>68</v>
      </c>
      <c r="G1391" s="5" t="s">
        <v>145</v>
      </c>
      <c r="H1391" s="9" t="s">
        <v>305</v>
      </c>
      <c r="I1391" s="10"/>
      <c r="J1391" s="10">
        <v>44645</v>
      </c>
      <c r="K1391" s="5" t="s">
        <v>39</v>
      </c>
      <c r="L1391" s="5" t="s">
        <v>58</v>
      </c>
      <c r="M1391" s="11">
        <v>0.089999999999999997</v>
      </c>
      <c r="N1391" s="5" t="e">
        <f>IF(AND(M1391&gt;#REF!,Cartera!O1391="Guaraníes"),"Rendimiento significativo",IF(AND(M1391&gt;#REF!,Cartera!O1391="Dólares americanos"),"Rendimiento significativo","Rendimiento no significativo"))</f>
        <v>#REF!</v>
      </c>
      <c r="O1391" s="5" t="s">
        <v>41</v>
      </c>
      <c r="P1391" s="12">
        <v>680547.94521000003</v>
      </c>
      <c r="Q1391" s="12">
        <f>IF(O1391="Guaraníes",P1391,P1391*#REF!)</f>
        <v>680547.94521000003</v>
      </c>
      <c r="R1391" s="12" t="e">
        <f>IF(O1391="Guaraníes",P1391/#REF!,P1391)</f>
        <v>#REF!</v>
      </c>
      <c r="S1391" s="5" t="s">
        <v>52</v>
      </c>
      <c r="T1391" s="5">
        <v>1057</v>
      </c>
      <c r="W1391" s="5" t="s">
        <v>65</v>
      </c>
      <c r="X1391" s="5">
        <v>0</v>
      </c>
      <c r="Y1391" s="5">
        <v>0</v>
      </c>
      <c r="Z1391" s="5">
        <v>22684.931507000001</v>
      </c>
      <c r="AA1391" s="5">
        <v>30</v>
      </c>
      <c r="AB1391" s="5">
        <v>680547.94521000003</v>
      </c>
      <c r="AC1391" s="5" t="str">
        <f t="shared" si="67"/>
        <v>Bonos</v>
      </c>
      <c r="AD1391" s="5" t="s">
        <v>43</v>
      </c>
      <c r="AE1391" s="5">
        <f t="shared" si="68"/>
        <v>3</v>
      </c>
      <c r="AF1391" s="5">
        <f t="shared" si="69"/>
        <v>2022</v>
      </c>
    </row>
    <row r="1392" s="5" customFormat="1" ht="13">
      <c r="A1392" s="5" t="s">
        <v>44</v>
      </c>
      <c r="B1392" s="5" t="s">
        <v>44</v>
      </c>
      <c r="C1392" s="5" t="s">
        <v>143</v>
      </c>
      <c r="D1392" s="5" t="s">
        <v>21</v>
      </c>
      <c r="E1392" s="5" t="s">
        <v>44</v>
      </c>
      <c r="F1392" s="5" t="s">
        <v>144</v>
      </c>
      <c r="G1392" s="5" t="s">
        <v>145</v>
      </c>
      <c r="H1392" s="9" t="s">
        <v>272</v>
      </c>
      <c r="I1392" s="10">
        <v>43532</v>
      </c>
      <c r="J1392" s="10">
        <v>44651</v>
      </c>
      <c r="K1392" s="5" t="s">
        <v>49</v>
      </c>
      <c r="L1392" s="5" t="s">
        <v>106</v>
      </c>
      <c r="M1392" s="11">
        <v>0.057500000000000002</v>
      </c>
      <c r="N1392" s="5" t="e">
        <f>IF(AND(M1392&gt;#REF!,Cartera!O1392="Guaraníes"),"Rendimiento significativo",IF(AND(M1392&gt;#REF!,Cartera!O1392="Dólares americanos"),"Rendimiento significativo","Rendimiento no significativo"))</f>
        <v>#REF!</v>
      </c>
      <c r="O1392" s="5" t="s">
        <v>51</v>
      </c>
      <c r="P1392" s="13">
        <v>48.835620000000006</v>
      </c>
      <c r="Q1392" s="12" t="e">
        <f>IF(O1392="Guaraníes",P1392,P1392*#REF!)</f>
        <v>#REF!</v>
      </c>
      <c r="R1392" s="12">
        <f>IF(O1392="Guaraníes",P1392/#REF!,P1392)</f>
        <v>48.835620000000006</v>
      </c>
      <c r="S1392" s="5" t="s">
        <v>52</v>
      </c>
      <c r="T1392" s="5">
        <v>1057</v>
      </c>
      <c r="W1392" s="5" t="s">
        <v>65</v>
      </c>
      <c r="X1392" s="5">
        <v>0</v>
      </c>
      <c r="Y1392" s="5">
        <v>0</v>
      </c>
      <c r="Z1392" s="5">
        <v>4.8835620000000004</v>
      </c>
      <c r="AA1392" s="5">
        <v>10</v>
      </c>
      <c r="AB1392" s="5">
        <v>48.835619999999999</v>
      </c>
      <c r="AC1392" s="5" t="str">
        <f t="shared" si="67"/>
        <v>Bonos</v>
      </c>
      <c r="AD1392" s="5" t="s">
        <v>43</v>
      </c>
      <c r="AE1392" s="5">
        <f t="shared" si="68"/>
        <v>3</v>
      </c>
      <c r="AF1392" s="5">
        <f t="shared" si="69"/>
        <v>2022</v>
      </c>
    </row>
    <row r="1393" s="5" customFormat="1" ht="13">
      <c r="A1393" s="5" t="s">
        <v>44</v>
      </c>
      <c r="B1393" s="5" t="s">
        <v>44</v>
      </c>
      <c r="C1393" s="5" t="s">
        <v>143</v>
      </c>
      <c r="D1393" s="5" t="s">
        <v>21</v>
      </c>
      <c r="E1393" s="5" t="s">
        <v>44</v>
      </c>
      <c r="F1393" s="5" t="s">
        <v>144</v>
      </c>
      <c r="G1393" s="5" t="s">
        <v>145</v>
      </c>
      <c r="H1393" s="9" t="s">
        <v>146</v>
      </c>
      <c r="I1393" s="10"/>
      <c r="J1393" s="10">
        <v>44651</v>
      </c>
      <c r="K1393" s="5" t="s">
        <v>49</v>
      </c>
      <c r="L1393" s="5" t="s">
        <v>106</v>
      </c>
      <c r="M1393" s="11">
        <v>0.060999999999999999</v>
      </c>
      <c r="N1393" s="5" t="e">
        <f>IF(AND(M1393&gt;#REF!,Cartera!O1393="Guaraníes"),"Rendimiento significativo",IF(AND(M1393&gt;#REF!,Cartera!O1393="Dólares americanos"),"Rendimiento significativo","Rendimiento no significativo"))</f>
        <v>#REF!</v>
      </c>
      <c r="O1393" s="5" t="s">
        <v>51</v>
      </c>
      <c r="P1393" s="13">
        <v>207.23287999999999</v>
      </c>
      <c r="Q1393" s="12" t="e">
        <f>IF(O1393="Guaraníes",P1393,P1393*#REF!)</f>
        <v>#REF!</v>
      </c>
      <c r="R1393" s="12">
        <f>IF(O1393="Guaraníes",P1393/#REF!,P1393)</f>
        <v>207.23287999999999</v>
      </c>
      <c r="S1393" s="5" t="s">
        <v>52</v>
      </c>
      <c r="T1393" s="5">
        <v>1057</v>
      </c>
      <c r="W1393" s="5" t="s">
        <v>65</v>
      </c>
      <c r="X1393" s="5">
        <v>0</v>
      </c>
      <c r="Y1393" s="5">
        <v>0</v>
      </c>
      <c r="Z1393" s="5">
        <v>5.180822</v>
      </c>
      <c r="AA1393" s="5">
        <v>40</v>
      </c>
      <c r="AB1393" s="5">
        <v>207.23287999999999</v>
      </c>
      <c r="AC1393" s="5" t="str">
        <f t="shared" si="67"/>
        <v>Bonos</v>
      </c>
      <c r="AD1393" s="5" t="s">
        <v>43</v>
      </c>
      <c r="AE1393" s="5">
        <f t="shared" si="68"/>
        <v>3</v>
      </c>
      <c r="AF1393" s="5">
        <f t="shared" si="69"/>
        <v>2022</v>
      </c>
    </row>
    <row r="1394" s="5" customFormat="1" ht="13">
      <c r="A1394" s="5" t="s">
        <v>44</v>
      </c>
      <c r="B1394" s="5" t="s">
        <v>44</v>
      </c>
      <c r="C1394" s="5" t="s">
        <v>164</v>
      </c>
      <c r="D1394" s="5" t="s">
        <v>21</v>
      </c>
      <c r="E1394" s="5" t="s">
        <v>44</v>
      </c>
      <c r="F1394" s="5" t="s">
        <v>68</v>
      </c>
      <c r="G1394" s="5" t="s">
        <v>145</v>
      </c>
      <c r="H1394" s="9" t="s">
        <v>165</v>
      </c>
      <c r="I1394" s="10"/>
      <c r="J1394" s="10">
        <v>44651</v>
      </c>
      <c r="K1394" s="5" t="s">
        <v>124</v>
      </c>
      <c r="L1394" s="5" t="s">
        <v>58</v>
      </c>
      <c r="M1394" s="11">
        <v>0.10000000000000001</v>
      </c>
      <c r="N1394" s="5" t="e">
        <f>IF(AND(M1394&gt;#REF!,Cartera!O1394="Guaraníes"),"Rendimiento significativo",IF(AND(M1394&gt;#REF!,Cartera!O1394="Dólares americanos"),"Rendimiento significativo","Rendimiento no significativo"))</f>
        <v>#REF!</v>
      </c>
      <c r="O1394" s="5" t="s">
        <v>41</v>
      </c>
      <c r="P1394" s="12">
        <v>3397260.2740000002</v>
      </c>
      <c r="Q1394" s="12">
        <f>IF(O1394="Guaraníes",P1394,P1394*#REF!)</f>
        <v>3397260.2740000002</v>
      </c>
      <c r="R1394" s="12" t="e">
        <f>IF(O1394="Guaraníes",P1394/#REF!,P1394)</f>
        <v>#REF!</v>
      </c>
      <c r="S1394" s="5" t="s">
        <v>52</v>
      </c>
      <c r="T1394" s="5">
        <v>1057</v>
      </c>
      <c r="W1394" s="5" t="s">
        <v>65</v>
      </c>
      <c r="X1394" s="5">
        <v>0</v>
      </c>
      <c r="Y1394" s="5">
        <v>0</v>
      </c>
      <c r="Z1394" s="5">
        <v>8493.1506850000005</v>
      </c>
      <c r="AA1394" s="5">
        <v>400</v>
      </c>
      <c r="AB1394" s="5">
        <v>3397260.2740000002</v>
      </c>
      <c r="AC1394" s="5" t="str">
        <f t="shared" si="67"/>
        <v>Bonos</v>
      </c>
      <c r="AD1394" s="5" t="s">
        <v>43</v>
      </c>
      <c r="AE1394" s="5">
        <f t="shared" si="68"/>
        <v>3</v>
      </c>
      <c r="AF1394" s="5">
        <f t="shared" si="69"/>
        <v>2022</v>
      </c>
    </row>
    <row r="1395" s="5" customFormat="1" ht="13">
      <c r="A1395" s="5" t="s">
        <v>44</v>
      </c>
      <c r="B1395" s="5" t="s">
        <v>44</v>
      </c>
      <c r="C1395" s="5" t="s">
        <v>33</v>
      </c>
      <c r="D1395" s="5" t="s">
        <v>21</v>
      </c>
      <c r="E1395" s="5" t="s">
        <v>44</v>
      </c>
      <c r="F1395" s="5" t="s">
        <v>35</v>
      </c>
      <c r="G1395" s="5" t="s">
        <v>145</v>
      </c>
      <c r="H1395" s="9" t="s">
        <v>358</v>
      </c>
      <c r="I1395" s="10"/>
      <c r="J1395" s="10">
        <v>44673</v>
      </c>
      <c r="K1395" s="5" t="s">
        <v>39</v>
      </c>
      <c r="L1395" s="5" t="s">
        <v>50</v>
      </c>
      <c r="M1395" s="11">
        <v>0.0625</v>
      </c>
      <c r="N1395" s="5" t="e">
        <f>IF(AND(M1395&gt;#REF!,Cartera!O1395="Guaraníes"),"Rendimiento significativo",IF(AND(M1395&gt;#REF!,Cartera!O1395="Dólares americanos"),"Rendimiento significativo","Rendimiento no significativo"))</f>
        <v>#REF!</v>
      </c>
      <c r="O1395" s="5" t="s">
        <v>51</v>
      </c>
      <c r="P1395" s="13">
        <v>698.08220000000006</v>
      </c>
      <c r="Q1395" s="12" t="e">
        <f>IF(O1395="Guaraníes",P1395,P1395*#REF!)</f>
        <v>#REF!</v>
      </c>
      <c r="R1395" s="12">
        <f>IF(O1395="Guaraníes",P1395/#REF!,P1395)</f>
        <v>698.08220000000006</v>
      </c>
      <c r="S1395" s="5" t="s">
        <v>52</v>
      </c>
      <c r="T1395" s="5">
        <v>1057</v>
      </c>
      <c r="W1395" s="5" t="s">
        <v>65</v>
      </c>
      <c r="X1395" s="5">
        <v>0</v>
      </c>
      <c r="Y1395" s="5">
        <v>0</v>
      </c>
      <c r="Z1395" s="5">
        <v>34.904110000000003</v>
      </c>
      <c r="AA1395" s="5">
        <v>20</v>
      </c>
      <c r="AB1395" s="5">
        <v>698.08219999999994</v>
      </c>
      <c r="AC1395" s="5" t="str">
        <f t="shared" si="67"/>
        <v>Bonos</v>
      </c>
      <c r="AD1395" s="5" t="s">
        <v>43</v>
      </c>
      <c r="AE1395" s="5">
        <f t="shared" si="68"/>
        <v>4</v>
      </c>
      <c r="AF1395" s="5">
        <f t="shared" si="69"/>
        <v>2022</v>
      </c>
    </row>
    <row r="1396" s="5" customFormat="1" ht="13">
      <c r="A1396" s="5" t="s">
        <v>44</v>
      </c>
      <c r="B1396" s="5" t="s">
        <v>44</v>
      </c>
      <c r="C1396" s="5" t="s">
        <v>143</v>
      </c>
      <c r="D1396" s="5" t="s">
        <v>21</v>
      </c>
      <c r="E1396" s="5" t="s">
        <v>44</v>
      </c>
      <c r="F1396" s="5" t="s">
        <v>144</v>
      </c>
      <c r="G1396" s="5" t="s">
        <v>145</v>
      </c>
      <c r="H1396" s="9" t="s">
        <v>272</v>
      </c>
      <c r="I1396" s="10">
        <v>43532</v>
      </c>
      <c r="J1396" s="10">
        <v>44680</v>
      </c>
      <c r="K1396" s="5" t="s">
        <v>49</v>
      </c>
      <c r="L1396" s="5" t="s">
        <v>106</v>
      </c>
      <c r="M1396" s="11">
        <v>0.057500000000000002</v>
      </c>
      <c r="N1396" s="5" t="e">
        <f>IF(AND(M1396&gt;#REF!,Cartera!O1396="Guaraníes"),"Rendimiento significativo",IF(AND(M1396&gt;#REF!,Cartera!O1396="Dólares americanos"),"Rendimiento significativo","Rendimiento no significativo"))</f>
        <v>#REF!</v>
      </c>
      <c r="O1396" s="5" t="s">
        <v>51</v>
      </c>
      <c r="P1396" s="13">
        <v>45.684930000000001</v>
      </c>
      <c r="Q1396" s="12" t="e">
        <f>IF(O1396="Guaraníes",P1396,P1396*#REF!)</f>
        <v>#REF!</v>
      </c>
      <c r="R1396" s="12">
        <f>IF(O1396="Guaraníes",P1396/#REF!,P1396)</f>
        <v>45.684930000000001</v>
      </c>
      <c r="S1396" s="5" t="s">
        <v>52</v>
      </c>
      <c r="T1396" s="5">
        <v>1057</v>
      </c>
      <c r="W1396" s="5" t="s">
        <v>65</v>
      </c>
      <c r="X1396" s="5">
        <v>0</v>
      </c>
      <c r="Y1396" s="5">
        <v>0</v>
      </c>
      <c r="Z1396" s="5">
        <v>4.5684930000000001</v>
      </c>
      <c r="AA1396" s="5">
        <v>10</v>
      </c>
      <c r="AB1396" s="5">
        <v>45.684930000000001</v>
      </c>
      <c r="AC1396" s="5" t="str">
        <f t="shared" si="67"/>
        <v>Bonos</v>
      </c>
      <c r="AD1396" s="5" t="s">
        <v>43</v>
      </c>
      <c r="AE1396" s="5">
        <f t="shared" si="68"/>
        <v>4</v>
      </c>
      <c r="AF1396" s="5">
        <f t="shared" si="69"/>
        <v>2022</v>
      </c>
    </row>
    <row r="1397" s="5" customFormat="1" ht="13">
      <c r="A1397" s="5" t="s">
        <v>44</v>
      </c>
      <c r="B1397" s="5" t="s">
        <v>44</v>
      </c>
      <c r="C1397" s="5" t="s">
        <v>143</v>
      </c>
      <c r="D1397" s="5" t="s">
        <v>21</v>
      </c>
      <c r="E1397" s="5" t="s">
        <v>44</v>
      </c>
      <c r="F1397" s="5" t="s">
        <v>144</v>
      </c>
      <c r="G1397" s="5" t="s">
        <v>145</v>
      </c>
      <c r="H1397" s="9" t="s">
        <v>146</v>
      </c>
      <c r="I1397" s="10"/>
      <c r="J1397" s="10">
        <v>44680</v>
      </c>
      <c r="K1397" s="5" t="s">
        <v>49</v>
      </c>
      <c r="L1397" s="5" t="s">
        <v>106</v>
      </c>
      <c r="M1397" s="11">
        <v>0.060999999999999999</v>
      </c>
      <c r="N1397" s="5" t="e">
        <f>IF(AND(M1397&gt;#REF!,Cartera!O1397="Guaraníes"),"Rendimiento significativo",IF(AND(M1397&gt;#REF!,Cartera!O1397="Dólares americanos"),"Rendimiento significativo","Rendimiento no significativo"))</f>
        <v>#REF!</v>
      </c>
      <c r="O1397" s="5" t="s">
        <v>51</v>
      </c>
      <c r="P1397" s="13">
        <v>193.863</v>
      </c>
      <c r="Q1397" s="12" t="e">
        <f>IF(O1397="Guaraníes",P1397,P1397*#REF!)</f>
        <v>#REF!</v>
      </c>
      <c r="R1397" s="12">
        <f>IF(O1397="Guaraníes",P1397/#REF!,P1397)</f>
        <v>193.863</v>
      </c>
      <c r="S1397" s="5" t="s">
        <v>52</v>
      </c>
      <c r="T1397" s="5">
        <v>1057</v>
      </c>
      <c r="W1397" s="5" t="s">
        <v>65</v>
      </c>
      <c r="X1397" s="5">
        <v>0</v>
      </c>
      <c r="Y1397" s="5">
        <v>0</v>
      </c>
      <c r="Z1397" s="5">
        <v>4.8465749999999996</v>
      </c>
      <c r="AA1397" s="5">
        <v>40</v>
      </c>
      <c r="AB1397" s="5">
        <v>193.863</v>
      </c>
      <c r="AC1397" s="5" t="str">
        <f t="shared" si="67"/>
        <v>Bonos</v>
      </c>
      <c r="AD1397" s="5" t="s">
        <v>43</v>
      </c>
      <c r="AE1397" s="5">
        <f t="shared" si="68"/>
        <v>4</v>
      </c>
      <c r="AF1397" s="5">
        <f t="shared" si="69"/>
        <v>2022</v>
      </c>
    </row>
    <row r="1398" s="5" customFormat="1" ht="13">
      <c r="A1398" s="5" t="s">
        <v>44</v>
      </c>
      <c r="B1398" s="5" t="s">
        <v>44</v>
      </c>
      <c r="C1398" s="5" t="s">
        <v>164</v>
      </c>
      <c r="D1398" s="5" t="s">
        <v>21</v>
      </c>
      <c r="E1398" s="5" t="s">
        <v>44</v>
      </c>
      <c r="F1398" s="5" t="s">
        <v>68</v>
      </c>
      <c r="G1398" s="5" t="s">
        <v>145</v>
      </c>
      <c r="H1398" s="9" t="s">
        <v>165</v>
      </c>
      <c r="I1398" s="10"/>
      <c r="J1398" s="10">
        <v>44680</v>
      </c>
      <c r="K1398" s="5" t="s">
        <v>124</v>
      </c>
      <c r="L1398" s="5" t="s">
        <v>58</v>
      </c>
      <c r="M1398" s="11">
        <v>0.10000000000000001</v>
      </c>
      <c r="N1398" s="5" t="e">
        <f>IF(AND(M1398&gt;#REF!,Cartera!O1398="Guaraníes"),"Rendimiento significativo",IF(AND(M1398&gt;#REF!,Cartera!O1398="Dólares americanos"),"Rendimiento significativo","Rendimiento no significativo"))</f>
        <v>#REF!</v>
      </c>
      <c r="O1398" s="5" t="s">
        <v>41</v>
      </c>
      <c r="P1398" s="12">
        <v>3178082.1916</v>
      </c>
      <c r="Q1398" s="12">
        <f>IF(O1398="Guaraníes",P1398,P1398*#REF!)</f>
        <v>3178082.1916</v>
      </c>
      <c r="R1398" s="12" t="e">
        <f>IF(O1398="Guaraníes",P1398/#REF!,P1398)</f>
        <v>#REF!</v>
      </c>
      <c r="S1398" s="5" t="s">
        <v>52</v>
      </c>
      <c r="T1398" s="5">
        <v>1057</v>
      </c>
      <c r="W1398" s="5" t="s">
        <v>65</v>
      </c>
      <c r="X1398" s="5">
        <v>0</v>
      </c>
      <c r="Y1398" s="5">
        <v>0</v>
      </c>
      <c r="Z1398" s="5">
        <v>7945.2054790000002</v>
      </c>
      <c r="AA1398" s="5">
        <v>400</v>
      </c>
      <c r="AB1398" s="5">
        <v>3178082.1916</v>
      </c>
      <c r="AC1398" s="5" t="str">
        <f t="shared" si="67"/>
        <v>Bonos</v>
      </c>
      <c r="AD1398" s="5" t="s">
        <v>43</v>
      </c>
      <c r="AE1398" s="5">
        <f t="shared" si="68"/>
        <v>4</v>
      </c>
      <c r="AF1398" s="5">
        <f t="shared" si="69"/>
        <v>2022</v>
      </c>
    </row>
    <row r="1399" s="5" customFormat="1" ht="13">
      <c r="A1399" s="5" t="s">
        <v>44</v>
      </c>
      <c r="B1399" s="5" t="s">
        <v>44</v>
      </c>
      <c r="C1399" s="5" t="s">
        <v>45</v>
      </c>
      <c r="D1399" s="5" t="s">
        <v>21</v>
      </c>
      <c r="E1399" s="5" t="s">
        <v>44</v>
      </c>
      <c r="F1399" s="5" t="s">
        <v>46</v>
      </c>
      <c r="G1399" s="5" t="s">
        <v>145</v>
      </c>
      <c r="H1399" s="9" t="s">
        <v>359</v>
      </c>
      <c r="I1399" s="10"/>
      <c r="J1399" s="10">
        <v>44700</v>
      </c>
      <c r="K1399" s="5" t="s">
        <v>49</v>
      </c>
      <c r="L1399" s="5" t="s">
        <v>50</v>
      </c>
      <c r="M1399" s="11">
        <v>0.070000000000000007</v>
      </c>
      <c r="N1399" s="5" t="e">
        <f>IF(AND(M1399&gt;#REF!,Cartera!O1399="Guaraníes"),"Rendimiento significativo",IF(AND(M1399&gt;#REF!,Cartera!O1399="Dólares americanos"),"Rendimiento significativo","Rendimiento no significativo"))</f>
        <v>#REF!</v>
      </c>
      <c r="O1399" s="5" t="s">
        <v>51</v>
      </c>
      <c r="P1399" s="13">
        <v>149.58904000000001</v>
      </c>
      <c r="Q1399" s="12" t="e">
        <f>IF(O1399="Guaraníes",P1399,P1399*#REF!)</f>
        <v>#REF!</v>
      </c>
      <c r="R1399" s="12">
        <f>IF(O1399="Guaraníes",P1399/#REF!,P1399)</f>
        <v>149.58904000000001</v>
      </c>
      <c r="S1399" s="5" t="s">
        <v>52</v>
      </c>
      <c r="T1399" s="5">
        <v>1057</v>
      </c>
      <c r="W1399" s="5" t="s">
        <v>65</v>
      </c>
      <c r="X1399" s="5">
        <v>0</v>
      </c>
      <c r="Y1399" s="5">
        <v>0</v>
      </c>
      <c r="Z1399" s="5">
        <v>14.958904</v>
      </c>
      <c r="AA1399" s="5">
        <v>10</v>
      </c>
      <c r="AB1399" s="5">
        <v>149.58904000000001</v>
      </c>
      <c r="AC1399" s="5" t="str">
        <f t="shared" ref="AC1399:AC1462" si="70">IF(ISNUMBER(SEARCH("Acciones",L1399)),"Acciones",IF(ISNUMBER(SEARCH("Bono",L1399)),"Bonos",IF(ISNUMBER(SEARCH("CDA",L1399)),"CDA",IF(ISNUMBER(SEARCH("Fondo",L1399)),"Fondo",0))))</f>
        <v>Bonos</v>
      </c>
      <c r="AD1399" s="5" t="s">
        <v>43</v>
      </c>
      <c r="AE1399" s="5">
        <f t="shared" si="68"/>
        <v>5</v>
      </c>
      <c r="AF1399" s="5">
        <f t="shared" si="69"/>
        <v>2022</v>
      </c>
    </row>
    <row r="1400" s="5" customFormat="1" ht="13">
      <c r="A1400" s="5" t="s">
        <v>44</v>
      </c>
      <c r="B1400" s="5" t="s">
        <v>44</v>
      </c>
      <c r="C1400" s="5" t="s">
        <v>143</v>
      </c>
      <c r="D1400" s="5" t="s">
        <v>21</v>
      </c>
      <c r="E1400" s="5" t="s">
        <v>44</v>
      </c>
      <c r="F1400" s="5" t="s">
        <v>144</v>
      </c>
      <c r="G1400" s="5" t="s">
        <v>145</v>
      </c>
      <c r="H1400" s="9" t="s">
        <v>272</v>
      </c>
      <c r="I1400" s="10">
        <v>43532</v>
      </c>
      <c r="J1400" s="10">
        <v>44712</v>
      </c>
      <c r="K1400" s="5" t="s">
        <v>49</v>
      </c>
      <c r="L1400" s="5" t="s">
        <v>106</v>
      </c>
      <c r="M1400" s="11">
        <v>0.057500000000000002</v>
      </c>
      <c r="N1400" s="5" t="e">
        <f>IF(AND(M1400&gt;#REF!,Cartera!O1400="Guaraníes"),"Rendimiento significativo",IF(AND(M1400&gt;#REF!,Cartera!O1400="Dólares americanos"),"Rendimiento significativo","Rendimiento no significativo"))</f>
        <v>#REF!</v>
      </c>
      <c r="O1400" s="5" t="s">
        <v>51</v>
      </c>
      <c r="P1400" s="13">
        <v>50.410959999999996</v>
      </c>
      <c r="Q1400" s="12" t="e">
        <f>IF(O1400="Guaraníes",P1400,P1400*#REF!)</f>
        <v>#REF!</v>
      </c>
      <c r="R1400" s="12">
        <f>IF(O1400="Guaraníes",P1400/#REF!,P1400)</f>
        <v>50.410959999999996</v>
      </c>
      <c r="S1400" s="5" t="s">
        <v>52</v>
      </c>
      <c r="T1400" s="5">
        <v>1057</v>
      </c>
      <c r="W1400" s="5" t="s">
        <v>65</v>
      </c>
      <c r="X1400" s="5">
        <v>0</v>
      </c>
      <c r="Y1400" s="5">
        <v>0</v>
      </c>
      <c r="Z1400" s="5">
        <v>5.0410959999999996</v>
      </c>
      <c r="AA1400" s="5">
        <v>10</v>
      </c>
      <c r="AB1400" s="5">
        <v>50.410960000000003</v>
      </c>
      <c r="AC1400" s="5" t="str">
        <f t="shared" si="70"/>
        <v>Bonos</v>
      </c>
      <c r="AD1400" s="5" t="s">
        <v>43</v>
      </c>
      <c r="AE1400" s="5">
        <f t="shared" si="68"/>
        <v>5</v>
      </c>
      <c r="AF1400" s="5">
        <f t="shared" si="69"/>
        <v>2022</v>
      </c>
    </row>
    <row r="1401" s="5" customFormat="1" ht="13">
      <c r="A1401" s="5" t="s">
        <v>44</v>
      </c>
      <c r="B1401" s="5" t="s">
        <v>44</v>
      </c>
      <c r="C1401" s="5" t="s">
        <v>143</v>
      </c>
      <c r="D1401" s="5" t="s">
        <v>21</v>
      </c>
      <c r="E1401" s="5" t="s">
        <v>44</v>
      </c>
      <c r="F1401" s="5" t="s">
        <v>144</v>
      </c>
      <c r="G1401" s="5" t="s">
        <v>145</v>
      </c>
      <c r="H1401" s="9" t="s">
        <v>146</v>
      </c>
      <c r="I1401" s="10"/>
      <c r="J1401" s="10">
        <v>44712</v>
      </c>
      <c r="K1401" s="5" t="s">
        <v>49</v>
      </c>
      <c r="L1401" s="5" t="s">
        <v>106</v>
      </c>
      <c r="M1401" s="11">
        <v>0.060999999999999999</v>
      </c>
      <c r="N1401" s="5" t="e">
        <f>IF(AND(M1401&gt;#REF!,Cartera!O1401="Guaraníes"),"Rendimiento significativo",IF(AND(M1401&gt;#REF!,Cartera!O1401="Dólares americanos"),"Rendimiento significativo","Rendimiento no significativo"))</f>
        <v>#REF!</v>
      </c>
      <c r="O1401" s="5" t="s">
        <v>51</v>
      </c>
      <c r="P1401" s="13">
        <v>213.9178</v>
      </c>
      <c r="Q1401" s="12" t="e">
        <f>IF(O1401="Guaraníes",P1401,P1401*#REF!)</f>
        <v>#REF!</v>
      </c>
      <c r="R1401" s="12">
        <f>IF(O1401="Guaraníes",P1401/#REF!,P1401)</f>
        <v>213.9178</v>
      </c>
      <c r="S1401" s="5" t="s">
        <v>52</v>
      </c>
      <c r="T1401" s="5">
        <v>1057</v>
      </c>
      <c r="W1401" s="5" t="s">
        <v>65</v>
      </c>
      <c r="X1401" s="5">
        <v>0</v>
      </c>
      <c r="Y1401" s="5">
        <v>0</v>
      </c>
      <c r="Z1401" s="5">
        <v>5.3479450000000002</v>
      </c>
      <c r="AA1401" s="5">
        <v>40</v>
      </c>
      <c r="AB1401" s="5">
        <v>213.9178</v>
      </c>
      <c r="AC1401" s="5" t="str">
        <f t="shared" si="70"/>
        <v>Bonos</v>
      </c>
      <c r="AD1401" s="5" t="s">
        <v>43</v>
      </c>
      <c r="AE1401" s="5">
        <f t="shared" si="68"/>
        <v>5</v>
      </c>
      <c r="AF1401" s="5">
        <f t="shared" si="69"/>
        <v>2022</v>
      </c>
    </row>
    <row r="1402" s="5" customFormat="1" ht="13">
      <c r="A1402" s="5" t="s">
        <v>44</v>
      </c>
      <c r="B1402" s="5" t="s">
        <v>44</v>
      </c>
      <c r="C1402" s="5" t="s">
        <v>164</v>
      </c>
      <c r="D1402" s="5" t="s">
        <v>21</v>
      </c>
      <c r="E1402" s="5" t="s">
        <v>44</v>
      </c>
      <c r="F1402" s="5" t="s">
        <v>68</v>
      </c>
      <c r="G1402" s="5" t="s">
        <v>145</v>
      </c>
      <c r="H1402" s="9" t="s">
        <v>165</v>
      </c>
      <c r="I1402" s="10"/>
      <c r="J1402" s="10">
        <v>44712</v>
      </c>
      <c r="K1402" s="5" t="s">
        <v>124</v>
      </c>
      <c r="L1402" s="5" t="s">
        <v>58</v>
      </c>
      <c r="M1402" s="11">
        <v>0.10000000000000001</v>
      </c>
      <c r="N1402" s="5" t="e">
        <f>IF(AND(M1402&gt;#REF!,Cartera!O1402="Guaraníes"),"Rendimiento significativo",IF(AND(M1402&gt;#REF!,Cartera!O1402="Dólares americanos"),"Rendimiento significativo","Rendimiento no significativo"))</f>
        <v>#REF!</v>
      </c>
      <c r="O1402" s="5" t="s">
        <v>41</v>
      </c>
      <c r="P1402" s="12">
        <v>3506849.3152000001</v>
      </c>
      <c r="Q1402" s="12">
        <f>IF(O1402="Guaraníes",P1402,P1402*#REF!)</f>
        <v>3506849.3152000001</v>
      </c>
      <c r="R1402" s="12" t="e">
        <f>IF(O1402="Guaraníes",P1402/#REF!,P1402)</f>
        <v>#REF!</v>
      </c>
      <c r="S1402" s="5" t="s">
        <v>52</v>
      </c>
      <c r="T1402" s="5">
        <v>1057</v>
      </c>
      <c r="W1402" s="5" t="s">
        <v>65</v>
      </c>
      <c r="X1402" s="5">
        <v>0</v>
      </c>
      <c r="Y1402" s="5">
        <v>0</v>
      </c>
      <c r="Z1402" s="5">
        <v>8767.1232880000007</v>
      </c>
      <c r="AA1402" s="5">
        <v>400</v>
      </c>
      <c r="AB1402" s="5">
        <v>3506849.3152000001</v>
      </c>
      <c r="AC1402" s="5" t="str">
        <f t="shared" si="70"/>
        <v>Bonos</v>
      </c>
      <c r="AD1402" s="5" t="s">
        <v>43</v>
      </c>
      <c r="AE1402" s="5">
        <f t="shared" si="68"/>
        <v>5</v>
      </c>
      <c r="AF1402" s="5">
        <f t="shared" si="69"/>
        <v>2022</v>
      </c>
    </row>
    <row r="1403" s="5" customFormat="1" ht="13">
      <c r="A1403" s="5" t="s">
        <v>44</v>
      </c>
      <c r="B1403" s="5" t="s">
        <v>44</v>
      </c>
      <c r="C1403" s="5" t="s">
        <v>304</v>
      </c>
      <c r="D1403" s="5" t="s">
        <v>21</v>
      </c>
      <c r="E1403" s="5" t="s">
        <v>44</v>
      </c>
      <c r="F1403" s="5" t="s">
        <v>68</v>
      </c>
      <c r="G1403" s="5" t="s">
        <v>145</v>
      </c>
      <c r="H1403" s="9" t="s">
        <v>363</v>
      </c>
      <c r="I1403" s="10"/>
      <c r="J1403" s="10">
        <v>44721</v>
      </c>
      <c r="K1403" s="5" t="s">
        <v>39</v>
      </c>
      <c r="L1403" s="5" t="s">
        <v>58</v>
      </c>
      <c r="M1403" s="11">
        <v>0.089999999999999997</v>
      </c>
      <c r="N1403" s="5" t="e">
        <f>IF(AND(M1403&gt;#REF!,Cartera!O1403="Guaraníes"),"Rendimiento significativo",IF(AND(M1403&gt;#REF!,Cartera!O1403="Dólares americanos"),"Rendimiento significativo","Rendimiento no significativo"))</f>
        <v>#REF!</v>
      </c>
      <c r="O1403" s="5" t="s">
        <v>41</v>
      </c>
      <c r="P1403" s="12">
        <v>8975342.4656000007</v>
      </c>
      <c r="Q1403" s="12">
        <f>IF(O1403="Guaraníes",P1403,P1403*#REF!)</f>
        <v>8975342.4656000007</v>
      </c>
      <c r="R1403" s="12" t="e">
        <f>IF(O1403="Guaraníes",P1403/#REF!,P1403)</f>
        <v>#REF!</v>
      </c>
      <c r="S1403" s="5" t="s">
        <v>52</v>
      </c>
      <c r="T1403" s="5">
        <v>1057</v>
      </c>
      <c r="W1403" s="5" t="s">
        <v>65</v>
      </c>
      <c r="X1403" s="5">
        <v>0</v>
      </c>
      <c r="Y1403" s="5">
        <v>0</v>
      </c>
      <c r="Z1403" s="5">
        <v>22438.356164000001</v>
      </c>
      <c r="AA1403" s="5">
        <v>400</v>
      </c>
      <c r="AB1403" s="5">
        <v>8975342.4656000007</v>
      </c>
      <c r="AC1403" s="5" t="str">
        <f t="shared" si="70"/>
        <v>Bonos</v>
      </c>
      <c r="AD1403" s="5" t="s">
        <v>43</v>
      </c>
      <c r="AE1403" s="5">
        <f t="shared" si="68"/>
        <v>6</v>
      </c>
      <c r="AF1403" s="5">
        <f t="shared" si="69"/>
        <v>2022</v>
      </c>
    </row>
    <row r="1404" s="5" customFormat="1" ht="13">
      <c r="A1404" s="5" t="s">
        <v>44</v>
      </c>
      <c r="B1404" s="5" t="s">
        <v>44</v>
      </c>
      <c r="C1404" s="5" t="s">
        <v>304</v>
      </c>
      <c r="D1404" s="5" t="s">
        <v>21</v>
      </c>
      <c r="E1404" s="5" t="s">
        <v>44</v>
      </c>
      <c r="F1404" s="5" t="s">
        <v>68</v>
      </c>
      <c r="G1404" s="5" t="s">
        <v>145</v>
      </c>
      <c r="H1404" s="9" t="s">
        <v>305</v>
      </c>
      <c r="I1404" s="10"/>
      <c r="J1404" s="10">
        <v>44736</v>
      </c>
      <c r="K1404" s="5" t="s">
        <v>39</v>
      </c>
      <c r="L1404" s="5" t="s">
        <v>58</v>
      </c>
      <c r="M1404" s="11">
        <v>0.089999999999999997</v>
      </c>
      <c r="N1404" s="5" t="e">
        <f>IF(AND(M1404&gt;#REF!,Cartera!O1404="Guaraníes"),"Rendimiento significativo",IF(AND(M1404&gt;#REF!,Cartera!O1404="Dólares americanos"),"Rendimiento significativo","Rendimiento no significativo"))</f>
        <v>#REF!</v>
      </c>
      <c r="O1404" s="5" t="s">
        <v>41</v>
      </c>
      <c r="P1404" s="12">
        <v>673150.68492000003</v>
      </c>
      <c r="Q1404" s="12">
        <f>IF(O1404="Guaraníes",P1404,P1404*#REF!)</f>
        <v>673150.68492000003</v>
      </c>
      <c r="R1404" s="12" t="e">
        <f>IF(O1404="Guaraníes",P1404/#REF!,P1404)</f>
        <v>#REF!</v>
      </c>
      <c r="S1404" s="5" t="s">
        <v>52</v>
      </c>
      <c r="T1404" s="5">
        <v>1057</v>
      </c>
      <c r="W1404" s="5" t="s">
        <v>65</v>
      </c>
      <c r="X1404" s="5">
        <v>0</v>
      </c>
      <c r="Y1404" s="5">
        <v>0</v>
      </c>
      <c r="Z1404" s="5">
        <v>22438.356164000001</v>
      </c>
      <c r="AA1404" s="5">
        <v>30</v>
      </c>
      <c r="AB1404" s="5">
        <v>673150.68492000003</v>
      </c>
      <c r="AC1404" s="5" t="str">
        <f t="shared" si="70"/>
        <v>Bonos</v>
      </c>
      <c r="AD1404" s="5" t="s">
        <v>43</v>
      </c>
      <c r="AE1404" s="5">
        <f t="shared" si="68"/>
        <v>6</v>
      </c>
      <c r="AF1404" s="5">
        <f t="shared" si="69"/>
        <v>2022</v>
      </c>
    </row>
    <row r="1405" s="5" customFormat="1" ht="13">
      <c r="A1405" s="5" t="s">
        <v>44</v>
      </c>
      <c r="B1405" s="5" t="s">
        <v>44</v>
      </c>
      <c r="C1405" s="5" t="s">
        <v>143</v>
      </c>
      <c r="D1405" s="5" t="s">
        <v>21</v>
      </c>
      <c r="E1405" s="5" t="s">
        <v>44</v>
      </c>
      <c r="F1405" s="5" t="s">
        <v>144</v>
      </c>
      <c r="G1405" s="5" t="s">
        <v>145</v>
      </c>
      <c r="H1405" s="9" t="s">
        <v>272</v>
      </c>
      <c r="I1405" s="10">
        <v>43532</v>
      </c>
      <c r="J1405" s="10">
        <v>44742</v>
      </c>
      <c r="K1405" s="5" t="s">
        <v>49</v>
      </c>
      <c r="L1405" s="5" t="s">
        <v>106</v>
      </c>
      <c r="M1405" s="11">
        <v>0.057500000000000002</v>
      </c>
      <c r="N1405" s="5" t="e">
        <f>IF(AND(M1405&gt;#REF!,Cartera!O1405="Guaraníes"),"Rendimiento significativo",IF(AND(M1405&gt;#REF!,Cartera!O1405="Dólares americanos"),"Rendimiento significativo","Rendimiento no significativo"))</f>
        <v>#REF!</v>
      </c>
      <c r="O1405" s="5" t="s">
        <v>51</v>
      </c>
      <c r="P1405" s="13">
        <v>47.260270000000006</v>
      </c>
      <c r="Q1405" s="12" t="e">
        <f>IF(O1405="Guaraníes",P1405,P1405*#REF!)</f>
        <v>#REF!</v>
      </c>
      <c r="R1405" s="12">
        <f>IF(O1405="Guaraníes",P1405/#REF!,P1405)</f>
        <v>47.260270000000006</v>
      </c>
      <c r="S1405" s="5" t="s">
        <v>52</v>
      </c>
      <c r="T1405" s="5">
        <v>1057</v>
      </c>
      <c r="W1405" s="5" t="s">
        <v>65</v>
      </c>
      <c r="X1405" s="5">
        <v>0</v>
      </c>
      <c r="Y1405" s="5">
        <v>0</v>
      </c>
      <c r="Z1405" s="5">
        <v>4.7260270000000002</v>
      </c>
      <c r="AA1405" s="5">
        <v>10</v>
      </c>
      <c r="AB1405" s="5">
        <v>47.260269999999998</v>
      </c>
      <c r="AC1405" s="5" t="str">
        <f t="shared" si="70"/>
        <v>Bonos</v>
      </c>
      <c r="AD1405" s="5" t="s">
        <v>43</v>
      </c>
      <c r="AE1405" s="5">
        <f t="shared" si="68"/>
        <v>6</v>
      </c>
      <c r="AF1405" s="5">
        <f t="shared" si="69"/>
        <v>2022</v>
      </c>
    </row>
    <row r="1406" s="5" customFormat="1" ht="13">
      <c r="A1406" s="5" t="s">
        <v>44</v>
      </c>
      <c r="B1406" s="5" t="s">
        <v>44</v>
      </c>
      <c r="C1406" s="5" t="s">
        <v>143</v>
      </c>
      <c r="D1406" s="5" t="s">
        <v>21</v>
      </c>
      <c r="E1406" s="5" t="s">
        <v>44</v>
      </c>
      <c r="F1406" s="5" t="s">
        <v>144</v>
      </c>
      <c r="G1406" s="5" t="s">
        <v>145</v>
      </c>
      <c r="H1406" s="9" t="s">
        <v>146</v>
      </c>
      <c r="I1406" s="10"/>
      <c r="J1406" s="10">
        <v>44742</v>
      </c>
      <c r="K1406" s="5" t="s">
        <v>49</v>
      </c>
      <c r="L1406" s="5" t="s">
        <v>106</v>
      </c>
      <c r="M1406" s="11">
        <v>0.060999999999999999</v>
      </c>
      <c r="N1406" s="5" t="e">
        <f>IF(AND(M1406&gt;#REF!,Cartera!O1406="Guaraníes"),"Rendimiento significativo",IF(AND(M1406&gt;#REF!,Cartera!O1406="Dólares americanos"),"Rendimiento significativo","Rendimiento no significativo"))</f>
        <v>#REF!</v>
      </c>
      <c r="O1406" s="5" t="s">
        <v>51</v>
      </c>
      <c r="P1406" s="13">
        <v>200.54795999999999</v>
      </c>
      <c r="Q1406" s="12" t="e">
        <f>IF(O1406="Guaraníes",P1406,P1406*#REF!)</f>
        <v>#REF!</v>
      </c>
      <c r="R1406" s="12">
        <f>IF(O1406="Guaraníes",P1406/#REF!,P1406)</f>
        <v>200.54795999999999</v>
      </c>
      <c r="S1406" s="5" t="s">
        <v>52</v>
      </c>
      <c r="T1406" s="5">
        <v>1057</v>
      </c>
      <c r="W1406" s="5" t="s">
        <v>65</v>
      </c>
      <c r="X1406" s="5">
        <v>0</v>
      </c>
      <c r="Y1406" s="5">
        <v>0</v>
      </c>
      <c r="Z1406" s="5">
        <v>5.0136989999999999</v>
      </c>
      <c r="AA1406" s="5">
        <v>40</v>
      </c>
      <c r="AB1406" s="5">
        <v>200.54795999999999</v>
      </c>
      <c r="AC1406" s="5" t="str">
        <f t="shared" si="70"/>
        <v>Bonos</v>
      </c>
      <c r="AD1406" s="5" t="s">
        <v>43</v>
      </c>
      <c r="AE1406" s="5">
        <f t="shared" si="68"/>
        <v>6</v>
      </c>
      <c r="AF1406" s="5">
        <f t="shared" si="69"/>
        <v>2022</v>
      </c>
    </row>
    <row r="1407" s="5" customFormat="1" ht="13">
      <c r="A1407" s="5" t="s">
        <v>44</v>
      </c>
      <c r="B1407" s="5" t="s">
        <v>44</v>
      </c>
      <c r="C1407" s="5" t="s">
        <v>164</v>
      </c>
      <c r="D1407" s="5" t="s">
        <v>21</v>
      </c>
      <c r="E1407" s="5" t="s">
        <v>44</v>
      </c>
      <c r="F1407" s="5" t="s">
        <v>68</v>
      </c>
      <c r="G1407" s="5" t="s">
        <v>145</v>
      </c>
      <c r="H1407" s="9" t="s">
        <v>165</v>
      </c>
      <c r="I1407" s="10"/>
      <c r="J1407" s="10">
        <v>44742</v>
      </c>
      <c r="K1407" s="5" t="s">
        <v>124</v>
      </c>
      <c r="L1407" s="5" t="s">
        <v>58</v>
      </c>
      <c r="M1407" s="11">
        <v>0.10000000000000001</v>
      </c>
      <c r="N1407" s="5" t="e">
        <f>IF(AND(M1407&gt;#REF!,Cartera!O1407="Guaraníes"),"Rendimiento significativo",IF(AND(M1407&gt;#REF!,Cartera!O1407="Dólares americanos"),"Rendimiento significativo","Rendimiento no significativo"))</f>
        <v>#REF!</v>
      </c>
      <c r="O1407" s="5" t="s">
        <v>41</v>
      </c>
      <c r="P1407" s="12">
        <v>3287671.2328000003</v>
      </c>
      <c r="Q1407" s="12">
        <f>IF(O1407="Guaraníes",P1407,P1407*#REF!)</f>
        <v>3287671.2328000003</v>
      </c>
      <c r="R1407" s="12" t="e">
        <f>IF(O1407="Guaraníes",P1407/#REF!,P1407)</f>
        <v>#REF!</v>
      </c>
      <c r="S1407" s="5" t="s">
        <v>52</v>
      </c>
      <c r="T1407" s="5">
        <v>1057</v>
      </c>
      <c r="W1407" s="5" t="s">
        <v>65</v>
      </c>
      <c r="X1407" s="5">
        <v>0</v>
      </c>
      <c r="Y1407" s="5">
        <v>0</v>
      </c>
      <c r="Z1407" s="5">
        <v>8219.1780820000004</v>
      </c>
      <c r="AA1407" s="5">
        <v>400</v>
      </c>
      <c r="AB1407" s="5">
        <v>3287671.2327999999</v>
      </c>
      <c r="AC1407" s="5" t="str">
        <f t="shared" si="70"/>
        <v>Bonos</v>
      </c>
      <c r="AD1407" s="5" t="s">
        <v>43</v>
      </c>
      <c r="AE1407" s="5">
        <f t="shared" si="68"/>
        <v>6</v>
      </c>
      <c r="AF1407" s="5">
        <f t="shared" si="69"/>
        <v>2022</v>
      </c>
    </row>
    <row r="1408" s="5" customFormat="1" ht="13">
      <c r="A1408" s="5" t="s">
        <v>44</v>
      </c>
      <c r="B1408" s="5" t="s">
        <v>44</v>
      </c>
      <c r="C1408" s="5" t="s">
        <v>67</v>
      </c>
      <c r="D1408" s="5" t="s">
        <v>21</v>
      </c>
      <c r="E1408" s="5" t="s">
        <v>44</v>
      </c>
      <c r="F1408" s="5" t="s">
        <v>68</v>
      </c>
      <c r="G1408" s="5" t="s">
        <v>91</v>
      </c>
      <c r="H1408" s="9" t="s">
        <v>110</v>
      </c>
      <c r="I1408" s="10"/>
      <c r="J1408" s="10">
        <v>44761</v>
      </c>
      <c r="K1408" s="5" t="s">
        <v>71</v>
      </c>
      <c r="L1408" s="5" t="s">
        <v>58</v>
      </c>
      <c r="M1408" s="11">
        <v>0.089999999999999997</v>
      </c>
      <c r="N1408" s="5" t="e">
        <f>IF(AND(M1408&gt;#REF!,Cartera!O1408="Guaraníes"),"Rendimiento significativo",IF(AND(M1408&gt;#REF!,Cartera!O1408="Dólares americanos"),"Rendimiento significativo","Rendimiento no significativo"))</f>
        <v>#REF!</v>
      </c>
      <c r="O1408" s="5" t="s">
        <v>51</v>
      </c>
      <c r="P1408" s="13">
        <v>252.43150499999999</v>
      </c>
      <c r="Q1408" s="12" t="e">
        <f>IF(O1408="Guaraníes",P1408,P1408*#REF!)</f>
        <v>#REF!</v>
      </c>
      <c r="R1408" s="12">
        <f>IF(O1408="Guaraníes",P1408/#REF!,P1408)</f>
        <v>252.43150499999999</v>
      </c>
      <c r="S1408" s="5" t="s">
        <v>52</v>
      </c>
      <c r="T1408" s="5">
        <v>3253</v>
      </c>
      <c r="W1408" s="5" t="s">
        <v>65</v>
      </c>
      <c r="X1408" s="5">
        <v>0</v>
      </c>
      <c r="Y1408" s="5">
        <v>0</v>
      </c>
      <c r="Z1408" s="5">
        <v>16.828766999999999</v>
      </c>
      <c r="AA1408" s="5">
        <v>15</v>
      </c>
      <c r="AB1408" s="5">
        <v>252.43150499999999</v>
      </c>
      <c r="AC1408" s="5" t="str">
        <f t="shared" si="70"/>
        <v>Bonos</v>
      </c>
      <c r="AD1408" s="5" t="s">
        <v>43</v>
      </c>
      <c r="AE1408" s="5">
        <f t="shared" si="68"/>
        <v>7</v>
      </c>
      <c r="AF1408" s="5">
        <f t="shared" si="69"/>
        <v>2022</v>
      </c>
    </row>
    <row r="1409" s="5" customFormat="1" ht="13">
      <c r="A1409" s="5" t="s">
        <v>44</v>
      </c>
      <c r="B1409" s="5" t="s">
        <v>44</v>
      </c>
      <c r="C1409" s="5" t="s">
        <v>45</v>
      </c>
      <c r="D1409" s="5" t="s">
        <v>21</v>
      </c>
      <c r="E1409" s="5" t="s">
        <v>44</v>
      </c>
      <c r="F1409" s="5" t="s">
        <v>46</v>
      </c>
      <c r="G1409" s="5" t="s">
        <v>91</v>
      </c>
      <c r="H1409" s="9" t="s">
        <v>365</v>
      </c>
      <c r="I1409" s="10"/>
      <c r="J1409" s="10">
        <v>44763</v>
      </c>
      <c r="K1409" s="5" t="s">
        <v>49</v>
      </c>
      <c r="L1409" s="5" t="s">
        <v>58</v>
      </c>
      <c r="M1409" s="11">
        <v>0.059999999999999998</v>
      </c>
      <c r="N1409" s="5" t="e">
        <f>IF(AND(M1409&gt;#REF!,Cartera!O1409="Guaraníes"),"Rendimiento significativo",IF(AND(M1409&gt;#REF!,Cartera!O1409="Dólares americanos"),"Rendimiento significativo","Rendimiento no significativo"))</f>
        <v>#REF!</v>
      </c>
      <c r="O1409" s="5" t="s">
        <v>51</v>
      </c>
      <c r="P1409" s="13">
        <v>458.11643500000002</v>
      </c>
      <c r="Q1409" s="12" t="e">
        <f>IF(O1409="Guaraníes",P1409,P1409*#REF!)</f>
        <v>#REF!</v>
      </c>
      <c r="R1409" s="12">
        <f>IF(O1409="Guaraníes",P1409/#REF!,P1409)</f>
        <v>458.11643500000002</v>
      </c>
      <c r="S1409" s="5" t="s">
        <v>52</v>
      </c>
      <c r="T1409" s="5">
        <v>3253</v>
      </c>
      <c r="W1409" s="5" t="s">
        <v>65</v>
      </c>
      <c r="X1409" s="5">
        <v>0</v>
      </c>
      <c r="Y1409" s="5">
        <v>0</v>
      </c>
      <c r="Z1409" s="5">
        <v>13.089041</v>
      </c>
      <c r="AA1409" s="5">
        <v>35</v>
      </c>
      <c r="AB1409" s="5">
        <v>458.11643500000002</v>
      </c>
      <c r="AC1409" s="5" t="str">
        <f t="shared" si="70"/>
        <v>Bonos</v>
      </c>
      <c r="AD1409" s="5" t="s">
        <v>43</v>
      </c>
      <c r="AE1409" s="5">
        <f t="shared" si="68"/>
        <v>7</v>
      </c>
      <c r="AF1409" s="5">
        <f t="shared" si="69"/>
        <v>2022</v>
      </c>
    </row>
    <row r="1410" s="5" customFormat="1" ht="13">
      <c r="A1410" s="5" t="s">
        <v>44</v>
      </c>
      <c r="B1410" s="5" t="s">
        <v>44</v>
      </c>
      <c r="C1410" s="5" t="s">
        <v>89</v>
      </c>
      <c r="D1410" s="5" t="s">
        <v>21</v>
      </c>
      <c r="E1410" s="5" t="s">
        <v>44</v>
      </c>
      <c r="F1410" s="5" t="s">
        <v>90</v>
      </c>
      <c r="G1410" s="5" t="s">
        <v>91</v>
      </c>
      <c r="H1410" s="9" t="s">
        <v>92</v>
      </c>
      <c r="I1410" s="10"/>
      <c r="J1410" s="10">
        <v>43762</v>
      </c>
      <c r="K1410" s="5" t="s">
        <v>93</v>
      </c>
      <c r="L1410" s="5" t="s">
        <v>58</v>
      </c>
      <c r="M1410" s="11">
        <v>0.080000000000000002</v>
      </c>
      <c r="N1410" s="5" t="e">
        <f>IF(AND(M1410&gt;#REF!,Cartera!O1410="Guaraníes"),"Rendimiento significativo",IF(AND(M1410&gt;#REF!,Cartera!O1410="Dólares americanos"),"Rendimiento significativo","Rendimiento no significativo"))</f>
        <v>#REF!</v>
      </c>
      <c r="O1410" s="5" t="s">
        <v>51</v>
      </c>
      <c r="P1410" s="13">
        <v>299.17807500000004</v>
      </c>
      <c r="Q1410" s="12" t="e">
        <f>IF(O1410="Guaraníes",P1410,P1410*#REF!)</f>
        <v>#REF!</v>
      </c>
      <c r="R1410" s="12">
        <f>IF(O1410="Guaraníes",P1410/#REF!,P1410)</f>
        <v>299.17807500000004</v>
      </c>
      <c r="S1410" s="5" t="s">
        <v>52</v>
      </c>
      <c r="T1410" s="5">
        <v>3253</v>
      </c>
      <c r="W1410" s="5" t="s">
        <v>65</v>
      </c>
      <c r="X1410" s="5">
        <v>0</v>
      </c>
      <c r="Y1410" s="5">
        <v>0</v>
      </c>
      <c r="Z1410" s="5">
        <v>19.945205000000001</v>
      </c>
      <c r="AA1410" s="5">
        <v>15</v>
      </c>
      <c r="AB1410" s="5">
        <v>299.17807499999998</v>
      </c>
      <c r="AC1410" s="5" t="str">
        <f t="shared" si="70"/>
        <v>Bonos</v>
      </c>
      <c r="AD1410" s="5" t="s">
        <v>43</v>
      </c>
      <c r="AE1410" s="5">
        <f t="shared" si="68"/>
        <v>10</v>
      </c>
      <c r="AF1410" s="5">
        <f t="shared" si="69"/>
        <v>2019</v>
      </c>
    </row>
    <row r="1411" s="5" customFormat="1" ht="13">
      <c r="A1411" s="5" t="s">
        <v>44</v>
      </c>
      <c r="B1411" s="5" t="s">
        <v>44</v>
      </c>
      <c r="C1411" s="5" t="s">
        <v>45</v>
      </c>
      <c r="D1411" s="5" t="s">
        <v>21</v>
      </c>
      <c r="E1411" s="5" t="s">
        <v>44</v>
      </c>
      <c r="F1411" s="5" t="s">
        <v>46</v>
      </c>
      <c r="G1411" s="5" t="s">
        <v>145</v>
      </c>
      <c r="H1411" s="9" t="s">
        <v>359</v>
      </c>
      <c r="I1411" s="10"/>
      <c r="J1411" s="10">
        <v>44791</v>
      </c>
      <c r="K1411" s="5" t="s">
        <v>49</v>
      </c>
      <c r="L1411" s="5" t="s">
        <v>50</v>
      </c>
      <c r="M1411" s="11">
        <v>0.070000000000000007</v>
      </c>
      <c r="N1411" s="5" t="e">
        <f>IF(AND(M1411&gt;#REF!,Cartera!O1411="Guaraníes"),"Rendimiento significativo",IF(AND(M1411&gt;#REF!,Cartera!O1411="Dólares americanos"),"Rendimiento significativo","Rendimiento no significativo"))</f>
        <v>#REF!</v>
      </c>
      <c r="O1411" s="5" t="s">
        <v>51</v>
      </c>
      <c r="P1411" s="13">
        <v>149.58904000000001</v>
      </c>
      <c r="Q1411" s="12" t="e">
        <f>IF(O1411="Guaraníes",P1411,P1411*#REF!)</f>
        <v>#REF!</v>
      </c>
      <c r="R1411" s="12">
        <f>IF(O1411="Guaraníes",P1411/#REF!,P1411)</f>
        <v>149.58904000000001</v>
      </c>
      <c r="S1411" s="5" t="s">
        <v>52</v>
      </c>
      <c r="T1411" s="5">
        <v>1057</v>
      </c>
      <c r="W1411" s="5" t="s">
        <v>65</v>
      </c>
      <c r="X1411" s="5">
        <v>0</v>
      </c>
      <c r="Y1411" s="5">
        <v>0</v>
      </c>
      <c r="Z1411" s="5">
        <v>14.958904</v>
      </c>
      <c r="AA1411" s="5">
        <v>10</v>
      </c>
      <c r="AB1411" s="5">
        <v>149.58904000000001</v>
      </c>
      <c r="AC1411" s="5" t="str">
        <f t="shared" si="70"/>
        <v>Bonos</v>
      </c>
      <c r="AD1411" s="5" t="s">
        <v>43</v>
      </c>
      <c r="AE1411" s="5">
        <f t="shared" si="68"/>
        <v>8</v>
      </c>
      <c r="AF1411" s="5">
        <f t="shared" si="69"/>
        <v>2022</v>
      </c>
    </row>
    <row r="1412" s="5" customFormat="1" ht="13">
      <c r="A1412" s="5" t="s">
        <v>44</v>
      </c>
      <c r="B1412" s="5" t="s">
        <v>44</v>
      </c>
      <c r="C1412" s="5" t="s">
        <v>143</v>
      </c>
      <c r="D1412" s="5" t="s">
        <v>21</v>
      </c>
      <c r="E1412" s="5" t="s">
        <v>44</v>
      </c>
      <c r="F1412" s="5" t="s">
        <v>144</v>
      </c>
      <c r="G1412" s="5" t="s">
        <v>145</v>
      </c>
      <c r="H1412" s="9" t="s">
        <v>272</v>
      </c>
      <c r="I1412" s="10">
        <v>43532</v>
      </c>
      <c r="J1412" s="10">
        <v>44804</v>
      </c>
      <c r="K1412" s="5" t="s">
        <v>49</v>
      </c>
      <c r="L1412" s="5" t="s">
        <v>106</v>
      </c>
      <c r="M1412" s="11">
        <v>0.057500000000000002</v>
      </c>
      <c r="N1412" s="5" t="e">
        <f>IF(AND(M1412&gt;#REF!,Cartera!O1412="Guaraníes"),"Rendimiento significativo",IF(AND(M1412&gt;#REF!,Cartera!O1412="Dólares americanos"),"Rendimiento significativo","Rendimiento no significativo"))</f>
        <v>#REF!</v>
      </c>
      <c r="O1412" s="5" t="s">
        <v>51</v>
      </c>
      <c r="P1412" s="13">
        <v>51.9863</v>
      </c>
      <c r="Q1412" s="12" t="e">
        <f>IF(O1412="Guaraníes",P1412,P1412*#REF!)</f>
        <v>#REF!</v>
      </c>
      <c r="R1412" s="12">
        <f>IF(O1412="Guaraníes",P1412/#REF!,P1412)</f>
        <v>51.9863</v>
      </c>
      <c r="S1412" s="5" t="s">
        <v>52</v>
      </c>
      <c r="T1412" s="5">
        <v>1057</v>
      </c>
      <c r="W1412" s="5" t="s">
        <v>65</v>
      </c>
      <c r="X1412" s="5">
        <v>0</v>
      </c>
      <c r="Y1412" s="5">
        <v>0</v>
      </c>
      <c r="Z1412" s="5">
        <v>5.1986299999999996</v>
      </c>
      <c r="AA1412" s="5">
        <v>10</v>
      </c>
      <c r="AB1412" s="5">
        <v>51.9863</v>
      </c>
      <c r="AC1412" s="5" t="str">
        <f t="shared" si="70"/>
        <v>Bonos</v>
      </c>
      <c r="AD1412" s="5" t="s">
        <v>43</v>
      </c>
      <c r="AE1412" s="5">
        <f t="shared" si="68"/>
        <v>8</v>
      </c>
      <c r="AF1412" s="5">
        <f t="shared" si="69"/>
        <v>2022</v>
      </c>
    </row>
    <row r="1413" s="5" customFormat="1" ht="13">
      <c r="A1413" s="5" t="s">
        <v>44</v>
      </c>
      <c r="B1413" s="5" t="s">
        <v>44</v>
      </c>
      <c r="C1413" s="5" t="s">
        <v>143</v>
      </c>
      <c r="D1413" s="5" t="s">
        <v>21</v>
      </c>
      <c r="E1413" s="5" t="s">
        <v>44</v>
      </c>
      <c r="F1413" s="5" t="s">
        <v>144</v>
      </c>
      <c r="G1413" s="5" t="s">
        <v>145</v>
      </c>
      <c r="H1413" s="9" t="s">
        <v>146</v>
      </c>
      <c r="I1413" s="10"/>
      <c r="J1413" s="10">
        <v>44804</v>
      </c>
      <c r="K1413" s="5" t="s">
        <v>49</v>
      </c>
      <c r="L1413" s="5" t="s">
        <v>106</v>
      </c>
      <c r="M1413" s="11">
        <v>0.060999999999999999</v>
      </c>
      <c r="N1413" s="5" t="e">
        <f>IF(AND(M1413&gt;#REF!,Cartera!O1413="Guaraníes"),"Rendimiento significativo",IF(AND(M1413&gt;#REF!,Cartera!O1413="Dólares americanos"),"Rendimiento significativo","Rendimiento no significativo"))</f>
        <v>#REF!</v>
      </c>
      <c r="O1413" s="5" t="s">
        <v>51</v>
      </c>
      <c r="P1413" s="13">
        <v>220.60272000000001</v>
      </c>
      <c r="Q1413" s="12" t="e">
        <f>IF(O1413="Guaraníes",P1413,P1413*#REF!)</f>
        <v>#REF!</v>
      </c>
      <c r="R1413" s="12">
        <f>IF(O1413="Guaraníes",P1413/#REF!,P1413)</f>
        <v>220.60272000000001</v>
      </c>
      <c r="S1413" s="5" t="s">
        <v>52</v>
      </c>
      <c r="T1413" s="5">
        <v>1057</v>
      </c>
      <c r="W1413" s="5" t="s">
        <v>65</v>
      </c>
      <c r="X1413" s="5">
        <v>0</v>
      </c>
      <c r="Y1413" s="5">
        <v>0</v>
      </c>
      <c r="Z1413" s="5">
        <v>5.5150680000000003</v>
      </c>
      <c r="AA1413" s="5">
        <v>40</v>
      </c>
      <c r="AB1413" s="5">
        <v>220.60272000000001</v>
      </c>
      <c r="AC1413" s="5" t="str">
        <f t="shared" si="70"/>
        <v>Bonos</v>
      </c>
      <c r="AD1413" s="5" t="s">
        <v>43</v>
      </c>
      <c r="AE1413" s="5">
        <f t="shared" si="68"/>
        <v>8</v>
      </c>
      <c r="AF1413" s="5">
        <f t="shared" si="69"/>
        <v>2022</v>
      </c>
    </row>
    <row r="1414" s="5" customFormat="1" ht="13">
      <c r="A1414" s="5" t="s">
        <v>44</v>
      </c>
      <c r="B1414" s="5" t="s">
        <v>44</v>
      </c>
      <c r="C1414" s="5" t="s">
        <v>164</v>
      </c>
      <c r="D1414" s="5" t="s">
        <v>21</v>
      </c>
      <c r="E1414" s="5" t="s">
        <v>44</v>
      </c>
      <c r="F1414" s="5" t="s">
        <v>68</v>
      </c>
      <c r="G1414" s="5" t="s">
        <v>145</v>
      </c>
      <c r="H1414" s="9" t="s">
        <v>165</v>
      </c>
      <c r="I1414" s="10"/>
      <c r="J1414" s="10">
        <v>44804</v>
      </c>
      <c r="K1414" s="5" t="s">
        <v>124</v>
      </c>
      <c r="L1414" s="5" t="s">
        <v>58</v>
      </c>
      <c r="M1414" s="11">
        <v>0.10000000000000001</v>
      </c>
      <c r="N1414" s="5" t="e">
        <f>IF(AND(M1414&gt;#REF!,Cartera!O1414="Guaraníes"),"Rendimiento significativo",IF(AND(M1414&gt;#REF!,Cartera!O1414="Dólares americanos"),"Rendimiento significativo","Rendimiento no significativo"))</f>
        <v>#REF!</v>
      </c>
      <c r="O1414" s="5" t="s">
        <v>41</v>
      </c>
      <c r="P1414" s="12">
        <v>3616438.3560000001</v>
      </c>
      <c r="Q1414" s="12">
        <f>IF(O1414="Guaraníes",P1414,P1414*#REF!)</f>
        <v>3616438.3560000001</v>
      </c>
      <c r="R1414" s="12" t="e">
        <f>IF(O1414="Guaraníes",P1414/#REF!,P1414)</f>
        <v>#REF!</v>
      </c>
      <c r="S1414" s="5" t="s">
        <v>52</v>
      </c>
      <c r="T1414" s="5">
        <v>1057</v>
      </c>
      <c r="W1414" s="5" t="s">
        <v>65</v>
      </c>
      <c r="X1414" s="5">
        <v>0</v>
      </c>
      <c r="Y1414" s="5">
        <v>0</v>
      </c>
      <c r="Z1414" s="5">
        <v>9041.0958900000005</v>
      </c>
      <c r="AA1414" s="5">
        <v>400</v>
      </c>
      <c r="AB1414" s="5">
        <v>3616438.3560000001</v>
      </c>
      <c r="AC1414" s="5" t="str">
        <f t="shared" si="70"/>
        <v>Bonos</v>
      </c>
      <c r="AD1414" s="5" t="s">
        <v>43</v>
      </c>
      <c r="AE1414" s="5">
        <f t="shared" si="68"/>
        <v>8</v>
      </c>
      <c r="AF1414" s="5">
        <f t="shared" si="69"/>
        <v>2022</v>
      </c>
    </row>
    <row r="1415" s="5" customFormat="1" ht="13">
      <c r="A1415" s="5" t="s">
        <v>44</v>
      </c>
      <c r="B1415" s="5" t="s">
        <v>44</v>
      </c>
      <c r="C1415" s="5" t="s">
        <v>304</v>
      </c>
      <c r="D1415" s="5" t="s">
        <v>21</v>
      </c>
      <c r="E1415" s="5" t="s">
        <v>44</v>
      </c>
      <c r="F1415" s="5" t="s">
        <v>68</v>
      </c>
      <c r="G1415" s="5" t="s">
        <v>145</v>
      </c>
      <c r="H1415" s="9" t="s">
        <v>363</v>
      </c>
      <c r="I1415" s="10"/>
      <c r="J1415" s="10">
        <v>44812</v>
      </c>
      <c r="K1415" s="5" t="s">
        <v>39</v>
      </c>
      <c r="L1415" s="5" t="s">
        <v>58</v>
      </c>
      <c r="M1415" s="11">
        <v>0.089999999999999997</v>
      </c>
      <c r="N1415" s="5" t="e">
        <f>IF(AND(M1415&gt;#REF!,Cartera!O1415="Guaraníes"),"Rendimiento significativo",IF(AND(M1415&gt;#REF!,Cartera!O1415="Dólares americanos"),"Rendimiento significativo","Rendimiento no significativo"))</f>
        <v>#REF!</v>
      </c>
      <c r="O1415" s="5" t="s">
        <v>41</v>
      </c>
      <c r="P1415" s="12">
        <v>8975342.4656000007</v>
      </c>
      <c r="Q1415" s="12">
        <f>IF(O1415="Guaraníes",P1415,P1415*#REF!)</f>
        <v>8975342.4656000007</v>
      </c>
      <c r="R1415" s="12" t="e">
        <f>IF(O1415="Guaraníes",P1415/#REF!,P1415)</f>
        <v>#REF!</v>
      </c>
      <c r="S1415" s="5" t="s">
        <v>52</v>
      </c>
      <c r="T1415" s="5">
        <v>1057</v>
      </c>
      <c r="W1415" s="5" t="s">
        <v>65</v>
      </c>
      <c r="X1415" s="5">
        <v>0</v>
      </c>
      <c r="Y1415" s="5">
        <v>0</v>
      </c>
      <c r="Z1415" s="5">
        <v>22438.356164000001</v>
      </c>
      <c r="AA1415" s="5">
        <v>400</v>
      </c>
      <c r="AB1415" s="5">
        <v>8975342.4656000007</v>
      </c>
      <c r="AC1415" s="5" t="str">
        <f t="shared" si="70"/>
        <v>Bonos</v>
      </c>
      <c r="AD1415" s="5" t="s">
        <v>43</v>
      </c>
      <c r="AE1415" s="5">
        <f t="shared" si="68"/>
        <v>9</v>
      </c>
      <c r="AF1415" s="5">
        <f t="shared" si="69"/>
        <v>2022</v>
      </c>
    </row>
    <row r="1416" s="5" customFormat="1" ht="13">
      <c r="A1416" s="5" t="s">
        <v>44</v>
      </c>
      <c r="B1416" s="5" t="s">
        <v>44</v>
      </c>
      <c r="C1416" s="5" t="s">
        <v>304</v>
      </c>
      <c r="D1416" s="5" t="s">
        <v>21</v>
      </c>
      <c r="E1416" s="5" t="s">
        <v>44</v>
      </c>
      <c r="F1416" s="5" t="s">
        <v>68</v>
      </c>
      <c r="G1416" s="5" t="s">
        <v>145</v>
      </c>
      <c r="H1416" s="9" t="s">
        <v>305</v>
      </c>
      <c r="I1416" s="10"/>
      <c r="J1416" s="10">
        <v>44827</v>
      </c>
      <c r="K1416" s="5" t="s">
        <v>39</v>
      </c>
      <c r="L1416" s="5" t="s">
        <v>58</v>
      </c>
      <c r="M1416" s="11">
        <v>0.089999999999999997</v>
      </c>
      <c r="N1416" s="5" t="e">
        <f>IF(AND(M1416&gt;#REF!,Cartera!O1416="Guaraníes"),"Rendimiento significativo",IF(AND(M1416&gt;#REF!,Cartera!O1416="Dólares americanos"),"Rendimiento significativo","Rendimiento no significativo"))</f>
        <v>#REF!</v>
      </c>
      <c r="O1416" s="5" t="s">
        <v>41</v>
      </c>
      <c r="P1416" s="12">
        <v>673150.68492000003</v>
      </c>
      <c r="Q1416" s="12">
        <f>IF(O1416="Guaraníes",P1416,P1416*#REF!)</f>
        <v>673150.68492000003</v>
      </c>
      <c r="R1416" s="12" t="e">
        <f>IF(O1416="Guaraníes",P1416/#REF!,P1416)</f>
        <v>#REF!</v>
      </c>
      <c r="S1416" s="5" t="s">
        <v>52</v>
      </c>
      <c r="T1416" s="5">
        <v>1057</v>
      </c>
      <c r="W1416" s="5" t="s">
        <v>65</v>
      </c>
      <c r="X1416" s="5">
        <v>0</v>
      </c>
      <c r="Y1416" s="5">
        <v>0</v>
      </c>
      <c r="Z1416" s="5">
        <v>22438.356164000001</v>
      </c>
      <c r="AA1416" s="5">
        <v>30</v>
      </c>
      <c r="AB1416" s="5">
        <v>673150.68492000003</v>
      </c>
      <c r="AC1416" s="5" t="str">
        <f t="shared" si="70"/>
        <v>Bonos</v>
      </c>
      <c r="AD1416" s="5" t="s">
        <v>43</v>
      </c>
      <c r="AE1416" s="5">
        <f t="shared" si="68"/>
        <v>9</v>
      </c>
      <c r="AF1416" s="5">
        <f t="shared" si="69"/>
        <v>2022</v>
      </c>
    </row>
    <row r="1417" s="5" customFormat="1" ht="13">
      <c r="A1417" s="5" t="s">
        <v>44</v>
      </c>
      <c r="B1417" s="5" t="s">
        <v>44</v>
      </c>
      <c r="C1417" s="5" t="s">
        <v>143</v>
      </c>
      <c r="D1417" s="5" t="s">
        <v>21</v>
      </c>
      <c r="E1417" s="5" t="s">
        <v>44</v>
      </c>
      <c r="F1417" s="5" t="s">
        <v>144</v>
      </c>
      <c r="G1417" s="5" t="s">
        <v>145</v>
      </c>
      <c r="H1417" s="9" t="s">
        <v>272</v>
      </c>
      <c r="I1417" s="10">
        <v>43532</v>
      </c>
      <c r="J1417" s="10">
        <v>44834</v>
      </c>
      <c r="K1417" s="5" t="s">
        <v>49</v>
      </c>
      <c r="L1417" s="5" t="s">
        <v>106</v>
      </c>
      <c r="M1417" s="11">
        <v>0.057500000000000002</v>
      </c>
      <c r="N1417" s="5" t="e">
        <f>IF(AND(M1417&gt;#REF!,Cartera!O1417="Guaraníes"),"Rendimiento significativo",IF(AND(M1417&gt;#REF!,Cartera!O1417="Dólares americanos"),"Rendimiento significativo","Rendimiento no significativo"))</f>
        <v>#REF!</v>
      </c>
      <c r="O1417" s="5" t="s">
        <v>51</v>
      </c>
      <c r="P1417" s="13">
        <v>47.260270000000006</v>
      </c>
      <c r="Q1417" s="12" t="e">
        <f>IF(O1417="Guaraníes",P1417,P1417*#REF!)</f>
        <v>#REF!</v>
      </c>
      <c r="R1417" s="12">
        <f>IF(O1417="Guaraníes",P1417/#REF!,P1417)</f>
        <v>47.260270000000006</v>
      </c>
      <c r="S1417" s="5" t="s">
        <v>52</v>
      </c>
      <c r="T1417" s="5">
        <v>1057</v>
      </c>
      <c r="W1417" s="5" t="s">
        <v>65</v>
      </c>
      <c r="X1417" s="5">
        <v>0</v>
      </c>
      <c r="Y1417" s="5">
        <v>0</v>
      </c>
      <c r="Z1417" s="5">
        <v>4.7260270000000002</v>
      </c>
      <c r="AA1417" s="5">
        <v>10</v>
      </c>
      <c r="AB1417" s="5">
        <v>47.260269999999998</v>
      </c>
      <c r="AC1417" s="5" t="str">
        <f t="shared" si="70"/>
        <v>Bonos</v>
      </c>
      <c r="AD1417" s="5" t="s">
        <v>43</v>
      </c>
      <c r="AE1417" s="5">
        <f t="shared" si="68"/>
        <v>9</v>
      </c>
      <c r="AF1417" s="5">
        <f t="shared" si="69"/>
        <v>2022</v>
      </c>
    </row>
    <row r="1418" s="5" customFormat="1" ht="13">
      <c r="A1418" s="5" t="s">
        <v>44</v>
      </c>
      <c r="B1418" s="5" t="s">
        <v>44</v>
      </c>
      <c r="C1418" s="5" t="s">
        <v>143</v>
      </c>
      <c r="D1418" s="5" t="s">
        <v>21</v>
      </c>
      <c r="E1418" s="5" t="s">
        <v>44</v>
      </c>
      <c r="F1418" s="5" t="s">
        <v>144</v>
      </c>
      <c r="G1418" s="5" t="s">
        <v>145</v>
      </c>
      <c r="H1418" s="9" t="s">
        <v>146</v>
      </c>
      <c r="I1418" s="10"/>
      <c r="J1418" s="10">
        <v>44834</v>
      </c>
      <c r="K1418" s="5" t="s">
        <v>49</v>
      </c>
      <c r="L1418" s="5" t="s">
        <v>106</v>
      </c>
      <c r="M1418" s="11">
        <v>0.060999999999999999</v>
      </c>
      <c r="N1418" s="5" t="e">
        <f>IF(AND(M1418&gt;#REF!,Cartera!O1418="Guaraníes"),"Rendimiento significativo",IF(AND(M1418&gt;#REF!,Cartera!O1418="Dólares americanos"),"Rendimiento significativo","Rendimiento no significativo"))</f>
        <v>#REF!</v>
      </c>
      <c r="O1418" s="5" t="s">
        <v>51</v>
      </c>
      <c r="P1418" s="13">
        <v>200.54795999999999</v>
      </c>
      <c r="Q1418" s="12" t="e">
        <f>IF(O1418="Guaraníes",P1418,P1418*#REF!)</f>
        <v>#REF!</v>
      </c>
      <c r="R1418" s="12">
        <f>IF(O1418="Guaraníes",P1418/#REF!,P1418)</f>
        <v>200.54795999999999</v>
      </c>
      <c r="S1418" s="5" t="s">
        <v>52</v>
      </c>
      <c r="T1418" s="5">
        <v>1057</v>
      </c>
      <c r="W1418" s="5" t="s">
        <v>65</v>
      </c>
      <c r="X1418" s="5">
        <v>0</v>
      </c>
      <c r="Y1418" s="5">
        <v>0</v>
      </c>
      <c r="Z1418" s="5">
        <v>5.0136989999999999</v>
      </c>
      <c r="AA1418" s="5">
        <v>40</v>
      </c>
      <c r="AB1418" s="5">
        <v>200.54795999999999</v>
      </c>
      <c r="AC1418" s="5" t="str">
        <f t="shared" si="70"/>
        <v>Bonos</v>
      </c>
      <c r="AD1418" s="5" t="s">
        <v>43</v>
      </c>
      <c r="AE1418" s="5">
        <f t="shared" si="68"/>
        <v>9</v>
      </c>
      <c r="AF1418" s="5">
        <f t="shared" si="69"/>
        <v>2022</v>
      </c>
    </row>
    <row r="1419" s="5" customFormat="1" ht="13">
      <c r="A1419" s="5" t="s">
        <v>44</v>
      </c>
      <c r="B1419" s="5" t="s">
        <v>44</v>
      </c>
      <c r="C1419" s="5" t="s">
        <v>164</v>
      </c>
      <c r="D1419" s="5" t="s">
        <v>21</v>
      </c>
      <c r="E1419" s="5" t="s">
        <v>44</v>
      </c>
      <c r="F1419" s="5" t="s">
        <v>68</v>
      </c>
      <c r="G1419" s="5" t="s">
        <v>145</v>
      </c>
      <c r="H1419" s="9" t="s">
        <v>165</v>
      </c>
      <c r="I1419" s="10"/>
      <c r="J1419" s="10">
        <v>44834</v>
      </c>
      <c r="K1419" s="5" t="s">
        <v>124</v>
      </c>
      <c r="L1419" s="5" t="s">
        <v>58</v>
      </c>
      <c r="M1419" s="11">
        <v>0.10000000000000001</v>
      </c>
      <c r="N1419" s="5" t="e">
        <f>IF(AND(M1419&gt;#REF!,Cartera!O1419="Guaraníes"),"Rendimiento significativo",IF(AND(M1419&gt;#REF!,Cartera!O1419="Dólares americanos"),"Rendimiento significativo","Rendimiento no significativo"))</f>
        <v>#REF!</v>
      </c>
      <c r="O1419" s="5" t="s">
        <v>41</v>
      </c>
      <c r="P1419" s="12">
        <v>3287671.2328000003</v>
      </c>
      <c r="Q1419" s="12">
        <f>IF(O1419="Guaraníes",P1419,P1419*#REF!)</f>
        <v>3287671.2328000003</v>
      </c>
      <c r="R1419" s="12" t="e">
        <f>IF(O1419="Guaraníes",P1419/#REF!,P1419)</f>
        <v>#REF!</v>
      </c>
      <c r="S1419" s="5" t="s">
        <v>52</v>
      </c>
      <c r="T1419" s="5">
        <v>1057</v>
      </c>
      <c r="W1419" s="5" t="s">
        <v>65</v>
      </c>
      <c r="X1419" s="5">
        <v>0</v>
      </c>
      <c r="Y1419" s="5">
        <v>0</v>
      </c>
      <c r="Z1419" s="5">
        <v>8219.1780820000004</v>
      </c>
      <c r="AA1419" s="5">
        <v>400</v>
      </c>
      <c r="AB1419" s="5">
        <v>3287671.2327999999</v>
      </c>
      <c r="AC1419" s="5" t="str">
        <f t="shared" si="70"/>
        <v>Bonos</v>
      </c>
      <c r="AD1419" s="5" t="s">
        <v>43</v>
      </c>
      <c r="AE1419" s="5">
        <f t="shared" si="68"/>
        <v>9</v>
      </c>
      <c r="AF1419" s="5">
        <f t="shared" si="69"/>
        <v>2022</v>
      </c>
    </row>
    <row r="1420" s="5" customFormat="1" ht="13">
      <c r="A1420" s="5" t="s">
        <v>44</v>
      </c>
      <c r="B1420" s="5" t="s">
        <v>44</v>
      </c>
      <c r="C1420" s="5" t="s">
        <v>33</v>
      </c>
      <c r="D1420" s="5" t="s">
        <v>21</v>
      </c>
      <c r="E1420" s="5" t="s">
        <v>44</v>
      </c>
      <c r="F1420" s="5" t="s">
        <v>35</v>
      </c>
      <c r="G1420" s="5" t="s">
        <v>145</v>
      </c>
      <c r="H1420" s="9" t="s">
        <v>358</v>
      </c>
      <c r="I1420" s="10"/>
      <c r="J1420" s="10">
        <v>44855</v>
      </c>
      <c r="K1420" s="5" t="s">
        <v>39</v>
      </c>
      <c r="L1420" s="5" t="s">
        <v>50</v>
      </c>
      <c r="M1420" s="11">
        <v>0.0625</v>
      </c>
      <c r="N1420" s="5" t="e">
        <f>IF(AND(M1420&gt;#REF!,Cartera!O1420="Guaraníes"),"Rendimiento significativo",IF(AND(M1420&gt;#REF!,Cartera!O1420="Dólares americanos"),"Rendimiento significativo","Rendimiento no significativo"))</f>
        <v>#REF!</v>
      </c>
      <c r="O1420" s="5" t="s">
        <v>51</v>
      </c>
      <c r="P1420" s="13">
        <v>698.08220000000006</v>
      </c>
      <c r="Q1420" s="12" t="e">
        <f>IF(O1420="Guaraníes",P1420,P1420*#REF!)</f>
        <v>#REF!</v>
      </c>
      <c r="R1420" s="12">
        <f>IF(O1420="Guaraníes",P1420/#REF!,P1420)</f>
        <v>698.08220000000006</v>
      </c>
      <c r="S1420" s="5" t="s">
        <v>52</v>
      </c>
      <c r="T1420" s="5">
        <v>1057</v>
      </c>
      <c r="W1420" s="5" t="s">
        <v>65</v>
      </c>
      <c r="X1420" s="5">
        <v>0</v>
      </c>
      <c r="Y1420" s="5">
        <v>0</v>
      </c>
      <c r="Z1420" s="5">
        <v>34.904110000000003</v>
      </c>
      <c r="AA1420" s="5">
        <v>20</v>
      </c>
      <c r="AB1420" s="5">
        <v>698.08219999999994</v>
      </c>
      <c r="AC1420" s="5" t="str">
        <f t="shared" si="70"/>
        <v>Bonos</v>
      </c>
      <c r="AD1420" s="5" t="s">
        <v>43</v>
      </c>
      <c r="AE1420" s="5">
        <f t="shared" si="68"/>
        <v>10</v>
      </c>
      <c r="AF1420" s="5">
        <f t="shared" si="69"/>
        <v>2022</v>
      </c>
    </row>
    <row r="1421" s="5" customFormat="1" ht="13">
      <c r="A1421" s="5" t="s">
        <v>44</v>
      </c>
      <c r="B1421" s="5" t="s">
        <v>44</v>
      </c>
      <c r="C1421" s="5" t="s">
        <v>143</v>
      </c>
      <c r="D1421" s="5" t="s">
        <v>21</v>
      </c>
      <c r="E1421" s="5" t="s">
        <v>44</v>
      </c>
      <c r="F1421" s="5" t="s">
        <v>144</v>
      </c>
      <c r="G1421" s="5" t="s">
        <v>145</v>
      </c>
      <c r="H1421" s="9" t="s">
        <v>272</v>
      </c>
      <c r="I1421" s="10">
        <v>43532</v>
      </c>
      <c r="J1421" s="10">
        <v>44865</v>
      </c>
      <c r="K1421" s="5" t="s">
        <v>49</v>
      </c>
      <c r="L1421" s="5" t="s">
        <v>106</v>
      </c>
      <c r="M1421" s="11">
        <v>0.057500000000000002</v>
      </c>
      <c r="N1421" s="5" t="e">
        <f>IF(AND(M1421&gt;#REF!,Cartera!O1421="Guaraníes"),"Rendimiento significativo",IF(AND(M1421&gt;#REF!,Cartera!O1421="Dólares americanos"),"Rendimiento significativo","Rendimiento no significativo"))</f>
        <v>#REF!</v>
      </c>
      <c r="O1421" s="5" t="s">
        <v>51</v>
      </c>
      <c r="P1421" s="13">
        <v>48.835620000000006</v>
      </c>
      <c r="Q1421" s="12" t="e">
        <f>IF(O1421="Guaraníes",P1421,P1421*#REF!)</f>
        <v>#REF!</v>
      </c>
      <c r="R1421" s="12">
        <f>IF(O1421="Guaraníes",P1421/#REF!,P1421)</f>
        <v>48.835620000000006</v>
      </c>
      <c r="S1421" s="5" t="s">
        <v>52</v>
      </c>
      <c r="T1421" s="5">
        <v>1057</v>
      </c>
      <c r="W1421" s="5" t="s">
        <v>65</v>
      </c>
      <c r="X1421" s="5">
        <v>0</v>
      </c>
      <c r="Y1421" s="5">
        <v>0</v>
      </c>
      <c r="Z1421" s="5">
        <v>4.8835620000000004</v>
      </c>
      <c r="AA1421" s="5">
        <v>10</v>
      </c>
      <c r="AB1421" s="5">
        <v>48.835619999999999</v>
      </c>
      <c r="AC1421" s="5" t="str">
        <f t="shared" si="70"/>
        <v>Bonos</v>
      </c>
      <c r="AD1421" s="5" t="s">
        <v>43</v>
      </c>
      <c r="AE1421" s="5">
        <f t="shared" si="68"/>
        <v>10</v>
      </c>
      <c r="AF1421" s="5">
        <f t="shared" si="69"/>
        <v>2022</v>
      </c>
    </row>
    <row r="1422" s="5" customFormat="1" ht="13">
      <c r="A1422" s="5" t="s">
        <v>44</v>
      </c>
      <c r="B1422" s="5" t="s">
        <v>44</v>
      </c>
      <c r="C1422" s="5" t="s">
        <v>143</v>
      </c>
      <c r="D1422" s="5" t="s">
        <v>21</v>
      </c>
      <c r="E1422" s="5" t="s">
        <v>44</v>
      </c>
      <c r="F1422" s="5" t="s">
        <v>144</v>
      </c>
      <c r="G1422" s="5" t="s">
        <v>145</v>
      </c>
      <c r="H1422" s="9" t="s">
        <v>146</v>
      </c>
      <c r="I1422" s="10"/>
      <c r="J1422" s="10">
        <v>44865</v>
      </c>
      <c r="K1422" s="5" t="s">
        <v>49</v>
      </c>
      <c r="L1422" s="5" t="s">
        <v>106</v>
      </c>
      <c r="M1422" s="11">
        <v>0.060999999999999999</v>
      </c>
      <c r="N1422" s="5" t="e">
        <f>IF(AND(M1422&gt;#REF!,Cartera!O1422="Guaraníes"),"Rendimiento significativo",IF(AND(M1422&gt;#REF!,Cartera!O1422="Dólares americanos"),"Rendimiento significativo","Rendimiento no significativo"))</f>
        <v>#REF!</v>
      </c>
      <c r="O1422" s="5" t="s">
        <v>51</v>
      </c>
      <c r="P1422" s="13">
        <v>207.23287999999999</v>
      </c>
      <c r="Q1422" s="12" t="e">
        <f>IF(O1422="Guaraníes",P1422,P1422*#REF!)</f>
        <v>#REF!</v>
      </c>
      <c r="R1422" s="12">
        <f>IF(O1422="Guaraníes",P1422/#REF!,P1422)</f>
        <v>207.23287999999999</v>
      </c>
      <c r="S1422" s="5" t="s">
        <v>52</v>
      </c>
      <c r="T1422" s="5">
        <v>1057</v>
      </c>
      <c r="W1422" s="5" t="s">
        <v>65</v>
      </c>
      <c r="X1422" s="5">
        <v>0</v>
      </c>
      <c r="Y1422" s="5">
        <v>0</v>
      </c>
      <c r="Z1422" s="5">
        <v>5.180822</v>
      </c>
      <c r="AA1422" s="5">
        <v>40</v>
      </c>
      <c r="AB1422" s="5">
        <v>207.23287999999999</v>
      </c>
      <c r="AC1422" s="5" t="str">
        <f t="shared" si="70"/>
        <v>Bonos</v>
      </c>
      <c r="AD1422" s="5" t="s">
        <v>43</v>
      </c>
      <c r="AE1422" s="5">
        <f t="shared" si="68"/>
        <v>10</v>
      </c>
      <c r="AF1422" s="5">
        <f t="shared" si="69"/>
        <v>2022</v>
      </c>
    </row>
    <row r="1423" s="5" customFormat="1" ht="13">
      <c r="A1423" s="5" t="s">
        <v>44</v>
      </c>
      <c r="B1423" s="5" t="s">
        <v>44</v>
      </c>
      <c r="C1423" s="5" t="s">
        <v>164</v>
      </c>
      <c r="D1423" s="5" t="s">
        <v>21</v>
      </c>
      <c r="E1423" s="5" t="s">
        <v>44</v>
      </c>
      <c r="F1423" s="5" t="s">
        <v>68</v>
      </c>
      <c r="G1423" s="5" t="s">
        <v>145</v>
      </c>
      <c r="H1423" s="9" t="s">
        <v>165</v>
      </c>
      <c r="I1423" s="10"/>
      <c r="J1423" s="10">
        <v>44865</v>
      </c>
      <c r="K1423" s="5" t="s">
        <v>124</v>
      </c>
      <c r="L1423" s="5" t="s">
        <v>58</v>
      </c>
      <c r="M1423" s="11">
        <v>0.10000000000000001</v>
      </c>
      <c r="N1423" s="5" t="e">
        <f>IF(AND(M1423&gt;#REF!,Cartera!O1423="Guaraníes"),"Rendimiento significativo",IF(AND(M1423&gt;#REF!,Cartera!O1423="Dólares americanos"),"Rendimiento significativo","Rendimiento no significativo"))</f>
        <v>#REF!</v>
      </c>
      <c r="O1423" s="5" t="s">
        <v>41</v>
      </c>
      <c r="P1423" s="12">
        <v>3397260.2740000002</v>
      </c>
      <c r="Q1423" s="12">
        <f>IF(O1423="Guaraníes",P1423,P1423*#REF!)</f>
        <v>3397260.2740000002</v>
      </c>
      <c r="R1423" s="12" t="e">
        <f>IF(O1423="Guaraníes",P1423/#REF!,P1423)</f>
        <v>#REF!</v>
      </c>
      <c r="S1423" s="5" t="s">
        <v>52</v>
      </c>
      <c r="T1423" s="5">
        <v>1057</v>
      </c>
      <c r="W1423" s="5" t="s">
        <v>65</v>
      </c>
      <c r="X1423" s="5">
        <v>0</v>
      </c>
      <c r="Y1423" s="5">
        <v>0</v>
      </c>
      <c r="Z1423" s="5">
        <v>8493.1506850000005</v>
      </c>
      <c r="AA1423" s="5">
        <v>400</v>
      </c>
      <c r="AB1423" s="5">
        <v>3397260.2740000002</v>
      </c>
      <c r="AC1423" s="5" t="str">
        <f t="shared" si="70"/>
        <v>Bonos</v>
      </c>
      <c r="AD1423" s="5" t="s">
        <v>43</v>
      </c>
      <c r="AE1423" s="5">
        <f t="shared" si="68"/>
        <v>10</v>
      </c>
      <c r="AF1423" s="5">
        <f t="shared" si="69"/>
        <v>2022</v>
      </c>
    </row>
    <row r="1424" s="5" customFormat="1" ht="13">
      <c r="A1424" s="5" t="s">
        <v>44</v>
      </c>
      <c r="B1424" s="5" t="s">
        <v>44</v>
      </c>
      <c r="C1424" s="5" t="s">
        <v>45</v>
      </c>
      <c r="D1424" s="5" t="s">
        <v>21</v>
      </c>
      <c r="E1424" s="5" t="s">
        <v>44</v>
      </c>
      <c r="F1424" s="5" t="s">
        <v>46</v>
      </c>
      <c r="G1424" s="5" t="s">
        <v>145</v>
      </c>
      <c r="H1424" s="9" t="s">
        <v>359</v>
      </c>
      <c r="I1424" s="10"/>
      <c r="J1424" s="10">
        <v>44882</v>
      </c>
      <c r="K1424" s="5" t="s">
        <v>49</v>
      </c>
      <c r="L1424" s="5" t="s">
        <v>50</v>
      </c>
      <c r="M1424" s="11">
        <v>0.070000000000000007</v>
      </c>
      <c r="N1424" s="5" t="e">
        <f>IF(AND(M1424&gt;#REF!,Cartera!O1424="Guaraníes"),"Rendimiento significativo",IF(AND(M1424&gt;#REF!,Cartera!O1424="Dólares americanos"),"Rendimiento significativo","Rendimiento no significativo"))</f>
        <v>#REF!</v>
      </c>
      <c r="O1424" s="5" t="s">
        <v>51</v>
      </c>
      <c r="P1424" s="13">
        <v>149.58904000000001</v>
      </c>
      <c r="Q1424" s="12" t="e">
        <f>IF(O1424="Guaraníes",P1424,P1424*#REF!)</f>
        <v>#REF!</v>
      </c>
      <c r="R1424" s="12">
        <f>IF(O1424="Guaraníes",P1424/#REF!,P1424)</f>
        <v>149.58904000000001</v>
      </c>
      <c r="S1424" s="5" t="s">
        <v>52</v>
      </c>
      <c r="T1424" s="5">
        <v>1057</v>
      </c>
      <c r="W1424" s="5" t="s">
        <v>65</v>
      </c>
      <c r="X1424" s="5">
        <v>0</v>
      </c>
      <c r="Y1424" s="5">
        <v>0</v>
      </c>
      <c r="Z1424" s="5">
        <v>14.958904</v>
      </c>
      <c r="AA1424" s="5">
        <v>10</v>
      </c>
      <c r="AB1424" s="5">
        <v>149.58904000000001</v>
      </c>
      <c r="AC1424" s="5" t="str">
        <f t="shared" si="70"/>
        <v>Bonos</v>
      </c>
      <c r="AD1424" s="5" t="s">
        <v>43</v>
      </c>
      <c r="AE1424" s="5">
        <f t="shared" si="68"/>
        <v>11</v>
      </c>
      <c r="AF1424" s="5">
        <f t="shared" si="69"/>
        <v>2022</v>
      </c>
    </row>
    <row r="1425" s="5" customFormat="1" ht="13">
      <c r="A1425" s="5" t="s">
        <v>44</v>
      </c>
      <c r="B1425" s="5" t="s">
        <v>44</v>
      </c>
      <c r="C1425" s="5" t="s">
        <v>143</v>
      </c>
      <c r="D1425" s="5" t="s">
        <v>21</v>
      </c>
      <c r="E1425" s="5" t="s">
        <v>44</v>
      </c>
      <c r="F1425" s="5" t="s">
        <v>144</v>
      </c>
      <c r="G1425" s="5" t="s">
        <v>145</v>
      </c>
      <c r="H1425" s="9" t="s">
        <v>272</v>
      </c>
      <c r="I1425" s="10">
        <v>43532</v>
      </c>
      <c r="J1425" s="10">
        <v>44895</v>
      </c>
      <c r="K1425" s="5" t="s">
        <v>49</v>
      </c>
      <c r="L1425" s="5" t="s">
        <v>106</v>
      </c>
      <c r="M1425" s="11">
        <v>0.057500000000000002</v>
      </c>
      <c r="N1425" s="5" t="e">
        <f>IF(AND(M1425&gt;#REF!,Cartera!O1425="Guaraníes"),"Rendimiento significativo",IF(AND(M1425&gt;#REF!,Cartera!O1425="Dólares americanos"),"Rendimiento significativo","Rendimiento no significativo"))</f>
        <v>#REF!</v>
      </c>
      <c r="O1425" s="5" t="s">
        <v>51</v>
      </c>
      <c r="P1425" s="13">
        <v>47.260270000000006</v>
      </c>
      <c r="Q1425" s="12" t="e">
        <f>IF(O1425="Guaraníes",P1425,P1425*#REF!)</f>
        <v>#REF!</v>
      </c>
      <c r="R1425" s="12">
        <f>IF(O1425="Guaraníes",P1425/#REF!,P1425)</f>
        <v>47.260270000000006</v>
      </c>
      <c r="S1425" s="5" t="s">
        <v>52</v>
      </c>
      <c r="T1425" s="5">
        <v>1057</v>
      </c>
      <c r="W1425" s="5" t="s">
        <v>65</v>
      </c>
      <c r="X1425" s="5">
        <v>0</v>
      </c>
      <c r="Y1425" s="5">
        <v>0</v>
      </c>
      <c r="Z1425" s="5">
        <v>4.7260270000000002</v>
      </c>
      <c r="AA1425" s="5">
        <v>10</v>
      </c>
      <c r="AB1425" s="5">
        <v>47.260269999999998</v>
      </c>
      <c r="AC1425" s="5" t="str">
        <f t="shared" si="70"/>
        <v>Bonos</v>
      </c>
      <c r="AD1425" s="5" t="s">
        <v>43</v>
      </c>
      <c r="AE1425" s="5">
        <f t="shared" si="68"/>
        <v>11</v>
      </c>
      <c r="AF1425" s="5">
        <f t="shared" si="69"/>
        <v>2022</v>
      </c>
    </row>
    <row r="1426" s="5" customFormat="1" ht="13">
      <c r="A1426" s="5" t="s">
        <v>44</v>
      </c>
      <c r="B1426" s="5" t="s">
        <v>44</v>
      </c>
      <c r="C1426" s="5" t="s">
        <v>143</v>
      </c>
      <c r="D1426" s="5" t="s">
        <v>21</v>
      </c>
      <c r="E1426" s="5" t="s">
        <v>44</v>
      </c>
      <c r="F1426" s="5" t="s">
        <v>144</v>
      </c>
      <c r="G1426" s="5" t="s">
        <v>145</v>
      </c>
      <c r="H1426" s="9" t="s">
        <v>146</v>
      </c>
      <c r="I1426" s="10"/>
      <c r="J1426" s="10">
        <v>44895</v>
      </c>
      <c r="K1426" s="5" t="s">
        <v>49</v>
      </c>
      <c r="L1426" s="5" t="s">
        <v>106</v>
      </c>
      <c r="M1426" s="11">
        <v>0.060999999999999999</v>
      </c>
      <c r="N1426" s="5" t="e">
        <f>IF(AND(M1426&gt;#REF!,Cartera!O1426="Guaraníes"),"Rendimiento significativo",IF(AND(M1426&gt;#REF!,Cartera!O1426="Dólares americanos"),"Rendimiento significativo","Rendimiento no significativo"))</f>
        <v>#REF!</v>
      </c>
      <c r="O1426" s="5" t="s">
        <v>51</v>
      </c>
      <c r="P1426" s="13">
        <v>200.54795999999999</v>
      </c>
      <c r="Q1426" s="12" t="e">
        <f>IF(O1426="Guaraníes",P1426,P1426*#REF!)</f>
        <v>#REF!</v>
      </c>
      <c r="R1426" s="12">
        <f>IF(O1426="Guaraníes",P1426/#REF!,P1426)</f>
        <v>200.54795999999999</v>
      </c>
      <c r="S1426" s="5" t="s">
        <v>52</v>
      </c>
      <c r="T1426" s="5">
        <v>1057</v>
      </c>
      <c r="W1426" s="5" t="s">
        <v>65</v>
      </c>
      <c r="X1426" s="5">
        <v>0</v>
      </c>
      <c r="Y1426" s="5">
        <v>0</v>
      </c>
      <c r="Z1426" s="5">
        <v>5.0136989999999999</v>
      </c>
      <c r="AA1426" s="5">
        <v>40</v>
      </c>
      <c r="AB1426" s="5">
        <v>200.54795999999999</v>
      </c>
      <c r="AC1426" s="5" t="str">
        <f t="shared" si="70"/>
        <v>Bonos</v>
      </c>
      <c r="AD1426" s="5" t="s">
        <v>43</v>
      </c>
      <c r="AE1426" s="5">
        <f t="shared" ref="AE1426:AE1489" si="71">IFERROR((MONTH(J1426)),0)</f>
        <v>11</v>
      </c>
      <c r="AF1426" s="5">
        <f t="shared" ref="AF1426:AF1489" si="72">IFERROR((YEAR(J1426)),0)</f>
        <v>2022</v>
      </c>
    </row>
    <row r="1427" s="5" customFormat="1" ht="13">
      <c r="A1427" s="5" t="s">
        <v>44</v>
      </c>
      <c r="B1427" s="5" t="s">
        <v>44</v>
      </c>
      <c r="C1427" s="5" t="s">
        <v>164</v>
      </c>
      <c r="D1427" s="5" t="s">
        <v>21</v>
      </c>
      <c r="E1427" s="5" t="s">
        <v>44</v>
      </c>
      <c r="F1427" s="5" t="s">
        <v>68</v>
      </c>
      <c r="G1427" s="5" t="s">
        <v>145</v>
      </c>
      <c r="H1427" s="9" t="s">
        <v>165</v>
      </c>
      <c r="I1427" s="10"/>
      <c r="J1427" s="10">
        <v>44895</v>
      </c>
      <c r="K1427" s="5" t="s">
        <v>124</v>
      </c>
      <c r="L1427" s="5" t="s">
        <v>58</v>
      </c>
      <c r="M1427" s="11">
        <v>0.10000000000000001</v>
      </c>
      <c r="N1427" s="5" t="e">
        <f>IF(AND(M1427&gt;#REF!,Cartera!O1427="Guaraníes"),"Rendimiento significativo",IF(AND(M1427&gt;#REF!,Cartera!O1427="Dólares americanos"),"Rendimiento significativo","Rendimiento no significativo"))</f>
        <v>#REF!</v>
      </c>
      <c r="O1427" s="5" t="s">
        <v>41</v>
      </c>
      <c r="P1427" s="12">
        <v>3287671.2328000003</v>
      </c>
      <c r="Q1427" s="12">
        <f>IF(O1427="Guaraníes",P1427,P1427*#REF!)</f>
        <v>3287671.2328000003</v>
      </c>
      <c r="R1427" s="12" t="e">
        <f>IF(O1427="Guaraníes",P1427/#REF!,P1427)</f>
        <v>#REF!</v>
      </c>
      <c r="S1427" s="5" t="s">
        <v>52</v>
      </c>
      <c r="T1427" s="5">
        <v>1057</v>
      </c>
      <c r="W1427" s="5" t="s">
        <v>65</v>
      </c>
      <c r="X1427" s="5">
        <v>0</v>
      </c>
      <c r="Y1427" s="5">
        <v>0</v>
      </c>
      <c r="Z1427" s="5">
        <v>8219.1780820000004</v>
      </c>
      <c r="AA1427" s="5">
        <v>400</v>
      </c>
      <c r="AB1427" s="5">
        <v>3287671.2327999999</v>
      </c>
      <c r="AC1427" s="5" t="str">
        <f t="shared" si="70"/>
        <v>Bonos</v>
      </c>
      <c r="AD1427" s="5" t="s">
        <v>43</v>
      </c>
      <c r="AE1427" s="5">
        <f t="shared" si="71"/>
        <v>11</v>
      </c>
      <c r="AF1427" s="5">
        <f t="shared" si="72"/>
        <v>2022</v>
      </c>
    </row>
    <row r="1428" s="5" customFormat="1" ht="13">
      <c r="A1428" s="5" t="s">
        <v>44</v>
      </c>
      <c r="B1428" s="5" t="s">
        <v>44</v>
      </c>
      <c r="C1428" s="5" t="s">
        <v>304</v>
      </c>
      <c r="D1428" s="5" t="s">
        <v>21</v>
      </c>
      <c r="E1428" s="5" t="s">
        <v>44</v>
      </c>
      <c r="F1428" s="5" t="s">
        <v>68</v>
      </c>
      <c r="G1428" s="5" t="s">
        <v>145</v>
      </c>
      <c r="H1428" s="9" t="s">
        <v>363</v>
      </c>
      <c r="I1428" s="10"/>
      <c r="J1428" s="10">
        <v>44904</v>
      </c>
      <c r="K1428" s="5" t="s">
        <v>39</v>
      </c>
      <c r="L1428" s="5" t="s">
        <v>58</v>
      </c>
      <c r="M1428" s="11">
        <v>0.089999999999999997</v>
      </c>
      <c r="N1428" s="5" t="e">
        <f>IF(AND(M1428&gt;#REF!,Cartera!O1428="Guaraníes"),"Rendimiento significativo",IF(AND(M1428&gt;#REF!,Cartera!O1428="Dólares americanos"),"Rendimiento significativo","Rendimiento no significativo"))</f>
        <v>#REF!</v>
      </c>
      <c r="O1428" s="5" t="s">
        <v>41</v>
      </c>
      <c r="P1428" s="12">
        <v>9073972.6028000005</v>
      </c>
      <c r="Q1428" s="12">
        <f>IF(O1428="Guaraníes",P1428,P1428*#REF!)</f>
        <v>9073972.6028000005</v>
      </c>
      <c r="R1428" s="12" t="e">
        <f>IF(O1428="Guaraníes",P1428/#REF!,P1428)</f>
        <v>#REF!</v>
      </c>
      <c r="S1428" s="5" t="s">
        <v>52</v>
      </c>
      <c r="T1428" s="5">
        <v>1057</v>
      </c>
      <c r="W1428" s="5" t="s">
        <v>65</v>
      </c>
      <c r="X1428" s="5">
        <v>0</v>
      </c>
      <c r="Y1428" s="5">
        <v>0</v>
      </c>
      <c r="Z1428" s="5">
        <v>22684.931507000001</v>
      </c>
      <c r="AA1428" s="5">
        <v>400</v>
      </c>
      <c r="AB1428" s="5">
        <v>9073972.6028000005</v>
      </c>
      <c r="AC1428" s="5" t="str">
        <f t="shared" si="70"/>
        <v>Bonos</v>
      </c>
      <c r="AD1428" s="5" t="s">
        <v>43</v>
      </c>
      <c r="AE1428" s="5">
        <f t="shared" si="71"/>
        <v>12</v>
      </c>
      <c r="AF1428" s="5">
        <f t="shared" si="72"/>
        <v>2022</v>
      </c>
    </row>
    <row r="1429" s="5" customFormat="1" ht="13">
      <c r="A1429" s="5" t="s">
        <v>44</v>
      </c>
      <c r="B1429" s="5" t="s">
        <v>44</v>
      </c>
      <c r="C1429" s="5" t="s">
        <v>304</v>
      </c>
      <c r="D1429" s="5" t="s">
        <v>21</v>
      </c>
      <c r="E1429" s="5" t="s">
        <v>44</v>
      </c>
      <c r="F1429" s="5" t="s">
        <v>68</v>
      </c>
      <c r="G1429" s="5" t="s">
        <v>145</v>
      </c>
      <c r="H1429" s="9" t="s">
        <v>305</v>
      </c>
      <c r="I1429" s="10"/>
      <c r="J1429" s="10">
        <v>44918</v>
      </c>
      <c r="K1429" s="5" t="s">
        <v>39</v>
      </c>
      <c r="L1429" s="5" t="s">
        <v>58</v>
      </c>
      <c r="M1429" s="11">
        <v>0.089999999999999997</v>
      </c>
      <c r="N1429" s="5" t="e">
        <f>IF(AND(M1429&gt;#REF!,Cartera!O1429="Guaraníes"),"Rendimiento significativo",IF(AND(M1429&gt;#REF!,Cartera!O1429="Dólares americanos"),"Rendimiento significativo","Rendimiento no significativo"))</f>
        <v>#REF!</v>
      </c>
      <c r="O1429" s="5" t="s">
        <v>41</v>
      </c>
      <c r="P1429" s="12">
        <v>673150.68492000003</v>
      </c>
      <c r="Q1429" s="12">
        <f>IF(O1429="Guaraníes",P1429,P1429*#REF!)</f>
        <v>673150.68492000003</v>
      </c>
      <c r="R1429" s="12" t="e">
        <f>IF(O1429="Guaraníes",P1429/#REF!,P1429)</f>
        <v>#REF!</v>
      </c>
      <c r="S1429" s="5" t="s">
        <v>52</v>
      </c>
      <c r="T1429" s="5">
        <v>1057</v>
      </c>
      <c r="W1429" s="5" t="s">
        <v>65</v>
      </c>
      <c r="X1429" s="5">
        <v>0</v>
      </c>
      <c r="Y1429" s="5">
        <v>0</v>
      </c>
      <c r="Z1429" s="5">
        <v>22438.356164000001</v>
      </c>
      <c r="AA1429" s="5">
        <v>30</v>
      </c>
      <c r="AB1429" s="5">
        <v>673150.68492000003</v>
      </c>
      <c r="AC1429" s="5" t="str">
        <f t="shared" si="70"/>
        <v>Bonos</v>
      </c>
      <c r="AD1429" s="5" t="s">
        <v>43</v>
      </c>
      <c r="AE1429" s="5">
        <f t="shared" si="71"/>
        <v>12</v>
      </c>
      <c r="AF1429" s="5">
        <f t="shared" si="72"/>
        <v>2022</v>
      </c>
    </row>
    <row r="1430" s="5" customFormat="1" ht="13">
      <c r="A1430" s="5" t="s">
        <v>44</v>
      </c>
      <c r="B1430" s="5" t="s">
        <v>44</v>
      </c>
      <c r="C1430" s="5" t="s">
        <v>143</v>
      </c>
      <c r="D1430" s="5" t="s">
        <v>21</v>
      </c>
      <c r="E1430" s="5" t="s">
        <v>44</v>
      </c>
      <c r="F1430" s="5" t="s">
        <v>144</v>
      </c>
      <c r="G1430" s="5" t="s">
        <v>145</v>
      </c>
      <c r="H1430" s="9" t="s">
        <v>272</v>
      </c>
      <c r="I1430" s="10">
        <v>43532</v>
      </c>
      <c r="J1430" s="10">
        <v>44925</v>
      </c>
      <c r="K1430" s="5" t="s">
        <v>49</v>
      </c>
      <c r="L1430" s="5" t="s">
        <v>106</v>
      </c>
      <c r="M1430" s="11">
        <v>0.057500000000000002</v>
      </c>
      <c r="N1430" s="5" t="e">
        <f>IF(AND(M1430&gt;#REF!,Cartera!O1430="Guaraníes"),"Rendimiento significativo",IF(AND(M1430&gt;#REF!,Cartera!O1430="Dólares americanos"),"Rendimiento significativo","Rendimiento no significativo"))</f>
        <v>#REF!</v>
      </c>
      <c r="O1430" s="5" t="s">
        <v>51</v>
      </c>
      <c r="P1430" s="13">
        <v>47.260270000000006</v>
      </c>
      <c r="Q1430" s="12" t="e">
        <f>IF(O1430="Guaraníes",P1430,P1430*#REF!)</f>
        <v>#REF!</v>
      </c>
      <c r="R1430" s="12">
        <f>IF(O1430="Guaraníes",P1430/#REF!,P1430)</f>
        <v>47.260270000000006</v>
      </c>
      <c r="S1430" s="5" t="s">
        <v>52</v>
      </c>
      <c r="T1430" s="5">
        <v>1057</v>
      </c>
      <c r="W1430" s="5" t="s">
        <v>65</v>
      </c>
      <c r="X1430" s="5">
        <v>0</v>
      </c>
      <c r="Y1430" s="5">
        <v>0</v>
      </c>
      <c r="Z1430" s="5">
        <v>4.7260270000000002</v>
      </c>
      <c r="AA1430" s="5">
        <v>10</v>
      </c>
      <c r="AB1430" s="5">
        <v>47.260269999999998</v>
      </c>
      <c r="AC1430" s="5" t="str">
        <f t="shared" si="70"/>
        <v>Bonos</v>
      </c>
      <c r="AD1430" s="5" t="s">
        <v>43</v>
      </c>
      <c r="AE1430" s="5">
        <f t="shared" si="71"/>
        <v>12</v>
      </c>
      <c r="AF1430" s="5">
        <f t="shared" si="72"/>
        <v>2022</v>
      </c>
    </row>
    <row r="1431" s="5" customFormat="1" ht="13">
      <c r="A1431" s="5" t="s">
        <v>44</v>
      </c>
      <c r="B1431" s="5" t="s">
        <v>44</v>
      </c>
      <c r="C1431" s="5" t="s">
        <v>143</v>
      </c>
      <c r="D1431" s="5" t="s">
        <v>21</v>
      </c>
      <c r="E1431" s="5" t="s">
        <v>44</v>
      </c>
      <c r="F1431" s="5" t="s">
        <v>144</v>
      </c>
      <c r="G1431" s="5" t="s">
        <v>145</v>
      </c>
      <c r="H1431" s="9" t="s">
        <v>146</v>
      </c>
      <c r="I1431" s="10"/>
      <c r="J1431" s="10">
        <v>44925</v>
      </c>
      <c r="K1431" s="5" t="s">
        <v>49</v>
      </c>
      <c r="L1431" s="5" t="s">
        <v>106</v>
      </c>
      <c r="M1431" s="11">
        <v>0.060999999999999999</v>
      </c>
      <c r="N1431" s="5" t="e">
        <f>IF(AND(M1431&gt;#REF!,Cartera!O1431="Guaraníes"),"Rendimiento significativo",IF(AND(M1431&gt;#REF!,Cartera!O1431="Dólares americanos"),"Rendimiento significativo","Rendimiento no significativo"))</f>
        <v>#REF!</v>
      </c>
      <c r="O1431" s="5" t="s">
        <v>51</v>
      </c>
      <c r="P1431" s="13">
        <v>200.54795999999999</v>
      </c>
      <c r="Q1431" s="12" t="e">
        <f>IF(O1431="Guaraníes",P1431,P1431*#REF!)</f>
        <v>#REF!</v>
      </c>
      <c r="R1431" s="12">
        <f>IF(O1431="Guaraníes",P1431/#REF!,P1431)</f>
        <v>200.54795999999999</v>
      </c>
      <c r="S1431" s="5" t="s">
        <v>52</v>
      </c>
      <c r="T1431" s="5">
        <v>1057</v>
      </c>
      <c r="W1431" s="5" t="s">
        <v>65</v>
      </c>
      <c r="X1431" s="5">
        <v>0</v>
      </c>
      <c r="Y1431" s="5">
        <v>0</v>
      </c>
      <c r="Z1431" s="5">
        <v>5.0136989999999999</v>
      </c>
      <c r="AA1431" s="5">
        <v>40</v>
      </c>
      <c r="AB1431" s="5">
        <v>200.54795999999999</v>
      </c>
      <c r="AC1431" s="5" t="str">
        <f t="shared" si="70"/>
        <v>Bonos</v>
      </c>
      <c r="AD1431" s="5" t="s">
        <v>43</v>
      </c>
      <c r="AE1431" s="5">
        <f t="shared" si="71"/>
        <v>12</v>
      </c>
      <c r="AF1431" s="5">
        <f t="shared" si="72"/>
        <v>2022</v>
      </c>
    </row>
    <row r="1432" s="5" customFormat="1" ht="13">
      <c r="A1432" s="5" t="s">
        <v>44</v>
      </c>
      <c r="B1432" s="5" t="s">
        <v>44</v>
      </c>
      <c r="C1432" s="5" t="s">
        <v>164</v>
      </c>
      <c r="D1432" s="5" t="s">
        <v>21</v>
      </c>
      <c r="E1432" s="5" t="s">
        <v>44</v>
      </c>
      <c r="F1432" s="5" t="s">
        <v>68</v>
      </c>
      <c r="G1432" s="5" t="s">
        <v>145</v>
      </c>
      <c r="H1432" s="9" t="s">
        <v>165</v>
      </c>
      <c r="I1432" s="10"/>
      <c r="J1432" s="10">
        <v>44925</v>
      </c>
      <c r="K1432" s="5" t="s">
        <v>124</v>
      </c>
      <c r="L1432" s="5" t="s">
        <v>58</v>
      </c>
      <c r="M1432" s="11">
        <v>0.10000000000000001</v>
      </c>
      <c r="N1432" s="5" t="e">
        <f>IF(AND(M1432&gt;#REF!,Cartera!O1432="Guaraníes"),"Rendimiento significativo",IF(AND(M1432&gt;#REF!,Cartera!O1432="Dólares americanos"),"Rendimiento significativo","Rendimiento no significativo"))</f>
        <v>#REF!</v>
      </c>
      <c r="O1432" s="5" t="s">
        <v>41</v>
      </c>
      <c r="P1432" s="12">
        <v>3287671.2328000003</v>
      </c>
      <c r="Q1432" s="12">
        <f>IF(O1432="Guaraníes",P1432,P1432*#REF!)</f>
        <v>3287671.2328000003</v>
      </c>
      <c r="R1432" s="12" t="e">
        <f>IF(O1432="Guaraníes",P1432/#REF!,P1432)</f>
        <v>#REF!</v>
      </c>
      <c r="S1432" s="5" t="s">
        <v>52</v>
      </c>
      <c r="T1432" s="5">
        <v>1057</v>
      </c>
      <c r="W1432" s="5" t="s">
        <v>65</v>
      </c>
      <c r="X1432" s="5">
        <v>0</v>
      </c>
      <c r="Y1432" s="5">
        <v>0</v>
      </c>
      <c r="Z1432" s="5">
        <v>8219.1780820000004</v>
      </c>
      <c r="AA1432" s="5">
        <v>400</v>
      </c>
      <c r="AB1432" s="5">
        <v>3287671.2327999999</v>
      </c>
      <c r="AC1432" s="5" t="str">
        <f t="shared" si="70"/>
        <v>Bonos</v>
      </c>
      <c r="AD1432" s="5" t="s">
        <v>43</v>
      </c>
      <c r="AE1432" s="5">
        <f t="shared" si="71"/>
        <v>12</v>
      </c>
      <c r="AF1432" s="5">
        <f t="shared" si="72"/>
        <v>2022</v>
      </c>
    </row>
    <row r="1433" s="5" customFormat="1" ht="13">
      <c r="A1433" s="5" t="s">
        <v>44</v>
      </c>
      <c r="B1433" s="5" t="s">
        <v>44</v>
      </c>
      <c r="C1433" s="5" t="s">
        <v>143</v>
      </c>
      <c r="D1433" s="5" t="s">
        <v>21</v>
      </c>
      <c r="E1433" s="5" t="s">
        <v>44</v>
      </c>
      <c r="F1433" s="5" t="s">
        <v>144</v>
      </c>
      <c r="G1433" s="5" t="s">
        <v>145</v>
      </c>
      <c r="H1433" s="9" t="s">
        <v>272</v>
      </c>
      <c r="I1433" s="10">
        <v>43532</v>
      </c>
      <c r="J1433" s="10">
        <v>44957</v>
      </c>
      <c r="K1433" s="5" t="s">
        <v>49</v>
      </c>
      <c r="L1433" s="5" t="s">
        <v>106</v>
      </c>
      <c r="M1433" s="11">
        <v>0.057500000000000002</v>
      </c>
      <c r="N1433" s="5" t="e">
        <f>IF(AND(M1433&gt;#REF!,Cartera!O1433="Guaraníes"),"Rendimiento significativo",IF(AND(M1433&gt;#REF!,Cartera!O1433="Dólares americanos"),"Rendimiento significativo","Rendimiento no significativo"))</f>
        <v>#REF!</v>
      </c>
      <c r="O1433" s="5" t="s">
        <v>51</v>
      </c>
      <c r="P1433" s="13">
        <v>50.410959999999996</v>
      </c>
      <c r="Q1433" s="12" t="e">
        <f>IF(O1433="Guaraníes",P1433,P1433*#REF!)</f>
        <v>#REF!</v>
      </c>
      <c r="R1433" s="12">
        <f>IF(O1433="Guaraníes",P1433/#REF!,P1433)</f>
        <v>50.410959999999996</v>
      </c>
      <c r="S1433" s="5" t="s">
        <v>52</v>
      </c>
      <c r="T1433" s="5">
        <v>1057</v>
      </c>
      <c r="W1433" s="5" t="s">
        <v>65</v>
      </c>
      <c r="X1433" s="5">
        <v>0</v>
      </c>
      <c r="Y1433" s="5">
        <v>0</v>
      </c>
      <c r="Z1433" s="5">
        <v>5.0410959999999996</v>
      </c>
      <c r="AA1433" s="5">
        <v>10</v>
      </c>
      <c r="AB1433" s="5">
        <v>50.410960000000003</v>
      </c>
      <c r="AC1433" s="5" t="str">
        <f t="shared" si="70"/>
        <v>Bonos</v>
      </c>
      <c r="AD1433" s="5" t="s">
        <v>43</v>
      </c>
      <c r="AE1433" s="5">
        <f t="shared" si="71"/>
        <v>1</v>
      </c>
      <c r="AF1433" s="5">
        <f t="shared" si="72"/>
        <v>2023</v>
      </c>
    </row>
    <row r="1434" s="5" customFormat="1" ht="13">
      <c r="A1434" s="5" t="s">
        <v>44</v>
      </c>
      <c r="B1434" s="5" t="s">
        <v>44</v>
      </c>
      <c r="C1434" s="5" t="s">
        <v>143</v>
      </c>
      <c r="D1434" s="5" t="s">
        <v>21</v>
      </c>
      <c r="E1434" s="5" t="s">
        <v>44</v>
      </c>
      <c r="F1434" s="5" t="s">
        <v>144</v>
      </c>
      <c r="G1434" s="5" t="s">
        <v>145</v>
      </c>
      <c r="H1434" s="9" t="s">
        <v>146</v>
      </c>
      <c r="I1434" s="10"/>
      <c r="J1434" s="10">
        <v>44957</v>
      </c>
      <c r="K1434" s="5" t="s">
        <v>49</v>
      </c>
      <c r="L1434" s="5" t="s">
        <v>106</v>
      </c>
      <c r="M1434" s="11">
        <v>0.060999999999999999</v>
      </c>
      <c r="N1434" s="5" t="e">
        <f>IF(AND(M1434&gt;#REF!,Cartera!O1434="Guaraníes"),"Rendimiento significativo",IF(AND(M1434&gt;#REF!,Cartera!O1434="Dólares americanos"),"Rendimiento significativo","Rendimiento no significativo"))</f>
        <v>#REF!</v>
      </c>
      <c r="O1434" s="5" t="s">
        <v>51</v>
      </c>
      <c r="P1434" s="13">
        <v>213.9178</v>
      </c>
      <c r="Q1434" s="12" t="e">
        <f>IF(O1434="Guaraníes",P1434,P1434*#REF!)</f>
        <v>#REF!</v>
      </c>
      <c r="R1434" s="12">
        <f>IF(O1434="Guaraníes",P1434/#REF!,P1434)</f>
        <v>213.9178</v>
      </c>
      <c r="S1434" s="5" t="s">
        <v>52</v>
      </c>
      <c r="T1434" s="5">
        <v>1057</v>
      </c>
      <c r="W1434" s="5" t="s">
        <v>65</v>
      </c>
      <c r="X1434" s="5">
        <v>0</v>
      </c>
      <c r="Y1434" s="5">
        <v>0</v>
      </c>
      <c r="Z1434" s="5">
        <v>5.3479450000000002</v>
      </c>
      <c r="AA1434" s="5">
        <v>40</v>
      </c>
      <c r="AB1434" s="5">
        <v>213.9178</v>
      </c>
      <c r="AC1434" s="5" t="str">
        <f t="shared" si="70"/>
        <v>Bonos</v>
      </c>
      <c r="AD1434" s="5" t="s">
        <v>43</v>
      </c>
      <c r="AE1434" s="5">
        <f t="shared" si="71"/>
        <v>1</v>
      </c>
      <c r="AF1434" s="5">
        <f t="shared" si="72"/>
        <v>2023</v>
      </c>
    </row>
    <row r="1435" s="5" customFormat="1" ht="13">
      <c r="A1435" s="5" t="s">
        <v>44</v>
      </c>
      <c r="B1435" s="5" t="s">
        <v>44</v>
      </c>
      <c r="C1435" s="5" t="s">
        <v>164</v>
      </c>
      <c r="D1435" s="5" t="s">
        <v>21</v>
      </c>
      <c r="E1435" s="5" t="s">
        <v>44</v>
      </c>
      <c r="F1435" s="5" t="s">
        <v>68</v>
      </c>
      <c r="G1435" s="5" t="s">
        <v>145</v>
      </c>
      <c r="H1435" s="9" t="s">
        <v>165</v>
      </c>
      <c r="I1435" s="10"/>
      <c r="J1435" s="10">
        <v>44957</v>
      </c>
      <c r="K1435" s="5" t="s">
        <v>124</v>
      </c>
      <c r="L1435" s="5" t="s">
        <v>58</v>
      </c>
      <c r="M1435" s="11">
        <v>0.10000000000000001</v>
      </c>
      <c r="N1435" s="5" t="e">
        <f>IF(AND(M1435&gt;#REF!,Cartera!O1435="Guaraníes"),"Rendimiento significativo",IF(AND(M1435&gt;#REF!,Cartera!O1435="Dólares americanos"),"Rendimiento significativo","Rendimiento no significativo"))</f>
        <v>#REF!</v>
      </c>
      <c r="O1435" s="5" t="s">
        <v>41</v>
      </c>
      <c r="P1435" s="12">
        <v>3506849.3152000001</v>
      </c>
      <c r="Q1435" s="12">
        <f>IF(O1435="Guaraníes",P1435,P1435*#REF!)</f>
        <v>3506849.3152000001</v>
      </c>
      <c r="R1435" s="12" t="e">
        <f>IF(O1435="Guaraníes",P1435/#REF!,P1435)</f>
        <v>#REF!</v>
      </c>
      <c r="S1435" s="5" t="s">
        <v>52</v>
      </c>
      <c r="T1435" s="5">
        <v>1057</v>
      </c>
      <c r="W1435" s="5" t="s">
        <v>65</v>
      </c>
      <c r="X1435" s="5">
        <v>0</v>
      </c>
      <c r="Y1435" s="5">
        <v>0</v>
      </c>
      <c r="Z1435" s="5">
        <v>8767.1232880000007</v>
      </c>
      <c r="AA1435" s="5">
        <v>400</v>
      </c>
      <c r="AB1435" s="5">
        <v>3506849.3152000001</v>
      </c>
      <c r="AC1435" s="5" t="str">
        <f t="shared" si="70"/>
        <v>Bonos</v>
      </c>
      <c r="AD1435" s="5" t="s">
        <v>43</v>
      </c>
      <c r="AE1435" s="5">
        <f t="shared" si="71"/>
        <v>1</v>
      </c>
      <c r="AF1435" s="5">
        <f t="shared" si="72"/>
        <v>2023</v>
      </c>
    </row>
    <row r="1436" s="5" customFormat="1" ht="13">
      <c r="A1436" s="5" t="s">
        <v>44</v>
      </c>
      <c r="B1436" s="5" t="s">
        <v>44</v>
      </c>
      <c r="C1436" s="5" t="s">
        <v>45</v>
      </c>
      <c r="D1436" s="5" t="s">
        <v>21</v>
      </c>
      <c r="E1436" s="5" t="s">
        <v>44</v>
      </c>
      <c r="F1436" s="5" t="s">
        <v>46</v>
      </c>
      <c r="G1436" s="5" t="s">
        <v>145</v>
      </c>
      <c r="H1436" s="9" t="s">
        <v>359</v>
      </c>
      <c r="I1436" s="10"/>
      <c r="J1436" s="10">
        <v>44973</v>
      </c>
      <c r="K1436" s="5" t="s">
        <v>49</v>
      </c>
      <c r="L1436" s="5" t="s">
        <v>50</v>
      </c>
      <c r="M1436" s="11">
        <v>0.070000000000000007</v>
      </c>
      <c r="N1436" s="5" t="e">
        <f>IF(AND(M1436&gt;#REF!,Cartera!O1436="Guaraníes"),"Rendimiento significativo",IF(AND(M1436&gt;#REF!,Cartera!O1436="Dólares americanos"),"Rendimiento significativo","Rendimiento no significativo"))</f>
        <v>#REF!</v>
      </c>
      <c r="O1436" s="5" t="s">
        <v>51</v>
      </c>
      <c r="P1436" s="13">
        <v>149.58904000000001</v>
      </c>
      <c r="Q1436" s="12" t="e">
        <f>IF(O1436="Guaraníes",P1436,P1436*#REF!)</f>
        <v>#REF!</v>
      </c>
      <c r="R1436" s="12">
        <f>IF(O1436="Guaraníes",P1436/#REF!,P1436)</f>
        <v>149.58904000000001</v>
      </c>
      <c r="S1436" s="5" t="s">
        <v>52</v>
      </c>
      <c r="T1436" s="5">
        <v>1057</v>
      </c>
      <c r="W1436" s="5" t="s">
        <v>65</v>
      </c>
      <c r="X1436" s="5">
        <v>0</v>
      </c>
      <c r="Y1436" s="5">
        <v>0</v>
      </c>
      <c r="Z1436" s="5">
        <v>14.958904</v>
      </c>
      <c r="AA1436" s="5">
        <v>10</v>
      </c>
      <c r="AB1436" s="5">
        <v>149.58904000000001</v>
      </c>
      <c r="AC1436" s="5" t="str">
        <f t="shared" si="70"/>
        <v>Bonos</v>
      </c>
      <c r="AD1436" s="5" t="s">
        <v>43</v>
      </c>
      <c r="AE1436" s="5">
        <f t="shared" si="71"/>
        <v>2</v>
      </c>
      <c r="AF1436" s="5">
        <f t="shared" si="72"/>
        <v>2023</v>
      </c>
    </row>
    <row r="1437" s="5" customFormat="1" ht="13">
      <c r="A1437" s="5" t="s">
        <v>44</v>
      </c>
      <c r="B1437" s="5" t="s">
        <v>44</v>
      </c>
      <c r="C1437" s="5" t="s">
        <v>143</v>
      </c>
      <c r="D1437" s="5" t="s">
        <v>21</v>
      </c>
      <c r="E1437" s="5" t="s">
        <v>44</v>
      </c>
      <c r="F1437" s="5" t="s">
        <v>144</v>
      </c>
      <c r="G1437" s="5" t="s">
        <v>145</v>
      </c>
      <c r="H1437" s="9" t="s">
        <v>272</v>
      </c>
      <c r="I1437" s="10">
        <v>43532</v>
      </c>
      <c r="J1437" s="10">
        <v>44985</v>
      </c>
      <c r="K1437" s="5" t="s">
        <v>49</v>
      </c>
      <c r="L1437" s="5" t="s">
        <v>106</v>
      </c>
      <c r="M1437" s="11">
        <v>0.057500000000000002</v>
      </c>
      <c r="N1437" s="5" t="e">
        <f>IF(AND(M1437&gt;#REF!,Cartera!O1437="Guaraníes"),"Rendimiento significativo",IF(AND(M1437&gt;#REF!,Cartera!O1437="Dólares americanos"),"Rendimiento significativo","Rendimiento no significativo"))</f>
        <v>#REF!</v>
      </c>
      <c r="O1437" s="5" t="s">
        <v>51</v>
      </c>
      <c r="P1437" s="13">
        <v>44.109589999999997</v>
      </c>
      <c r="Q1437" s="12" t="e">
        <f>IF(O1437="Guaraníes",P1437,P1437*#REF!)</f>
        <v>#REF!</v>
      </c>
      <c r="R1437" s="12">
        <f>IF(O1437="Guaraníes",P1437/#REF!,P1437)</f>
        <v>44.109589999999997</v>
      </c>
      <c r="S1437" s="5" t="s">
        <v>52</v>
      </c>
      <c r="T1437" s="5">
        <v>1057</v>
      </c>
      <c r="W1437" s="5" t="s">
        <v>65</v>
      </c>
      <c r="X1437" s="5">
        <v>0</v>
      </c>
      <c r="Y1437" s="5">
        <v>0</v>
      </c>
      <c r="Z1437" s="5">
        <v>4.4109590000000001</v>
      </c>
      <c r="AA1437" s="5">
        <v>10</v>
      </c>
      <c r="AB1437" s="5">
        <v>44.109589999999997</v>
      </c>
      <c r="AC1437" s="5" t="str">
        <f t="shared" si="70"/>
        <v>Bonos</v>
      </c>
      <c r="AD1437" s="5" t="s">
        <v>43</v>
      </c>
      <c r="AE1437" s="5">
        <f t="shared" si="71"/>
        <v>2</v>
      </c>
      <c r="AF1437" s="5">
        <f t="shared" si="72"/>
        <v>2023</v>
      </c>
    </row>
    <row r="1438" s="5" customFormat="1" ht="13">
      <c r="A1438" s="5" t="s">
        <v>44</v>
      </c>
      <c r="B1438" s="5" t="s">
        <v>44</v>
      </c>
      <c r="C1438" s="5" t="s">
        <v>143</v>
      </c>
      <c r="D1438" s="5" t="s">
        <v>21</v>
      </c>
      <c r="E1438" s="5" t="s">
        <v>44</v>
      </c>
      <c r="F1438" s="5" t="s">
        <v>144</v>
      </c>
      <c r="G1438" s="5" t="s">
        <v>145</v>
      </c>
      <c r="H1438" s="9" t="s">
        <v>146</v>
      </c>
      <c r="I1438" s="10"/>
      <c r="J1438" s="10">
        <v>44985</v>
      </c>
      <c r="K1438" s="5" t="s">
        <v>49</v>
      </c>
      <c r="L1438" s="5" t="s">
        <v>106</v>
      </c>
      <c r="M1438" s="11">
        <v>0.060999999999999999</v>
      </c>
      <c r="N1438" s="5" t="e">
        <f>IF(AND(M1438&gt;#REF!,Cartera!O1438="Guaraníes"),"Rendimiento significativo",IF(AND(M1438&gt;#REF!,Cartera!O1438="Dólares americanos"),"Rendimiento significativo","Rendimiento no significativo"))</f>
        <v>#REF!</v>
      </c>
      <c r="O1438" s="5" t="s">
        <v>51</v>
      </c>
      <c r="P1438" s="13">
        <v>187.17808000000002</v>
      </c>
      <c r="Q1438" s="12" t="e">
        <f>IF(O1438="Guaraníes",P1438,P1438*#REF!)</f>
        <v>#REF!</v>
      </c>
      <c r="R1438" s="12">
        <f>IF(O1438="Guaraníes",P1438/#REF!,P1438)</f>
        <v>187.17808000000002</v>
      </c>
      <c r="S1438" s="5" t="s">
        <v>52</v>
      </c>
      <c r="T1438" s="5">
        <v>1057</v>
      </c>
      <c r="W1438" s="5" t="s">
        <v>65</v>
      </c>
      <c r="X1438" s="5">
        <v>0</v>
      </c>
      <c r="Y1438" s="5">
        <v>0</v>
      </c>
      <c r="Z1438" s="5">
        <v>4.6794520000000004</v>
      </c>
      <c r="AA1438" s="5">
        <v>40</v>
      </c>
      <c r="AB1438" s="5">
        <v>187.17807999999999</v>
      </c>
      <c r="AC1438" s="5" t="str">
        <f t="shared" si="70"/>
        <v>Bonos</v>
      </c>
      <c r="AD1438" s="5" t="s">
        <v>43</v>
      </c>
      <c r="AE1438" s="5">
        <f t="shared" si="71"/>
        <v>2</v>
      </c>
      <c r="AF1438" s="5">
        <f t="shared" si="72"/>
        <v>2023</v>
      </c>
    </row>
    <row r="1439" s="5" customFormat="1" ht="13">
      <c r="A1439" s="5" t="s">
        <v>44</v>
      </c>
      <c r="B1439" s="5" t="s">
        <v>44</v>
      </c>
      <c r="C1439" s="5" t="s">
        <v>164</v>
      </c>
      <c r="D1439" s="5" t="s">
        <v>21</v>
      </c>
      <c r="E1439" s="5" t="s">
        <v>44</v>
      </c>
      <c r="F1439" s="5" t="s">
        <v>68</v>
      </c>
      <c r="G1439" s="5" t="s">
        <v>145</v>
      </c>
      <c r="H1439" s="9" t="s">
        <v>165</v>
      </c>
      <c r="I1439" s="10"/>
      <c r="J1439" s="10">
        <v>44985</v>
      </c>
      <c r="K1439" s="5" t="s">
        <v>124</v>
      </c>
      <c r="L1439" s="5" t="s">
        <v>58</v>
      </c>
      <c r="M1439" s="11">
        <v>0.10000000000000001</v>
      </c>
      <c r="N1439" s="5" t="e">
        <f>IF(AND(M1439&gt;#REF!,Cartera!O1439="Guaraníes"),"Rendimiento significativo",IF(AND(M1439&gt;#REF!,Cartera!O1439="Dólares americanos"),"Rendimiento significativo","Rendimiento no significativo"))</f>
        <v>#REF!</v>
      </c>
      <c r="O1439" s="5" t="s">
        <v>41</v>
      </c>
      <c r="P1439" s="12">
        <v>3068493.1507999999</v>
      </c>
      <c r="Q1439" s="12">
        <f>IF(O1439="Guaraníes",P1439,P1439*#REF!)</f>
        <v>3068493.1507999999</v>
      </c>
      <c r="R1439" s="12" t="e">
        <f>IF(O1439="Guaraníes",P1439/#REF!,P1439)</f>
        <v>#REF!</v>
      </c>
      <c r="S1439" s="5" t="s">
        <v>52</v>
      </c>
      <c r="T1439" s="5">
        <v>1057</v>
      </c>
      <c r="W1439" s="5" t="s">
        <v>65</v>
      </c>
      <c r="X1439" s="5">
        <v>0</v>
      </c>
      <c r="Y1439" s="5">
        <v>0</v>
      </c>
      <c r="Z1439" s="5">
        <v>7671.2328770000004</v>
      </c>
      <c r="AA1439" s="5">
        <v>400</v>
      </c>
      <c r="AB1439" s="5">
        <v>3068493.1507999999</v>
      </c>
      <c r="AC1439" s="5" t="str">
        <f t="shared" si="70"/>
        <v>Bonos</v>
      </c>
      <c r="AD1439" s="5" t="s">
        <v>43</v>
      </c>
      <c r="AE1439" s="5">
        <f t="shared" si="71"/>
        <v>2</v>
      </c>
      <c r="AF1439" s="5">
        <f t="shared" si="72"/>
        <v>2023</v>
      </c>
    </row>
    <row r="1440" s="5" customFormat="1" ht="13">
      <c r="A1440" s="5" t="s">
        <v>44</v>
      </c>
      <c r="B1440" s="5" t="s">
        <v>44</v>
      </c>
      <c r="C1440" s="5" t="s">
        <v>304</v>
      </c>
      <c r="D1440" s="5" t="s">
        <v>21</v>
      </c>
      <c r="E1440" s="5" t="s">
        <v>44</v>
      </c>
      <c r="F1440" s="5" t="s">
        <v>68</v>
      </c>
      <c r="G1440" s="5" t="s">
        <v>145</v>
      </c>
      <c r="H1440" s="9" t="s">
        <v>363</v>
      </c>
      <c r="I1440" s="10"/>
      <c r="J1440" s="10">
        <v>44995</v>
      </c>
      <c r="K1440" s="5" t="s">
        <v>39</v>
      </c>
      <c r="L1440" s="5" t="s">
        <v>58</v>
      </c>
      <c r="M1440" s="11">
        <v>0.089999999999999997</v>
      </c>
      <c r="N1440" s="5" t="e">
        <f>IF(AND(M1440&gt;#REF!,Cartera!O1440="Guaraníes"),"Rendimiento significativo",IF(AND(M1440&gt;#REF!,Cartera!O1440="Dólares americanos"),"Rendimiento significativo","Rendimiento no significativo"))</f>
        <v>#REF!</v>
      </c>
      <c r="O1440" s="5" t="s">
        <v>41</v>
      </c>
      <c r="P1440" s="12">
        <v>8975342.4656000007</v>
      </c>
      <c r="Q1440" s="12">
        <f>IF(O1440="Guaraníes",P1440,P1440*#REF!)</f>
        <v>8975342.4656000007</v>
      </c>
      <c r="R1440" s="12" t="e">
        <f>IF(O1440="Guaraníes",P1440/#REF!,P1440)</f>
        <v>#REF!</v>
      </c>
      <c r="S1440" s="5" t="s">
        <v>52</v>
      </c>
      <c r="T1440" s="5">
        <v>1057</v>
      </c>
      <c r="W1440" s="5" t="s">
        <v>65</v>
      </c>
      <c r="X1440" s="5">
        <v>0</v>
      </c>
      <c r="Y1440" s="5">
        <v>0</v>
      </c>
      <c r="Z1440" s="5">
        <v>22438.356164000001</v>
      </c>
      <c r="AA1440" s="5">
        <v>400</v>
      </c>
      <c r="AB1440" s="5">
        <v>8975342.4656000007</v>
      </c>
      <c r="AC1440" s="5" t="str">
        <f t="shared" si="70"/>
        <v>Bonos</v>
      </c>
      <c r="AD1440" s="5" t="s">
        <v>43</v>
      </c>
      <c r="AE1440" s="5">
        <f t="shared" si="71"/>
        <v>3</v>
      </c>
      <c r="AF1440" s="5">
        <f t="shared" si="72"/>
        <v>2023</v>
      </c>
    </row>
    <row r="1441" s="5" customFormat="1" ht="13">
      <c r="A1441" s="5" t="s">
        <v>44</v>
      </c>
      <c r="B1441" s="5" t="s">
        <v>44</v>
      </c>
      <c r="C1441" s="5" t="s">
        <v>304</v>
      </c>
      <c r="D1441" s="5" t="s">
        <v>21</v>
      </c>
      <c r="E1441" s="5" t="s">
        <v>44</v>
      </c>
      <c r="F1441" s="5" t="s">
        <v>68</v>
      </c>
      <c r="G1441" s="5" t="s">
        <v>145</v>
      </c>
      <c r="H1441" s="9" t="s">
        <v>305</v>
      </c>
      <c r="I1441" s="10"/>
      <c r="J1441" s="10">
        <v>45009</v>
      </c>
      <c r="K1441" s="5" t="s">
        <v>39</v>
      </c>
      <c r="L1441" s="5" t="s">
        <v>58</v>
      </c>
      <c r="M1441" s="11">
        <v>0.089999999999999997</v>
      </c>
      <c r="N1441" s="5" t="e">
        <f>IF(AND(M1441&gt;#REF!,Cartera!O1441="Guaraníes"),"Rendimiento significativo",IF(AND(M1441&gt;#REF!,Cartera!O1441="Dólares americanos"),"Rendimiento significativo","Rendimiento no significativo"))</f>
        <v>#REF!</v>
      </c>
      <c r="O1441" s="5" t="s">
        <v>41</v>
      </c>
      <c r="P1441" s="12">
        <v>673150.68492000003</v>
      </c>
      <c r="Q1441" s="12">
        <f>IF(O1441="Guaraníes",P1441,P1441*#REF!)</f>
        <v>673150.68492000003</v>
      </c>
      <c r="R1441" s="12" t="e">
        <f>IF(O1441="Guaraníes",P1441/#REF!,P1441)</f>
        <v>#REF!</v>
      </c>
      <c r="S1441" s="5" t="s">
        <v>52</v>
      </c>
      <c r="T1441" s="5">
        <v>1057</v>
      </c>
      <c r="W1441" s="5" t="s">
        <v>65</v>
      </c>
      <c r="X1441" s="5">
        <v>0</v>
      </c>
      <c r="Y1441" s="5">
        <v>0</v>
      </c>
      <c r="Z1441" s="5">
        <v>22438.356164000001</v>
      </c>
      <c r="AA1441" s="5">
        <v>30</v>
      </c>
      <c r="AB1441" s="5">
        <v>673150.68492000003</v>
      </c>
      <c r="AC1441" s="5" t="str">
        <f t="shared" si="70"/>
        <v>Bonos</v>
      </c>
      <c r="AD1441" s="5" t="s">
        <v>43</v>
      </c>
      <c r="AE1441" s="5">
        <f t="shared" si="71"/>
        <v>3</v>
      </c>
      <c r="AF1441" s="5">
        <f t="shared" si="72"/>
        <v>2023</v>
      </c>
    </row>
    <row r="1442" s="5" customFormat="1" ht="13">
      <c r="A1442" s="5" t="s">
        <v>44</v>
      </c>
      <c r="B1442" s="5" t="s">
        <v>44</v>
      </c>
      <c r="C1442" s="5" t="s">
        <v>143</v>
      </c>
      <c r="D1442" s="5" t="s">
        <v>21</v>
      </c>
      <c r="E1442" s="5" t="s">
        <v>44</v>
      </c>
      <c r="F1442" s="5" t="s">
        <v>144</v>
      </c>
      <c r="G1442" s="5" t="s">
        <v>145</v>
      </c>
      <c r="H1442" s="9" t="s">
        <v>272</v>
      </c>
      <c r="I1442" s="10">
        <v>43532</v>
      </c>
      <c r="J1442" s="10">
        <v>45016</v>
      </c>
      <c r="K1442" s="5" t="s">
        <v>49</v>
      </c>
      <c r="L1442" s="5" t="s">
        <v>106</v>
      </c>
      <c r="M1442" s="11">
        <v>0.057500000000000002</v>
      </c>
      <c r="N1442" s="5" t="e">
        <f>IF(AND(M1442&gt;#REF!,Cartera!O1442="Guaraníes"),"Rendimiento significativo",IF(AND(M1442&gt;#REF!,Cartera!O1442="Dólares americanos"),"Rendimiento significativo","Rendimiento no significativo"))</f>
        <v>#REF!</v>
      </c>
      <c r="O1442" s="5" t="s">
        <v>51</v>
      </c>
      <c r="P1442" s="13">
        <v>48.835620000000006</v>
      </c>
      <c r="Q1442" s="12" t="e">
        <f>IF(O1442="Guaraníes",P1442,P1442*#REF!)</f>
        <v>#REF!</v>
      </c>
      <c r="R1442" s="12">
        <f>IF(O1442="Guaraníes",P1442/#REF!,P1442)</f>
        <v>48.835620000000006</v>
      </c>
      <c r="S1442" s="5" t="s">
        <v>52</v>
      </c>
      <c r="T1442" s="5">
        <v>1057</v>
      </c>
      <c r="W1442" s="5" t="s">
        <v>65</v>
      </c>
      <c r="X1442" s="5">
        <v>0</v>
      </c>
      <c r="Y1442" s="5">
        <v>0</v>
      </c>
      <c r="Z1442" s="5">
        <v>4.8835620000000004</v>
      </c>
      <c r="AA1442" s="5">
        <v>10</v>
      </c>
      <c r="AB1442" s="5">
        <v>48.835619999999999</v>
      </c>
      <c r="AC1442" s="5" t="str">
        <f t="shared" si="70"/>
        <v>Bonos</v>
      </c>
      <c r="AD1442" s="5" t="s">
        <v>43</v>
      </c>
      <c r="AE1442" s="5">
        <f t="shared" si="71"/>
        <v>3</v>
      </c>
      <c r="AF1442" s="5">
        <f t="shared" si="72"/>
        <v>2023</v>
      </c>
    </row>
    <row r="1443" s="5" customFormat="1" ht="13">
      <c r="A1443" s="5" t="s">
        <v>44</v>
      </c>
      <c r="B1443" s="5" t="s">
        <v>44</v>
      </c>
      <c r="C1443" s="5" t="s">
        <v>143</v>
      </c>
      <c r="D1443" s="5" t="s">
        <v>21</v>
      </c>
      <c r="E1443" s="5" t="s">
        <v>44</v>
      </c>
      <c r="F1443" s="5" t="s">
        <v>144</v>
      </c>
      <c r="G1443" s="5" t="s">
        <v>145</v>
      </c>
      <c r="H1443" s="9" t="s">
        <v>146</v>
      </c>
      <c r="I1443" s="10"/>
      <c r="J1443" s="10">
        <v>45016</v>
      </c>
      <c r="K1443" s="5" t="s">
        <v>49</v>
      </c>
      <c r="L1443" s="5" t="s">
        <v>106</v>
      </c>
      <c r="M1443" s="11">
        <v>0.060999999999999999</v>
      </c>
      <c r="N1443" s="5" t="e">
        <f>IF(AND(M1443&gt;#REF!,Cartera!O1443="Guaraníes"),"Rendimiento significativo",IF(AND(M1443&gt;#REF!,Cartera!O1443="Dólares americanos"),"Rendimiento significativo","Rendimiento no significativo"))</f>
        <v>#REF!</v>
      </c>
      <c r="O1443" s="5" t="s">
        <v>51</v>
      </c>
      <c r="P1443" s="13">
        <v>207.23287999999999</v>
      </c>
      <c r="Q1443" s="12" t="e">
        <f>IF(O1443="Guaraníes",P1443,P1443*#REF!)</f>
        <v>#REF!</v>
      </c>
      <c r="R1443" s="12">
        <f>IF(O1443="Guaraníes",P1443/#REF!,P1443)</f>
        <v>207.23287999999999</v>
      </c>
      <c r="S1443" s="5" t="s">
        <v>52</v>
      </c>
      <c r="T1443" s="5">
        <v>1057</v>
      </c>
      <c r="W1443" s="5" t="s">
        <v>65</v>
      </c>
      <c r="X1443" s="5">
        <v>0</v>
      </c>
      <c r="Y1443" s="5">
        <v>0</v>
      </c>
      <c r="Z1443" s="5">
        <v>5.180822</v>
      </c>
      <c r="AA1443" s="5">
        <v>40</v>
      </c>
      <c r="AB1443" s="5">
        <v>207.23287999999999</v>
      </c>
      <c r="AC1443" s="5" t="str">
        <f t="shared" si="70"/>
        <v>Bonos</v>
      </c>
      <c r="AD1443" s="5" t="s">
        <v>43</v>
      </c>
      <c r="AE1443" s="5">
        <f t="shared" si="71"/>
        <v>3</v>
      </c>
      <c r="AF1443" s="5">
        <f t="shared" si="72"/>
        <v>2023</v>
      </c>
    </row>
    <row r="1444" s="5" customFormat="1" ht="13">
      <c r="A1444" s="5" t="s">
        <v>44</v>
      </c>
      <c r="B1444" s="5" t="s">
        <v>44</v>
      </c>
      <c r="C1444" s="5" t="s">
        <v>164</v>
      </c>
      <c r="D1444" s="5" t="s">
        <v>21</v>
      </c>
      <c r="E1444" s="5" t="s">
        <v>44</v>
      </c>
      <c r="F1444" s="5" t="s">
        <v>68</v>
      </c>
      <c r="G1444" s="5" t="s">
        <v>145</v>
      </c>
      <c r="H1444" s="9" t="s">
        <v>165</v>
      </c>
      <c r="I1444" s="10"/>
      <c r="J1444" s="10">
        <v>45016</v>
      </c>
      <c r="K1444" s="5" t="s">
        <v>124</v>
      </c>
      <c r="L1444" s="5" t="s">
        <v>58</v>
      </c>
      <c r="M1444" s="11">
        <v>0.10000000000000001</v>
      </c>
      <c r="N1444" s="5" t="e">
        <f>IF(AND(M1444&gt;#REF!,Cartera!O1444="Guaraníes"),"Rendimiento significativo",IF(AND(M1444&gt;#REF!,Cartera!O1444="Dólares americanos"),"Rendimiento significativo","Rendimiento no significativo"))</f>
        <v>#REF!</v>
      </c>
      <c r="O1444" s="5" t="s">
        <v>41</v>
      </c>
      <c r="P1444" s="12">
        <v>3397260.2740000002</v>
      </c>
      <c r="Q1444" s="12">
        <f>IF(O1444="Guaraníes",P1444,P1444*#REF!)</f>
        <v>3397260.2740000002</v>
      </c>
      <c r="R1444" s="12" t="e">
        <f>IF(O1444="Guaraníes",P1444/#REF!,P1444)</f>
        <v>#REF!</v>
      </c>
      <c r="S1444" s="5" t="s">
        <v>52</v>
      </c>
      <c r="T1444" s="5">
        <v>1057</v>
      </c>
      <c r="W1444" s="5" t="s">
        <v>65</v>
      </c>
      <c r="X1444" s="5">
        <v>0</v>
      </c>
      <c r="Y1444" s="5">
        <v>0</v>
      </c>
      <c r="Z1444" s="5">
        <v>8493.1506850000005</v>
      </c>
      <c r="AA1444" s="5">
        <v>400</v>
      </c>
      <c r="AB1444" s="5">
        <v>3397260.2740000002</v>
      </c>
      <c r="AC1444" s="5" t="str">
        <f t="shared" si="70"/>
        <v>Bonos</v>
      </c>
      <c r="AD1444" s="5" t="s">
        <v>43</v>
      </c>
      <c r="AE1444" s="5">
        <f t="shared" si="71"/>
        <v>3</v>
      </c>
      <c r="AF1444" s="5">
        <f t="shared" si="72"/>
        <v>2023</v>
      </c>
    </row>
    <row r="1445" s="5" customFormat="1" ht="13">
      <c r="A1445" s="5" t="s">
        <v>44</v>
      </c>
      <c r="B1445" s="5" t="s">
        <v>44</v>
      </c>
      <c r="C1445" s="5" t="s">
        <v>33</v>
      </c>
      <c r="D1445" s="5" t="s">
        <v>21</v>
      </c>
      <c r="E1445" s="5" t="s">
        <v>44</v>
      </c>
      <c r="F1445" s="5" t="s">
        <v>35</v>
      </c>
      <c r="G1445" s="5" t="s">
        <v>145</v>
      </c>
      <c r="H1445" s="9" t="s">
        <v>358</v>
      </c>
      <c r="I1445" s="10"/>
      <c r="J1445" s="10">
        <v>45040</v>
      </c>
      <c r="K1445" s="5" t="s">
        <v>39</v>
      </c>
      <c r="L1445" s="5" t="s">
        <v>50</v>
      </c>
      <c r="M1445" s="11">
        <v>0.0625</v>
      </c>
      <c r="N1445" s="5" t="e">
        <f>IF(AND(M1445&gt;#REF!,Cartera!O1445="Guaraníes"),"Rendimiento significativo",IF(AND(M1445&gt;#REF!,Cartera!O1445="Dólares americanos"),"Rendimiento significativo","Rendimiento no significativo"))</f>
        <v>#REF!</v>
      </c>
      <c r="O1445" s="5" t="s">
        <v>51</v>
      </c>
      <c r="P1445" s="13">
        <v>709.59000000000003</v>
      </c>
      <c r="Q1445" s="12" t="e">
        <f>IF(O1445="Guaraníes",P1445,P1445*#REF!)</f>
        <v>#REF!</v>
      </c>
      <c r="R1445" s="12">
        <f>IF(O1445="Guaraníes",P1445/#REF!,P1445)</f>
        <v>709.59000000000003</v>
      </c>
      <c r="S1445" s="5" t="s">
        <v>52</v>
      </c>
      <c r="T1445" s="5">
        <v>1057</v>
      </c>
      <c r="U1445" s="5">
        <v>20000</v>
      </c>
      <c r="V1445" s="5">
        <v>4071376.6164600002</v>
      </c>
      <c r="W1445" s="5" t="s">
        <v>65</v>
      </c>
      <c r="X1445" s="5">
        <v>100</v>
      </c>
      <c r="Y1445" s="5">
        <v>1000</v>
      </c>
      <c r="Z1445" s="5">
        <v>1035.479452</v>
      </c>
      <c r="AA1445" s="5">
        <v>20</v>
      </c>
      <c r="AB1445" s="5">
        <v>20709.589039999999</v>
      </c>
      <c r="AC1445" s="5" t="str">
        <f t="shared" si="70"/>
        <v>Bonos</v>
      </c>
      <c r="AD1445" s="5" t="s">
        <v>43</v>
      </c>
      <c r="AE1445" s="5">
        <f t="shared" si="71"/>
        <v>4</v>
      </c>
      <c r="AF1445" s="5">
        <f t="shared" si="72"/>
        <v>2023</v>
      </c>
    </row>
    <row r="1446" s="5" customFormat="1" ht="13">
      <c r="A1446" s="5" t="s">
        <v>44</v>
      </c>
      <c r="B1446" s="5" t="s">
        <v>44</v>
      </c>
      <c r="C1446" s="5" t="s">
        <v>33</v>
      </c>
      <c r="D1446" s="5" t="s">
        <v>20</v>
      </c>
      <c r="E1446" s="5" t="s">
        <v>44</v>
      </c>
      <c r="F1446" s="5" t="s">
        <v>35</v>
      </c>
      <c r="G1446" s="5" t="s">
        <v>145</v>
      </c>
      <c r="H1446" s="9" t="s">
        <v>358</v>
      </c>
      <c r="I1446" s="10">
        <v>42485</v>
      </c>
      <c r="J1446" s="10">
        <v>45040</v>
      </c>
      <c r="K1446" s="5" t="s">
        <v>39</v>
      </c>
      <c r="L1446" s="5" t="s">
        <v>50</v>
      </c>
      <c r="M1446" s="11">
        <v>0.0625</v>
      </c>
      <c r="N1446" s="5" t="e">
        <f>IF(AND(M1446&gt;#REF!,Cartera!O1446="Guaraníes"),"Rendimiento significativo",IF(AND(M1446&gt;#REF!,Cartera!O1446="Dólares americanos"),"Rendimiento significativo","Rendimiento no significativo"))</f>
        <v>#REF!</v>
      </c>
      <c r="O1446" s="5" t="s">
        <v>51</v>
      </c>
      <c r="P1446" s="13">
        <v>20000</v>
      </c>
      <c r="Q1446" s="12" t="e">
        <f>IF(O1446="Guaraníes",P1446,P1446*#REF!)</f>
        <v>#REF!</v>
      </c>
      <c r="R1446" s="12">
        <f>IF(O1446="Guaraníes",P1446/#REF!,P1446)</f>
        <v>20000</v>
      </c>
      <c r="S1446" s="5" t="s">
        <v>52</v>
      </c>
      <c r="AC1446" s="5" t="str">
        <f t="shared" si="70"/>
        <v>Bonos</v>
      </c>
      <c r="AD1446" s="5" t="s">
        <v>43</v>
      </c>
      <c r="AE1446" s="5">
        <f t="shared" si="71"/>
        <v>4</v>
      </c>
      <c r="AF1446" s="5">
        <f t="shared" si="72"/>
        <v>2023</v>
      </c>
    </row>
    <row r="1447" s="5" customFormat="1" ht="13">
      <c r="A1447" s="5" t="s">
        <v>44</v>
      </c>
      <c r="B1447" s="5" t="s">
        <v>44</v>
      </c>
      <c r="C1447" s="5" t="s">
        <v>143</v>
      </c>
      <c r="D1447" s="5" t="s">
        <v>21</v>
      </c>
      <c r="E1447" s="5" t="s">
        <v>44</v>
      </c>
      <c r="F1447" s="5" t="s">
        <v>144</v>
      </c>
      <c r="G1447" s="5" t="s">
        <v>145</v>
      </c>
      <c r="H1447" s="9" t="s">
        <v>272</v>
      </c>
      <c r="I1447" s="10">
        <v>43532</v>
      </c>
      <c r="J1447" s="10">
        <v>45044</v>
      </c>
      <c r="K1447" s="5" t="s">
        <v>49</v>
      </c>
      <c r="L1447" s="5" t="s">
        <v>106</v>
      </c>
      <c r="M1447" s="11">
        <v>0.057500000000000002</v>
      </c>
      <c r="N1447" s="5" t="e">
        <f>IF(AND(M1447&gt;#REF!,Cartera!O1447="Guaraníes"),"Rendimiento significativo",IF(AND(M1447&gt;#REF!,Cartera!O1447="Dólares americanos"),"Rendimiento significativo","Rendimiento no significativo"))</f>
        <v>#REF!</v>
      </c>
      <c r="O1447" s="5" t="s">
        <v>51</v>
      </c>
      <c r="P1447" s="13">
        <v>44.109589999999997</v>
      </c>
      <c r="Q1447" s="12" t="e">
        <f>IF(O1447="Guaraníes",P1447,P1447*#REF!)</f>
        <v>#REF!</v>
      </c>
      <c r="R1447" s="12">
        <f>IF(O1447="Guaraníes",P1447/#REF!,P1447)</f>
        <v>44.109589999999997</v>
      </c>
      <c r="S1447" s="5" t="s">
        <v>52</v>
      </c>
      <c r="T1447" s="5">
        <v>1057</v>
      </c>
      <c r="W1447" s="5" t="s">
        <v>65</v>
      </c>
      <c r="X1447" s="5">
        <v>0</v>
      </c>
      <c r="Y1447" s="5">
        <v>0</v>
      </c>
      <c r="Z1447" s="5">
        <v>4.4109590000000001</v>
      </c>
      <c r="AA1447" s="5">
        <v>10</v>
      </c>
      <c r="AB1447" s="5">
        <v>44.109589999999997</v>
      </c>
      <c r="AC1447" s="5" t="str">
        <f t="shared" si="70"/>
        <v>Bonos</v>
      </c>
      <c r="AD1447" s="5" t="s">
        <v>43</v>
      </c>
      <c r="AE1447" s="5">
        <f t="shared" si="71"/>
        <v>4</v>
      </c>
      <c r="AF1447" s="5">
        <f t="shared" si="72"/>
        <v>2023</v>
      </c>
    </row>
    <row r="1448" s="5" customFormat="1" ht="13">
      <c r="A1448" s="5" t="s">
        <v>44</v>
      </c>
      <c r="B1448" s="5" t="s">
        <v>44</v>
      </c>
      <c r="C1448" s="5" t="s">
        <v>143</v>
      </c>
      <c r="D1448" s="5" t="s">
        <v>21</v>
      </c>
      <c r="E1448" s="5" t="s">
        <v>44</v>
      </c>
      <c r="F1448" s="5" t="s">
        <v>144</v>
      </c>
      <c r="G1448" s="5" t="s">
        <v>145</v>
      </c>
      <c r="H1448" s="9" t="s">
        <v>146</v>
      </c>
      <c r="I1448" s="10"/>
      <c r="J1448" s="10">
        <v>45044</v>
      </c>
      <c r="K1448" s="5" t="s">
        <v>49</v>
      </c>
      <c r="L1448" s="5" t="s">
        <v>106</v>
      </c>
      <c r="M1448" s="11">
        <v>0.060999999999999999</v>
      </c>
      <c r="N1448" s="5" t="e">
        <f>IF(AND(M1448&gt;#REF!,Cartera!O1448="Guaraníes"),"Rendimiento significativo",IF(AND(M1448&gt;#REF!,Cartera!O1448="Dólares americanos"),"Rendimiento significativo","Rendimiento no significativo"))</f>
        <v>#REF!</v>
      </c>
      <c r="O1448" s="5" t="s">
        <v>51</v>
      </c>
      <c r="P1448" s="13">
        <v>187.17808000000002</v>
      </c>
      <c r="Q1448" s="12" t="e">
        <f>IF(O1448="Guaraníes",P1448,P1448*#REF!)</f>
        <v>#REF!</v>
      </c>
      <c r="R1448" s="12">
        <f>IF(O1448="Guaraníes",P1448/#REF!,P1448)</f>
        <v>187.17808000000002</v>
      </c>
      <c r="S1448" s="5" t="s">
        <v>52</v>
      </c>
      <c r="T1448" s="5">
        <v>1057</v>
      </c>
      <c r="W1448" s="5" t="s">
        <v>65</v>
      </c>
      <c r="X1448" s="5">
        <v>0</v>
      </c>
      <c r="Y1448" s="5">
        <v>0</v>
      </c>
      <c r="Z1448" s="5">
        <v>4.6794520000000004</v>
      </c>
      <c r="AA1448" s="5">
        <v>40</v>
      </c>
      <c r="AB1448" s="5">
        <v>187.17807999999999</v>
      </c>
      <c r="AC1448" s="5" t="str">
        <f t="shared" si="70"/>
        <v>Bonos</v>
      </c>
      <c r="AD1448" s="5" t="s">
        <v>43</v>
      </c>
      <c r="AE1448" s="5">
        <f t="shared" si="71"/>
        <v>4</v>
      </c>
      <c r="AF1448" s="5">
        <f t="shared" si="72"/>
        <v>2023</v>
      </c>
    </row>
    <row r="1449" s="5" customFormat="1" ht="13">
      <c r="A1449" s="5" t="s">
        <v>44</v>
      </c>
      <c r="B1449" s="5" t="s">
        <v>44</v>
      </c>
      <c r="C1449" s="5" t="s">
        <v>164</v>
      </c>
      <c r="D1449" s="5" t="s">
        <v>21</v>
      </c>
      <c r="E1449" s="5" t="s">
        <v>44</v>
      </c>
      <c r="F1449" s="5" t="s">
        <v>68</v>
      </c>
      <c r="G1449" s="5" t="s">
        <v>145</v>
      </c>
      <c r="H1449" s="9" t="s">
        <v>165</v>
      </c>
      <c r="I1449" s="10"/>
      <c r="J1449" s="10">
        <v>45044</v>
      </c>
      <c r="K1449" s="5" t="s">
        <v>124</v>
      </c>
      <c r="L1449" s="5" t="s">
        <v>58</v>
      </c>
      <c r="M1449" s="11">
        <v>0.10000000000000001</v>
      </c>
      <c r="N1449" s="5" t="e">
        <f>IF(AND(M1449&gt;#REF!,Cartera!O1449="Guaraníes"),"Rendimiento significativo",IF(AND(M1449&gt;#REF!,Cartera!O1449="Dólares americanos"),"Rendimiento significativo","Rendimiento no significativo"))</f>
        <v>#REF!</v>
      </c>
      <c r="O1449" s="5" t="s">
        <v>41</v>
      </c>
      <c r="P1449" s="12">
        <v>3068493.1507999999</v>
      </c>
      <c r="Q1449" s="12">
        <f>IF(O1449="Guaraníes",P1449,P1449*#REF!)</f>
        <v>3068493.1507999999</v>
      </c>
      <c r="R1449" s="12" t="e">
        <f>IF(O1449="Guaraníes",P1449/#REF!,P1449)</f>
        <v>#REF!</v>
      </c>
      <c r="S1449" s="5" t="s">
        <v>52</v>
      </c>
      <c r="T1449" s="5">
        <v>1057</v>
      </c>
      <c r="W1449" s="5" t="s">
        <v>65</v>
      </c>
      <c r="X1449" s="5">
        <v>0</v>
      </c>
      <c r="Y1449" s="5">
        <v>0</v>
      </c>
      <c r="Z1449" s="5">
        <v>7671.2328770000004</v>
      </c>
      <c r="AA1449" s="5">
        <v>400</v>
      </c>
      <c r="AB1449" s="5">
        <v>3068493.1507999999</v>
      </c>
      <c r="AC1449" s="5" t="str">
        <f t="shared" si="70"/>
        <v>Bonos</v>
      </c>
      <c r="AD1449" s="5" t="s">
        <v>43</v>
      </c>
      <c r="AE1449" s="5">
        <f t="shared" si="71"/>
        <v>4</v>
      </c>
      <c r="AF1449" s="5">
        <f t="shared" si="72"/>
        <v>2023</v>
      </c>
    </row>
    <row r="1450" s="5" customFormat="1" ht="13">
      <c r="A1450" s="5" t="s">
        <v>44</v>
      </c>
      <c r="B1450" s="5" t="s">
        <v>44</v>
      </c>
      <c r="C1450" s="5" t="s">
        <v>45</v>
      </c>
      <c r="D1450" s="5" t="s">
        <v>21</v>
      </c>
      <c r="E1450" s="5" t="s">
        <v>44</v>
      </c>
      <c r="F1450" s="5" t="s">
        <v>46</v>
      </c>
      <c r="G1450" s="5" t="s">
        <v>145</v>
      </c>
      <c r="H1450" s="9" t="s">
        <v>359</v>
      </c>
      <c r="I1450" s="10"/>
      <c r="J1450" s="10">
        <v>45064</v>
      </c>
      <c r="K1450" s="5" t="s">
        <v>49</v>
      </c>
      <c r="L1450" s="5" t="s">
        <v>50</v>
      </c>
      <c r="M1450" s="11">
        <v>0.070000000000000007</v>
      </c>
      <c r="N1450" s="5" t="e">
        <f>IF(AND(M1450&gt;#REF!,Cartera!O1450="Guaraníes"),"Rendimiento significativo",IF(AND(M1450&gt;#REF!,Cartera!O1450="Dólares americanos"),"Rendimiento significativo","Rendimiento no significativo"))</f>
        <v>#REF!</v>
      </c>
      <c r="O1450" s="5" t="s">
        <v>51</v>
      </c>
      <c r="P1450" s="13">
        <v>149.58904000000001</v>
      </c>
      <c r="Q1450" s="12" t="e">
        <f>IF(O1450="Guaraníes",P1450,P1450*#REF!)</f>
        <v>#REF!</v>
      </c>
      <c r="R1450" s="12">
        <f>IF(O1450="Guaraníes",P1450/#REF!,P1450)</f>
        <v>149.58904000000001</v>
      </c>
      <c r="S1450" s="5" t="s">
        <v>52</v>
      </c>
      <c r="T1450" s="5">
        <v>1057</v>
      </c>
      <c r="W1450" s="5" t="s">
        <v>65</v>
      </c>
      <c r="X1450" s="5">
        <v>0</v>
      </c>
      <c r="Y1450" s="5">
        <v>0</v>
      </c>
      <c r="Z1450" s="5">
        <v>14.958904</v>
      </c>
      <c r="AA1450" s="5">
        <v>10</v>
      </c>
      <c r="AB1450" s="5">
        <v>149.58904000000001</v>
      </c>
      <c r="AC1450" s="5" t="str">
        <f t="shared" si="70"/>
        <v>Bonos</v>
      </c>
      <c r="AD1450" s="5" t="s">
        <v>43</v>
      </c>
      <c r="AE1450" s="5">
        <f t="shared" si="71"/>
        <v>5</v>
      </c>
      <c r="AF1450" s="5">
        <f t="shared" si="72"/>
        <v>2023</v>
      </c>
    </row>
    <row r="1451" s="5" customFormat="1" ht="13">
      <c r="A1451" s="5" t="s">
        <v>44</v>
      </c>
      <c r="B1451" s="5" t="s">
        <v>44</v>
      </c>
      <c r="C1451" s="5" t="s">
        <v>143</v>
      </c>
      <c r="D1451" s="5" t="s">
        <v>21</v>
      </c>
      <c r="E1451" s="5" t="s">
        <v>44</v>
      </c>
      <c r="F1451" s="5" t="s">
        <v>144</v>
      </c>
      <c r="G1451" s="5" t="s">
        <v>145</v>
      </c>
      <c r="H1451" s="9" t="s">
        <v>272</v>
      </c>
      <c r="I1451" s="10">
        <v>43532</v>
      </c>
      <c r="J1451" s="10">
        <v>45077</v>
      </c>
      <c r="K1451" s="5" t="s">
        <v>49</v>
      </c>
      <c r="L1451" s="5" t="s">
        <v>106</v>
      </c>
      <c r="M1451" s="11">
        <v>0.057500000000000002</v>
      </c>
      <c r="N1451" s="5" t="e">
        <f>IF(AND(M1451&gt;#REF!,Cartera!O1451="Guaraníes"),"Rendimiento significativo",IF(AND(M1451&gt;#REF!,Cartera!O1451="Dólares americanos"),"Rendimiento significativo","Rendimiento no significativo"))</f>
        <v>#REF!</v>
      </c>
      <c r="O1451" s="5" t="s">
        <v>51</v>
      </c>
      <c r="P1451" s="13">
        <v>51.9863</v>
      </c>
      <c r="Q1451" s="12" t="e">
        <f>IF(O1451="Guaraníes",P1451,P1451*#REF!)</f>
        <v>#REF!</v>
      </c>
      <c r="R1451" s="12">
        <f>IF(O1451="Guaraníes",P1451/#REF!,P1451)</f>
        <v>51.9863</v>
      </c>
      <c r="S1451" s="5" t="s">
        <v>52</v>
      </c>
      <c r="T1451" s="5">
        <v>1057</v>
      </c>
      <c r="W1451" s="5" t="s">
        <v>65</v>
      </c>
      <c r="X1451" s="5">
        <v>0</v>
      </c>
      <c r="Y1451" s="5">
        <v>0</v>
      </c>
      <c r="Z1451" s="5">
        <v>5.1986299999999996</v>
      </c>
      <c r="AA1451" s="5">
        <v>10</v>
      </c>
      <c r="AB1451" s="5">
        <v>51.9863</v>
      </c>
      <c r="AC1451" s="5" t="str">
        <f t="shared" si="70"/>
        <v>Bonos</v>
      </c>
      <c r="AD1451" s="5" t="s">
        <v>43</v>
      </c>
      <c r="AE1451" s="5">
        <f t="shared" si="71"/>
        <v>5</v>
      </c>
      <c r="AF1451" s="5">
        <f t="shared" si="72"/>
        <v>2023</v>
      </c>
    </row>
    <row r="1452" s="5" customFormat="1" ht="13">
      <c r="A1452" s="5" t="s">
        <v>44</v>
      </c>
      <c r="B1452" s="5" t="s">
        <v>44</v>
      </c>
      <c r="C1452" s="5" t="s">
        <v>143</v>
      </c>
      <c r="D1452" s="5" t="s">
        <v>21</v>
      </c>
      <c r="E1452" s="5" t="s">
        <v>44</v>
      </c>
      <c r="F1452" s="5" t="s">
        <v>144</v>
      </c>
      <c r="G1452" s="5" t="s">
        <v>145</v>
      </c>
      <c r="H1452" s="9" t="s">
        <v>146</v>
      </c>
      <c r="I1452" s="10"/>
      <c r="J1452" s="10">
        <v>45077</v>
      </c>
      <c r="K1452" s="5" t="s">
        <v>49</v>
      </c>
      <c r="L1452" s="5" t="s">
        <v>106</v>
      </c>
      <c r="M1452" s="11">
        <v>0.060999999999999999</v>
      </c>
      <c r="N1452" s="5" t="e">
        <f>IF(AND(M1452&gt;#REF!,Cartera!O1452="Guaraníes"),"Rendimiento significativo",IF(AND(M1452&gt;#REF!,Cartera!O1452="Dólares americanos"),"Rendimiento significativo","Rendimiento no significativo"))</f>
        <v>#REF!</v>
      </c>
      <c r="O1452" s="5" t="s">
        <v>51</v>
      </c>
      <c r="P1452" s="13">
        <v>220.60272000000001</v>
      </c>
      <c r="Q1452" s="12" t="e">
        <f>IF(O1452="Guaraníes",P1452,P1452*#REF!)</f>
        <v>#REF!</v>
      </c>
      <c r="R1452" s="12">
        <f>IF(O1452="Guaraníes",P1452/#REF!,P1452)</f>
        <v>220.60272000000001</v>
      </c>
      <c r="S1452" s="5" t="s">
        <v>52</v>
      </c>
      <c r="T1452" s="5">
        <v>1057</v>
      </c>
      <c r="W1452" s="5" t="s">
        <v>65</v>
      </c>
      <c r="X1452" s="5">
        <v>0</v>
      </c>
      <c r="Y1452" s="5">
        <v>0</v>
      </c>
      <c r="Z1452" s="5">
        <v>5.5150680000000003</v>
      </c>
      <c r="AA1452" s="5">
        <v>40</v>
      </c>
      <c r="AB1452" s="5">
        <v>220.60272000000001</v>
      </c>
      <c r="AC1452" s="5" t="str">
        <f t="shared" si="70"/>
        <v>Bonos</v>
      </c>
      <c r="AD1452" s="5" t="s">
        <v>43</v>
      </c>
      <c r="AE1452" s="5">
        <f t="shared" si="71"/>
        <v>5</v>
      </c>
      <c r="AF1452" s="5">
        <f t="shared" si="72"/>
        <v>2023</v>
      </c>
    </row>
    <row r="1453" s="5" customFormat="1" ht="13">
      <c r="A1453" s="5" t="s">
        <v>44</v>
      </c>
      <c r="B1453" s="5" t="s">
        <v>44</v>
      </c>
      <c r="C1453" s="5" t="s">
        <v>164</v>
      </c>
      <c r="D1453" s="5" t="s">
        <v>21</v>
      </c>
      <c r="E1453" s="5" t="s">
        <v>44</v>
      </c>
      <c r="F1453" s="5" t="s">
        <v>68</v>
      </c>
      <c r="G1453" s="5" t="s">
        <v>145</v>
      </c>
      <c r="H1453" s="9" t="s">
        <v>165</v>
      </c>
      <c r="I1453" s="10"/>
      <c r="J1453" s="10">
        <v>45077</v>
      </c>
      <c r="K1453" s="5" t="s">
        <v>124</v>
      </c>
      <c r="L1453" s="5" t="s">
        <v>58</v>
      </c>
      <c r="M1453" s="11">
        <v>0.10000000000000001</v>
      </c>
      <c r="N1453" s="5" t="e">
        <f>IF(AND(M1453&gt;#REF!,Cartera!O1453="Guaraníes"),"Rendimiento significativo",IF(AND(M1453&gt;#REF!,Cartera!O1453="Dólares americanos"),"Rendimiento significativo","Rendimiento no significativo"))</f>
        <v>#REF!</v>
      </c>
      <c r="O1453" s="5" t="s">
        <v>41</v>
      </c>
      <c r="P1453" s="12">
        <v>3616438.3560000001</v>
      </c>
      <c r="Q1453" s="12">
        <f>IF(O1453="Guaraníes",P1453,P1453*#REF!)</f>
        <v>3616438.3560000001</v>
      </c>
      <c r="R1453" s="12" t="e">
        <f>IF(O1453="Guaraníes",P1453/#REF!,P1453)</f>
        <v>#REF!</v>
      </c>
      <c r="S1453" s="5" t="s">
        <v>52</v>
      </c>
      <c r="T1453" s="5">
        <v>1057</v>
      </c>
      <c r="W1453" s="5" t="s">
        <v>65</v>
      </c>
      <c r="X1453" s="5">
        <v>0</v>
      </c>
      <c r="Y1453" s="5">
        <v>0</v>
      </c>
      <c r="Z1453" s="5">
        <v>9041.0958900000005</v>
      </c>
      <c r="AA1453" s="5">
        <v>400</v>
      </c>
      <c r="AB1453" s="5">
        <v>3616438.3560000001</v>
      </c>
      <c r="AC1453" s="5" t="str">
        <f t="shared" si="70"/>
        <v>Bonos</v>
      </c>
      <c r="AD1453" s="5" t="s">
        <v>43</v>
      </c>
      <c r="AE1453" s="5">
        <f t="shared" si="71"/>
        <v>5</v>
      </c>
      <c r="AF1453" s="5">
        <f t="shared" si="72"/>
        <v>2023</v>
      </c>
    </row>
    <row r="1454" s="5" customFormat="1" ht="13">
      <c r="A1454" s="5" t="s">
        <v>44</v>
      </c>
      <c r="B1454" s="5" t="s">
        <v>44</v>
      </c>
      <c r="C1454" s="5" t="s">
        <v>304</v>
      </c>
      <c r="D1454" s="5" t="s">
        <v>21</v>
      </c>
      <c r="E1454" s="5" t="s">
        <v>44</v>
      </c>
      <c r="F1454" s="5" t="s">
        <v>68</v>
      </c>
      <c r="G1454" s="5" t="s">
        <v>145</v>
      </c>
      <c r="H1454" s="9" t="s">
        <v>363</v>
      </c>
      <c r="I1454" s="10"/>
      <c r="J1454" s="10">
        <v>45086</v>
      </c>
      <c r="K1454" s="5" t="s">
        <v>39</v>
      </c>
      <c r="L1454" s="5" t="s">
        <v>58</v>
      </c>
      <c r="M1454" s="11">
        <v>0.089999999999999997</v>
      </c>
      <c r="N1454" s="5" t="e">
        <f>IF(AND(M1454&gt;#REF!,Cartera!O1454="Guaraníes"),"Rendimiento significativo",IF(AND(M1454&gt;#REF!,Cartera!O1454="Dólares americanos"),"Rendimiento significativo","Rendimiento no significativo"))</f>
        <v>#REF!</v>
      </c>
      <c r="O1454" s="5" t="s">
        <v>41</v>
      </c>
      <c r="P1454" s="12">
        <v>8975342.4656000007</v>
      </c>
      <c r="Q1454" s="12">
        <f>IF(O1454="Guaraníes",P1454,P1454*#REF!)</f>
        <v>8975342.4656000007</v>
      </c>
      <c r="R1454" s="12" t="e">
        <f>IF(O1454="Guaraníes",P1454/#REF!,P1454)</f>
        <v>#REF!</v>
      </c>
      <c r="S1454" s="5" t="s">
        <v>52</v>
      </c>
      <c r="T1454" s="5">
        <v>1057</v>
      </c>
      <c r="W1454" s="5" t="s">
        <v>65</v>
      </c>
      <c r="X1454" s="5">
        <v>0</v>
      </c>
      <c r="Y1454" s="5">
        <v>0</v>
      </c>
      <c r="Z1454" s="5">
        <v>22438.356164000001</v>
      </c>
      <c r="AA1454" s="5">
        <v>400</v>
      </c>
      <c r="AB1454" s="5">
        <v>8975342.4656000007</v>
      </c>
      <c r="AC1454" s="5" t="str">
        <f t="shared" si="70"/>
        <v>Bonos</v>
      </c>
      <c r="AD1454" s="5" t="s">
        <v>43</v>
      </c>
      <c r="AE1454" s="5">
        <f t="shared" si="71"/>
        <v>6</v>
      </c>
      <c r="AF1454" s="5">
        <f t="shared" si="72"/>
        <v>2023</v>
      </c>
    </row>
    <row r="1455" s="5" customFormat="1" ht="13">
      <c r="A1455" s="5" t="s">
        <v>44</v>
      </c>
      <c r="B1455" s="5" t="s">
        <v>44</v>
      </c>
      <c r="C1455" s="5" t="s">
        <v>304</v>
      </c>
      <c r="D1455" s="5" t="s">
        <v>21</v>
      </c>
      <c r="E1455" s="5" t="s">
        <v>44</v>
      </c>
      <c r="F1455" s="5" t="s">
        <v>68</v>
      </c>
      <c r="G1455" s="5" t="s">
        <v>145</v>
      </c>
      <c r="H1455" s="9" t="s">
        <v>305</v>
      </c>
      <c r="I1455" s="10"/>
      <c r="J1455" s="10">
        <v>45100</v>
      </c>
      <c r="K1455" s="5" t="s">
        <v>39</v>
      </c>
      <c r="L1455" s="5" t="s">
        <v>58</v>
      </c>
      <c r="M1455" s="11">
        <v>0.089999999999999997</v>
      </c>
      <c r="N1455" s="5" t="e">
        <f>IF(AND(M1455&gt;#REF!,Cartera!O1455="Guaraníes"),"Rendimiento significativo",IF(AND(M1455&gt;#REF!,Cartera!O1455="Dólares americanos"),"Rendimiento significativo","Rendimiento no significativo"))</f>
        <v>#REF!</v>
      </c>
      <c r="O1455" s="5" t="s">
        <v>41</v>
      </c>
      <c r="P1455" s="12">
        <v>673150.68492000003</v>
      </c>
      <c r="Q1455" s="12">
        <f>IF(O1455="Guaraníes",P1455,P1455*#REF!)</f>
        <v>673150.68492000003</v>
      </c>
      <c r="R1455" s="12" t="e">
        <f>IF(O1455="Guaraníes",P1455/#REF!,P1455)</f>
        <v>#REF!</v>
      </c>
      <c r="S1455" s="5" t="s">
        <v>52</v>
      </c>
      <c r="T1455" s="5">
        <v>1057</v>
      </c>
      <c r="W1455" s="5" t="s">
        <v>65</v>
      </c>
      <c r="X1455" s="5">
        <v>0</v>
      </c>
      <c r="Y1455" s="5">
        <v>0</v>
      </c>
      <c r="Z1455" s="5">
        <v>22438.356164000001</v>
      </c>
      <c r="AA1455" s="5">
        <v>30</v>
      </c>
      <c r="AB1455" s="5">
        <v>673150.68492000003</v>
      </c>
      <c r="AC1455" s="5" t="str">
        <f t="shared" si="70"/>
        <v>Bonos</v>
      </c>
      <c r="AD1455" s="5" t="s">
        <v>43</v>
      </c>
      <c r="AE1455" s="5">
        <f t="shared" si="71"/>
        <v>6</v>
      </c>
      <c r="AF1455" s="5">
        <f t="shared" si="72"/>
        <v>2023</v>
      </c>
    </row>
    <row r="1456" s="5" customFormat="1" ht="13">
      <c r="A1456" s="5" t="s">
        <v>44</v>
      </c>
      <c r="B1456" s="5" t="s">
        <v>44</v>
      </c>
      <c r="C1456" s="5" t="s">
        <v>143</v>
      </c>
      <c r="D1456" s="5" t="s">
        <v>21</v>
      </c>
      <c r="E1456" s="5" t="s">
        <v>44</v>
      </c>
      <c r="F1456" s="5" t="s">
        <v>144</v>
      </c>
      <c r="G1456" s="5" t="s">
        <v>145</v>
      </c>
      <c r="H1456" s="9" t="s">
        <v>272</v>
      </c>
      <c r="I1456" s="10">
        <v>43532</v>
      </c>
      <c r="J1456" s="10">
        <v>45107</v>
      </c>
      <c r="K1456" s="5" t="s">
        <v>49</v>
      </c>
      <c r="L1456" s="5" t="s">
        <v>106</v>
      </c>
      <c r="M1456" s="11">
        <v>0.057500000000000002</v>
      </c>
      <c r="N1456" s="5" t="e">
        <f>IF(AND(M1456&gt;#REF!,Cartera!O1456="Guaraníes"),"Rendimiento significativo",IF(AND(M1456&gt;#REF!,Cartera!O1456="Dólares americanos"),"Rendimiento significativo","Rendimiento no significativo"))</f>
        <v>#REF!</v>
      </c>
      <c r="O1456" s="5" t="s">
        <v>51</v>
      </c>
      <c r="P1456" s="13">
        <v>47.260270000000006</v>
      </c>
      <c r="Q1456" s="12" t="e">
        <f>IF(O1456="Guaraníes",P1456,P1456*#REF!)</f>
        <v>#REF!</v>
      </c>
      <c r="R1456" s="12">
        <f>IF(O1456="Guaraníes",P1456/#REF!,P1456)</f>
        <v>47.260270000000006</v>
      </c>
      <c r="S1456" s="5" t="s">
        <v>52</v>
      </c>
      <c r="T1456" s="5">
        <v>1057</v>
      </c>
      <c r="W1456" s="5" t="s">
        <v>65</v>
      </c>
      <c r="X1456" s="5">
        <v>0</v>
      </c>
      <c r="Y1456" s="5">
        <v>0</v>
      </c>
      <c r="Z1456" s="5">
        <v>4.7260270000000002</v>
      </c>
      <c r="AA1456" s="5">
        <v>10</v>
      </c>
      <c r="AB1456" s="5">
        <v>47.260269999999998</v>
      </c>
      <c r="AC1456" s="5" t="str">
        <f t="shared" si="70"/>
        <v>Bonos</v>
      </c>
      <c r="AD1456" s="5" t="s">
        <v>43</v>
      </c>
      <c r="AE1456" s="5">
        <f t="shared" si="71"/>
        <v>6</v>
      </c>
      <c r="AF1456" s="5">
        <f t="shared" si="72"/>
        <v>2023</v>
      </c>
    </row>
    <row r="1457" s="5" customFormat="1" ht="13">
      <c r="A1457" s="5" t="s">
        <v>44</v>
      </c>
      <c r="B1457" s="5" t="s">
        <v>44</v>
      </c>
      <c r="C1457" s="5" t="s">
        <v>143</v>
      </c>
      <c r="D1457" s="5" t="s">
        <v>21</v>
      </c>
      <c r="E1457" s="5" t="s">
        <v>44</v>
      </c>
      <c r="F1457" s="5" t="s">
        <v>144</v>
      </c>
      <c r="G1457" s="5" t="s">
        <v>145</v>
      </c>
      <c r="H1457" s="9" t="s">
        <v>146</v>
      </c>
      <c r="I1457" s="10"/>
      <c r="J1457" s="10">
        <v>45107</v>
      </c>
      <c r="K1457" s="5" t="s">
        <v>49</v>
      </c>
      <c r="L1457" s="5" t="s">
        <v>106</v>
      </c>
      <c r="M1457" s="11">
        <v>0.060999999999999999</v>
      </c>
      <c r="N1457" s="5" t="e">
        <f>IF(AND(M1457&gt;#REF!,Cartera!O1457="Guaraníes"),"Rendimiento significativo",IF(AND(M1457&gt;#REF!,Cartera!O1457="Dólares americanos"),"Rendimiento significativo","Rendimiento no significativo"))</f>
        <v>#REF!</v>
      </c>
      <c r="O1457" s="5" t="s">
        <v>51</v>
      </c>
      <c r="P1457" s="13">
        <v>200.54795999999999</v>
      </c>
      <c r="Q1457" s="12" t="e">
        <f>IF(O1457="Guaraníes",P1457,P1457*#REF!)</f>
        <v>#REF!</v>
      </c>
      <c r="R1457" s="12">
        <f>IF(O1457="Guaraníes",P1457/#REF!,P1457)</f>
        <v>200.54795999999999</v>
      </c>
      <c r="S1457" s="5" t="s">
        <v>52</v>
      </c>
      <c r="T1457" s="5">
        <v>1057</v>
      </c>
      <c r="W1457" s="5" t="s">
        <v>65</v>
      </c>
      <c r="X1457" s="5">
        <v>0</v>
      </c>
      <c r="Y1457" s="5">
        <v>0</v>
      </c>
      <c r="Z1457" s="5">
        <v>5.0136989999999999</v>
      </c>
      <c r="AA1457" s="5">
        <v>40</v>
      </c>
      <c r="AB1457" s="5">
        <v>200.54795999999999</v>
      </c>
      <c r="AC1457" s="5" t="str">
        <f t="shared" si="70"/>
        <v>Bonos</v>
      </c>
      <c r="AD1457" s="5" t="s">
        <v>43</v>
      </c>
      <c r="AE1457" s="5">
        <f t="shared" si="71"/>
        <v>6</v>
      </c>
      <c r="AF1457" s="5">
        <f t="shared" si="72"/>
        <v>2023</v>
      </c>
    </row>
    <row r="1458" s="5" customFormat="1" ht="13">
      <c r="A1458" s="5" t="s">
        <v>44</v>
      </c>
      <c r="B1458" s="5" t="s">
        <v>44</v>
      </c>
      <c r="C1458" s="5" t="s">
        <v>164</v>
      </c>
      <c r="D1458" s="5" t="s">
        <v>21</v>
      </c>
      <c r="E1458" s="5" t="s">
        <v>44</v>
      </c>
      <c r="F1458" s="5" t="s">
        <v>68</v>
      </c>
      <c r="G1458" s="5" t="s">
        <v>145</v>
      </c>
      <c r="H1458" s="9" t="s">
        <v>165</v>
      </c>
      <c r="I1458" s="10"/>
      <c r="J1458" s="10">
        <v>45107</v>
      </c>
      <c r="K1458" s="5" t="s">
        <v>124</v>
      </c>
      <c r="L1458" s="5" t="s">
        <v>58</v>
      </c>
      <c r="M1458" s="11">
        <v>0.10000000000000001</v>
      </c>
      <c r="N1458" s="5" t="e">
        <f>IF(AND(M1458&gt;#REF!,Cartera!O1458="Guaraníes"),"Rendimiento significativo",IF(AND(M1458&gt;#REF!,Cartera!O1458="Dólares americanos"),"Rendimiento significativo","Rendimiento no significativo"))</f>
        <v>#REF!</v>
      </c>
      <c r="O1458" s="5" t="s">
        <v>41</v>
      </c>
      <c r="P1458" s="12">
        <v>3287671.2328000003</v>
      </c>
      <c r="Q1458" s="12">
        <f>IF(O1458="Guaraníes",P1458,P1458*#REF!)</f>
        <v>3287671.2328000003</v>
      </c>
      <c r="R1458" s="12" t="e">
        <f>IF(O1458="Guaraníes",P1458/#REF!,P1458)</f>
        <v>#REF!</v>
      </c>
      <c r="S1458" s="5" t="s">
        <v>52</v>
      </c>
      <c r="T1458" s="5">
        <v>1057</v>
      </c>
      <c r="W1458" s="5" t="s">
        <v>65</v>
      </c>
      <c r="X1458" s="5">
        <v>0</v>
      </c>
      <c r="Y1458" s="5">
        <v>0</v>
      </c>
      <c r="Z1458" s="5">
        <v>8219.1780820000004</v>
      </c>
      <c r="AA1458" s="5">
        <v>400</v>
      </c>
      <c r="AB1458" s="5">
        <v>3287671.2327999999</v>
      </c>
      <c r="AC1458" s="5" t="str">
        <f t="shared" si="70"/>
        <v>Bonos</v>
      </c>
      <c r="AD1458" s="5" t="s">
        <v>43</v>
      </c>
      <c r="AE1458" s="5">
        <f t="shared" si="71"/>
        <v>6</v>
      </c>
      <c r="AF1458" s="5">
        <f t="shared" si="72"/>
        <v>2023</v>
      </c>
    </row>
    <row r="1459" s="5" customFormat="1" ht="13">
      <c r="A1459" s="5" t="s">
        <v>44</v>
      </c>
      <c r="B1459" s="5" t="s">
        <v>44</v>
      </c>
      <c r="C1459" s="5" t="s">
        <v>143</v>
      </c>
      <c r="D1459" s="5" t="s">
        <v>21</v>
      </c>
      <c r="E1459" s="5" t="s">
        <v>44</v>
      </c>
      <c r="F1459" s="5" t="s">
        <v>144</v>
      </c>
      <c r="G1459" s="5" t="s">
        <v>145</v>
      </c>
      <c r="H1459" s="9" t="s">
        <v>272</v>
      </c>
      <c r="I1459" s="10">
        <v>43532</v>
      </c>
      <c r="J1459" s="10">
        <v>45138</v>
      </c>
      <c r="K1459" s="5" t="s">
        <v>49</v>
      </c>
      <c r="L1459" s="5" t="s">
        <v>106</v>
      </c>
      <c r="M1459" s="11">
        <v>0.057500000000000002</v>
      </c>
      <c r="N1459" s="5" t="e">
        <f>IF(AND(M1459&gt;#REF!,Cartera!O1459="Guaraníes"),"Rendimiento significativo",IF(AND(M1459&gt;#REF!,Cartera!O1459="Dólares americanos"),"Rendimiento significativo","Rendimiento no significativo"))</f>
        <v>#REF!</v>
      </c>
      <c r="O1459" s="5" t="s">
        <v>51</v>
      </c>
      <c r="P1459" s="13">
        <v>48.835620000000006</v>
      </c>
      <c r="Q1459" s="12" t="e">
        <f>IF(O1459="Guaraníes",P1459,P1459*#REF!)</f>
        <v>#REF!</v>
      </c>
      <c r="R1459" s="12">
        <f>IF(O1459="Guaraníes",P1459/#REF!,P1459)</f>
        <v>48.835620000000006</v>
      </c>
      <c r="S1459" s="5" t="s">
        <v>52</v>
      </c>
      <c r="T1459" s="5">
        <v>1057</v>
      </c>
      <c r="W1459" s="5" t="s">
        <v>65</v>
      </c>
      <c r="X1459" s="5">
        <v>0</v>
      </c>
      <c r="Y1459" s="5">
        <v>0</v>
      </c>
      <c r="Z1459" s="5">
        <v>4.8835620000000004</v>
      </c>
      <c r="AA1459" s="5">
        <v>10</v>
      </c>
      <c r="AB1459" s="5">
        <v>48.835619999999999</v>
      </c>
      <c r="AC1459" s="5" t="str">
        <f t="shared" si="70"/>
        <v>Bonos</v>
      </c>
      <c r="AD1459" s="5" t="s">
        <v>43</v>
      </c>
      <c r="AE1459" s="5">
        <f t="shared" si="71"/>
        <v>7</v>
      </c>
      <c r="AF1459" s="5">
        <f t="shared" si="72"/>
        <v>2023</v>
      </c>
    </row>
    <row r="1460" s="5" customFormat="1" ht="13">
      <c r="A1460" s="5" t="s">
        <v>44</v>
      </c>
      <c r="B1460" s="5" t="s">
        <v>44</v>
      </c>
      <c r="C1460" s="5" t="s">
        <v>143</v>
      </c>
      <c r="D1460" s="5" t="s">
        <v>21</v>
      </c>
      <c r="E1460" s="5" t="s">
        <v>44</v>
      </c>
      <c r="F1460" s="5" t="s">
        <v>144</v>
      </c>
      <c r="G1460" s="5" t="s">
        <v>145</v>
      </c>
      <c r="H1460" s="9" t="s">
        <v>146</v>
      </c>
      <c r="I1460" s="10"/>
      <c r="J1460" s="10">
        <v>45138</v>
      </c>
      <c r="K1460" s="5" t="s">
        <v>49</v>
      </c>
      <c r="L1460" s="5" t="s">
        <v>106</v>
      </c>
      <c r="M1460" s="11">
        <v>0.060999999999999999</v>
      </c>
      <c r="N1460" s="5" t="e">
        <f>IF(AND(M1460&gt;#REF!,Cartera!O1460="Guaraníes"),"Rendimiento significativo",IF(AND(M1460&gt;#REF!,Cartera!O1460="Dólares americanos"),"Rendimiento significativo","Rendimiento no significativo"))</f>
        <v>#REF!</v>
      </c>
      <c r="O1460" s="5" t="s">
        <v>51</v>
      </c>
      <c r="P1460" s="13">
        <v>207.23287999999999</v>
      </c>
      <c r="Q1460" s="12" t="e">
        <f>IF(O1460="Guaraníes",P1460,P1460*#REF!)</f>
        <v>#REF!</v>
      </c>
      <c r="R1460" s="12">
        <f>IF(O1460="Guaraníes",P1460/#REF!,P1460)</f>
        <v>207.23287999999999</v>
      </c>
      <c r="S1460" s="5" t="s">
        <v>52</v>
      </c>
      <c r="T1460" s="5">
        <v>1057</v>
      </c>
      <c r="W1460" s="5" t="s">
        <v>65</v>
      </c>
      <c r="X1460" s="5">
        <v>0</v>
      </c>
      <c r="Y1460" s="5">
        <v>0</v>
      </c>
      <c r="Z1460" s="5">
        <v>5.180822</v>
      </c>
      <c r="AA1460" s="5">
        <v>40</v>
      </c>
      <c r="AB1460" s="5">
        <v>207.23287999999999</v>
      </c>
      <c r="AC1460" s="5" t="str">
        <f t="shared" si="70"/>
        <v>Bonos</v>
      </c>
      <c r="AD1460" s="5" t="s">
        <v>43</v>
      </c>
      <c r="AE1460" s="5">
        <f t="shared" si="71"/>
        <v>7</v>
      </c>
      <c r="AF1460" s="5">
        <f t="shared" si="72"/>
        <v>2023</v>
      </c>
    </row>
    <row r="1461" s="5" customFormat="1" ht="13">
      <c r="A1461" s="5" t="s">
        <v>44</v>
      </c>
      <c r="B1461" s="5" t="s">
        <v>44</v>
      </c>
      <c r="C1461" s="5" t="s">
        <v>164</v>
      </c>
      <c r="D1461" s="5" t="s">
        <v>21</v>
      </c>
      <c r="E1461" s="5" t="s">
        <v>44</v>
      </c>
      <c r="F1461" s="5" t="s">
        <v>68</v>
      </c>
      <c r="G1461" s="5" t="s">
        <v>145</v>
      </c>
      <c r="H1461" s="9" t="s">
        <v>165</v>
      </c>
      <c r="I1461" s="10"/>
      <c r="J1461" s="10">
        <v>45138</v>
      </c>
      <c r="K1461" s="5" t="s">
        <v>124</v>
      </c>
      <c r="L1461" s="5" t="s">
        <v>58</v>
      </c>
      <c r="M1461" s="11">
        <v>0.10000000000000001</v>
      </c>
      <c r="N1461" s="5" t="e">
        <f>IF(AND(M1461&gt;#REF!,Cartera!O1461="Guaraníes"),"Rendimiento significativo",IF(AND(M1461&gt;#REF!,Cartera!O1461="Dólares americanos"),"Rendimiento significativo","Rendimiento no significativo"))</f>
        <v>#REF!</v>
      </c>
      <c r="O1461" s="5" t="s">
        <v>41</v>
      </c>
      <c r="P1461" s="12">
        <v>3397260.2740000002</v>
      </c>
      <c r="Q1461" s="12">
        <f>IF(O1461="Guaraníes",P1461,P1461*#REF!)</f>
        <v>3397260.2740000002</v>
      </c>
      <c r="R1461" s="12" t="e">
        <f>IF(O1461="Guaraníes",P1461/#REF!,P1461)</f>
        <v>#REF!</v>
      </c>
      <c r="S1461" s="5" t="s">
        <v>52</v>
      </c>
      <c r="T1461" s="5">
        <v>1057</v>
      </c>
      <c r="W1461" s="5" t="s">
        <v>65</v>
      </c>
      <c r="X1461" s="5">
        <v>0</v>
      </c>
      <c r="Y1461" s="5">
        <v>0</v>
      </c>
      <c r="Z1461" s="5">
        <v>8493.1506850000005</v>
      </c>
      <c r="AA1461" s="5">
        <v>400</v>
      </c>
      <c r="AB1461" s="5">
        <v>3397260.2740000002</v>
      </c>
      <c r="AC1461" s="5" t="str">
        <f t="shared" si="70"/>
        <v>Bonos</v>
      </c>
      <c r="AD1461" s="5" t="s">
        <v>43</v>
      </c>
      <c r="AE1461" s="5">
        <f t="shared" si="71"/>
        <v>7</v>
      </c>
      <c r="AF1461" s="5">
        <f t="shared" si="72"/>
        <v>2023</v>
      </c>
    </row>
    <row r="1462" s="5" customFormat="1" ht="13">
      <c r="A1462" s="5" t="s">
        <v>44</v>
      </c>
      <c r="B1462" s="5" t="s">
        <v>44</v>
      </c>
      <c r="C1462" s="5" t="s">
        <v>45</v>
      </c>
      <c r="D1462" s="5" t="s">
        <v>20</v>
      </c>
      <c r="E1462" s="5" t="s">
        <v>44</v>
      </c>
      <c r="F1462" s="5" t="s">
        <v>46</v>
      </c>
      <c r="G1462" s="5" t="s">
        <v>145</v>
      </c>
      <c r="H1462" s="9" t="s">
        <v>359</v>
      </c>
      <c r="I1462" s="10">
        <v>43340</v>
      </c>
      <c r="J1462" s="10">
        <v>45155</v>
      </c>
      <c r="K1462" s="5" t="s">
        <v>49</v>
      </c>
      <c r="L1462" s="5" t="s">
        <v>50</v>
      </c>
      <c r="M1462" s="11">
        <v>0.070000000000000007</v>
      </c>
      <c r="N1462" s="5" t="e">
        <f>IF(AND(M1462&gt;#REF!,Cartera!O1462="Guaraníes"),"Rendimiento significativo",IF(AND(M1462&gt;#REF!,Cartera!O1462="Dólares americanos"),"Rendimiento significativo","Rendimiento no significativo"))</f>
        <v>#REF!</v>
      </c>
      <c r="O1462" s="5" t="s">
        <v>51</v>
      </c>
      <c r="P1462" s="13">
        <v>10000</v>
      </c>
      <c r="Q1462" s="12" t="e">
        <f>IF(O1462="Guaraníes",P1462,P1462*#REF!)</f>
        <v>#REF!</v>
      </c>
      <c r="R1462" s="12">
        <f>IF(O1462="Guaraníes",P1462/#REF!,P1462)</f>
        <v>10000</v>
      </c>
      <c r="S1462" s="5" t="s">
        <v>52</v>
      </c>
      <c r="T1462" s="5">
        <v>1057</v>
      </c>
      <c r="AC1462" s="5" t="str">
        <f t="shared" si="70"/>
        <v>Bonos</v>
      </c>
      <c r="AD1462" s="5" t="s">
        <v>43</v>
      </c>
      <c r="AE1462" s="5">
        <f t="shared" si="71"/>
        <v>8</v>
      </c>
      <c r="AF1462" s="5">
        <f t="shared" si="72"/>
        <v>2023</v>
      </c>
    </row>
    <row r="1463" s="5" customFormat="1" ht="13">
      <c r="A1463" s="5" t="s">
        <v>44</v>
      </c>
      <c r="B1463" s="5" t="s">
        <v>44</v>
      </c>
      <c r="C1463" s="5" t="s">
        <v>143</v>
      </c>
      <c r="D1463" s="5" t="s">
        <v>21</v>
      </c>
      <c r="E1463" s="5" t="s">
        <v>44</v>
      </c>
      <c r="F1463" s="5" t="s">
        <v>144</v>
      </c>
      <c r="G1463" s="5" t="s">
        <v>145</v>
      </c>
      <c r="H1463" s="9" t="s">
        <v>272</v>
      </c>
      <c r="I1463" s="10">
        <v>43532</v>
      </c>
      <c r="J1463" s="10">
        <v>45169</v>
      </c>
      <c r="K1463" s="5" t="s">
        <v>49</v>
      </c>
      <c r="L1463" s="5" t="s">
        <v>106</v>
      </c>
      <c r="M1463" s="11">
        <v>0.057500000000000002</v>
      </c>
      <c r="N1463" s="5" t="e">
        <f>IF(AND(M1463&gt;#REF!,Cartera!O1463="Guaraníes"),"Rendimiento significativo",IF(AND(M1463&gt;#REF!,Cartera!O1463="Dólares americanos"),"Rendimiento significativo","Rendimiento no significativo"))</f>
        <v>#REF!</v>
      </c>
      <c r="O1463" s="5" t="s">
        <v>51</v>
      </c>
      <c r="P1463" s="13">
        <v>48.835620000000006</v>
      </c>
      <c r="Q1463" s="12" t="e">
        <f>IF(O1463="Guaraníes",P1463,P1463*#REF!)</f>
        <v>#REF!</v>
      </c>
      <c r="R1463" s="12">
        <f>IF(O1463="Guaraníes",P1463/#REF!,P1463)</f>
        <v>48.835620000000006</v>
      </c>
      <c r="S1463" s="5" t="s">
        <v>52</v>
      </c>
      <c r="T1463" s="5">
        <v>1057</v>
      </c>
      <c r="W1463" s="5" t="s">
        <v>65</v>
      </c>
      <c r="X1463" s="5">
        <v>0</v>
      </c>
      <c r="Y1463" s="5">
        <v>0</v>
      </c>
      <c r="Z1463" s="5">
        <v>4.8835620000000004</v>
      </c>
      <c r="AA1463" s="5">
        <v>10</v>
      </c>
      <c r="AB1463" s="5">
        <v>48.835619999999999</v>
      </c>
      <c r="AC1463" s="5" t="str">
        <f t="shared" ref="AC1463:AC1526" si="73">IF(ISNUMBER(SEARCH("Acciones",L1463)),"Acciones",IF(ISNUMBER(SEARCH("Bono",L1463)),"Bonos",IF(ISNUMBER(SEARCH("CDA",L1463)),"CDA",IF(ISNUMBER(SEARCH("Fondo",L1463)),"Fondo",0))))</f>
        <v>Bonos</v>
      </c>
      <c r="AD1463" s="5" t="s">
        <v>43</v>
      </c>
      <c r="AE1463" s="5">
        <f t="shared" si="71"/>
        <v>8</v>
      </c>
      <c r="AF1463" s="5">
        <f t="shared" si="72"/>
        <v>2023</v>
      </c>
    </row>
    <row r="1464" s="5" customFormat="1" ht="13">
      <c r="A1464" s="5" t="s">
        <v>44</v>
      </c>
      <c r="B1464" s="5" t="s">
        <v>44</v>
      </c>
      <c r="C1464" s="5" t="s">
        <v>143</v>
      </c>
      <c r="D1464" s="5" t="s">
        <v>21</v>
      </c>
      <c r="E1464" s="5" t="s">
        <v>44</v>
      </c>
      <c r="F1464" s="5" t="s">
        <v>144</v>
      </c>
      <c r="G1464" s="5" t="s">
        <v>145</v>
      </c>
      <c r="H1464" s="9" t="s">
        <v>146</v>
      </c>
      <c r="I1464" s="10"/>
      <c r="J1464" s="10">
        <v>45169</v>
      </c>
      <c r="K1464" s="5" t="s">
        <v>49</v>
      </c>
      <c r="L1464" s="5" t="s">
        <v>106</v>
      </c>
      <c r="M1464" s="11">
        <v>0.060999999999999999</v>
      </c>
      <c r="N1464" s="5" t="e">
        <f>IF(AND(M1464&gt;#REF!,Cartera!O1464="Guaraníes"),"Rendimiento significativo",IF(AND(M1464&gt;#REF!,Cartera!O1464="Dólares americanos"),"Rendimiento significativo","Rendimiento no significativo"))</f>
        <v>#REF!</v>
      </c>
      <c r="O1464" s="5" t="s">
        <v>51</v>
      </c>
      <c r="P1464" s="13">
        <v>207.23287999999999</v>
      </c>
      <c r="Q1464" s="12" t="e">
        <f>IF(O1464="Guaraníes",P1464,P1464*#REF!)</f>
        <v>#REF!</v>
      </c>
      <c r="R1464" s="12">
        <f>IF(O1464="Guaraníes",P1464/#REF!,P1464)</f>
        <v>207.23287999999999</v>
      </c>
      <c r="S1464" s="5" t="s">
        <v>52</v>
      </c>
      <c r="T1464" s="5">
        <v>1057</v>
      </c>
      <c r="W1464" s="5" t="s">
        <v>65</v>
      </c>
      <c r="X1464" s="5">
        <v>0</v>
      </c>
      <c r="Y1464" s="5">
        <v>0</v>
      </c>
      <c r="Z1464" s="5">
        <v>5.180822</v>
      </c>
      <c r="AA1464" s="5">
        <v>40</v>
      </c>
      <c r="AB1464" s="5">
        <v>207.23287999999999</v>
      </c>
      <c r="AC1464" s="5" t="str">
        <f t="shared" si="73"/>
        <v>Bonos</v>
      </c>
      <c r="AD1464" s="5" t="s">
        <v>43</v>
      </c>
      <c r="AE1464" s="5">
        <f t="shared" si="71"/>
        <v>8</v>
      </c>
      <c r="AF1464" s="5">
        <f t="shared" si="72"/>
        <v>2023</v>
      </c>
    </row>
    <row r="1465" s="5" customFormat="1" ht="13">
      <c r="A1465" s="5" t="s">
        <v>44</v>
      </c>
      <c r="B1465" s="5" t="s">
        <v>44</v>
      </c>
      <c r="C1465" s="5" t="s">
        <v>164</v>
      </c>
      <c r="D1465" s="5" t="s">
        <v>21</v>
      </c>
      <c r="E1465" s="5" t="s">
        <v>44</v>
      </c>
      <c r="F1465" s="5" t="s">
        <v>68</v>
      </c>
      <c r="G1465" s="5" t="s">
        <v>145</v>
      </c>
      <c r="H1465" s="9" t="s">
        <v>165</v>
      </c>
      <c r="I1465" s="10"/>
      <c r="J1465" s="10">
        <v>45169</v>
      </c>
      <c r="K1465" s="5" t="s">
        <v>124</v>
      </c>
      <c r="L1465" s="5" t="s">
        <v>58</v>
      </c>
      <c r="M1465" s="11">
        <v>0.10000000000000001</v>
      </c>
      <c r="N1465" s="5" t="e">
        <f>IF(AND(M1465&gt;#REF!,Cartera!O1465="Guaraníes"),"Rendimiento significativo",IF(AND(M1465&gt;#REF!,Cartera!O1465="Dólares americanos"),"Rendimiento significativo","Rendimiento no significativo"))</f>
        <v>#REF!</v>
      </c>
      <c r="O1465" s="5" t="s">
        <v>41</v>
      </c>
      <c r="P1465" s="12">
        <v>3397260.2740000002</v>
      </c>
      <c r="Q1465" s="12">
        <f>IF(O1465="Guaraníes",P1465,P1465*#REF!)</f>
        <v>3397260.2740000002</v>
      </c>
      <c r="R1465" s="12" t="e">
        <f>IF(O1465="Guaraníes",P1465/#REF!,P1465)</f>
        <v>#REF!</v>
      </c>
      <c r="S1465" s="5" t="s">
        <v>52</v>
      </c>
      <c r="T1465" s="5">
        <v>1057</v>
      </c>
      <c r="W1465" s="5" t="s">
        <v>65</v>
      </c>
      <c r="X1465" s="5">
        <v>0</v>
      </c>
      <c r="Y1465" s="5">
        <v>0</v>
      </c>
      <c r="Z1465" s="5">
        <v>8493.1506850000005</v>
      </c>
      <c r="AA1465" s="5">
        <v>400</v>
      </c>
      <c r="AB1465" s="5">
        <v>3397260.2740000002</v>
      </c>
      <c r="AC1465" s="5" t="str">
        <f t="shared" si="73"/>
        <v>Bonos</v>
      </c>
      <c r="AD1465" s="5" t="s">
        <v>43</v>
      </c>
      <c r="AE1465" s="5">
        <f t="shared" si="71"/>
        <v>8</v>
      </c>
      <c r="AF1465" s="5">
        <f t="shared" si="72"/>
        <v>2023</v>
      </c>
    </row>
    <row r="1466" s="5" customFormat="1" ht="13">
      <c r="A1466" s="5" t="s">
        <v>44</v>
      </c>
      <c r="B1466" s="5" t="s">
        <v>44</v>
      </c>
      <c r="C1466" s="5" t="s">
        <v>304</v>
      </c>
      <c r="D1466" s="5" t="s">
        <v>21</v>
      </c>
      <c r="E1466" s="5" t="s">
        <v>44</v>
      </c>
      <c r="F1466" s="5" t="s">
        <v>68</v>
      </c>
      <c r="G1466" s="5" t="s">
        <v>145</v>
      </c>
      <c r="H1466" s="9" t="s">
        <v>363</v>
      </c>
      <c r="I1466" s="10"/>
      <c r="J1466" s="10">
        <v>45177</v>
      </c>
      <c r="K1466" s="5" t="s">
        <v>39</v>
      </c>
      <c r="L1466" s="5" t="s">
        <v>58</v>
      </c>
      <c r="M1466" s="11">
        <v>0.089999999999999997</v>
      </c>
      <c r="N1466" s="5" t="e">
        <f>IF(AND(M1466&gt;#REF!,Cartera!O1466="Guaraníes"),"Rendimiento significativo",IF(AND(M1466&gt;#REF!,Cartera!O1466="Dólares americanos"),"Rendimiento significativo","Rendimiento no significativo"))</f>
        <v>#REF!</v>
      </c>
      <c r="O1466" s="5" t="s">
        <v>41</v>
      </c>
      <c r="P1466" s="12">
        <v>8975342.4656000007</v>
      </c>
      <c r="Q1466" s="12">
        <f>IF(O1466="Guaraníes",P1466,P1466*#REF!)</f>
        <v>8975342.4656000007</v>
      </c>
      <c r="R1466" s="12" t="e">
        <f>IF(O1466="Guaraníes",P1466/#REF!,P1466)</f>
        <v>#REF!</v>
      </c>
      <c r="S1466" s="5" t="s">
        <v>52</v>
      </c>
      <c r="T1466" s="5">
        <v>1057</v>
      </c>
      <c r="W1466" s="5" t="s">
        <v>65</v>
      </c>
      <c r="X1466" s="5">
        <v>0</v>
      </c>
      <c r="Y1466" s="5">
        <v>0</v>
      </c>
      <c r="Z1466" s="5">
        <v>22438.356164000001</v>
      </c>
      <c r="AA1466" s="5">
        <v>400</v>
      </c>
      <c r="AB1466" s="5">
        <v>8975342.4656000007</v>
      </c>
      <c r="AC1466" s="5" t="str">
        <f t="shared" si="73"/>
        <v>Bonos</v>
      </c>
      <c r="AD1466" s="5" t="s">
        <v>43</v>
      </c>
      <c r="AE1466" s="5">
        <f t="shared" si="71"/>
        <v>9</v>
      </c>
      <c r="AF1466" s="5">
        <f t="shared" si="72"/>
        <v>2023</v>
      </c>
    </row>
    <row r="1467" s="5" customFormat="1" ht="13">
      <c r="A1467" s="5" t="s">
        <v>44</v>
      </c>
      <c r="B1467" s="5" t="s">
        <v>44</v>
      </c>
      <c r="C1467" s="5" t="s">
        <v>304</v>
      </c>
      <c r="D1467" s="5" t="s">
        <v>21</v>
      </c>
      <c r="E1467" s="5" t="s">
        <v>44</v>
      </c>
      <c r="F1467" s="5" t="s">
        <v>68</v>
      </c>
      <c r="G1467" s="5" t="s">
        <v>145</v>
      </c>
      <c r="H1467" s="9" t="s">
        <v>305</v>
      </c>
      <c r="I1467" s="10"/>
      <c r="J1467" s="10">
        <v>45191</v>
      </c>
      <c r="K1467" s="5" t="s">
        <v>39</v>
      </c>
      <c r="L1467" s="5" t="s">
        <v>58</v>
      </c>
      <c r="M1467" s="11">
        <v>0.089999999999999997</v>
      </c>
      <c r="N1467" s="5" t="e">
        <f>IF(AND(M1467&gt;#REF!,Cartera!O1467="Guaraníes"),"Rendimiento significativo",IF(AND(M1467&gt;#REF!,Cartera!O1467="Dólares americanos"),"Rendimiento significativo","Rendimiento no significativo"))</f>
        <v>#REF!</v>
      </c>
      <c r="O1467" s="5" t="s">
        <v>41</v>
      </c>
      <c r="P1467" s="12">
        <v>673150.68492000003</v>
      </c>
      <c r="Q1467" s="12">
        <f>IF(O1467="Guaraníes",P1467,P1467*#REF!)</f>
        <v>673150.68492000003</v>
      </c>
      <c r="R1467" s="12" t="e">
        <f>IF(O1467="Guaraníes",P1467/#REF!,P1467)</f>
        <v>#REF!</v>
      </c>
      <c r="S1467" s="5" t="s">
        <v>52</v>
      </c>
      <c r="T1467" s="5">
        <v>1057</v>
      </c>
      <c r="W1467" s="5" t="s">
        <v>65</v>
      </c>
      <c r="X1467" s="5">
        <v>0</v>
      </c>
      <c r="Y1467" s="5">
        <v>0</v>
      </c>
      <c r="Z1467" s="5">
        <v>22438.356164000001</v>
      </c>
      <c r="AA1467" s="5">
        <v>30</v>
      </c>
      <c r="AB1467" s="5">
        <v>673150.68492000003</v>
      </c>
      <c r="AC1467" s="5" t="str">
        <f t="shared" si="73"/>
        <v>Bonos</v>
      </c>
      <c r="AD1467" s="5" t="s">
        <v>43</v>
      </c>
      <c r="AE1467" s="5">
        <f t="shared" si="71"/>
        <v>9</v>
      </c>
      <c r="AF1467" s="5">
        <f t="shared" si="72"/>
        <v>2023</v>
      </c>
    </row>
    <row r="1468" s="5" customFormat="1" ht="13">
      <c r="A1468" s="5" t="s">
        <v>44</v>
      </c>
      <c r="B1468" s="5" t="s">
        <v>44</v>
      </c>
      <c r="C1468" s="5" t="s">
        <v>164</v>
      </c>
      <c r="D1468" s="5" t="s">
        <v>21</v>
      </c>
      <c r="E1468" s="5" t="s">
        <v>44</v>
      </c>
      <c r="F1468" s="5" t="s">
        <v>68</v>
      </c>
      <c r="G1468" s="5" t="s">
        <v>145</v>
      </c>
      <c r="H1468" s="9" t="s">
        <v>165</v>
      </c>
      <c r="I1468" s="10"/>
      <c r="J1468" s="10">
        <v>45197</v>
      </c>
      <c r="K1468" s="5" t="s">
        <v>124</v>
      </c>
      <c r="L1468" s="5" t="s">
        <v>58</v>
      </c>
      <c r="M1468" s="11">
        <v>0.10000000000000001</v>
      </c>
      <c r="N1468" s="5" t="e">
        <f>IF(AND(M1468&gt;#REF!,Cartera!O1468="Guaraníes"),"Rendimiento significativo",IF(AND(M1468&gt;#REF!,Cartera!O1468="Dólares americanos"),"Rendimiento significativo","Rendimiento no significativo"))</f>
        <v>#REF!</v>
      </c>
      <c r="O1468" s="5" t="s">
        <v>41</v>
      </c>
      <c r="P1468" s="12">
        <v>3068493.1507999999</v>
      </c>
      <c r="Q1468" s="12">
        <f>IF(O1468="Guaraníes",P1468,P1468*#REF!)</f>
        <v>3068493.1507999999</v>
      </c>
      <c r="R1468" s="12" t="e">
        <f>IF(O1468="Guaraníes",P1468/#REF!,P1468)</f>
        <v>#REF!</v>
      </c>
      <c r="S1468" s="5" t="s">
        <v>52</v>
      </c>
      <c r="T1468" s="5">
        <v>1057</v>
      </c>
      <c r="W1468" s="5" t="s">
        <v>65</v>
      </c>
      <c r="X1468" s="5">
        <v>0</v>
      </c>
      <c r="Y1468" s="5">
        <v>0</v>
      </c>
      <c r="Z1468" s="5">
        <v>7671.2328770000004</v>
      </c>
      <c r="AA1468" s="5">
        <v>400</v>
      </c>
      <c r="AB1468" s="5">
        <v>3068493.1507999999</v>
      </c>
      <c r="AC1468" s="5" t="str">
        <f t="shared" si="73"/>
        <v>Bonos</v>
      </c>
      <c r="AD1468" s="5" t="s">
        <v>43</v>
      </c>
      <c r="AE1468" s="5">
        <f t="shared" si="71"/>
        <v>9</v>
      </c>
      <c r="AF1468" s="5">
        <f t="shared" si="72"/>
        <v>2023</v>
      </c>
    </row>
    <row r="1469" s="5" customFormat="1" ht="13">
      <c r="A1469" s="5" t="s">
        <v>44</v>
      </c>
      <c r="B1469" s="5" t="s">
        <v>44</v>
      </c>
      <c r="C1469" s="5" t="s">
        <v>143</v>
      </c>
      <c r="D1469" s="5" t="s">
        <v>21</v>
      </c>
      <c r="E1469" s="5" t="s">
        <v>44</v>
      </c>
      <c r="F1469" s="5" t="s">
        <v>144</v>
      </c>
      <c r="G1469" s="5" t="s">
        <v>145</v>
      </c>
      <c r="H1469" s="9" t="s">
        <v>272</v>
      </c>
      <c r="I1469" s="10">
        <v>43532</v>
      </c>
      <c r="J1469" s="10">
        <v>45198</v>
      </c>
      <c r="K1469" s="5" t="s">
        <v>49</v>
      </c>
      <c r="L1469" s="5" t="s">
        <v>106</v>
      </c>
      <c r="M1469" s="11">
        <v>0.057500000000000002</v>
      </c>
      <c r="N1469" s="5" t="e">
        <f>IF(AND(M1469&gt;#REF!,Cartera!O1469="Guaraníes"),"Rendimiento significativo",IF(AND(M1469&gt;#REF!,Cartera!O1469="Dólares americanos"),"Rendimiento significativo","Rendimiento no significativo"))</f>
        <v>#REF!</v>
      </c>
      <c r="O1469" s="5" t="s">
        <v>51</v>
      </c>
      <c r="P1469" s="13">
        <v>45.684930000000001</v>
      </c>
      <c r="Q1469" s="12" t="e">
        <f>IF(O1469="Guaraníes",P1469,P1469*#REF!)</f>
        <v>#REF!</v>
      </c>
      <c r="R1469" s="12">
        <f>IF(O1469="Guaraníes",P1469/#REF!,P1469)</f>
        <v>45.684930000000001</v>
      </c>
      <c r="S1469" s="5" t="s">
        <v>52</v>
      </c>
      <c r="T1469" s="5">
        <v>1057</v>
      </c>
      <c r="W1469" s="5" t="s">
        <v>65</v>
      </c>
      <c r="X1469" s="5">
        <v>0</v>
      </c>
      <c r="Y1469" s="5">
        <v>0</v>
      </c>
      <c r="Z1469" s="5">
        <v>4.5684930000000001</v>
      </c>
      <c r="AA1469" s="5">
        <v>10</v>
      </c>
      <c r="AB1469" s="5">
        <v>45.684930000000001</v>
      </c>
      <c r="AC1469" s="5" t="str">
        <f t="shared" si="73"/>
        <v>Bonos</v>
      </c>
      <c r="AD1469" s="5" t="s">
        <v>43</v>
      </c>
      <c r="AE1469" s="5">
        <f t="shared" si="71"/>
        <v>9</v>
      </c>
      <c r="AF1469" s="5">
        <f t="shared" si="72"/>
        <v>2023</v>
      </c>
    </row>
    <row r="1470" s="5" customFormat="1" ht="13">
      <c r="A1470" s="5" t="s">
        <v>44</v>
      </c>
      <c r="B1470" s="5" t="s">
        <v>44</v>
      </c>
      <c r="C1470" s="5" t="s">
        <v>143</v>
      </c>
      <c r="D1470" s="5" t="s">
        <v>21</v>
      </c>
      <c r="E1470" s="5" t="s">
        <v>44</v>
      </c>
      <c r="F1470" s="5" t="s">
        <v>144</v>
      </c>
      <c r="G1470" s="5" t="s">
        <v>145</v>
      </c>
      <c r="H1470" s="9" t="s">
        <v>146</v>
      </c>
      <c r="I1470" s="10"/>
      <c r="J1470" s="10">
        <v>45198</v>
      </c>
      <c r="K1470" s="5" t="s">
        <v>49</v>
      </c>
      <c r="L1470" s="5" t="s">
        <v>106</v>
      </c>
      <c r="M1470" s="11">
        <v>0.060999999999999999</v>
      </c>
      <c r="N1470" s="5" t="e">
        <f>IF(AND(M1470&gt;#REF!,Cartera!O1470="Guaraníes"),"Rendimiento significativo",IF(AND(M1470&gt;#REF!,Cartera!O1470="Dólares americanos"),"Rendimiento significativo","Rendimiento no significativo"))</f>
        <v>#REF!</v>
      </c>
      <c r="O1470" s="5" t="s">
        <v>51</v>
      </c>
      <c r="P1470" s="13">
        <v>193.863</v>
      </c>
      <c r="Q1470" s="12" t="e">
        <f>IF(O1470="Guaraníes",P1470,P1470*#REF!)</f>
        <v>#REF!</v>
      </c>
      <c r="R1470" s="12">
        <f>IF(O1470="Guaraníes",P1470/#REF!,P1470)</f>
        <v>193.863</v>
      </c>
      <c r="S1470" s="5" t="s">
        <v>52</v>
      </c>
      <c r="T1470" s="5">
        <v>1057</v>
      </c>
      <c r="W1470" s="5" t="s">
        <v>65</v>
      </c>
      <c r="X1470" s="5">
        <v>0</v>
      </c>
      <c r="Y1470" s="5">
        <v>0</v>
      </c>
      <c r="Z1470" s="5">
        <v>4.8465749999999996</v>
      </c>
      <c r="AA1470" s="5">
        <v>40</v>
      </c>
      <c r="AB1470" s="5">
        <v>193.863</v>
      </c>
      <c r="AC1470" s="5" t="str">
        <f t="shared" si="73"/>
        <v>Bonos</v>
      </c>
      <c r="AD1470" s="5" t="s">
        <v>43</v>
      </c>
      <c r="AE1470" s="5">
        <f t="shared" si="71"/>
        <v>9</v>
      </c>
      <c r="AF1470" s="5">
        <f t="shared" si="72"/>
        <v>2023</v>
      </c>
    </row>
    <row r="1471" s="5" customFormat="1" ht="13">
      <c r="A1471" s="5" t="s">
        <v>44</v>
      </c>
      <c r="B1471" s="5" t="s">
        <v>44</v>
      </c>
      <c r="C1471" s="5" t="s">
        <v>143</v>
      </c>
      <c r="D1471" s="5" t="s">
        <v>21</v>
      </c>
      <c r="E1471" s="5" t="s">
        <v>44</v>
      </c>
      <c r="F1471" s="5" t="s">
        <v>144</v>
      </c>
      <c r="G1471" s="5" t="s">
        <v>145</v>
      </c>
      <c r="H1471" s="9" t="s">
        <v>272</v>
      </c>
      <c r="I1471" s="10">
        <v>43532</v>
      </c>
      <c r="J1471" s="10">
        <v>45230</v>
      </c>
      <c r="K1471" s="5" t="s">
        <v>49</v>
      </c>
      <c r="L1471" s="5" t="s">
        <v>106</v>
      </c>
      <c r="M1471" s="11">
        <v>0.057500000000000002</v>
      </c>
      <c r="N1471" s="5" t="e">
        <f>IF(AND(M1471&gt;#REF!,Cartera!O1471="Guaraníes"),"Rendimiento significativo",IF(AND(M1471&gt;#REF!,Cartera!O1471="Dólares americanos"),"Rendimiento significativo","Rendimiento no significativo"))</f>
        <v>#REF!</v>
      </c>
      <c r="O1471" s="5" t="s">
        <v>51</v>
      </c>
      <c r="P1471" s="13">
        <v>50.410959999999996</v>
      </c>
      <c r="Q1471" s="12" t="e">
        <f>IF(O1471="Guaraníes",P1471,P1471*#REF!)</f>
        <v>#REF!</v>
      </c>
      <c r="R1471" s="12">
        <f>IF(O1471="Guaraníes",P1471/#REF!,P1471)</f>
        <v>50.410959999999996</v>
      </c>
      <c r="S1471" s="5" t="s">
        <v>52</v>
      </c>
      <c r="T1471" s="5">
        <v>1057</v>
      </c>
      <c r="W1471" s="5" t="s">
        <v>65</v>
      </c>
      <c r="X1471" s="5">
        <v>0</v>
      </c>
      <c r="Y1471" s="5">
        <v>0</v>
      </c>
      <c r="Z1471" s="5">
        <v>5.0410959999999996</v>
      </c>
      <c r="AA1471" s="5">
        <v>10</v>
      </c>
      <c r="AB1471" s="5">
        <v>50.410960000000003</v>
      </c>
      <c r="AC1471" s="5" t="str">
        <f t="shared" si="73"/>
        <v>Bonos</v>
      </c>
      <c r="AD1471" s="5" t="s">
        <v>43</v>
      </c>
      <c r="AE1471" s="5">
        <f t="shared" si="71"/>
        <v>10</v>
      </c>
      <c r="AF1471" s="5">
        <f t="shared" si="72"/>
        <v>2023</v>
      </c>
    </row>
    <row r="1472" s="5" customFormat="1" ht="13">
      <c r="A1472" s="5" t="s">
        <v>44</v>
      </c>
      <c r="B1472" s="5" t="s">
        <v>44</v>
      </c>
      <c r="C1472" s="5" t="s">
        <v>143</v>
      </c>
      <c r="D1472" s="5" t="s">
        <v>21</v>
      </c>
      <c r="E1472" s="5" t="s">
        <v>44</v>
      </c>
      <c r="F1472" s="5" t="s">
        <v>144</v>
      </c>
      <c r="G1472" s="5" t="s">
        <v>145</v>
      </c>
      <c r="H1472" s="9" t="s">
        <v>146</v>
      </c>
      <c r="I1472" s="10"/>
      <c r="J1472" s="10">
        <v>45230</v>
      </c>
      <c r="K1472" s="5" t="s">
        <v>49</v>
      </c>
      <c r="L1472" s="5" t="s">
        <v>106</v>
      </c>
      <c r="M1472" s="11">
        <v>0.060999999999999999</v>
      </c>
      <c r="N1472" s="5" t="e">
        <f>IF(AND(M1472&gt;#REF!,Cartera!O1472="Guaraníes"),"Rendimiento significativo",IF(AND(M1472&gt;#REF!,Cartera!O1472="Dólares americanos"),"Rendimiento significativo","Rendimiento no significativo"))</f>
        <v>#REF!</v>
      </c>
      <c r="O1472" s="5" t="s">
        <v>51</v>
      </c>
      <c r="P1472" s="13">
        <v>213.9178</v>
      </c>
      <c r="Q1472" s="12" t="e">
        <f>IF(O1472="Guaraníes",P1472,P1472*#REF!)</f>
        <v>#REF!</v>
      </c>
      <c r="R1472" s="12">
        <f>IF(O1472="Guaraníes",P1472/#REF!,P1472)</f>
        <v>213.9178</v>
      </c>
      <c r="S1472" s="5" t="s">
        <v>52</v>
      </c>
      <c r="T1472" s="5">
        <v>1057</v>
      </c>
      <c r="W1472" s="5" t="s">
        <v>65</v>
      </c>
      <c r="X1472" s="5">
        <v>0</v>
      </c>
      <c r="Y1472" s="5">
        <v>0</v>
      </c>
      <c r="Z1472" s="5">
        <v>5.3479450000000002</v>
      </c>
      <c r="AA1472" s="5">
        <v>40</v>
      </c>
      <c r="AB1472" s="5">
        <v>213.9178</v>
      </c>
      <c r="AC1472" s="5" t="str">
        <f t="shared" si="73"/>
        <v>Bonos</v>
      </c>
      <c r="AD1472" s="5" t="s">
        <v>43</v>
      </c>
      <c r="AE1472" s="5">
        <f t="shared" si="71"/>
        <v>10</v>
      </c>
      <c r="AF1472" s="5">
        <f t="shared" si="72"/>
        <v>2023</v>
      </c>
    </row>
    <row r="1473" s="5" customFormat="1" ht="13">
      <c r="A1473" s="5" t="s">
        <v>44</v>
      </c>
      <c r="B1473" s="5" t="s">
        <v>44</v>
      </c>
      <c r="C1473" s="5" t="s">
        <v>164</v>
      </c>
      <c r="D1473" s="5" t="s">
        <v>21</v>
      </c>
      <c r="E1473" s="5" t="s">
        <v>44</v>
      </c>
      <c r="F1473" s="5" t="s">
        <v>68</v>
      </c>
      <c r="G1473" s="5" t="s">
        <v>145</v>
      </c>
      <c r="H1473" s="9" t="s">
        <v>165</v>
      </c>
      <c r="I1473" s="10"/>
      <c r="J1473" s="10">
        <v>45230</v>
      </c>
      <c r="K1473" s="5" t="s">
        <v>124</v>
      </c>
      <c r="L1473" s="5" t="s">
        <v>58</v>
      </c>
      <c r="M1473" s="11">
        <v>0.10000000000000001</v>
      </c>
      <c r="N1473" s="5" t="e">
        <f>IF(AND(M1473&gt;#REF!,Cartera!O1473="Guaraníes"),"Rendimiento significativo",IF(AND(M1473&gt;#REF!,Cartera!O1473="Dólares americanos"),"Rendimiento significativo","Rendimiento no significativo"))</f>
        <v>#REF!</v>
      </c>
      <c r="O1473" s="5" t="s">
        <v>41</v>
      </c>
      <c r="P1473" s="12">
        <v>3616438.3560000001</v>
      </c>
      <c r="Q1473" s="12">
        <f>IF(O1473="Guaraníes",P1473,P1473*#REF!)</f>
        <v>3616438.3560000001</v>
      </c>
      <c r="R1473" s="12" t="e">
        <f>IF(O1473="Guaraníes",P1473/#REF!,P1473)</f>
        <v>#REF!</v>
      </c>
      <c r="S1473" s="5" t="s">
        <v>52</v>
      </c>
      <c r="T1473" s="5">
        <v>1057</v>
      </c>
      <c r="W1473" s="5" t="s">
        <v>65</v>
      </c>
      <c r="X1473" s="5">
        <v>0</v>
      </c>
      <c r="Y1473" s="5">
        <v>0</v>
      </c>
      <c r="Z1473" s="5">
        <v>9041.0958900000005</v>
      </c>
      <c r="AA1473" s="5">
        <v>400</v>
      </c>
      <c r="AB1473" s="5">
        <v>3616438.3560000001</v>
      </c>
      <c r="AC1473" s="5" t="str">
        <f t="shared" si="73"/>
        <v>Bonos</v>
      </c>
      <c r="AD1473" s="5" t="s">
        <v>43</v>
      </c>
      <c r="AE1473" s="5">
        <f t="shared" si="71"/>
        <v>10</v>
      </c>
      <c r="AF1473" s="5">
        <f t="shared" si="72"/>
        <v>2023</v>
      </c>
    </row>
    <row r="1474" s="5" customFormat="1" ht="13">
      <c r="A1474" s="5" t="s">
        <v>44</v>
      </c>
      <c r="B1474" s="5" t="s">
        <v>44</v>
      </c>
      <c r="C1474" s="5" t="s">
        <v>143</v>
      </c>
      <c r="D1474" s="5" t="s">
        <v>21</v>
      </c>
      <c r="E1474" s="5" t="s">
        <v>44</v>
      </c>
      <c r="F1474" s="5" t="s">
        <v>144</v>
      </c>
      <c r="G1474" s="5" t="s">
        <v>145</v>
      </c>
      <c r="H1474" s="9" t="s">
        <v>146</v>
      </c>
      <c r="I1474" s="10"/>
      <c r="J1474" s="10">
        <v>45260</v>
      </c>
      <c r="K1474" s="5" t="s">
        <v>49</v>
      </c>
      <c r="L1474" s="5" t="s">
        <v>106</v>
      </c>
      <c r="M1474" s="11">
        <v>0.060999999999999999</v>
      </c>
      <c r="N1474" s="5" t="e">
        <f>IF(AND(M1474&gt;#REF!,Cartera!O1474="Guaraníes"),"Rendimiento significativo",IF(AND(M1474&gt;#REF!,Cartera!O1474="Dólares americanos"),"Rendimiento significativo","Rendimiento no significativo"))</f>
        <v>#REF!</v>
      </c>
      <c r="O1474" s="5" t="s">
        <v>51</v>
      </c>
      <c r="P1474" s="13">
        <v>200.54795999999999</v>
      </c>
      <c r="Q1474" s="12" t="e">
        <f>IF(O1474="Guaraníes",P1474,P1474*#REF!)</f>
        <v>#REF!</v>
      </c>
      <c r="R1474" s="12">
        <f>IF(O1474="Guaraníes",P1474/#REF!,P1474)</f>
        <v>200.54795999999999</v>
      </c>
      <c r="S1474" s="5" t="s">
        <v>52</v>
      </c>
      <c r="T1474" s="5">
        <v>1057</v>
      </c>
      <c r="W1474" s="5" t="s">
        <v>65</v>
      </c>
      <c r="X1474" s="5">
        <v>0</v>
      </c>
      <c r="Y1474" s="5">
        <v>0</v>
      </c>
      <c r="Z1474" s="5">
        <v>5.0136989999999999</v>
      </c>
      <c r="AA1474" s="5">
        <v>40</v>
      </c>
      <c r="AB1474" s="5">
        <v>200.54795999999999</v>
      </c>
      <c r="AC1474" s="5" t="str">
        <f t="shared" si="73"/>
        <v>Bonos</v>
      </c>
      <c r="AD1474" s="5" t="s">
        <v>43</v>
      </c>
      <c r="AE1474" s="5">
        <f t="shared" si="71"/>
        <v>11</v>
      </c>
      <c r="AF1474" s="5">
        <f t="shared" si="72"/>
        <v>2023</v>
      </c>
    </row>
    <row r="1475" s="5" customFormat="1" ht="13">
      <c r="A1475" s="5" t="s">
        <v>44</v>
      </c>
      <c r="B1475" s="5" t="s">
        <v>44</v>
      </c>
      <c r="C1475" s="5" t="s">
        <v>164</v>
      </c>
      <c r="D1475" s="5" t="s">
        <v>21</v>
      </c>
      <c r="E1475" s="5" t="s">
        <v>44</v>
      </c>
      <c r="F1475" s="5" t="s">
        <v>68</v>
      </c>
      <c r="G1475" s="5" t="s">
        <v>145</v>
      </c>
      <c r="H1475" s="9" t="s">
        <v>165</v>
      </c>
      <c r="I1475" s="10"/>
      <c r="J1475" s="10">
        <v>45260</v>
      </c>
      <c r="K1475" s="5" t="s">
        <v>124</v>
      </c>
      <c r="L1475" s="5" t="s">
        <v>58</v>
      </c>
      <c r="M1475" s="11">
        <v>0.10000000000000001</v>
      </c>
      <c r="N1475" s="5" t="e">
        <f>IF(AND(M1475&gt;#REF!,Cartera!O1475="Guaraníes"),"Rendimiento significativo",IF(AND(M1475&gt;#REF!,Cartera!O1475="Dólares americanos"),"Rendimiento significativo","Rendimiento no significativo"))</f>
        <v>#REF!</v>
      </c>
      <c r="O1475" s="5" t="s">
        <v>41</v>
      </c>
      <c r="P1475" s="12">
        <v>3287671.2328000003</v>
      </c>
      <c r="Q1475" s="12">
        <f>IF(O1475="Guaraníes",P1475,P1475*#REF!)</f>
        <v>3287671.2328000003</v>
      </c>
      <c r="R1475" s="12" t="e">
        <f>IF(O1475="Guaraníes",P1475/#REF!,P1475)</f>
        <v>#REF!</v>
      </c>
      <c r="S1475" s="5" t="s">
        <v>52</v>
      </c>
      <c r="T1475" s="5">
        <v>1057</v>
      </c>
      <c r="W1475" s="5" t="s">
        <v>65</v>
      </c>
      <c r="X1475" s="5">
        <v>0</v>
      </c>
      <c r="Y1475" s="5">
        <v>0</v>
      </c>
      <c r="Z1475" s="5">
        <v>8219.1780820000004</v>
      </c>
      <c r="AA1475" s="5">
        <v>400</v>
      </c>
      <c r="AB1475" s="5">
        <v>3287671.2327999999</v>
      </c>
      <c r="AC1475" s="5" t="str">
        <f t="shared" si="73"/>
        <v>Bonos</v>
      </c>
      <c r="AD1475" s="5" t="s">
        <v>43</v>
      </c>
      <c r="AE1475" s="5">
        <f t="shared" si="71"/>
        <v>11</v>
      </c>
      <c r="AF1475" s="5">
        <f t="shared" si="72"/>
        <v>2023</v>
      </c>
    </row>
    <row r="1476" s="5" customFormat="1" ht="13">
      <c r="A1476" s="5" t="s">
        <v>44</v>
      </c>
      <c r="B1476" s="5" t="s">
        <v>44</v>
      </c>
      <c r="C1476" s="5" t="s">
        <v>143</v>
      </c>
      <c r="D1476" s="5" t="s">
        <v>20</v>
      </c>
      <c r="E1476" s="5" t="s">
        <v>44</v>
      </c>
      <c r="F1476" s="5" t="s">
        <v>144</v>
      </c>
      <c r="G1476" s="5" t="s">
        <v>145</v>
      </c>
      <c r="H1476" s="9" t="s">
        <v>272</v>
      </c>
      <c r="I1476" s="10">
        <v>43532</v>
      </c>
      <c r="J1476" s="10">
        <v>45264</v>
      </c>
      <c r="K1476" s="5" t="s">
        <v>49</v>
      </c>
      <c r="L1476" s="5" t="s">
        <v>106</v>
      </c>
      <c r="M1476" s="11">
        <v>0.057500000000000002</v>
      </c>
      <c r="N1476" s="5" t="e">
        <f>IF(AND(M1476&gt;#REF!,Cartera!O1476="Guaraníes"),"Rendimiento significativo",IF(AND(M1476&gt;#REF!,Cartera!O1476="Dólares americanos"),"Rendimiento significativo","Rendimiento no significativo"))</f>
        <v>#REF!</v>
      </c>
      <c r="O1476" s="5" t="s">
        <v>51</v>
      </c>
      <c r="P1476" s="13">
        <v>10000</v>
      </c>
      <c r="Q1476" s="12" t="e">
        <f>IF(O1476="Guaraníes",P1476,P1476*#REF!)</f>
        <v>#REF!</v>
      </c>
      <c r="R1476" s="12">
        <f>IF(O1476="Guaraníes",P1476/#REF!,P1476)</f>
        <v>10000</v>
      </c>
      <c r="S1476" s="5" t="s">
        <v>52</v>
      </c>
      <c r="T1476" s="5">
        <v>1057</v>
      </c>
      <c r="AC1476" s="5" t="str">
        <f t="shared" si="73"/>
        <v>Bonos</v>
      </c>
      <c r="AD1476" s="5" t="s">
        <v>43</v>
      </c>
      <c r="AE1476" s="5">
        <f t="shared" si="71"/>
        <v>12</v>
      </c>
      <c r="AF1476" s="5">
        <f t="shared" si="72"/>
        <v>2023</v>
      </c>
    </row>
    <row r="1477" s="5" customFormat="1" ht="13">
      <c r="A1477" s="5" t="s">
        <v>44</v>
      </c>
      <c r="B1477" s="5" t="s">
        <v>44</v>
      </c>
      <c r="C1477" s="5" t="s">
        <v>304</v>
      </c>
      <c r="D1477" s="5" t="s">
        <v>21</v>
      </c>
      <c r="E1477" s="5" t="s">
        <v>44</v>
      </c>
      <c r="F1477" s="5" t="s">
        <v>68</v>
      </c>
      <c r="G1477" s="5" t="s">
        <v>145</v>
      </c>
      <c r="H1477" s="9" t="s">
        <v>363</v>
      </c>
      <c r="I1477" s="10"/>
      <c r="J1477" s="10">
        <v>45271</v>
      </c>
      <c r="K1477" s="5" t="s">
        <v>39</v>
      </c>
      <c r="L1477" s="5" t="s">
        <v>58</v>
      </c>
      <c r="M1477" s="11">
        <v>0.089999999999999997</v>
      </c>
      <c r="N1477" s="5" t="e">
        <f>IF(AND(M1477&gt;#REF!,Cartera!O1477="Guaraníes"),"Rendimiento significativo",IF(AND(M1477&gt;#REF!,Cartera!O1477="Dólares americanos"),"Rendimiento significativo","Rendimiento no significativo"))</f>
        <v>#REF!</v>
      </c>
      <c r="O1477" s="5" t="s">
        <v>41</v>
      </c>
      <c r="P1477" s="12">
        <v>9271232.8768000007</v>
      </c>
      <c r="Q1477" s="12">
        <f>IF(O1477="Guaraníes",P1477,P1477*#REF!)</f>
        <v>9271232.8768000007</v>
      </c>
      <c r="R1477" s="12" t="e">
        <f>IF(O1477="Guaraníes",P1477/#REF!,P1477)</f>
        <v>#REF!</v>
      </c>
      <c r="S1477" s="5" t="s">
        <v>52</v>
      </c>
      <c r="T1477" s="5">
        <v>1057</v>
      </c>
      <c r="W1477" s="5" t="s">
        <v>65</v>
      </c>
      <c r="X1477" s="5">
        <v>0</v>
      </c>
      <c r="Y1477" s="5">
        <v>0</v>
      </c>
      <c r="Z1477" s="5">
        <v>23178.082192000002</v>
      </c>
      <c r="AA1477" s="5">
        <v>400</v>
      </c>
      <c r="AB1477" s="5">
        <v>9271232.8768000007</v>
      </c>
      <c r="AC1477" s="5" t="str">
        <f t="shared" si="73"/>
        <v>Bonos</v>
      </c>
      <c r="AD1477" s="5" t="s">
        <v>43</v>
      </c>
      <c r="AE1477" s="5">
        <f t="shared" si="71"/>
        <v>12</v>
      </c>
      <c r="AF1477" s="5">
        <f t="shared" si="72"/>
        <v>2023</v>
      </c>
    </row>
    <row r="1478" s="5" customFormat="1" ht="13">
      <c r="A1478" s="5" t="s">
        <v>44</v>
      </c>
      <c r="B1478" s="5" t="s">
        <v>44</v>
      </c>
      <c r="C1478" s="5" t="s">
        <v>304</v>
      </c>
      <c r="D1478" s="5" t="s">
        <v>21</v>
      </c>
      <c r="E1478" s="5" t="s">
        <v>44</v>
      </c>
      <c r="F1478" s="5" t="s">
        <v>68</v>
      </c>
      <c r="G1478" s="5" t="s">
        <v>145</v>
      </c>
      <c r="H1478" s="9" t="s">
        <v>305</v>
      </c>
      <c r="I1478" s="10"/>
      <c r="J1478" s="10">
        <v>45286</v>
      </c>
      <c r="K1478" s="5" t="s">
        <v>39</v>
      </c>
      <c r="L1478" s="5" t="s">
        <v>58</v>
      </c>
      <c r="M1478" s="11">
        <v>0.089999999999999997</v>
      </c>
      <c r="N1478" s="5" t="e">
        <f>IF(AND(M1478&gt;#REF!,Cartera!O1478="Guaraníes"),"Rendimiento significativo",IF(AND(M1478&gt;#REF!,Cartera!O1478="Dólares americanos"),"Rendimiento significativo","Rendimiento no significativo"))</f>
        <v>#REF!</v>
      </c>
      <c r="O1478" s="5" t="s">
        <v>41</v>
      </c>
      <c r="P1478" s="12">
        <v>702739.72602000006</v>
      </c>
      <c r="Q1478" s="12">
        <f>IF(O1478="Guaraníes",P1478,P1478*#REF!)</f>
        <v>702739.72602000006</v>
      </c>
      <c r="R1478" s="12" t="e">
        <f>IF(O1478="Guaraníes",P1478/#REF!,P1478)</f>
        <v>#REF!</v>
      </c>
      <c r="S1478" s="5" t="s">
        <v>52</v>
      </c>
      <c r="T1478" s="5">
        <v>1057</v>
      </c>
      <c r="W1478" s="5" t="s">
        <v>65</v>
      </c>
      <c r="X1478" s="5">
        <v>0</v>
      </c>
      <c r="Y1478" s="5">
        <v>0</v>
      </c>
      <c r="Z1478" s="5">
        <v>23424.657534000002</v>
      </c>
      <c r="AA1478" s="5">
        <v>30</v>
      </c>
      <c r="AB1478" s="5">
        <v>702739.72601999994</v>
      </c>
      <c r="AC1478" s="5" t="str">
        <f t="shared" si="73"/>
        <v>Bonos</v>
      </c>
      <c r="AD1478" s="5" t="s">
        <v>43</v>
      </c>
      <c r="AE1478" s="5">
        <f t="shared" si="71"/>
        <v>12</v>
      </c>
      <c r="AF1478" s="5">
        <f t="shared" si="72"/>
        <v>2023</v>
      </c>
    </row>
    <row r="1479" s="5" customFormat="1" ht="13">
      <c r="A1479" s="5" t="s">
        <v>44</v>
      </c>
      <c r="B1479" s="5" t="s">
        <v>44</v>
      </c>
      <c r="C1479" s="5" t="s">
        <v>143</v>
      </c>
      <c r="D1479" s="5" t="s">
        <v>21</v>
      </c>
      <c r="E1479" s="5" t="s">
        <v>44</v>
      </c>
      <c r="F1479" s="5" t="s">
        <v>144</v>
      </c>
      <c r="G1479" s="5" t="s">
        <v>145</v>
      </c>
      <c r="H1479" s="9" t="s">
        <v>146</v>
      </c>
      <c r="I1479" s="10"/>
      <c r="J1479" s="10">
        <v>45289</v>
      </c>
      <c r="K1479" s="5" t="s">
        <v>49</v>
      </c>
      <c r="L1479" s="5" t="s">
        <v>106</v>
      </c>
      <c r="M1479" s="11">
        <v>0.060999999999999999</v>
      </c>
      <c r="N1479" s="5" t="e">
        <f>IF(AND(M1479&gt;#REF!,Cartera!O1479="Guaraníes"),"Rendimiento significativo",IF(AND(M1479&gt;#REF!,Cartera!O1479="Dólares americanos"),"Rendimiento significativo","Rendimiento no significativo"))</f>
        <v>#REF!</v>
      </c>
      <c r="O1479" s="5" t="s">
        <v>51</v>
      </c>
      <c r="P1479" s="13">
        <v>193.863</v>
      </c>
      <c r="Q1479" s="12" t="e">
        <f>IF(O1479="Guaraníes",P1479,P1479*#REF!)</f>
        <v>#REF!</v>
      </c>
      <c r="R1479" s="12">
        <f>IF(O1479="Guaraníes",P1479/#REF!,P1479)</f>
        <v>193.863</v>
      </c>
      <c r="S1479" s="5" t="s">
        <v>52</v>
      </c>
      <c r="T1479" s="5">
        <v>1057</v>
      </c>
      <c r="W1479" s="5" t="s">
        <v>65</v>
      </c>
      <c r="X1479" s="5">
        <v>0</v>
      </c>
      <c r="Y1479" s="5">
        <v>0</v>
      </c>
      <c r="Z1479" s="5">
        <v>4.8465749999999996</v>
      </c>
      <c r="AA1479" s="5">
        <v>40</v>
      </c>
      <c r="AB1479" s="5">
        <v>193.863</v>
      </c>
      <c r="AC1479" s="5" t="str">
        <f t="shared" si="73"/>
        <v>Bonos</v>
      </c>
      <c r="AD1479" s="5" t="s">
        <v>43</v>
      </c>
      <c r="AE1479" s="5">
        <f t="shared" si="71"/>
        <v>12</v>
      </c>
      <c r="AF1479" s="5">
        <f t="shared" si="72"/>
        <v>2023</v>
      </c>
    </row>
    <row r="1480" s="5" customFormat="1" ht="13">
      <c r="A1480" s="5" t="s">
        <v>44</v>
      </c>
      <c r="B1480" s="5" t="s">
        <v>44</v>
      </c>
      <c r="C1480" s="5" t="s">
        <v>164</v>
      </c>
      <c r="D1480" s="5" t="s">
        <v>21</v>
      </c>
      <c r="E1480" s="5" t="s">
        <v>44</v>
      </c>
      <c r="F1480" s="5" t="s">
        <v>68</v>
      </c>
      <c r="G1480" s="5" t="s">
        <v>145</v>
      </c>
      <c r="H1480" s="9" t="s">
        <v>165</v>
      </c>
      <c r="I1480" s="10"/>
      <c r="J1480" s="10">
        <v>45289</v>
      </c>
      <c r="K1480" s="5" t="s">
        <v>124</v>
      </c>
      <c r="L1480" s="5" t="s">
        <v>58</v>
      </c>
      <c r="M1480" s="11">
        <v>0.10000000000000001</v>
      </c>
      <c r="N1480" s="5" t="e">
        <f>IF(AND(M1480&gt;#REF!,Cartera!O1480="Guaraníes"),"Rendimiento significativo",IF(AND(M1480&gt;#REF!,Cartera!O1480="Dólares americanos"),"Rendimiento significativo","Rendimiento no significativo"))</f>
        <v>#REF!</v>
      </c>
      <c r="O1480" s="5" t="s">
        <v>41</v>
      </c>
      <c r="P1480" s="12">
        <v>3178082.1916</v>
      </c>
      <c r="Q1480" s="12">
        <f>IF(O1480="Guaraníes",P1480,P1480*#REF!)</f>
        <v>3178082.1916</v>
      </c>
      <c r="R1480" s="12" t="e">
        <f>IF(O1480="Guaraníes",P1480/#REF!,P1480)</f>
        <v>#REF!</v>
      </c>
      <c r="S1480" s="5" t="s">
        <v>52</v>
      </c>
      <c r="T1480" s="5">
        <v>1057</v>
      </c>
      <c r="W1480" s="5" t="s">
        <v>65</v>
      </c>
      <c r="X1480" s="5">
        <v>0</v>
      </c>
      <c r="Y1480" s="5">
        <v>0</v>
      </c>
      <c r="Z1480" s="5">
        <v>7945.2054790000002</v>
      </c>
      <c r="AA1480" s="5">
        <v>400</v>
      </c>
      <c r="AB1480" s="5">
        <v>3178082.1916</v>
      </c>
      <c r="AC1480" s="5" t="str">
        <f t="shared" si="73"/>
        <v>Bonos</v>
      </c>
      <c r="AD1480" s="5" t="s">
        <v>43</v>
      </c>
      <c r="AE1480" s="5">
        <f t="shared" si="71"/>
        <v>12</v>
      </c>
      <c r="AF1480" s="5">
        <f t="shared" si="72"/>
        <v>2023</v>
      </c>
    </row>
    <row r="1481" s="5" customFormat="1" ht="13">
      <c r="A1481" s="5" t="s">
        <v>44</v>
      </c>
      <c r="B1481" s="5" t="s">
        <v>44</v>
      </c>
      <c r="C1481" s="5" t="s">
        <v>143</v>
      </c>
      <c r="D1481" s="5" t="s">
        <v>21</v>
      </c>
      <c r="E1481" s="5" t="s">
        <v>44</v>
      </c>
      <c r="F1481" s="5" t="s">
        <v>144</v>
      </c>
      <c r="G1481" s="5" t="s">
        <v>145</v>
      </c>
      <c r="H1481" s="9" t="s">
        <v>146</v>
      </c>
      <c r="I1481" s="10"/>
      <c r="J1481" s="10">
        <v>45322</v>
      </c>
      <c r="K1481" s="5" t="s">
        <v>49</v>
      </c>
      <c r="L1481" s="5" t="s">
        <v>106</v>
      </c>
      <c r="M1481" s="11">
        <v>0.060999999999999999</v>
      </c>
      <c r="N1481" s="5" t="e">
        <f>IF(AND(M1481&gt;#REF!,Cartera!O1481="Guaraníes"),"Rendimiento significativo",IF(AND(M1481&gt;#REF!,Cartera!O1481="Dólares americanos"),"Rendimiento significativo","Rendimiento no significativo"))</f>
        <v>#REF!</v>
      </c>
      <c r="O1481" s="5" t="s">
        <v>51</v>
      </c>
      <c r="P1481" s="13">
        <v>220.60272000000001</v>
      </c>
      <c r="Q1481" s="12" t="e">
        <f>IF(O1481="Guaraníes",P1481,P1481*#REF!)</f>
        <v>#REF!</v>
      </c>
      <c r="R1481" s="12">
        <f>IF(O1481="Guaraníes",P1481/#REF!,P1481)</f>
        <v>220.60272000000001</v>
      </c>
      <c r="S1481" s="5" t="s">
        <v>52</v>
      </c>
      <c r="T1481" s="5">
        <v>1057</v>
      </c>
      <c r="W1481" s="5" t="s">
        <v>65</v>
      </c>
      <c r="X1481" s="5">
        <v>0</v>
      </c>
      <c r="Y1481" s="5">
        <v>0</v>
      </c>
      <c r="Z1481" s="5">
        <v>5.5150680000000003</v>
      </c>
      <c r="AA1481" s="5">
        <v>40</v>
      </c>
      <c r="AB1481" s="5">
        <v>220.60272000000001</v>
      </c>
      <c r="AC1481" s="5" t="str">
        <f t="shared" si="73"/>
        <v>Bonos</v>
      </c>
      <c r="AD1481" s="5" t="s">
        <v>43</v>
      </c>
      <c r="AE1481" s="5">
        <f t="shared" si="71"/>
        <v>1</v>
      </c>
      <c r="AF1481" s="5">
        <f t="shared" si="72"/>
        <v>2024</v>
      </c>
    </row>
    <row r="1482" s="5" customFormat="1" ht="13">
      <c r="A1482" s="5" t="s">
        <v>44</v>
      </c>
      <c r="B1482" s="5" t="s">
        <v>44</v>
      </c>
      <c r="C1482" s="5" t="s">
        <v>164</v>
      </c>
      <c r="D1482" s="5" t="s">
        <v>21</v>
      </c>
      <c r="E1482" s="5" t="s">
        <v>44</v>
      </c>
      <c r="F1482" s="5" t="s">
        <v>68</v>
      </c>
      <c r="G1482" s="5" t="s">
        <v>145</v>
      </c>
      <c r="H1482" s="9" t="s">
        <v>165</v>
      </c>
      <c r="I1482" s="10"/>
      <c r="J1482" s="10">
        <v>45322</v>
      </c>
      <c r="K1482" s="5" t="s">
        <v>124</v>
      </c>
      <c r="L1482" s="5" t="s">
        <v>58</v>
      </c>
      <c r="M1482" s="11">
        <v>0.10000000000000001</v>
      </c>
      <c r="N1482" s="5" t="e">
        <f>IF(AND(M1482&gt;#REF!,Cartera!O1482="Guaraníes"),"Rendimiento significativo",IF(AND(M1482&gt;#REF!,Cartera!O1482="Dólares americanos"),"Rendimiento significativo","Rendimiento no significativo"))</f>
        <v>#REF!</v>
      </c>
      <c r="O1482" s="5" t="s">
        <v>41</v>
      </c>
      <c r="P1482" s="12">
        <v>3616438.3560000001</v>
      </c>
      <c r="Q1482" s="12">
        <f>IF(O1482="Guaraníes",P1482,P1482*#REF!)</f>
        <v>3616438.3560000001</v>
      </c>
      <c r="R1482" s="12" t="e">
        <f>IF(O1482="Guaraníes",P1482/#REF!,P1482)</f>
        <v>#REF!</v>
      </c>
      <c r="S1482" s="5" t="s">
        <v>52</v>
      </c>
      <c r="T1482" s="5">
        <v>1057</v>
      </c>
      <c r="W1482" s="5" t="s">
        <v>65</v>
      </c>
      <c r="X1482" s="5">
        <v>0</v>
      </c>
      <c r="Y1482" s="5">
        <v>0</v>
      </c>
      <c r="Z1482" s="5">
        <v>9041.0958900000005</v>
      </c>
      <c r="AA1482" s="5">
        <v>400</v>
      </c>
      <c r="AB1482" s="5">
        <v>3616438.3560000001</v>
      </c>
      <c r="AC1482" s="5" t="str">
        <f t="shared" si="73"/>
        <v>Bonos</v>
      </c>
      <c r="AD1482" s="5" t="s">
        <v>43</v>
      </c>
      <c r="AE1482" s="5">
        <f t="shared" si="71"/>
        <v>1</v>
      </c>
      <c r="AF1482" s="5">
        <f t="shared" si="72"/>
        <v>2024</v>
      </c>
    </row>
    <row r="1483" s="5" customFormat="1" ht="13">
      <c r="A1483" s="5" t="s">
        <v>44</v>
      </c>
      <c r="B1483" s="5" t="s">
        <v>44</v>
      </c>
      <c r="C1483" s="5" t="s">
        <v>143</v>
      </c>
      <c r="D1483" s="5" t="s">
        <v>21</v>
      </c>
      <c r="E1483" s="5" t="s">
        <v>44</v>
      </c>
      <c r="F1483" s="5" t="s">
        <v>144</v>
      </c>
      <c r="G1483" s="5" t="s">
        <v>145</v>
      </c>
      <c r="H1483" s="9" t="s">
        <v>146</v>
      </c>
      <c r="I1483" s="10"/>
      <c r="J1483" s="10">
        <v>45351</v>
      </c>
      <c r="K1483" s="5" t="s">
        <v>49</v>
      </c>
      <c r="L1483" s="5" t="s">
        <v>106</v>
      </c>
      <c r="M1483" s="11">
        <v>0.060999999999999999</v>
      </c>
      <c r="N1483" s="5" t="e">
        <f>IF(AND(M1483&gt;#REF!,Cartera!O1483="Guaraníes"),"Rendimiento significativo",IF(AND(M1483&gt;#REF!,Cartera!O1483="Dólares americanos"),"Rendimiento significativo","Rendimiento no significativo"))</f>
        <v>#REF!</v>
      </c>
      <c r="O1483" s="5" t="s">
        <v>51</v>
      </c>
      <c r="P1483" s="13">
        <v>193.863</v>
      </c>
      <c r="Q1483" s="12" t="e">
        <f>IF(O1483="Guaraníes",P1483,P1483*#REF!)</f>
        <v>#REF!</v>
      </c>
      <c r="R1483" s="12">
        <f>IF(O1483="Guaraníes",P1483/#REF!,P1483)</f>
        <v>193.863</v>
      </c>
      <c r="S1483" s="5" t="s">
        <v>52</v>
      </c>
      <c r="T1483" s="5">
        <v>1057</v>
      </c>
      <c r="W1483" s="5" t="s">
        <v>65</v>
      </c>
      <c r="X1483" s="5">
        <v>0</v>
      </c>
      <c r="Y1483" s="5">
        <v>0</v>
      </c>
      <c r="Z1483" s="5">
        <v>4.8465749999999996</v>
      </c>
      <c r="AA1483" s="5">
        <v>40</v>
      </c>
      <c r="AB1483" s="5">
        <v>193.863</v>
      </c>
      <c r="AC1483" s="5" t="str">
        <f t="shared" si="73"/>
        <v>Bonos</v>
      </c>
      <c r="AD1483" s="5" t="s">
        <v>43</v>
      </c>
      <c r="AE1483" s="5">
        <f t="shared" si="71"/>
        <v>2</v>
      </c>
      <c r="AF1483" s="5">
        <f t="shared" si="72"/>
        <v>2024</v>
      </c>
    </row>
    <row r="1484" s="5" customFormat="1" ht="13">
      <c r="A1484" s="5" t="s">
        <v>44</v>
      </c>
      <c r="B1484" s="5" t="s">
        <v>44</v>
      </c>
      <c r="C1484" s="5" t="s">
        <v>164</v>
      </c>
      <c r="D1484" s="5" t="s">
        <v>21</v>
      </c>
      <c r="E1484" s="5" t="s">
        <v>44</v>
      </c>
      <c r="F1484" s="5" t="s">
        <v>68</v>
      </c>
      <c r="G1484" s="5" t="s">
        <v>145</v>
      </c>
      <c r="H1484" s="9" t="s">
        <v>165</v>
      </c>
      <c r="I1484" s="10"/>
      <c r="J1484" s="10">
        <v>45351</v>
      </c>
      <c r="K1484" s="5" t="s">
        <v>124</v>
      </c>
      <c r="L1484" s="5" t="s">
        <v>58</v>
      </c>
      <c r="M1484" s="11">
        <v>0.10000000000000001</v>
      </c>
      <c r="N1484" s="5" t="e">
        <f>IF(AND(M1484&gt;#REF!,Cartera!O1484="Guaraníes"),"Rendimiento significativo",IF(AND(M1484&gt;#REF!,Cartera!O1484="Dólares americanos"),"Rendimiento significativo","Rendimiento no significativo"))</f>
        <v>#REF!</v>
      </c>
      <c r="O1484" s="5" t="s">
        <v>41</v>
      </c>
      <c r="P1484" s="12">
        <v>3178082.1916</v>
      </c>
      <c r="Q1484" s="12">
        <f>IF(O1484="Guaraníes",P1484,P1484*#REF!)</f>
        <v>3178082.1916</v>
      </c>
      <c r="R1484" s="12" t="e">
        <f>IF(O1484="Guaraníes",P1484/#REF!,P1484)</f>
        <v>#REF!</v>
      </c>
      <c r="S1484" s="5" t="s">
        <v>52</v>
      </c>
      <c r="T1484" s="5">
        <v>1057</v>
      </c>
      <c r="W1484" s="5" t="s">
        <v>65</v>
      </c>
      <c r="X1484" s="5">
        <v>0</v>
      </c>
      <c r="Y1484" s="5">
        <v>0</v>
      </c>
      <c r="Z1484" s="5">
        <v>7945.2054790000002</v>
      </c>
      <c r="AA1484" s="5">
        <v>400</v>
      </c>
      <c r="AB1484" s="5">
        <v>3178082.1916</v>
      </c>
      <c r="AC1484" s="5" t="str">
        <f t="shared" si="73"/>
        <v>Bonos</v>
      </c>
      <c r="AD1484" s="5" t="s">
        <v>43</v>
      </c>
      <c r="AE1484" s="5">
        <f t="shared" si="71"/>
        <v>2</v>
      </c>
      <c r="AF1484" s="5">
        <f t="shared" si="72"/>
        <v>2024</v>
      </c>
    </row>
    <row r="1485" s="5" customFormat="1" ht="13">
      <c r="A1485" s="5" t="s">
        <v>44</v>
      </c>
      <c r="B1485" s="5" t="s">
        <v>44</v>
      </c>
      <c r="C1485" s="5" t="s">
        <v>304</v>
      </c>
      <c r="D1485" s="5" t="s">
        <v>20</v>
      </c>
      <c r="E1485" s="5" t="s">
        <v>44</v>
      </c>
      <c r="F1485" s="5" t="s">
        <v>68</v>
      </c>
      <c r="G1485" s="5" t="s">
        <v>145</v>
      </c>
      <c r="H1485" s="9" t="s">
        <v>363</v>
      </c>
      <c r="I1485" s="10">
        <v>43536</v>
      </c>
      <c r="J1485" s="10">
        <v>45362</v>
      </c>
      <c r="K1485" s="5" t="s">
        <v>39</v>
      </c>
      <c r="L1485" s="5" t="s">
        <v>58</v>
      </c>
      <c r="M1485" s="11">
        <v>0.089999999999999997</v>
      </c>
      <c r="N1485" s="5" t="e">
        <f>IF(AND(M1485&gt;#REF!,Cartera!O1485="Guaraníes"),"Rendimiento significativo",IF(AND(M1485&gt;#REF!,Cartera!O1485="Dólares americanos"),"Rendimiento significativo","Rendimiento no significativo"))</f>
        <v>#REF!</v>
      </c>
      <c r="O1485" s="5" t="s">
        <v>41</v>
      </c>
      <c r="P1485" s="12">
        <v>400000000</v>
      </c>
      <c r="Q1485" s="12">
        <f>IF(O1485="Guaraníes",P1485,P1485*#REF!)</f>
        <v>400000000</v>
      </c>
      <c r="R1485" s="12" t="e">
        <f>IF(O1485="Guaraníes",P1485/#REF!,P1485)</f>
        <v>#REF!</v>
      </c>
      <c r="S1485" s="5" t="s">
        <v>52</v>
      </c>
      <c r="T1485" s="5">
        <v>1057</v>
      </c>
      <c r="AC1485" s="5" t="str">
        <f t="shared" si="73"/>
        <v>Bonos</v>
      </c>
      <c r="AD1485" s="5" t="s">
        <v>43</v>
      </c>
      <c r="AE1485" s="5">
        <f t="shared" si="71"/>
        <v>3</v>
      </c>
      <c r="AF1485" s="5">
        <f t="shared" si="72"/>
        <v>2024</v>
      </c>
    </row>
    <row r="1486" s="5" customFormat="1" ht="13">
      <c r="A1486" s="5" t="s">
        <v>44</v>
      </c>
      <c r="B1486" s="5" t="s">
        <v>44</v>
      </c>
      <c r="C1486" s="5" t="s">
        <v>304</v>
      </c>
      <c r="D1486" s="5" t="s">
        <v>20</v>
      </c>
      <c r="E1486" s="5" t="s">
        <v>44</v>
      </c>
      <c r="F1486" s="5" t="s">
        <v>68</v>
      </c>
      <c r="G1486" s="5" t="s">
        <v>145</v>
      </c>
      <c r="H1486" s="9" t="s">
        <v>305</v>
      </c>
      <c r="I1486" s="10">
        <v>43552</v>
      </c>
      <c r="J1486" s="10">
        <v>45377</v>
      </c>
      <c r="K1486" s="5" t="s">
        <v>39</v>
      </c>
      <c r="L1486" s="5" t="s">
        <v>58</v>
      </c>
      <c r="M1486" s="11">
        <v>0.089999999999999997</v>
      </c>
      <c r="N1486" s="5" t="e">
        <f>IF(AND(M1486&gt;#REF!,Cartera!O1486="Guaraníes"),"Rendimiento significativo",IF(AND(M1486&gt;#REF!,Cartera!O1486="Dólares americanos"),"Rendimiento significativo","Rendimiento no significativo"))</f>
        <v>#REF!</v>
      </c>
      <c r="O1486" s="5" t="s">
        <v>41</v>
      </c>
      <c r="P1486" s="12">
        <v>30000000</v>
      </c>
      <c r="Q1486" s="12">
        <f>IF(O1486="Guaraníes",P1486,P1486*#REF!)</f>
        <v>30000000</v>
      </c>
      <c r="R1486" s="12" t="e">
        <f>IF(O1486="Guaraníes",P1486/#REF!,P1486)</f>
        <v>#REF!</v>
      </c>
      <c r="S1486" s="5" t="s">
        <v>52</v>
      </c>
      <c r="AC1486" s="5" t="str">
        <f t="shared" si="73"/>
        <v>Bonos</v>
      </c>
      <c r="AD1486" s="5" t="s">
        <v>43</v>
      </c>
      <c r="AE1486" s="5">
        <f t="shared" si="71"/>
        <v>3</v>
      </c>
      <c r="AF1486" s="5">
        <f t="shared" si="72"/>
        <v>2024</v>
      </c>
    </row>
    <row r="1487" s="5" customFormat="1" ht="13">
      <c r="A1487" s="5" t="s">
        <v>44</v>
      </c>
      <c r="B1487" s="5" t="s">
        <v>44</v>
      </c>
      <c r="C1487" s="5" t="s">
        <v>304</v>
      </c>
      <c r="D1487" s="5" t="s">
        <v>21</v>
      </c>
      <c r="E1487" s="5" t="s">
        <v>44</v>
      </c>
      <c r="F1487" s="5" t="s">
        <v>68</v>
      </c>
      <c r="G1487" s="5" t="s">
        <v>145</v>
      </c>
      <c r="H1487" s="9" t="s">
        <v>305</v>
      </c>
      <c r="I1487" s="10"/>
      <c r="J1487" s="10">
        <v>45377</v>
      </c>
      <c r="K1487" s="5" t="s">
        <v>39</v>
      </c>
      <c r="L1487" s="5" t="s">
        <v>58</v>
      </c>
      <c r="M1487" s="11">
        <v>0.089999999999999997</v>
      </c>
      <c r="N1487" s="5" t="e">
        <f>IF(AND(M1487&gt;#REF!,Cartera!O1487="Guaraníes"),"Rendimiento significativo",IF(AND(M1487&gt;#REF!,Cartera!O1487="Dólares americanos"),"Rendimiento significativo","Rendimiento no significativo"))</f>
        <v>#REF!</v>
      </c>
      <c r="O1487" s="5" t="s">
        <v>41</v>
      </c>
      <c r="P1487" s="12">
        <v>673151</v>
      </c>
      <c r="Q1487" s="12">
        <f>IF(O1487="Guaraníes",P1487,P1487*#REF!)</f>
        <v>673151</v>
      </c>
      <c r="R1487" s="12" t="e">
        <f>IF(O1487="Guaraníes",P1487/#REF!,P1487)</f>
        <v>#REF!</v>
      </c>
      <c r="S1487" s="5" t="s">
        <v>52</v>
      </c>
      <c r="T1487" s="5">
        <v>1057</v>
      </c>
      <c r="U1487" s="5">
        <v>30000000</v>
      </c>
      <c r="V1487" s="5">
        <v>20620334.355660006</v>
      </c>
      <c r="W1487" s="5" t="s">
        <v>65</v>
      </c>
      <c r="X1487" s="5">
        <v>100</v>
      </c>
      <c r="Y1487" s="5">
        <v>1000000</v>
      </c>
      <c r="Z1487" s="5">
        <v>1022438.356164</v>
      </c>
      <c r="AA1487" s="5">
        <v>30</v>
      </c>
      <c r="AB1487" s="5">
        <v>30673150.684920002</v>
      </c>
      <c r="AC1487" s="5" t="str">
        <f t="shared" si="73"/>
        <v>Bonos</v>
      </c>
      <c r="AD1487" s="5" t="s">
        <v>43</v>
      </c>
      <c r="AE1487" s="5">
        <f t="shared" si="71"/>
        <v>3</v>
      </c>
      <c r="AF1487" s="5">
        <f t="shared" si="72"/>
        <v>2024</v>
      </c>
    </row>
    <row r="1488" s="5" customFormat="1" ht="13">
      <c r="A1488" s="5" t="s">
        <v>44</v>
      </c>
      <c r="B1488" s="5" t="s">
        <v>44</v>
      </c>
      <c r="C1488" s="5" t="s">
        <v>143</v>
      </c>
      <c r="D1488" s="5" t="s">
        <v>21</v>
      </c>
      <c r="E1488" s="5" t="s">
        <v>44</v>
      </c>
      <c r="F1488" s="5" t="s">
        <v>144</v>
      </c>
      <c r="G1488" s="5" t="s">
        <v>145</v>
      </c>
      <c r="H1488" s="9" t="s">
        <v>146</v>
      </c>
      <c r="I1488" s="10"/>
      <c r="J1488" s="10">
        <v>45378</v>
      </c>
      <c r="K1488" s="5" t="s">
        <v>49</v>
      </c>
      <c r="L1488" s="5" t="s">
        <v>106</v>
      </c>
      <c r="M1488" s="11">
        <v>0.060999999999999999</v>
      </c>
      <c r="N1488" s="5" t="e">
        <f>IF(AND(M1488&gt;#REF!,Cartera!O1488="Guaraníes"),"Rendimiento significativo",IF(AND(M1488&gt;#REF!,Cartera!O1488="Dólares americanos"),"Rendimiento significativo","Rendimiento no significativo"))</f>
        <v>#REF!</v>
      </c>
      <c r="O1488" s="5" t="s">
        <v>51</v>
      </c>
      <c r="P1488" s="13">
        <v>180.49316000000002</v>
      </c>
      <c r="Q1488" s="12" t="e">
        <f>IF(O1488="Guaraníes",P1488,P1488*#REF!)</f>
        <v>#REF!</v>
      </c>
      <c r="R1488" s="12">
        <f>IF(O1488="Guaraníes",P1488/#REF!,P1488)</f>
        <v>180.49316000000002</v>
      </c>
      <c r="S1488" s="5" t="s">
        <v>52</v>
      </c>
      <c r="T1488" s="5">
        <v>1057</v>
      </c>
      <c r="W1488" s="5" t="s">
        <v>65</v>
      </c>
      <c r="X1488" s="5">
        <v>0</v>
      </c>
      <c r="Y1488" s="5">
        <v>0</v>
      </c>
      <c r="Z1488" s="5">
        <v>4.5123290000000003</v>
      </c>
      <c r="AA1488" s="5">
        <v>40</v>
      </c>
      <c r="AB1488" s="5">
        <v>180.49315999999999</v>
      </c>
      <c r="AC1488" s="5" t="str">
        <f t="shared" si="73"/>
        <v>Bonos</v>
      </c>
      <c r="AD1488" s="5" t="s">
        <v>43</v>
      </c>
      <c r="AE1488" s="5">
        <f t="shared" si="71"/>
        <v>3</v>
      </c>
      <c r="AF1488" s="5">
        <f t="shared" si="72"/>
        <v>2024</v>
      </c>
    </row>
    <row r="1489" s="5" customFormat="1" ht="13">
      <c r="A1489" s="5" t="s">
        <v>44</v>
      </c>
      <c r="B1489" s="5" t="s">
        <v>44</v>
      </c>
      <c r="C1489" s="5" t="s">
        <v>164</v>
      </c>
      <c r="D1489" s="5" t="s">
        <v>21</v>
      </c>
      <c r="E1489" s="5" t="s">
        <v>44</v>
      </c>
      <c r="F1489" s="5" t="s">
        <v>68</v>
      </c>
      <c r="G1489" s="5" t="s">
        <v>145</v>
      </c>
      <c r="H1489" s="9" t="s">
        <v>165</v>
      </c>
      <c r="I1489" s="10"/>
      <c r="J1489" s="10">
        <v>45380</v>
      </c>
      <c r="K1489" s="5" t="s">
        <v>124</v>
      </c>
      <c r="L1489" s="5" t="s">
        <v>58</v>
      </c>
      <c r="M1489" s="11">
        <v>0.10000000000000001</v>
      </c>
      <c r="N1489" s="5" t="e">
        <f>IF(AND(M1489&gt;#REF!,Cartera!O1489="Guaraníes"),"Rendimiento significativo",IF(AND(M1489&gt;#REF!,Cartera!O1489="Dólares americanos"),"Rendimiento significativo","Rendimiento no significativo"))</f>
        <v>#REF!</v>
      </c>
      <c r="O1489" s="5" t="s">
        <v>41</v>
      </c>
      <c r="P1489" s="12">
        <v>3178082.1916</v>
      </c>
      <c r="Q1489" s="12">
        <f>IF(O1489="Guaraníes",P1489,P1489*#REF!)</f>
        <v>3178082.1916</v>
      </c>
      <c r="R1489" s="12" t="e">
        <f>IF(O1489="Guaraníes",P1489/#REF!,P1489)</f>
        <v>#REF!</v>
      </c>
      <c r="S1489" s="5" t="s">
        <v>52</v>
      </c>
      <c r="T1489" s="5">
        <v>1057</v>
      </c>
      <c r="W1489" s="5" t="s">
        <v>65</v>
      </c>
      <c r="X1489" s="5">
        <v>0</v>
      </c>
      <c r="Y1489" s="5">
        <v>0</v>
      </c>
      <c r="Z1489" s="5">
        <v>7945.2054790000002</v>
      </c>
      <c r="AA1489" s="5">
        <v>400</v>
      </c>
      <c r="AB1489" s="5">
        <v>3178082.1916</v>
      </c>
      <c r="AC1489" s="5" t="str">
        <f t="shared" si="73"/>
        <v>Bonos</v>
      </c>
      <c r="AD1489" s="5" t="s">
        <v>43</v>
      </c>
      <c r="AE1489" s="5">
        <f t="shared" si="71"/>
        <v>3</v>
      </c>
      <c r="AF1489" s="5">
        <f t="shared" si="72"/>
        <v>2024</v>
      </c>
    </row>
    <row r="1490" s="5" customFormat="1" ht="13">
      <c r="A1490" s="5" t="s">
        <v>44</v>
      </c>
      <c r="B1490" s="5" t="s">
        <v>44</v>
      </c>
      <c r="C1490" s="5" t="s">
        <v>143</v>
      </c>
      <c r="D1490" s="5" t="s">
        <v>21</v>
      </c>
      <c r="E1490" s="5" t="s">
        <v>44</v>
      </c>
      <c r="F1490" s="5" t="s">
        <v>144</v>
      </c>
      <c r="G1490" s="5" t="s">
        <v>145</v>
      </c>
      <c r="H1490" s="9" t="s">
        <v>146</v>
      </c>
      <c r="I1490" s="10"/>
      <c r="J1490" s="10">
        <v>45412</v>
      </c>
      <c r="K1490" s="5" t="s">
        <v>49</v>
      </c>
      <c r="L1490" s="5" t="s">
        <v>106</v>
      </c>
      <c r="M1490" s="11">
        <v>0.060999999999999999</v>
      </c>
      <c r="N1490" s="5" t="e">
        <f>IF(AND(M1490&gt;#REF!,Cartera!O1490="Guaraníes"),"Rendimiento significativo",IF(AND(M1490&gt;#REF!,Cartera!O1490="Dólares americanos"),"Rendimiento significativo","Rendimiento no significativo"))</f>
        <v>#REF!</v>
      </c>
      <c r="O1490" s="5" t="s">
        <v>51</v>
      </c>
      <c r="P1490" s="13">
        <v>227.28767999999999</v>
      </c>
      <c r="Q1490" s="12" t="e">
        <f>IF(O1490="Guaraníes",P1490,P1490*#REF!)</f>
        <v>#REF!</v>
      </c>
      <c r="R1490" s="12">
        <f>IF(O1490="Guaraníes",P1490/#REF!,P1490)</f>
        <v>227.28767999999999</v>
      </c>
      <c r="S1490" s="5" t="s">
        <v>52</v>
      </c>
      <c r="T1490" s="5">
        <v>1057</v>
      </c>
      <c r="W1490" s="5" t="s">
        <v>65</v>
      </c>
      <c r="X1490" s="5">
        <v>0</v>
      </c>
      <c r="Y1490" s="5">
        <v>0</v>
      </c>
      <c r="Z1490" s="5">
        <v>5.6821919999999997</v>
      </c>
      <c r="AA1490" s="5">
        <v>40</v>
      </c>
      <c r="AB1490" s="5">
        <v>227.28767999999999</v>
      </c>
      <c r="AC1490" s="5" t="str">
        <f t="shared" si="73"/>
        <v>Bonos</v>
      </c>
      <c r="AD1490" s="5" t="s">
        <v>43</v>
      </c>
      <c r="AE1490" s="5">
        <f t="shared" ref="AE1490:AE1553" si="74">IFERROR((MONTH(J1490)),0)</f>
        <v>4</v>
      </c>
      <c r="AF1490" s="5">
        <f t="shared" ref="AF1490:AF1553" si="75">IFERROR((YEAR(J1490)),0)</f>
        <v>2024</v>
      </c>
    </row>
    <row r="1491" s="5" customFormat="1" ht="13">
      <c r="A1491" s="5" t="s">
        <v>44</v>
      </c>
      <c r="B1491" s="5" t="s">
        <v>44</v>
      </c>
      <c r="C1491" s="5" t="s">
        <v>164</v>
      </c>
      <c r="D1491" s="5" t="s">
        <v>21</v>
      </c>
      <c r="E1491" s="5" t="s">
        <v>44</v>
      </c>
      <c r="F1491" s="5" t="s">
        <v>68</v>
      </c>
      <c r="G1491" s="5" t="s">
        <v>145</v>
      </c>
      <c r="H1491" s="9" t="s">
        <v>165</v>
      </c>
      <c r="I1491" s="10"/>
      <c r="J1491" s="10">
        <v>45412</v>
      </c>
      <c r="K1491" s="5" t="s">
        <v>124</v>
      </c>
      <c r="L1491" s="5" t="s">
        <v>58</v>
      </c>
      <c r="M1491" s="11">
        <v>0.10000000000000001</v>
      </c>
      <c r="N1491" s="5" t="e">
        <f>IF(AND(M1491&gt;#REF!,Cartera!O1491="Guaraníes"),"Rendimiento significativo",IF(AND(M1491&gt;#REF!,Cartera!O1491="Dólares americanos"),"Rendimiento significativo","Rendimiento no significativo"))</f>
        <v>#REF!</v>
      </c>
      <c r="O1491" s="5" t="s">
        <v>41</v>
      </c>
      <c r="P1491" s="12">
        <v>3506849.3152000001</v>
      </c>
      <c r="Q1491" s="12">
        <f>IF(O1491="Guaraníes",P1491,P1491*#REF!)</f>
        <v>3506849.3152000001</v>
      </c>
      <c r="R1491" s="12" t="e">
        <f>IF(O1491="Guaraníes",P1491/#REF!,P1491)</f>
        <v>#REF!</v>
      </c>
      <c r="S1491" s="5" t="s">
        <v>52</v>
      </c>
      <c r="T1491" s="5">
        <v>1057</v>
      </c>
      <c r="W1491" s="5" t="s">
        <v>65</v>
      </c>
      <c r="X1491" s="5">
        <v>0</v>
      </c>
      <c r="Y1491" s="5">
        <v>0</v>
      </c>
      <c r="Z1491" s="5">
        <v>8767.1232880000007</v>
      </c>
      <c r="AA1491" s="5">
        <v>400</v>
      </c>
      <c r="AB1491" s="5">
        <v>3506849.3152000001</v>
      </c>
      <c r="AC1491" s="5" t="str">
        <f t="shared" si="73"/>
        <v>Bonos</v>
      </c>
      <c r="AD1491" s="5" t="s">
        <v>43</v>
      </c>
      <c r="AE1491" s="5">
        <f t="shared" si="74"/>
        <v>4</v>
      </c>
      <c r="AF1491" s="5">
        <f t="shared" si="75"/>
        <v>2024</v>
      </c>
    </row>
    <row r="1492" s="5" customFormat="1" ht="13">
      <c r="A1492" s="5" t="s">
        <v>44</v>
      </c>
      <c r="B1492" s="5" t="s">
        <v>44</v>
      </c>
      <c r="C1492" s="5" t="s">
        <v>143</v>
      </c>
      <c r="D1492" s="5" t="s">
        <v>21</v>
      </c>
      <c r="E1492" s="5" t="s">
        <v>44</v>
      </c>
      <c r="F1492" s="5" t="s">
        <v>144</v>
      </c>
      <c r="G1492" s="5" t="s">
        <v>145</v>
      </c>
      <c r="H1492" s="9" t="s">
        <v>146</v>
      </c>
      <c r="I1492" s="10"/>
      <c r="J1492" s="10">
        <v>45443</v>
      </c>
      <c r="K1492" s="5" t="s">
        <v>49</v>
      </c>
      <c r="L1492" s="5" t="s">
        <v>106</v>
      </c>
      <c r="M1492" s="11">
        <v>0.060999999999999999</v>
      </c>
      <c r="N1492" s="5" t="e">
        <f>IF(AND(M1492&gt;#REF!,Cartera!O1492="Guaraníes"),"Rendimiento significativo",IF(AND(M1492&gt;#REF!,Cartera!O1492="Dólares americanos"),"Rendimiento significativo","Rendimiento no significativo"))</f>
        <v>#REF!</v>
      </c>
      <c r="O1492" s="5" t="s">
        <v>51</v>
      </c>
      <c r="P1492" s="13">
        <v>207.23287999999999</v>
      </c>
      <c r="Q1492" s="12" t="e">
        <f>IF(O1492="Guaraníes",P1492,P1492*#REF!)</f>
        <v>#REF!</v>
      </c>
      <c r="R1492" s="12">
        <f>IF(O1492="Guaraníes",P1492/#REF!,P1492)</f>
        <v>207.23287999999999</v>
      </c>
      <c r="S1492" s="5" t="s">
        <v>52</v>
      </c>
      <c r="T1492" s="5">
        <v>1057</v>
      </c>
      <c r="W1492" s="5" t="s">
        <v>65</v>
      </c>
      <c r="X1492" s="5">
        <v>0</v>
      </c>
      <c r="Y1492" s="5">
        <v>0</v>
      </c>
      <c r="Z1492" s="5">
        <v>5.180822</v>
      </c>
      <c r="AA1492" s="5">
        <v>40</v>
      </c>
      <c r="AB1492" s="5">
        <v>207.23287999999999</v>
      </c>
      <c r="AC1492" s="5" t="str">
        <f t="shared" si="73"/>
        <v>Bonos</v>
      </c>
      <c r="AD1492" s="5" t="s">
        <v>43</v>
      </c>
      <c r="AE1492" s="5">
        <f t="shared" si="74"/>
        <v>5</v>
      </c>
      <c r="AF1492" s="5">
        <f t="shared" si="75"/>
        <v>2024</v>
      </c>
    </row>
    <row r="1493" s="5" customFormat="1" ht="13">
      <c r="A1493" s="5" t="s">
        <v>44</v>
      </c>
      <c r="B1493" s="5" t="s">
        <v>44</v>
      </c>
      <c r="C1493" s="5" t="s">
        <v>164</v>
      </c>
      <c r="D1493" s="5" t="s">
        <v>21</v>
      </c>
      <c r="E1493" s="5" t="s">
        <v>44</v>
      </c>
      <c r="F1493" s="5" t="s">
        <v>68</v>
      </c>
      <c r="G1493" s="5" t="s">
        <v>145</v>
      </c>
      <c r="H1493" s="9" t="s">
        <v>165</v>
      </c>
      <c r="I1493" s="10"/>
      <c r="J1493" s="10">
        <v>45443</v>
      </c>
      <c r="K1493" s="5" t="s">
        <v>124</v>
      </c>
      <c r="L1493" s="5" t="s">
        <v>58</v>
      </c>
      <c r="M1493" s="11">
        <v>0.10000000000000001</v>
      </c>
      <c r="N1493" s="5" t="e">
        <f>IF(AND(M1493&gt;#REF!,Cartera!O1493="Guaraníes"),"Rendimiento significativo",IF(AND(M1493&gt;#REF!,Cartera!O1493="Dólares americanos"),"Rendimiento significativo","Rendimiento no significativo"))</f>
        <v>#REF!</v>
      </c>
      <c r="O1493" s="5" t="s">
        <v>41</v>
      </c>
      <c r="P1493" s="12">
        <v>3397260.2740000002</v>
      </c>
      <c r="Q1493" s="12">
        <f>IF(O1493="Guaraníes",P1493,P1493*#REF!)</f>
        <v>3397260.2740000002</v>
      </c>
      <c r="R1493" s="12" t="e">
        <f>IF(O1493="Guaraníes",P1493/#REF!,P1493)</f>
        <v>#REF!</v>
      </c>
      <c r="S1493" s="5" t="s">
        <v>52</v>
      </c>
      <c r="T1493" s="5">
        <v>1057</v>
      </c>
      <c r="W1493" s="5" t="s">
        <v>65</v>
      </c>
      <c r="X1493" s="5">
        <v>0</v>
      </c>
      <c r="Y1493" s="5">
        <v>0</v>
      </c>
      <c r="Z1493" s="5">
        <v>8493.1506850000005</v>
      </c>
      <c r="AA1493" s="5">
        <v>400</v>
      </c>
      <c r="AB1493" s="5">
        <v>3397260.2740000002</v>
      </c>
      <c r="AC1493" s="5" t="str">
        <f t="shared" si="73"/>
        <v>Bonos</v>
      </c>
      <c r="AD1493" s="5" t="s">
        <v>43</v>
      </c>
      <c r="AE1493" s="5">
        <f t="shared" si="74"/>
        <v>5</v>
      </c>
      <c r="AF1493" s="5">
        <f t="shared" si="75"/>
        <v>2024</v>
      </c>
    </row>
    <row r="1494" s="5" customFormat="1" ht="13">
      <c r="A1494" s="5" t="s">
        <v>44</v>
      </c>
      <c r="B1494" s="5" t="s">
        <v>44</v>
      </c>
      <c r="C1494" s="5" t="s">
        <v>143</v>
      </c>
      <c r="D1494" s="5" t="s">
        <v>21</v>
      </c>
      <c r="E1494" s="5" t="s">
        <v>44</v>
      </c>
      <c r="F1494" s="5" t="s">
        <v>144</v>
      </c>
      <c r="G1494" s="5" t="s">
        <v>145</v>
      </c>
      <c r="H1494" s="9" t="s">
        <v>146</v>
      </c>
      <c r="I1494" s="10"/>
      <c r="J1494" s="10">
        <v>45471</v>
      </c>
      <c r="K1494" s="5" t="s">
        <v>49</v>
      </c>
      <c r="L1494" s="5" t="s">
        <v>106</v>
      </c>
      <c r="M1494" s="11">
        <v>0.060999999999999999</v>
      </c>
      <c r="N1494" s="5" t="e">
        <f>IF(AND(M1494&gt;#REF!,Cartera!O1494="Guaraníes"),"Rendimiento significativo",IF(AND(M1494&gt;#REF!,Cartera!O1494="Dólares americanos"),"Rendimiento significativo","Rendimiento no significativo"))</f>
        <v>#REF!</v>
      </c>
      <c r="O1494" s="5" t="s">
        <v>51</v>
      </c>
      <c r="P1494" s="13">
        <v>187.17808000000002</v>
      </c>
      <c r="Q1494" s="12" t="e">
        <f>IF(O1494="Guaraníes",P1494,P1494*#REF!)</f>
        <v>#REF!</v>
      </c>
      <c r="R1494" s="12">
        <f>IF(O1494="Guaraníes",P1494/#REF!,P1494)</f>
        <v>187.17808000000002</v>
      </c>
      <c r="S1494" s="5" t="s">
        <v>52</v>
      </c>
      <c r="T1494" s="5">
        <v>1057</v>
      </c>
      <c r="W1494" s="5" t="s">
        <v>65</v>
      </c>
      <c r="X1494" s="5">
        <v>0</v>
      </c>
      <c r="Y1494" s="5">
        <v>0</v>
      </c>
      <c r="Z1494" s="5">
        <v>4.6794520000000004</v>
      </c>
      <c r="AA1494" s="5">
        <v>40</v>
      </c>
      <c r="AB1494" s="5">
        <v>187.17807999999999</v>
      </c>
      <c r="AC1494" s="5" t="str">
        <f t="shared" si="73"/>
        <v>Bonos</v>
      </c>
      <c r="AD1494" s="5" t="s">
        <v>43</v>
      </c>
      <c r="AE1494" s="5">
        <f t="shared" si="74"/>
        <v>6</v>
      </c>
      <c r="AF1494" s="5">
        <f t="shared" si="75"/>
        <v>2024</v>
      </c>
    </row>
    <row r="1495" s="5" customFormat="1" ht="13">
      <c r="A1495" s="5" t="s">
        <v>44</v>
      </c>
      <c r="B1495" s="5" t="s">
        <v>44</v>
      </c>
      <c r="C1495" s="5" t="s">
        <v>164</v>
      </c>
      <c r="D1495" s="5" t="s">
        <v>21</v>
      </c>
      <c r="E1495" s="5" t="s">
        <v>44</v>
      </c>
      <c r="F1495" s="5" t="s">
        <v>68</v>
      </c>
      <c r="G1495" s="5" t="s">
        <v>145</v>
      </c>
      <c r="H1495" s="9" t="s">
        <v>165</v>
      </c>
      <c r="I1495" s="10"/>
      <c r="J1495" s="10">
        <v>45471</v>
      </c>
      <c r="K1495" s="5" t="s">
        <v>124</v>
      </c>
      <c r="L1495" s="5" t="s">
        <v>58</v>
      </c>
      <c r="M1495" s="11">
        <v>0.10000000000000001</v>
      </c>
      <c r="N1495" s="5" t="e">
        <f>IF(AND(M1495&gt;#REF!,Cartera!O1495="Guaraníes"),"Rendimiento significativo",IF(AND(M1495&gt;#REF!,Cartera!O1495="Dólares americanos"),"Rendimiento significativo","Rendimiento no significativo"))</f>
        <v>#REF!</v>
      </c>
      <c r="O1495" s="5" t="s">
        <v>41</v>
      </c>
      <c r="P1495" s="12">
        <v>3068493.1507999999</v>
      </c>
      <c r="Q1495" s="12">
        <f>IF(O1495="Guaraníes",P1495,P1495*#REF!)</f>
        <v>3068493.1507999999</v>
      </c>
      <c r="R1495" s="12" t="e">
        <f>IF(O1495="Guaraníes",P1495/#REF!,P1495)</f>
        <v>#REF!</v>
      </c>
      <c r="S1495" s="5" t="s">
        <v>52</v>
      </c>
      <c r="T1495" s="5">
        <v>1057</v>
      </c>
      <c r="W1495" s="5" t="s">
        <v>65</v>
      </c>
      <c r="X1495" s="5">
        <v>0</v>
      </c>
      <c r="Y1495" s="5">
        <v>0</v>
      </c>
      <c r="Z1495" s="5">
        <v>7671.2328770000004</v>
      </c>
      <c r="AA1495" s="5">
        <v>400</v>
      </c>
      <c r="AB1495" s="5">
        <v>3068493.1507999999</v>
      </c>
      <c r="AC1495" s="5" t="str">
        <f t="shared" si="73"/>
        <v>Bonos</v>
      </c>
      <c r="AD1495" s="5" t="s">
        <v>43</v>
      </c>
      <c r="AE1495" s="5">
        <f t="shared" si="74"/>
        <v>6</v>
      </c>
      <c r="AF1495" s="5">
        <f t="shared" si="75"/>
        <v>2024</v>
      </c>
    </row>
    <row r="1496" s="5" customFormat="1" ht="13">
      <c r="A1496" s="5" t="s">
        <v>44</v>
      </c>
      <c r="B1496" s="5" t="s">
        <v>44</v>
      </c>
      <c r="C1496" s="5" t="s">
        <v>143</v>
      </c>
      <c r="D1496" s="5" t="s">
        <v>21</v>
      </c>
      <c r="E1496" s="5" t="s">
        <v>44</v>
      </c>
      <c r="F1496" s="5" t="s">
        <v>144</v>
      </c>
      <c r="G1496" s="5" t="s">
        <v>145</v>
      </c>
      <c r="H1496" s="9" t="s">
        <v>146</v>
      </c>
      <c r="I1496" s="10"/>
      <c r="J1496" s="10">
        <v>45504</v>
      </c>
      <c r="K1496" s="5" t="s">
        <v>49</v>
      </c>
      <c r="L1496" s="5" t="s">
        <v>106</v>
      </c>
      <c r="M1496" s="11">
        <v>0.060999999999999999</v>
      </c>
      <c r="N1496" s="5" t="e">
        <f>IF(AND(M1496&gt;#REF!,Cartera!O1496="Guaraníes"),"Rendimiento significativo",IF(AND(M1496&gt;#REF!,Cartera!O1496="Dólares americanos"),"Rendimiento significativo","Rendimiento no significativo"))</f>
        <v>#REF!</v>
      </c>
      <c r="O1496" s="5" t="s">
        <v>51</v>
      </c>
      <c r="P1496" s="13">
        <v>220.60272000000001</v>
      </c>
      <c r="Q1496" s="12" t="e">
        <f>IF(O1496="Guaraníes",P1496,P1496*#REF!)</f>
        <v>#REF!</v>
      </c>
      <c r="R1496" s="12">
        <f>IF(O1496="Guaraníes",P1496/#REF!,P1496)</f>
        <v>220.60272000000001</v>
      </c>
      <c r="S1496" s="5" t="s">
        <v>52</v>
      </c>
      <c r="T1496" s="5">
        <v>1057</v>
      </c>
      <c r="W1496" s="5" t="s">
        <v>65</v>
      </c>
      <c r="X1496" s="5">
        <v>0</v>
      </c>
      <c r="Y1496" s="5">
        <v>0</v>
      </c>
      <c r="Z1496" s="5">
        <v>5.5150680000000003</v>
      </c>
      <c r="AA1496" s="5">
        <v>40</v>
      </c>
      <c r="AB1496" s="5">
        <v>220.60272000000001</v>
      </c>
      <c r="AC1496" s="5" t="str">
        <f t="shared" si="73"/>
        <v>Bonos</v>
      </c>
      <c r="AD1496" s="5" t="s">
        <v>43</v>
      </c>
      <c r="AE1496" s="5">
        <f t="shared" si="74"/>
        <v>7</v>
      </c>
      <c r="AF1496" s="5">
        <f t="shared" si="75"/>
        <v>2024</v>
      </c>
    </row>
    <row r="1497" s="5" customFormat="1" ht="13">
      <c r="A1497" s="5" t="s">
        <v>44</v>
      </c>
      <c r="B1497" s="5" t="s">
        <v>44</v>
      </c>
      <c r="C1497" s="5" t="s">
        <v>164</v>
      </c>
      <c r="D1497" s="5" t="s">
        <v>21</v>
      </c>
      <c r="E1497" s="5" t="s">
        <v>44</v>
      </c>
      <c r="F1497" s="5" t="s">
        <v>68</v>
      </c>
      <c r="G1497" s="5" t="s">
        <v>145</v>
      </c>
      <c r="H1497" s="9" t="s">
        <v>165</v>
      </c>
      <c r="I1497" s="10"/>
      <c r="J1497" s="10">
        <v>45504</v>
      </c>
      <c r="K1497" s="5" t="s">
        <v>124</v>
      </c>
      <c r="L1497" s="5" t="s">
        <v>58</v>
      </c>
      <c r="M1497" s="11">
        <v>0.10000000000000001</v>
      </c>
      <c r="N1497" s="5" t="e">
        <f>IF(AND(M1497&gt;#REF!,Cartera!O1497="Guaraníes"),"Rendimiento significativo",IF(AND(M1497&gt;#REF!,Cartera!O1497="Dólares americanos"),"Rendimiento significativo","Rendimiento no significativo"))</f>
        <v>#REF!</v>
      </c>
      <c r="O1497" s="5" t="s">
        <v>41</v>
      </c>
      <c r="P1497" s="12">
        <v>3616438.3560000001</v>
      </c>
      <c r="Q1497" s="12">
        <f>IF(O1497="Guaraníes",P1497,P1497*#REF!)</f>
        <v>3616438.3560000001</v>
      </c>
      <c r="R1497" s="12" t="e">
        <f>IF(O1497="Guaraníes",P1497/#REF!,P1497)</f>
        <v>#REF!</v>
      </c>
      <c r="S1497" s="5" t="s">
        <v>52</v>
      </c>
      <c r="T1497" s="5">
        <v>1057</v>
      </c>
      <c r="W1497" s="5" t="s">
        <v>65</v>
      </c>
      <c r="X1497" s="5">
        <v>0</v>
      </c>
      <c r="Y1497" s="5">
        <v>0</v>
      </c>
      <c r="Z1497" s="5">
        <v>9041.0958900000005</v>
      </c>
      <c r="AA1497" s="5">
        <v>400</v>
      </c>
      <c r="AB1497" s="5">
        <v>3616438.3560000001</v>
      </c>
      <c r="AC1497" s="5" t="str">
        <f t="shared" si="73"/>
        <v>Bonos</v>
      </c>
      <c r="AD1497" s="5" t="s">
        <v>43</v>
      </c>
      <c r="AE1497" s="5">
        <f t="shared" si="74"/>
        <v>7</v>
      </c>
      <c r="AF1497" s="5">
        <f t="shared" si="75"/>
        <v>2024</v>
      </c>
    </row>
    <row r="1498" s="5" customFormat="1" ht="13">
      <c r="A1498" s="5" t="s">
        <v>44</v>
      </c>
      <c r="B1498" s="5" t="s">
        <v>44</v>
      </c>
      <c r="C1498" s="5" t="s">
        <v>116</v>
      </c>
      <c r="D1498" s="5" t="s">
        <v>21</v>
      </c>
      <c r="E1498" s="5" t="s">
        <v>44</v>
      </c>
      <c r="F1498" s="9" t="s">
        <v>68</v>
      </c>
      <c r="G1498" s="9"/>
      <c r="H1498" s="10">
        <v>6208</v>
      </c>
      <c r="I1498" s="10"/>
      <c r="J1498" s="5">
        <v>45516</v>
      </c>
      <c r="K1498" s="5" t="s">
        <v>118</v>
      </c>
      <c r="L1498" s="11" t="s">
        <v>82</v>
      </c>
      <c r="M1498" s="11">
        <v>0.080000000000000002</v>
      </c>
      <c r="N1498" s="11" t="e">
        <f>IF(AND(M1498&gt;#REF!,Cartera!O2932="Guaraníes"),"Rendimiento significativo",IF(AND(M1498&gt;#REF!,Cartera!O2932="Dólares americanos"),"Rendimiento significativo","Rendimiento no significativo"))</f>
        <v>#REF!</v>
      </c>
      <c r="O1498" s="12" t="s">
        <v>41</v>
      </c>
      <c r="P1498" s="12">
        <v>2014466</v>
      </c>
      <c r="Q1498" s="12">
        <f>IF(O1498="Guaraníes",P1498,P1498*#REF!)</f>
        <v>2014466</v>
      </c>
      <c r="R1498" s="5" t="e">
        <f>IF(O1498="Guaraníes",P1498/#REF!,P1498)</f>
        <v>#REF!</v>
      </c>
      <c r="S1498" s="5" t="s">
        <v>52</v>
      </c>
      <c r="V1498" s="5">
        <v>2014466</v>
      </c>
      <c r="W1498" s="5" t="s">
        <v>366</v>
      </c>
      <c r="AC1498" s="5" t="str">
        <f t="shared" si="73"/>
        <v>CDA</v>
      </c>
      <c r="AD1498" s="5" t="s">
        <v>43</v>
      </c>
      <c r="AE1498" s="5">
        <f t="shared" si="74"/>
        <v>8</v>
      </c>
      <c r="AF1498" s="5">
        <f t="shared" si="75"/>
        <v>2024</v>
      </c>
    </row>
    <row r="1499" s="5" customFormat="1" ht="13">
      <c r="A1499" s="5" t="s">
        <v>44</v>
      </c>
      <c r="B1499" s="5" t="s">
        <v>44</v>
      </c>
      <c r="C1499" s="5" t="s">
        <v>114</v>
      </c>
      <c r="D1499" s="5" t="s">
        <v>21</v>
      </c>
      <c r="E1499" s="5" t="s">
        <v>44</v>
      </c>
      <c r="F1499" s="5" t="s">
        <v>68</v>
      </c>
      <c r="G1499" s="5" t="s">
        <v>75</v>
      </c>
      <c r="H1499" s="9" t="s">
        <v>170</v>
      </c>
      <c r="I1499" s="20"/>
      <c r="J1499" s="10">
        <v>45517</v>
      </c>
      <c r="K1499" s="5" t="s">
        <v>77</v>
      </c>
      <c r="L1499" s="5" t="s">
        <v>50</v>
      </c>
      <c r="M1499" s="11">
        <v>0.14000000000000001</v>
      </c>
      <c r="N1499" s="5" t="e">
        <f>IF(AND(M1499&gt;#REF!,Cartera!O888="Guaraníes"),"Rendimiento significativo",IF(AND(M1499&gt;#REF!,Cartera!O888="Dólares americanos"),"Rendimiento significativo","Rendimiento no significativo"))</f>
        <v>#REF!</v>
      </c>
      <c r="O1499" s="5" t="s">
        <v>41</v>
      </c>
      <c r="P1499" s="12">
        <v>3413698.6300999997</v>
      </c>
      <c r="Q1499" s="12">
        <f>IF(O1499="Guaraníes",P1499,P1499*#REF!)</f>
        <v>3413698.6300999997</v>
      </c>
      <c r="R1499" s="12" t="e">
        <f>IF(O1499="Guaraníes",P1499/#REF!,P1499)</f>
        <v>#REF!</v>
      </c>
      <c r="S1499" s="5" t="s">
        <v>52</v>
      </c>
      <c r="T1499" s="5">
        <v>25</v>
      </c>
      <c r="W1499" s="5" t="s">
        <v>65</v>
      </c>
      <c r="X1499" s="5">
        <v>0</v>
      </c>
      <c r="Y1499" s="5">
        <v>0</v>
      </c>
      <c r="Z1499" s="5">
        <v>34136.986300999997</v>
      </c>
      <c r="AA1499" s="5">
        <v>100</v>
      </c>
      <c r="AB1499" s="5">
        <v>3413698.6301000002</v>
      </c>
      <c r="AC1499" s="5" t="str">
        <f t="shared" si="73"/>
        <v>Bonos</v>
      </c>
      <c r="AD1499" s="5" t="s">
        <v>43</v>
      </c>
      <c r="AE1499" s="5">
        <f t="shared" si="74"/>
        <v>8</v>
      </c>
      <c r="AF1499" s="5">
        <f t="shared" si="75"/>
        <v>2024</v>
      </c>
    </row>
    <row r="1500" s="5" customFormat="1" ht="13">
      <c r="A1500" s="5" t="s">
        <v>44</v>
      </c>
      <c r="B1500" s="5" t="s">
        <v>44</v>
      </c>
      <c r="C1500" s="5" t="s">
        <v>67</v>
      </c>
      <c r="D1500" s="5" t="s">
        <v>21</v>
      </c>
      <c r="E1500" s="5" t="s">
        <v>44</v>
      </c>
      <c r="F1500" s="5" t="s">
        <v>68</v>
      </c>
      <c r="G1500" s="5" t="s">
        <v>91</v>
      </c>
      <c r="H1500" s="9" t="s">
        <v>110</v>
      </c>
      <c r="I1500" s="10"/>
      <c r="J1500" s="10">
        <v>45394</v>
      </c>
      <c r="K1500" s="5" t="s">
        <v>71</v>
      </c>
      <c r="L1500" s="5" t="s">
        <v>58</v>
      </c>
      <c r="M1500" s="11">
        <v>0.089999999999999997</v>
      </c>
      <c r="N1500" s="5" t="e">
        <f>IF(AND(M1500&gt;#REF!,Cartera!O1828="Guaraníes"),"Rendimiento significativo",IF(AND(M1500&gt;#REF!,Cartera!O1828="Dólares americanos"),"Rendimiento significativo","Rendimiento no significativo"))</f>
        <v>#REF!</v>
      </c>
      <c r="O1500" s="5" t="s">
        <v>51</v>
      </c>
      <c r="P1500" s="13">
        <v>257.97944999999999</v>
      </c>
      <c r="Q1500" s="12" t="e">
        <f>IF(O1500="Guaraníes",P1500,P1500*#REF!)</f>
        <v>#REF!</v>
      </c>
      <c r="R1500" s="12">
        <f>IF(O1500="Guaraníes",P1500/#REF!,P1500)</f>
        <v>257.97944999999999</v>
      </c>
      <c r="S1500" s="5" t="s">
        <v>52</v>
      </c>
      <c r="T1500" s="5">
        <v>3253</v>
      </c>
      <c r="W1500" s="5" t="s">
        <v>65</v>
      </c>
      <c r="X1500" s="5">
        <v>10</v>
      </c>
      <c r="Y1500" s="5">
        <v>100</v>
      </c>
      <c r="Z1500" s="5">
        <v>117.19862999999999</v>
      </c>
      <c r="AA1500" s="5">
        <v>15</v>
      </c>
      <c r="AB1500" s="5">
        <v>1757.97945</v>
      </c>
      <c r="AC1500" s="5" t="str">
        <f t="shared" si="73"/>
        <v>Bonos</v>
      </c>
      <c r="AD1500" s="5" t="s">
        <v>43</v>
      </c>
      <c r="AE1500" s="5">
        <f t="shared" si="74"/>
        <v>4</v>
      </c>
      <c r="AF1500" s="5">
        <f t="shared" si="75"/>
        <v>2024</v>
      </c>
    </row>
    <row r="1501" s="5" customFormat="1" ht="13">
      <c r="A1501" s="5" t="s">
        <v>44</v>
      </c>
      <c r="B1501" s="5" t="s">
        <v>44</v>
      </c>
      <c r="C1501" s="5" t="s">
        <v>183</v>
      </c>
      <c r="D1501" s="5" t="s">
        <v>21</v>
      </c>
      <c r="E1501" s="5" t="s">
        <v>44</v>
      </c>
      <c r="F1501" s="5" t="s">
        <v>184</v>
      </c>
      <c r="H1501" s="9">
        <v>6390</v>
      </c>
      <c r="I1501" s="10"/>
      <c r="J1501" s="10">
        <v>45607</v>
      </c>
      <c r="K1501" s="5" t="s">
        <v>124</v>
      </c>
      <c r="L1501" s="5" t="s">
        <v>82</v>
      </c>
      <c r="M1501" s="11">
        <v>0.079000000000000001</v>
      </c>
      <c r="N1501" s="5" t="e">
        <f>IF(AND(M1501&gt;#REF!,Cartera!O2940="Guaraníes"),"Rendimiento significativo",IF(AND(M1501&gt;#REF!,Cartera!O2940="Dólares americanos"),"Rendimiento significativo","Rendimiento no significativo"))</f>
        <v>#REF!</v>
      </c>
      <c r="O1501" s="5" t="s">
        <v>41</v>
      </c>
      <c r="P1501" s="12">
        <v>10064460</v>
      </c>
      <c r="Q1501" s="12">
        <f>IF(O1501="Guaraníes",P1501,P1501*#REF!)</f>
        <v>10064460</v>
      </c>
      <c r="R1501" s="12" t="e">
        <f>IF(O1501="Guaraníes",P1501/#REF!,P1501)</f>
        <v>#REF!</v>
      </c>
      <c r="S1501" s="5" t="s">
        <v>52</v>
      </c>
      <c r="V1501" s="5">
        <v>10064460</v>
      </c>
      <c r="W1501" s="5" t="s">
        <v>279</v>
      </c>
      <c r="AC1501" s="5" t="str">
        <f t="shared" si="73"/>
        <v>CDA</v>
      </c>
      <c r="AD1501" s="5" t="s">
        <v>43</v>
      </c>
      <c r="AE1501" s="5">
        <f t="shared" si="74"/>
        <v>11</v>
      </c>
      <c r="AF1501" s="5">
        <f t="shared" si="75"/>
        <v>2024</v>
      </c>
    </row>
    <row r="1502" s="5" customFormat="1" ht="13">
      <c r="A1502" s="5" t="s">
        <v>44</v>
      </c>
      <c r="B1502" s="5" t="s">
        <v>44</v>
      </c>
      <c r="C1502" s="5" t="s">
        <v>85</v>
      </c>
      <c r="D1502" s="5" t="s">
        <v>21</v>
      </c>
      <c r="E1502" s="5" t="s">
        <v>44</v>
      </c>
      <c r="F1502" s="5" t="s">
        <v>68</v>
      </c>
      <c r="G1502" s="5" t="s">
        <v>86</v>
      </c>
      <c r="H1502" s="9" t="s">
        <v>87</v>
      </c>
      <c r="I1502" s="10"/>
      <c r="J1502" s="10">
        <v>45582</v>
      </c>
      <c r="K1502" s="5" t="s">
        <v>39</v>
      </c>
      <c r="L1502" s="5" t="s">
        <v>58</v>
      </c>
      <c r="M1502" s="11">
        <v>0.059999999999999998</v>
      </c>
      <c r="N1502" s="5" t="e">
        <f>IF(AND(M1502&gt;#REF!,Cartera!O262="Guaraníes"),"Rendimiento significativo",IF(AND(M1502&gt;#REF!,Cartera!O262="Dólares americanos"),"Rendimiento significativo","Rendimiento no significativo"))</f>
        <v>#REF!</v>
      </c>
      <c r="O1502" s="5" t="s">
        <v>51</v>
      </c>
      <c r="P1502" s="13">
        <v>747.9452</v>
      </c>
      <c r="Q1502" s="12" t="e">
        <f>IF(O1502="Guaraníes",P1502,P1502*#REF!)</f>
        <v>#REF!</v>
      </c>
      <c r="R1502" s="12">
        <f>IF(O1502="Guaraníes",P1502/#REF!,P1502)</f>
        <v>747.9452</v>
      </c>
      <c r="S1502" s="5" t="s">
        <v>52</v>
      </c>
      <c r="T1502" s="5">
        <v>10834</v>
      </c>
      <c r="W1502" s="5" t="s">
        <v>367</v>
      </c>
      <c r="X1502" s="5">
        <v>0</v>
      </c>
      <c r="Y1502" s="5">
        <v>0</v>
      </c>
      <c r="Z1502" s="5">
        <v>14.958904</v>
      </c>
      <c r="AA1502" s="5">
        <v>50</v>
      </c>
      <c r="AB1502" s="5">
        <v>747.9452</v>
      </c>
      <c r="AC1502" s="5" t="str">
        <f t="shared" si="73"/>
        <v>Bonos</v>
      </c>
      <c r="AD1502" s="5" t="s">
        <v>43</v>
      </c>
      <c r="AE1502" s="5">
        <f t="shared" si="74"/>
        <v>10</v>
      </c>
      <c r="AF1502" s="5">
        <f t="shared" si="75"/>
        <v>2024</v>
      </c>
    </row>
    <row r="1503" s="5" customFormat="1" ht="13">
      <c r="A1503" s="5" t="s">
        <v>44</v>
      </c>
      <c r="B1503" s="5" t="s">
        <v>44</v>
      </c>
      <c r="C1503" s="5" t="s">
        <v>67</v>
      </c>
      <c r="D1503" s="5" t="s">
        <v>21</v>
      </c>
      <c r="E1503" s="5" t="s">
        <v>44</v>
      </c>
      <c r="F1503" s="5" t="s">
        <v>68</v>
      </c>
      <c r="G1503" s="5" t="s">
        <v>91</v>
      </c>
      <c r="H1503" s="9" t="s">
        <v>110</v>
      </c>
      <c r="I1503" s="10"/>
      <c r="J1503" s="10">
        <v>45428</v>
      </c>
      <c r="K1503" s="5" t="s">
        <v>71</v>
      </c>
      <c r="L1503" s="5" t="s">
        <v>58</v>
      </c>
      <c r="M1503" s="11">
        <v>0.089999999999999997</v>
      </c>
      <c r="N1503" s="5" t="e">
        <f>IF(AND(M1503&gt;#REF!,Cartera!O1833="Guaraníes"),"Rendimiento significativo",IF(AND(M1503&gt;#REF!,Cartera!O1833="Dólares americanos"),"Rendimiento significativo","Rendimiento no significativo"))</f>
        <v>#REF!</v>
      </c>
      <c r="O1503" s="5" t="s">
        <v>51</v>
      </c>
      <c r="P1503" s="13">
        <v>84.882999999999996</v>
      </c>
      <c r="Q1503" s="12" t="e">
        <f>IF(O1503="Guaraníes",P1503,P1503*#REF!)</f>
        <v>#REF!</v>
      </c>
      <c r="R1503" s="12">
        <f>IF(O1503="Guaraníes",P1503/#REF!,P1503)</f>
        <v>84.882999999999996</v>
      </c>
      <c r="S1503" s="5" t="s">
        <v>52</v>
      </c>
      <c r="T1503" s="5">
        <v>3253</v>
      </c>
      <c r="W1503" s="5" t="s">
        <v>65</v>
      </c>
      <c r="X1503" s="5">
        <v>10</v>
      </c>
      <c r="Y1503" s="5">
        <v>100</v>
      </c>
      <c r="Z1503" s="5">
        <v>105.65890400000001</v>
      </c>
      <c r="AA1503" s="5">
        <v>15</v>
      </c>
      <c r="AB1503" s="5">
        <v>1584.88356</v>
      </c>
      <c r="AC1503" s="5" t="str">
        <f t="shared" si="73"/>
        <v>Bonos</v>
      </c>
      <c r="AD1503" s="5" t="s">
        <v>43</v>
      </c>
      <c r="AE1503" s="5">
        <f t="shared" si="74"/>
        <v>5</v>
      </c>
      <c r="AF1503" s="5">
        <f t="shared" si="75"/>
        <v>2024</v>
      </c>
    </row>
    <row r="1504" s="5" customFormat="1" ht="13">
      <c r="A1504" s="5" t="s">
        <v>44</v>
      </c>
      <c r="B1504" s="5" t="s">
        <v>44</v>
      </c>
      <c r="C1504" s="5" t="s">
        <v>89</v>
      </c>
      <c r="D1504" s="5" t="s">
        <v>21</v>
      </c>
      <c r="E1504" s="5" t="s">
        <v>34</v>
      </c>
      <c r="F1504" s="5" t="s">
        <v>90</v>
      </c>
      <c r="G1504" s="5" t="s">
        <v>91</v>
      </c>
      <c r="H1504" s="9" t="s">
        <v>92</v>
      </c>
      <c r="I1504" s="10"/>
      <c r="J1504" s="10">
        <v>45582</v>
      </c>
      <c r="K1504" s="5" t="s">
        <v>93</v>
      </c>
      <c r="L1504" s="5" t="s">
        <v>58</v>
      </c>
      <c r="M1504" s="11">
        <v>0.080000000000000002</v>
      </c>
      <c r="N1504" s="5" t="e">
        <f>IF(AND(M1504&gt;#REF!,Cartera!O1852="Guaraníes"),"Rendimiento significativo",IF(AND(M1504&gt;#REF!,Cartera!O1852="Dólares americanos"),"Rendimiento significativo","Rendimiento no significativo"))</f>
        <v>#REF!</v>
      </c>
      <c r="O1504" s="5" t="s">
        <v>51</v>
      </c>
      <c r="P1504" s="13">
        <v>299.17807500000004</v>
      </c>
      <c r="Q1504" s="12" t="e">
        <f>IF(O1504="Guaraníes",P1504,P1504*#REF!)</f>
        <v>#REF!</v>
      </c>
      <c r="R1504" s="12">
        <f>IF(O1504="Guaraníes",P1504/#REF!,P1504)</f>
        <v>299.17807500000004</v>
      </c>
      <c r="S1504" s="5" t="s">
        <v>52</v>
      </c>
      <c r="T1504" s="5">
        <v>3253</v>
      </c>
      <c r="W1504" s="5" t="s">
        <v>65</v>
      </c>
      <c r="X1504" s="5">
        <v>0</v>
      </c>
      <c r="Y1504" s="5">
        <v>0</v>
      </c>
      <c r="Z1504" s="5">
        <v>19.945205000000001</v>
      </c>
      <c r="AA1504" s="5">
        <v>15</v>
      </c>
      <c r="AB1504" s="5">
        <v>299.17807499999998</v>
      </c>
      <c r="AC1504" s="5" t="str">
        <f t="shared" si="73"/>
        <v>Bonos</v>
      </c>
      <c r="AD1504" s="5" t="s">
        <v>43</v>
      </c>
      <c r="AE1504" s="5">
        <f t="shared" si="74"/>
        <v>10</v>
      </c>
      <c r="AF1504" s="5">
        <f t="shared" si="75"/>
        <v>2024</v>
      </c>
    </row>
    <row r="1505" s="5" customFormat="1" ht="13">
      <c r="A1505" s="5" t="s">
        <v>44</v>
      </c>
      <c r="B1505" s="5" t="s">
        <v>44</v>
      </c>
      <c r="C1505" s="5" t="s">
        <v>183</v>
      </c>
      <c r="D1505" s="5" t="s">
        <v>21</v>
      </c>
      <c r="E1505" s="5" t="s">
        <v>44</v>
      </c>
      <c r="F1505" s="5" t="s">
        <v>184</v>
      </c>
      <c r="H1505" s="9">
        <v>6391</v>
      </c>
      <c r="I1505" s="10"/>
      <c r="J1505" s="10">
        <v>45607</v>
      </c>
      <c r="K1505" s="5" t="s">
        <v>124</v>
      </c>
      <c r="L1505" s="5" t="s">
        <v>82</v>
      </c>
      <c r="M1505" s="11">
        <v>0.079000000000000001</v>
      </c>
      <c r="N1505" s="5" t="e">
        <f>IF(AND(M1505&gt;#REF!,Cartera!O2941="Guaraníes"),"Rendimiento significativo",IF(AND(M1505&gt;#REF!,Cartera!O2941="Dólares americanos"),"Rendimiento significativo","Rendimiento no significativo"))</f>
        <v>#REF!</v>
      </c>
      <c r="O1505" s="5" t="s">
        <v>41</v>
      </c>
      <c r="P1505" s="12">
        <v>10064460</v>
      </c>
      <c r="Q1505" s="12">
        <f>IF(O1505="Guaraníes",P1505,P1505*#REF!)</f>
        <v>10064460</v>
      </c>
      <c r="R1505" s="12" t="e">
        <f>IF(O1505="Guaraníes",P1505/#REF!,P1505)</f>
        <v>#REF!</v>
      </c>
      <c r="S1505" s="5" t="s">
        <v>52</v>
      </c>
      <c r="V1505" s="5">
        <v>10064460</v>
      </c>
      <c r="W1505" s="5" t="s">
        <v>279</v>
      </c>
      <c r="AC1505" s="5" t="str">
        <f t="shared" si="73"/>
        <v>CDA</v>
      </c>
      <c r="AD1505" s="5" t="s">
        <v>43</v>
      </c>
      <c r="AE1505" s="5">
        <f t="shared" si="74"/>
        <v>11</v>
      </c>
      <c r="AF1505" s="5">
        <f t="shared" si="75"/>
        <v>2024</v>
      </c>
    </row>
    <row r="1506" s="5" customFormat="1" ht="13">
      <c r="A1506" s="5" t="s">
        <v>368</v>
      </c>
      <c r="B1506" s="5" t="s">
        <v>368</v>
      </c>
      <c r="C1506" s="5" t="s">
        <v>67</v>
      </c>
      <c r="D1506" s="5" t="s">
        <v>20</v>
      </c>
      <c r="E1506" s="5" t="s">
        <v>34</v>
      </c>
      <c r="F1506" s="5" t="s">
        <v>68</v>
      </c>
      <c r="G1506" s="5" t="s">
        <v>91</v>
      </c>
      <c r="H1506" s="9" t="s">
        <v>110</v>
      </c>
      <c r="I1506" s="10"/>
      <c r="J1506" s="10">
        <v>45583</v>
      </c>
      <c r="K1506" s="5" t="s">
        <v>71</v>
      </c>
      <c r="L1506" s="5" t="s">
        <v>58</v>
      </c>
      <c r="M1506" s="11">
        <v>0.089999999999999997</v>
      </c>
      <c r="N1506" s="5" t="e">
        <f>IF(AND(M1506&gt;#REF!,Cartera!O3468="Guaraníes"),"Rendimiento significativo",IF(AND(M1506&gt;#REF!,Cartera!O3468="Dólares americanos"),"Rendimiento significativo","Rendimiento no significativo"))</f>
        <v>#REF!</v>
      </c>
      <c r="O1506" s="5" t="s">
        <v>51</v>
      </c>
      <c r="P1506" s="13">
        <v>2000</v>
      </c>
      <c r="Q1506" s="12" t="e">
        <f>IF(O1506="Guaraníes",P1506,P1506*#REF!)</f>
        <v>#REF!</v>
      </c>
      <c r="R1506" s="12">
        <f>IF(O1506="Guaraníes",P1506/#REF!,P1506)</f>
        <v>2000</v>
      </c>
      <c r="S1506" s="5" t="s">
        <v>52</v>
      </c>
      <c r="AC1506" s="5" t="str">
        <f t="shared" si="73"/>
        <v>Bonos</v>
      </c>
      <c r="AD1506" s="5" t="s">
        <v>43</v>
      </c>
      <c r="AE1506" s="5">
        <f t="shared" si="74"/>
        <v>10</v>
      </c>
      <c r="AF1506" s="5">
        <f t="shared" si="75"/>
        <v>2024</v>
      </c>
    </row>
    <row r="1507" s="5" customFormat="1" ht="13">
      <c r="A1507" s="5" t="s">
        <v>44</v>
      </c>
      <c r="B1507" s="5" t="s">
        <v>44</v>
      </c>
      <c r="C1507" s="5" t="s">
        <v>189</v>
      </c>
      <c r="D1507" s="5" t="s">
        <v>21</v>
      </c>
      <c r="E1507" s="5" t="s">
        <v>44</v>
      </c>
      <c r="F1507" s="5" t="s">
        <v>190</v>
      </c>
      <c r="G1507" s="5" t="s">
        <v>141</v>
      </c>
      <c r="H1507" s="9" t="s">
        <v>191</v>
      </c>
      <c r="I1507" s="10"/>
      <c r="J1507" s="10">
        <v>45646</v>
      </c>
      <c r="K1507" s="5" t="s">
        <v>77</v>
      </c>
      <c r="L1507" s="5" t="s">
        <v>58</v>
      </c>
      <c r="M1507" s="11">
        <v>0.089999999999999997</v>
      </c>
      <c r="N1507" s="5" t="e">
        <f>IF(AND(M1507&gt;#REF!,Cartera!O2083="Guaraníes"),"Rendimiento significativo",IF(AND(M1507&gt;#REF!,Cartera!O2083="Dólares americanos"),"Rendimiento significativo","Rendimiento no significativo"))</f>
        <v>#REF!</v>
      </c>
      <c r="O1507" s="5" t="s">
        <v>41</v>
      </c>
      <c r="P1507" s="12">
        <v>6731506.8480000002</v>
      </c>
      <c r="Q1507" s="12">
        <f>IF(O1507="Guaraníes",P1507,P1507*#REF!)</f>
        <v>6731506.8480000002</v>
      </c>
      <c r="R1507" s="12" t="e">
        <f>IF(O1507="Guaraníes",P1507/#REF!,P1507)</f>
        <v>#REF!</v>
      </c>
      <c r="S1507" s="5" t="s">
        <v>52</v>
      </c>
      <c r="T1507" s="5">
        <v>9243</v>
      </c>
      <c r="W1507" s="5" t="s">
        <v>65</v>
      </c>
      <c r="X1507" s="5">
        <v>0</v>
      </c>
      <c r="Y1507" s="5">
        <v>0</v>
      </c>
      <c r="Z1507" s="5">
        <v>22438.356159999999</v>
      </c>
      <c r="AA1507" s="5">
        <v>300</v>
      </c>
      <c r="AB1507" s="5">
        <v>6731506.8490000004</v>
      </c>
      <c r="AC1507" s="5" t="str">
        <f t="shared" si="73"/>
        <v>Bonos</v>
      </c>
      <c r="AD1507" s="5" t="s">
        <v>43</v>
      </c>
      <c r="AE1507" s="5">
        <f t="shared" si="74"/>
        <v>12</v>
      </c>
      <c r="AF1507" s="5">
        <f t="shared" si="75"/>
        <v>2024</v>
      </c>
    </row>
    <row r="1508" s="5" customFormat="1" ht="13">
      <c r="A1508" s="5">
        <v>12316</v>
      </c>
      <c r="B1508" s="5" t="s">
        <v>78</v>
      </c>
      <c r="C1508" s="5" t="s">
        <v>183</v>
      </c>
      <c r="D1508" s="5" t="s">
        <v>21</v>
      </c>
      <c r="E1508" s="5" t="s">
        <v>34</v>
      </c>
      <c r="F1508" s="5" t="s">
        <v>184</v>
      </c>
      <c r="H1508" s="9">
        <v>6388</v>
      </c>
      <c r="I1508" s="10"/>
      <c r="J1508" s="10">
        <v>45971</v>
      </c>
      <c r="K1508" s="5" t="s">
        <v>124</v>
      </c>
      <c r="L1508" s="5" t="s">
        <v>82</v>
      </c>
      <c r="M1508" s="11">
        <v>0.079000000000000001</v>
      </c>
      <c r="N1508" s="5" t="e">
        <f>IF(AND(M1508&gt;#REF!,Cartera!O2978="Guaraníes"),"Rendimiento significativo",IF(AND(M1508&gt;#REF!,Cartera!O2978="Dólares americanos"),"Rendimiento significativo","Rendimiento no significativo"))</f>
        <v>#REF!</v>
      </c>
      <c r="O1508" s="5" t="s">
        <v>41</v>
      </c>
      <c r="P1508" s="12">
        <v>10010350</v>
      </c>
      <c r="Q1508" s="12">
        <f>IF(O1508="Guaraníes",P1508,P1508*#REF!)</f>
        <v>10010350</v>
      </c>
      <c r="R1508" s="12" t="e">
        <f>IF(O1508="Guaraníes",P1508/#REF!,P1508)</f>
        <v>#REF!</v>
      </c>
      <c r="S1508" s="5" t="s">
        <v>42</v>
      </c>
      <c r="V1508" s="5">
        <v>9848020</v>
      </c>
      <c r="W1508" s="5" t="s">
        <v>369</v>
      </c>
      <c r="AC1508" s="5" t="str">
        <f t="shared" si="73"/>
        <v>CDA</v>
      </c>
      <c r="AD1508" s="5" t="s">
        <v>43</v>
      </c>
      <c r="AE1508" s="5">
        <f t="shared" si="74"/>
        <v>11</v>
      </c>
      <c r="AF1508" s="5">
        <f t="shared" si="75"/>
        <v>2025</v>
      </c>
    </row>
    <row r="1509" s="5" customFormat="1" ht="13">
      <c r="A1509" s="5">
        <v>12316</v>
      </c>
      <c r="B1509" s="5" t="s">
        <v>78</v>
      </c>
      <c r="C1509" s="5" t="s">
        <v>114</v>
      </c>
      <c r="D1509" s="5" t="s">
        <v>21</v>
      </c>
      <c r="E1509" s="5" t="s">
        <v>34</v>
      </c>
      <c r="F1509" s="5" t="s">
        <v>68</v>
      </c>
      <c r="G1509" s="5" t="s">
        <v>75</v>
      </c>
      <c r="H1509" s="9" t="s">
        <v>170</v>
      </c>
      <c r="I1509" s="10"/>
      <c r="J1509" s="10">
        <v>45972</v>
      </c>
      <c r="K1509" s="5" t="s">
        <v>77</v>
      </c>
      <c r="L1509" s="5" t="s">
        <v>50</v>
      </c>
      <c r="M1509" s="11">
        <v>0.14000000000000001</v>
      </c>
      <c r="N1509" s="5" t="e">
        <f>IF(AND(M1509&gt;#REF!,Cartera!O928="Guaraníes"),"Rendimiento significativo",IF(AND(M1509&gt;#REF!,Cartera!O928="Dólares americanos"),"Rendimiento significativo","Rendimiento no significativo"))</f>
        <v>#REF!</v>
      </c>
      <c r="O1509" s="5" t="s">
        <v>41</v>
      </c>
      <c r="P1509" s="12">
        <v>3490410.9589</v>
      </c>
      <c r="Q1509" s="12">
        <f>IF(O1509="Guaraníes",P1509,P1509*#REF!)</f>
        <v>3490410.9589</v>
      </c>
      <c r="R1509" s="12" t="e">
        <f>IF(O1509="Guaraníes",P1509/#REF!,P1509)</f>
        <v>#REF!</v>
      </c>
      <c r="S1509" s="5" t="s">
        <v>42</v>
      </c>
      <c r="T1509" s="5">
        <v>25</v>
      </c>
      <c r="W1509" s="5" t="s">
        <v>65</v>
      </c>
      <c r="X1509" s="5">
        <v>0</v>
      </c>
      <c r="Y1509" s="5">
        <v>0</v>
      </c>
      <c r="Z1509" s="5">
        <v>34904.109589</v>
      </c>
      <c r="AA1509" s="5">
        <v>100</v>
      </c>
      <c r="AB1509" s="5">
        <v>3490410.9589</v>
      </c>
      <c r="AC1509" s="5" t="str">
        <f t="shared" si="73"/>
        <v>Bonos</v>
      </c>
      <c r="AD1509" s="5" t="s">
        <v>43</v>
      </c>
      <c r="AE1509" s="5">
        <f t="shared" si="74"/>
        <v>11</v>
      </c>
      <c r="AF1509" s="5">
        <f t="shared" si="75"/>
        <v>2025</v>
      </c>
    </row>
    <row r="1510" s="5" customFormat="1" ht="13">
      <c r="A1510" s="5">
        <v>12315</v>
      </c>
      <c r="B1510" s="5" t="s">
        <v>73</v>
      </c>
      <c r="C1510" s="5" t="s">
        <v>60</v>
      </c>
      <c r="D1510" s="5" t="s">
        <v>21</v>
      </c>
      <c r="E1510" s="5" t="s">
        <v>34</v>
      </c>
      <c r="F1510" s="5" t="s">
        <v>61</v>
      </c>
      <c r="G1510" s="5" t="s">
        <v>62</v>
      </c>
      <c r="H1510" s="9" t="s">
        <v>63</v>
      </c>
      <c r="I1510" s="10"/>
      <c r="J1510" s="10">
        <v>45973</v>
      </c>
      <c r="K1510" s="5" t="s">
        <v>64</v>
      </c>
      <c r="L1510" s="5" t="s">
        <v>50</v>
      </c>
      <c r="M1510" s="11">
        <v>0.052499999999999998</v>
      </c>
      <c r="N1510" s="5" t="e">
        <f>IF(AND(M1510&gt;#REF!,Cartera!O147="Guaraníes"),"Rendimiento significativo",IF(AND(M1510&gt;#REF!,Cartera!O147="Dólares americanos"),"Rendimiento significativo","Rendimiento no significativo"))</f>
        <v>#REF!</v>
      </c>
      <c r="O1510" s="5" t="s">
        <v>51</v>
      </c>
      <c r="P1510" s="13">
        <v>793.97258999999997</v>
      </c>
      <c r="Q1510" s="12" t="e">
        <f>IF(O1510="Guaraníes",P1510,P1510*#REF!)</f>
        <v>#REF!</v>
      </c>
      <c r="R1510" s="12">
        <f>IF(O1510="Guaraníes",P1510/#REF!,P1510)</f>
        <v>793.97258999999997</v>
      </c>
      <c r="S1510" s="5" t="s">
        <v>42</v>
      </c>
      <c r="T1510" s="5">
        <v>8</v>
      </c>
      <c r="W1510" s="5" t="s">
        <v>65</v>
      </c>
      <c r="X1510" s="5">
        <v>0</v>
      </c>
      <c r="Y1510" s="5">
        <v>0</v>
      </c>
      <c r="Z1510" s="5">
        <v>26.465752999999999</v>
      </c>
      <c r="AA1510" s="5">
        <v>30</v>
      </c>
      <c r="AB1510" s="5">
        <v>793.97258999999997</v>
      </c>
      <c r="AC1510" s="5" t="str">
        <f t="shared" si="73"/>
        <v>Bonos</v>
      </c>
      <c r="AD1510" s="5" t="s">
        <v>43</v>
      </c>
      <c r="AE1510" s="5">
        <f t="shared" si="74"/>
        <v>11</v>
      </c>
      <c r="AF1510" s="5">
        <f t="shared" si="75"/>
        <v>2025</v>
      </c>
    </row>
    <row r="1511" s="5" customFormat="1" ht="13">
      <c r="A1511" s="5">
        <v>12316</v>
      </c>
      <c r="B1511" s="5" t="s">
        <v>78</v>
      </c>
      <c r="C1511" s="5" t="s">
        <v>116</v>
      </c>
      <c r="D1511" s="5" t="s">
        <v>21</v>
      </c>
      <c r="E1511" s="5" t="s">
        <v>34</v>
      </c>
      <c r="F1511" s="5" t="s">
        <v>68</v>
      </c>
      <c r="H1511" s="9">
        <v>6208</v>
      </c>
      <c r="I1511" s="10"/>
      <c r="J1511" s="10">
        <v>45975</v>
      </c>
      <c r="K1511" s="5" t="s">
        <v>118</v>
      </c>
      <c r="L1511" s="5" t="s">
        <v>82</v>
      </c>
      <c r="M1511" s="11">
        <v>0.080000000000000002</v>
      </c>
      <c r="N1511" s="5" t="e">
        <f>IF(AND(M1511&gt;#REF!,Cartera!O2965="Guaraníes"),"Rendimiento significativo",IF(AND(M1511&gt;#REF!,Cartera!O2965="Dólares americanos"),"Rendimiento significativo","Rendimiento no significativo"))</f>
        <v>#REF!</v>
      </c>
      <c r="O1511" s="5" t="s">
        <v>41</v>
      </c>
      <c r="P1511" s="12">
        <v>2213695</v>
      </c>
      <c r="Q1511" s="12">
        <f>IF(O1511="Guaraníes",P1511,P1511*#REF!)</f>
        <v>2213695</v>
      </c>
      <c r="R1511" s="12" t="e">
        <f>IF(O1511="Guaraníes",P1511/#REF!,P1511)</f>
        <v>#REF!</v>
      </c>
      <c r="S1511" s="5" t="s">
        <v>42</v>
      </c>
      <c r="V1511" s="5">
        <v>2213695</v>
      </c>
      <c r="W1511" s="5" t="s">
        <v>370</v>
      </c>
      <c r="AC1511" s="5" t="str">
        <f t="shared" si="73"/>
        <v>CDA</v>
      </c>
      <c r="AD1511" s="5" t="s">
        <v>43</v>
      </c>
      <c r="AE1511" s="5">
        <f t="shared" si="74"/>
        <v>11</v>
      </c>
      <c r="AF1511" s="5">
        <f t="shared" si="75"/>
        <v>2025</v>
      </c>
    </row>
    <row r="1512" s="5" customFormat="1" ht="13">
      <c r="A1512" s="5">
        <v>12315</v>
      </c>
      <c r="B1512" s="5" t="s">
        <v>73</v>
      </c>
      <c r="C1512" s="5" t="s">
        <v>45</v>
      </c>
      <c r="D1512" s="5" t="s">
        <v>21</v>
      </c>
      <c r="E1512" s="5" t="s">
        <v>34</v>
      </c>
      <c r="F1512" s="5" t="s">
        <v>46</v>
      </c>
      <c r="G1512" s="5" t="s">
        <v>55</v>
      </c>
      <c r="H1512" s="9" t="s">
        <v>108</v>
      </c>
      <c r="I1512" s="10">
        <v>44704</v>
      </c>
      <c r="J1512" s="10">
        <v>45978</v>
      </c>
      <c r="K1512" s="5" t="s">
        <v>49</v>
      </c>
      <c r="L1512" s="5" t="s">
        <v>58</v>
      </c>
      <c r="M1512" s="11">
        <v>0.059999999999999998</v>
      </c>
      <c r="N1512" s="5" t="e">
        <f>IF(AND(M1512&gt;#REF!,Cartera!O46="Guaraníes"),"Rendimiento significativo",IF(AND(M1512&gt;#REF!,Cartera!O46="Dólares americanos"),"Rendimiento significativo","Rendimiento no significativo"))</f>
        <v>#REF!</v>
      </c>
      <c r="O1512" s="5" t="s">
        <v>51</v>
      </c>
      <c r="P1512" s="13">
        <v>373.9726</v>
      </c>
      <c r="Q1512" s="12" t="e">
        <f>IF(O1512="Guaraníes",P1512,P1512*#REF!)</f>
        <v>#REF!</v>
      </c>
      <c r="R1512" s="12">
        <f>IF(O1512="Guaraníes",P1512/#REF!,P1512)</f>
        <v>373.9726</v>
      </c>
      <c r="S1512" s="5" t="s">
        <v>42</v>
      </c>
      <c r="V1512" s="5">
        <v>14.958904</v>
      </c>
      <c r="AA1512" s="5">
        <v>25</v>
      </c>
      <c r="AC1512" s="5" t="str">
        <f t="shared" si="73"/>
        <v>Bonos</v>
      </c>
      <c r="AD1512" s="5" t="s">
        <v>43</v>
      </c>
      <c r="AE1512" s="5">
        <f t="shared" si="74"/>
        <v>11</v>
      </c>
      <c r="AF1512" s="5">
        <f t="shared" si="75"/>
        <v>2025</v>
      </c>
    </row>
    <row r="1513" s="5" customFormat="1" ht="13">
      <c r="A1513" s="5">
        <v>12315</v>
      </c>
      <c r="B1513" s="5" t="s">
        <v>73</v>
      </c>
      <c r="C1513" s="5" t="s">
        <v>45</v>
      </c>
      <c r="D1513" s="5" t="s">
        <v>21</v>
      </c>
      <c r="E1513" s="5" t="s">
        <v>34</v>
      </c>
      <c r="F1513" s="5" t="s">
        <v>46</v>
      </c>
      <c r="G1513" s="5" t="s">
        <v>86</v>
      </c>
      <c r="H1513" s="9" t="s">
        <v>108</v>
      </c>
      <c r="I1513" s="10">
        <v>44704</v>
      </c>
      <c r="J1513" s="10">
        <v>45978</v>
      </c>
      <c r="K1513" s="5" t="s">
        <v>49</v>
      </c>
      <c r="L1513" s="5" t="s">
        <v>58</v>
      </c>
      <c r="M1513" s="11">
        <v>0.059999999999999998</v>
      </c>
      <c r="N1513" s="5" t="e">
        <f>IF(AND(M1513&gt;#REF!,Cartera!O340="Guaraníes"),"Rendimiento significativo",IF(AND(M1513&gt;#REF!,Cartera!O340="Dólares americanos"),"Rendimiento significativo","Rendimiento no significativo"))</f>
        <v>#REF!</v>
      </c>
      <c r="O1513" s="5" t="s">
        <v>51</v>
      </c>
      <c r="P1513" s="13">
        <v>478.68492800000001</v>
      </c>
      <c r="Q1513" s="12" t="e">
        <f>IF(O1513="Guaraníes",P1513,P1513*#REF!)</f>
        <v>#REF!</v>
      </c>
      <c r="R1513" s="12">
        <f>IF(O1513="Guaraníes",P1513/#REF!,P1513)</f>
        <v>478.68492800000001</v>
      </c>
      <c r="S1513" s="5" t="s">
        <v>42</v>
      </c>
      <c r="AA1513" s="5">
        <v>32</v>
      </c>
      <c r="AC1513" s="5" t="str">
        <f t="shared" si="73"/>
        <v>Bonos</v>
      </c>
      <c r="AD1513" s="5" t="s">
        <v>43</v>
      </c>
      <c r="AE1513" s="5">
        <f t="shared" si="74"/>
        <v>11</v>
      </c>
      <c r="AF1513" s="5">
        <f t="shared" si="75"/>
        <v>2025</v>
      </c>
    </row>
    <row r="1514" s="5" customFormat="1" ht="13">
      <c r="A1514" s="5">
        <v>12315</v>
      </c>
      <c r="B1514" s="5" t="s">
        <v>73</v>
      </c>
      <c r="C1514" s="5" t="s">
        <v>176</v>
      </c>
      <c r="D1514" s="5" t="s">
        <v>21</v>
      </c>
      <c r="E1514" s="5" t="s">
        <v>34</v>
      </c>
      <c r="F1514" s="5" t="s">
        <v>68</v>
      </c>
      <c r="G1514" s="5" t="s">
        <v>91</v>
      </c>
      <c r="H1514" s="9" t="s">
        <v>177</v>
      </c>
      <c r="I1514" s="10"/>
      <c r="J1514" s="10">
        <v>45980</v>
      </c>
      <c r="K1514" s="5" t="s">
        <v>178</v>
      </c>
      <c r="L1514" s="5" t="s">
        <v>58</v>
      </c>
      <c r="M1514" s="11">
        <v>0.085000000000000006</v>
      </c>
      <c r="N1514" s="5" t="e">
        <f>IF(AND(M1514&gt;#REF!,Cartera!O1885="Guaraníes"),"Rendimiento significativo",IF(AND(M1514&gt;#REF!,Cartera!O1885="Dólares americanos"),"Rendimiento significativo","Rendimiento no significativo"))</f>
        <v>#REF!</v>
      </c>
      <c r="O1514" s="5" t="s">
        <v>51</v>
      </c>
      <c r="P1514" s="13">
        <v>560.95890000000009</v>
      </c>
      <c r="Q1514" s="12" t="e">
        <f>IF(O1514="Guaraníes",P1514,P1514*#REF!)</f>
        <v>#REF!</v>
      </c>
      <c r="R1514" s="12">
        <f>IF(O1514="Guaraníes",P1514/#REF!,P1514)</f>
        <v>560.95890000000009</v>
      </c>
      <c r="S1514" s="5" t="s">
        <v>42</v>
      </c>
      <c r="T1514" s="5">
        <v>3253</v>
      </c>
      <c r="W1514" s="5" t="s">
        <v>65</v>
      </c>
      <c r="X1514" s="5">
        <v>0</v>
      </c>
      <c r="Y1514" s="5">
        <v>0</v>
      </c>
      <c r="Z1514" s="5">
        <v>18.698630000000001</v>
      </c>
      <c r="AA1514" s="5">
        <v>30</v>
      </c>
      <c r="AB1514" s="5">
        <v>560.95889999999997</v>
      </c>
      <c r="AC1514" s="5" t="str">
        <f t="shared" si="73"/>
        <v>Bonos</v>
      </c>
      <c r="AD1514" s="5" t="s">
        <v>43</v>
      </c>
      <c r="AE1514" s="5">
        <f t="shared" si="74"/>
        <v>11</v>
      </c>
      <c r="AF1514" s="5">
        <f t="shared" si="75"/>
        <v>2025</v>
      </c>
    </row>
    <row r="1515" s="5" customFormat="1" ht="13">
      <c r="A1515" s="5">
        <v>12302</v>
      </c>
      <c r="B1515" s="5" t="s">
        <v>98</v>
      </c>
      <c r="C1515" s="5" t="s">
        <v>143</v>
      </c>
      <c r="D1515" s="5" t="s">
        <v>20</v>
      </c>
      <c r="E1515" s="5" t="s">
        <v>34</v>
      </c>
      <c r="F1515" s="5" t="s">
        <v>144</v>
      </c>
      <c r="G1515" s="5" t="s">
        <v>145</v>
      </c>
      <c r="H1515" s="9" t="s">
        <v>146</v>
      </c>
      <c r="I1515" s="10">
        <v>43448</v>
      </c>
      <c r="J1515" s="10">
        <v>45807</v>
      </c>
      <c r="K1515" s="5" t="s">
        <v>49</v>
      </c>
      <c r="L1515" s="5" t="s">
        <v>106</v>
      </c>
      <c r="M1515" s="11">
        <v>0.060999999999999999</v>
      </c>
      <c r="N1515" s="5" t="e">
        <f>IF(AND(M1515&gt;#REF!,Cartera!O1515="Guaraníes"),"Rendimiento significativo",IF(AND(M1515&gt;#REF!,Cartera!O1515="Dólares americanos"),"Rendimiento significativo","Rendimiento no significativo"))</f>
        <v>#REF!</v>
      </c>
      <c r="O1515" s="5" t="s">
        <v>51</v>
      </c>
      <c r="P1515" s="13">
        <v>40000</v>
      </c>
      <c r="Q1515" s="12" t="e">
        <f>IF(O1515="Guaraníes",P1515,P1515*#REF!)</f>
        <v>#REF!</v>
      </c>
      <c r="R1515" s="12">
        <f>IF(O1515="Guaraníes",P1515/#REF!,P1515)</f>
        <v>40000</v>
      </c>
      <c r="S1515" s="5" t="s">
        <v>42</v>
      </c>
      <c r="T1515" s="5">
        <v>1057</v>
      </c>
      <c r="AC1515" s="5" t="str">
        <f t="shared" si="73"/>
        <v>Bonos</v>
      </c>
      <c r="AD1515" s="5" t="s">
        <v>43</v>
      </c>
      <c r="AE1515" s="5">
        <f t="shared" si="74"/>
        <v>5</v>
      </c>
      <c r="AF1515" s="5">
        <f t="shared" si="75"/>
        <v>2025</v>
      </c>
    </row>
    <row r="1516" s="5" customFormat="1" ht="13">
      <c r="A1516" s="5">
        <v>12316</v>
      </c>
      <c r="B1516" s="5" t="s">
        <v>78</v>
      </c>
      <c r="C1516" s="5" t="s">
        <v>94</v>
      </c>
      <c r="D1516" s="5" t="s">
        <v>21</v>
      </c>
      <c r="E1516" s="5" t="s">
        <v>34</v>
      </c>
      <c r="F1516" s="5" t="s">
        <v>68</v>
      </c>
      <c r="H1516" s="9" t="s">
        <v>182</v>
      </c>
      <c r="I1516" s="10">
        <v>45530</v>
      </c>
      <c r="J1516" s="10">
        <v>45980</v>
      </c>
      <c r="L1516" s="5" t="s">
        <v>82</v>
      </c>
      <c r="M1516" s="11">
        <v>0.082500000000000004</v>
      </c>
      <c r="N1516" s="5"/>
      <c r="O1516" s="5" t="s">
        <v>41</v>
      </c>
      <c r="P1516" s="13">
        <v>4068493</v>
      </c>
      <c r="Q1516" s="12">
        <f>IF(O1516="Guaraníes",P1516,P1516*#REF!)</f>
        <v>4068493</v>
      </c>
      <c r="R1516" s="13" t="e">
        <f>IF(O1516="Guaraníes",P1516/#REF!,P1516)</f>
        <v>#REF!</v>
      </c>
      <c r="S1516" s="5" t="s">
        <v>120</v>
      </c>
      <c r="AC1516" s="5" t="str">
        <f t="shared" si="73"/>
        <v>CDA</v>
      </c>
      <c r="AD1516" s="5" t="s">
        <v>43</v>
      </c>
      <c r="AE1516" s="5">
        <f t="shared" si="74"/>
        <v>11</v>
      </c>
      <c r="AF1516" s="5">
        <f t="shared" si="75"/>
        <v>2025</v>
      </c>
    </row>
    <row r="1517" s="5" customFormat="1" ht="13">
      <c r="A1517" s="5">
        <v>12315</v>
      </c>
      <c r="B1517" s="5" t="s">
        <v>73</v>
      </c>
      <c r="C1517" s="5" t="s">
        <v>60</v>
      </c>
      <c r="D1517" s="5" t="s">
        <v>21</v>
      </c>
      <c r="E1517" s="5" t="s">
        <v>34</v>
      </c>
      <c r="F1517" s="5" t="s">
        <v>68</v>
      </c>
      <c r="H1517" s="9"/>
      <c r="I1517" s="10">
        <v>45527</v>
      </c>
      <c r="J1517" s="10">
        <v>45982</v>
      </c>
      <c r="L1517" s="5" t="s">
        <v>82</v>
      </c>
      <c r="M1517" s="11">
        <v>0.057500000000000002</v>
      </c>
      <c r="N1517" s="5"/>
      <c r="O1517" s="5" t="s">
        <v>51</v>
      </c>
      <c r="P1517" s="13">
        <v>286.70999999999998</v>
      </c>
      <c r="Q1517" s="12" t="e">
        <f>IF(O1517="Guaraníes",P1517,P1517*#REF!)</f>
        <v>#REF!</v>
      </c>
      <c r="R1517" s="13">
        <f>IF(O1517="Guaraníes",P1517/#REF!,P1517)</f>
        <v>286.70999999999998</v>
      </c>
      <c r="S1517" s="5" t="s">
        <v>120</v>
      </c>
      <c r="AC1517" s="5" t="str">
        <f t="shared" si="73"/>
        <v>CDA</v>
      </c>
      <c r="AD1517" s="5" t="s">
        <v>43</v>
      </c>
      <c r="AE1517" s="5">
        <f t="shared" si="74"/>
        <v>11</v>
      </c>
      <c r="AF1517" s="5">
        <f t="shared" si="75"/>
        <v>2025</v>
      </c>
    </row>
    <row r="1518" s="5" customFormat="1" ht="13">
      <c r="A1518" s="5">
        <v>12315</v>
      </c>
      <c r="B1518" s="5" t="s">
        <v>73</v>
      </c>
      <c r="C1518" s="5" t="s">
        <v>222</v>
      </c>
      <c r="D1518" s="5" t="s">
        <v>21</v>
      </c>
      <c r="E1518" s="5" t="s">
        <v>34</v>
      </c>
      <c r="F1518" s="5" t="s">
        <v>68</v>
      </c>
      <c r="G1518" s="5" t="s">
        <v>91</v>
      </c>
      <c r="H1518" s="9" t="s">
        <v>223</v>
      </c>
      <c r="I1518" s="10"/>
      <c r="J1518" s="10">
        <v>45985</v>
      </c>
      <c r="K1518" s="5" t="s">
        <v>127</v>
      </c>
      <c r="L1518" s="5" t="s">
        <v>50</v>
      </c>
      <c r="M1518" s="11">
        <v>0.070000000000000007</v>
      </c>
      <c r="N1518" s="5" t="e">
        <f>IF(AND(M1518&gt;#REF!,Cartera!O1886="Guaraníes"),"Rendimiento significativo",IF(AND(M1518&gt;#REF!,Cartera!O1886="Dólares americanos"),"Rendimiento significativo","Rendimiento no significativo"))</f>
        <v>#REF!</v>
      </c>
      <c r="O1518" s="5" t="s">
        <v>51</v>
      </c>
      <c r="P1518" s="13">
        <v>1783.5599999999999</v>
      </c>
      <c r="Q1518" s="12" t="e">
        <f>IF(O1518="Guaraníes",P1518,P1518*#REF!)</f>
        <v>#REF!</v>
      </c>
      <c r="R1518" s="12">
        <f>IF(O1518="Guaraníes",P1518/#REF!,P1518)</f>
        <v>1783.5599999999999</v>
      </c>
      <c r="S1518" s="5" t="s">
        <v>42</v>
      </c>
      <c r="T1518" s="5">
        <v>3253</v>
      </c>
      <c r="U1518" s="5">
        <v>50000</v>
      </c>
      <c r="V1518" s="5">
        <v>4679487.9452299997</v>
      </c>
      <c r="W1518" s="5" t="s">
        <v>65</v>
      </c>
      <c r="X1518" s="5">
        <v>100</v>
      </c>
      <c r="Y1518" s="5">
        <v>1000</v>
      </c>
      <c r="Z1518" s="5">
        <v>1035.671233</v>
      </c>
      <c r="AA1518" s="5">
        <v>50</v>
      </c>
      <c r="AB1518" s="5">
        <v>51783.561650000003</v>
      </c>
      <c r="AC1518" s="5" t="str">
        <f t="shared" si="73"/>
        <v>Bonos</v>
      </c>
      <c r="AD1518" s="5" t="s">
        <v>43</v>
      </c>
      <c r="AE1518" s="5">
        <f t="shared" si="74"/>
        <v>11</v>
      </c>
      <c r="AF1518" s="5">
        <f t="shared" si="75"/>
        <v>2025</v>
      </c>
    </row>
    <row r="1519" s="5" customFormat="1" ht="13">
      <c r="A1519" s="5">
        <v>12316</v>
      </c>
      <c r="B1519" s="5" t="s">
        <v>78</v>
      </c>
      <c r="C1519" s="5" t="s">
        <v>164</v>
      </c>
      <c r="D1519" s="5" t="s">
        <v>21</v>
      </c>
      <c r="E1519" s="5" t="s">
        <v>34</v>
      </c>
      <c r="F1519" s="5" t="s">
        <v>68</v>
      </c>
      <c r="G1519" s="5" t="s">
        <v>145</v>
      </c>
      <c r="H1519" s="9" t="s">
        <v>165</v>
      </c>
      <c r="I1519" s="10"/>
      <c r="J1519" s="10">
        <v>45989</v>
      </c>
      <c r="K1519" s="5" t="s">
        <v>124</v>
      </c>
      <c r="L1519" s="5" t="s">
        <v>58</v>
      </c>
      <c r="M1519" s="11">
        <v>0.10000000000000001</v>
      </c>
      <c r="N1519" s="5" t="e">
        <f>IF(AND(M1519&gt;#REF!,Cartera!O1522="Guaraníes"),"Rendimiento significativo",IF(AND(M1519&gt;#REF!,Cartera!O1522="Dólares americanos"),"Rendimiento significativo","Rendimiento no significativo"))</f>
        <v>#REF!</v>
      </c>
      <c r="O1519" s="5" t="s">
        <v>41</v>
      </c>
      <c r="P1519" s="12">
        <v>3068493.1507999999</v>
      </c>
      <c r="Q1519" s="12">
        <f>IF(O1519="Guaraníes",P1519,P1519*#REF!)</f>
        <v>3068493.1507999999</v>
      </c>
      <c r="R1519" s="12" t="e">
        <f>IF(O1519="Guaraníes",P1519/#REF!,P1519)</f>
        <v>#REF!</v>
      </c>
      <c r="S1519" s="5" t="s">
        <v>42</v>
      </c>
      <c r="T1519" s="5">
        <v>1057</v>
      </c>
      <c r="W1519" s="5" t="s">
        <v>65</v>
      </c>
      <c r="X1519" s="5">
        <v>0</v>
      </c>
      <c r="Y1519" s="5">
        <v>0</v>
      </c>
      <c r="Z1519" s="5">
        <v>7671.2328770000004</v>
      </c>
      <c r="AA1519" s="5">
        <v>400</v>
      </c>
      <c r="AB1519" s="5">
        <v>3068493.1507999999</v>
      </c>
      <c r="AC1519" s="5" t="str">
        <f t="shared" si="73"/>
        <v>Bonos</v>
      </c>
      <c r="AD1519" s="5" t="s">
        <v>43</v>
      </c>
      <c r="AE1519" s="5">
        <f t="shared" si="74"/>
        <v>11</v>
      </c>
      <c r="AF1519" s="5">
        <f t="shared" si="75"/>
        <v>2025</v>
      </c>
    </row>
    <row r="1520" s="5" customFormat="1" ht="13">
      <c r="A1520" s="5">
        <v>12316</v>
      </c>
      <c r="B1520" s="5" t="s">
        <v>78</v>
      </c>
      <c r="C1520" s="5" t="s">
        <v>164</v>
      </c>
      <c r="D1520" s="5" t="s">
        <v>21</v>
      </c>
      <c r="E1520" s="5" t="s">
        <v>34</v>
      </c>
      <c r="F1520" s="5" t="s">
        <v>68</v>
      </c>
      <c r="G1520" s="5" t="s">
        <v>91</v>
      </c>
      <c r="H1520" s="9" t="s">
        <v>166</v>
      </c>
      <c r="I1520" s="10"/>
      <c r="J1520" s="10">
        <v>45989</v>
      </c>
      <c r="K1520" s="5" t="s">
        <v>124</v>
      </c>
      <c r="L1520" s="5" t="s">
        <v>58</v>
      </c>
      <c r="M1520" s="11">
        <v>0.092499999999999999</v>
      </c>
      <c r="N1520" s="5" t="e">
        <f>IF(AND(M1520&gt;#REF!,Cartera!O1888="Guaraníes"),"Rendimiento significativo",IF(AND(M1520&gt;#REF!,Cartera!O1888="Dólares americanos"),"Rendimiento significativo","Rendimiento no significativo"))</f>
        <v>#REF!</v>
      </c>
      <c r="O1520" s="5" t="s">
        <v>41</v>
      </c>
      <c r="P1520" s="12">
        <v>1064383.56165</v>
      </c>
      <c r="Q1520" s="12">
        <f>IF(O1520="Guaraníes",P1520,P1520*#REF!)</f>
        <v>1064383.56165</v>
      </c>
      <c r="R1520" s="12" t="e">
        <f>IF(O1520="Guaraníes",P1520/#REF!,P1520)</f>
        <v>#REF!</v>
      </c>
      <c r="S1520" s="5" t="s">
        <v>42</v>
      </c>
      <c r="T1520" s="5">
        <v>3253</v>
      </c>
      <c r="W1520" s="5" t="s">
        <v>65</v>
      </c>
      <c r="X1520" s="5">
        <v>0</v>
      </c>
      <c r="Y1520" s="5">
        <v>0</v>
      </c>
      <c r="Z1520" s="5">
        <v>7095.8904110000003</v>
      </c>
      <c r="AA1520" s="5">
        <v>150</v>
      </c>
      <c r="AB1520" s="5">
        <v>1064383.56165</v>
      </c>
      <c r="AC1520" s="5" t="str">
        <f t="shared" si="73"/>
        <v>Bonos</v>
      </c>
      <c r="AD1520" s="5" t="s">
        <v>43</v>
      </c>
      <c r="AE1520" s="5">
        <f t="shared" si="74"/>
        <v>11</v>
      </c>
      <c r="AF1520" s="5">
        <f t="shared" si="75"/>
        <v>2025</v>
      </c>
    </row>
    <row r="1521" s="5" customFormat="1" ht="13">
      <c r="A1521" s="5">
        <v>12316</v>
      </c>
      <c r="B1521" s="5" t="s">
        <v>78</v>
      </c>
      <c r="C1521" s="5" t="s">
        <v>164</v>
      </c>
      <c r="D1521" s="5" t="s">
        <v>21</v>
      </c>
      <c r="E1521" s="5" t="s">
        <v>34</v>
      </c>
      <c r="F1521" s="5" t="s">
        <v>68</v>
      </c>
      <c r="G1521" s="5" t="s">
        <v>141</v>
      </c>
      <c r="H1521" s="9" t="s">
        <v>165</v>
      </c>
      <c r="I1521" s="10"/>
      <c r="J1521" s="10">
        <v>45989</v>
      </c>
      <c r="K1521" s="5" t="s">
        <v>124</v>
      </c>
      <c r="L1521" s="5" t="s">
        <v>58</v>
      </c>
      <c r="M1521" s="11">
        <v>0.10000000000000001</v>
      </c>
      <c r="N1521" s="5" t="e">
        <f>IF(AND(M1521&gt;#REF!,Cartera!O2113="Guaraníes"),"Rendimiento significativo",IF(AND(M1521&gt;#REF!,Cartera!O2113="Dólares americanos"),"Rendimiento significativo","Rendimiento no significativo"))</f>
        <v>#REF!</v>
      </c>
      <c r="O1521" s="5" t="s">
        <v>41</v>
      </c>
      <c r="P1521" s="12">
        <v>767123.28769999999</v>
      </c>
      <c r="Q1521" s="12">
        <f>IF(O1521="Guaraníes",P1521,P1521*#REF!)</f>
        <v>767123.28769999999</v>
      </c>
      <c r="R1521" s="12" t="e">
        <f>IF(O1521="Guaraníes",P1521/#REF!,P1521)</f>
        <v>#REF!</v>
      </c>
      <c r="S1521" s="5" t="s">
        <v>42</v>
      </c>
      <c r="T1521" s="5">
        <v>9243</v>
      </c>
      <c r="W1521" s="5" t="s">
        <v>65</v>
      </c>
      <c r="X1521" s="5">
        <v>0</v>
      </c>
      <c r="Y1521" s="5">
        <v>0</v>
      </c>
      <c r="Z1521" s="5">
        <v>7671.2328770000004</v>
      </c>
      <c r="AA1521" s="5">
        <v>100</v>
      </c>
      <c r="AB1521" s="5">
        <v>767123.28769999999</v>
      </c>
      <c r="AC1521" s="5" t="str">
        <f t="shared" si="73"/>
        <v>Bonos</v>
      </c>
      <c r="AD1521" s="5" t="s">
        <v>43</v>
      </c>
      <c r="AE1521" s="5">
        <f t="shared" si="74"/>
        <v>11</v>
      </c>
      <c r="AF1521" s="5">
        <f t="shared" si="75"/>
        <v>2025</v>
      </c>
    </row>
    <row r="1522" s="5" customFormat="1" ht="13">
      <c r="A1522" s="5">
        <v>12316</v>
      </c>
      <c r="B1522" s="5" t="s">
        <v>78</v>
      </c>
      <c r="C1522" s="5" t="s">
        <v>164</v>
      </c>
      <c r="D1522" s="5" t="s">
        <v>21</v>
      </c>
      <c r="E1522" s="5" t="s">
        <v>34</v>
      </c>
      <c r="F1522" s="5" t="s">
        <v>68</v>
      </c>
      <c r="G1522" s="5" t="s">
        <v>141</v>
      </c>
      <c r="H1522" s="9" t="s">
        <v>167</v>
      </c>
      <c r="I1522" s="10"/>
      <c r="J1522" s="10">
        <v>45989</v>
      </c>
      <c r="K1522" s="5" t="s">
        <v>124</v>
      </c>
      <c r="L1522" s="5" t="s">
        <v>58</v>
      </c>
      <c r="M1522" s="11">
        <v>0.092499999999999999</v>
      </c>
      <c r="N1522" s="5" t="e">
        <f>IF(AND(M1522&gt;#REF!,Cartera!O2114="Guaraníes"),"Rendimiento significativo",IF(AND(M1522&gt;#REF!,Cartera!O2114="Dólares americanos"),"Rendimiento significativo","Rendimiento no significativo"))</f>
        <v>#REF!</v>
      </c>
      <c r="O1522" s="5" t="s">
        <v>41</v>
      </c>
      <c r="P1522" s="12">
        <v>709589.04110000003</v>
      </c>
      <c r="Q1522" s="12">
        <f>IF(O1522="Guaraníes",P1522,P1522*#REF!)</f>
        <v>709589.04110000003</v>
      </c>
      <c r="R1522" s="12" t="e">
        <f>IF(O1522="Guaraníes",P1522/#REF!,P1522)</f>
        <v>#REF!</v>
      </c>
      <c r="S1522" s="5" t="s">
        <v>42</v>
      </c>
      <c r="T1522" s="5">
        <v>9243</v>
      </c>
      <c r="W1522" s="5" t="s">
        <v>65</v>
      </c>
      <c r="X1522" s="5">
        <v>0</v>
      </c>
      <c r="Y1522" s="5">
        <v>0</v>
      </c>
      <c r="Z1522" s="5">
        <v>7095.8904110000003</v>
      </c>
      <c r="AA1522" s="5">
        <v>100</v>
      </c>
      <c r="AB1522" s="5">
        <v>709589.04110000003</v>
      </c>
      <c r="AC1522" s="5" t="str">
        <f t="shared" si="73"/>
        <v>Bonos</v>
      </c>
      <c r="AD1522" s="5" t="s">
        <v>43</v>
      </c>
      <c r="AE1522" s="5">
        <f t="shared" si="74"/>
        <v>11</v>
      </c>
      <c r="AF1522" s="5">
        <f t="shared" si="75"/>
        <v>2025</v>
      </c>
    </row>
    <row r="1523" s="5" customFormat="1" ht="13">
      <c r="A1523" s="5">
        <v>12316</v>
      </c>
      <c r="B1523" s="5" t="s">
        <v>78</v>
      </c>
      <c r="C1523" s="5" t="s">
        <v>138</v>
      </c>
      <c r="D1523" s="5" t="s">
        <v>21</v>
      </c>
      <c r="E1523" s="5" t="s">
        <v>34</v>
      </c>
      <c r="F1523" s="5" t="s">
        <v>68</v>
      </c>
      <c r="G1523" s="5" t="s">
        <v>86</v>
      </c>
      <c r="H1523" s="9" t="s">
        <v>139</v>
      </c>
      <c r="I1523" s="10">
        <v>43948</v>
      </c>
      <c r="J1523" s="10">
        <v>45992</v>
      </c>
      <c r="K1523" s="5" t="s">
        <v>140</v>
      </c>
      <c r="L1523" s="5" t="s">
        <v>58</v>
      </c>
      <c r="M1523" s="11">
        <v>0.11</v>
      </c>
      <c r="N1523" s="5" t="e">
        <f>IF(AND(M1523&gt;#REF!,Cartera!O3270="Guaraníes"),"Rendimiento significativo",IF(AND(M1523&gt;#REF!,Cartera!O3270="Dólares americanos"),"Rendimiento significativo","Rendimiento no significativo"))</f>
        <v>#REF!</v>
      </c>
      <c r="O1523" s="5" t="s">
        <v>41</v>
      </c>
      <c r="P1523" s="12">
        <v>964383.56160000002</v>
      </c>
      <c r="Q1523" s="12">
        <f>IF(O1523="Guaraníes",P1523,P1523*#REF!)</f>
        <v>964383.56160000002</v>
      </c>
      <c r="R1523" s="12" t="e">
        <f>IF(O1523="Guaraníes",P1523/#REF!,P1523)</f>
        <v>#REF!</v>
      </c>
      <c r="S1523" s="5" t="s">
        <v>42</v>
      </c>
      <c r="AC1523" s="5" t="str">
        <f t="shared" si="73"/>
        <v>Bonos</v>
      </c>
      <c r="AD1523" s="5" t="s">
        <v>43</v>
      </c>
      <c r="AE1523" s="5">
        <f t="shared" si="74"/>
        <v>12</v>
      </c>
      <c r="AF1523" s="5">
        <f t="shared" si="75"/>
        <v>2025</v>
      </c>
    </row>
    <row r="1524" s="5" customFormat="1" ht="13">
      <c r="A1524" s="5">
        <v>12316</v>
      </c>
      <c r="B1524" s="5" t="s">
        <v>78</v>
      </c>
      <c r="C1524" s="5" t="s">
        <v>111</v>
      </c>
      <c r="D1524" s="5" t="s">
        <v>21</v>
      </c>
      <c r="E1524" s="5" t="s">
        <v>34</v>
      </c>
      <c r="F1524" s="5" t="s">
        <v>68</v>
      </c>
      <c r="H1524" s="9" t="s">
        <v>187</v>
      </c>
      <c r="I1524" s="10">
        <v>45370</v>
      </c>
      <c r="J1524" s="10">
        <v>46000</v>
      </c>
      <c r="K1524" s="5" t="s">
        <v>140</v>
      </c>
      <c r="L1524" s="5" t="s">
        <v>82</v>
      </c>
      <c r="M1524" s="11">
        <v>0.086999999999999994</v>
      </c>
      <c r="N1524" s="5" t="e">
        <f>IF(AND(M1524&gt;#REF!,Cartera!O3558="Guaraníes"),"Rendimiento significativo",IF(AND(M1524&gt;#REF!,Cartera!O3558="Dólares americanos"),"Rendimiento significativo","Rendimiento no significativo"))</f>
        <v>#REF!</v>
      </c>
      <c r="O1524" s="5" t="s">
        <v>41</v>
      </c>
      <c r="P1524" s="12">
        <v>6435616</v>
      </c>
      <c r="Q1524" s="12">
        <f>IF(O1524="Guaraníes",P1524,P1524*#REF!)</f>
        <v>6435616</v>
      </c>
      <c r="R1524" s="12" t="e">
        <f>IF(O1524="Guaraníes",P1524/#REF!,P1524)</f>
        <v>#REF!</v>
      </c>
      <c r="S1524" s="5" t="s">
        <v>42</v>
      </c>
      <c r="AC1524" s="5" t="str">
        <f t="shared" si="73"/>
        <v>CDA</v>
      </c>
      <c r="AD1524" s="5" t="s">
        <v>43</v>
      </c>
      <c r="AE1524" s="5">
        <f t="shared" si="74"/>
        <v>12</v>
      </c>
      <c r="AF1524" s="5">
        <f t="shared" si="75"/>
        <v>2025</v>
      </c>
    </row>
    <row r="1525" s="5" customFormat="1" ht="13">
      <c r="A1525" s="5">
        <v>12315</v>
      </c>
      <c r="B1525" s="5" t="s">
        <v>73</v>
      </c>
      <c r="C1525" s="5" t="s">
        <v>111</v>
      </c>
      <c r="D1525" s="5" t="s">
        <v>21</v>
      </c>
      <c r="E1525" s="5" t="s">
        <v>34</v>
      </c>
      <c r="F1525" s="5" t="s">
        <v>68</v>
      </c>
      <c r="H1525" s="9" t="s">
        <v>188</v>
      </c>
      <c r="I1525" s="10">
        <v>45370</v>
      </c>
      <c r="J1525" s="10">
        <v>46000</v>
      </c>
      <c r="K1525" s="5" t="s">
        <v>140</v>
      </c>
      <c r="L1525" s="5" t="s">
        <v>82</v>
      </c>
      <c r="M1525" s="11">
        <v>0.057000000000000002</v>
      </c>
      <c r="N1525" s="5" t="e">
        <f>IF(AND(M1525&gt;#REF!,Cartera!O3568="Guaraníes"),"Rendimiento significativo",IF(AND(M1525&gt;#REF!,Cartera!O3568="Dólares americanos"),"Rendimiento significativo","Rendimiento no significativo"))</f>
        <v>#REF!</v>
      </c>
      <c r="O1525" s="5" t="s">
        <v>51</v>
      </c>
      <c r="P1525" s="13">
        <v>281.10000000000002</v>
      </c>
      <c r="Q1525" s="12" t="e">
        <f>IF(O1525="Guaraníes",P1525,P1525*#REF!)</f>
        <v>#REF!</v>
      </c>
      <c r="R1525" s="12">
        <f>IF(O1525="Guaraníes",P1525/#REF!,P1525)</f>
        <v>281.10000000000002</v>
      </c>
      <c r="S1525" s="5" t="s">
        <v>42</v>
      </c>
      <c r="AC1525" s="5" t="str">
        <f t="shared" si="73"/>
        <v>CDA</v>
      </c>
      <c r="AD1525" s="5" t="s">
        <v>43</v>
      </c>
      <c r="AE1525" s="5">
        <f t="shared" si="74"/>
        <v>12</v>
      </c>
      <c r="AF1525" s="5">
        <f t="shared" si="75"/>
        <v>2025</v>
      </c>
    </row>
    <row r="1526" s="5" customFormat="1" ht="13">
      <c r="A1526" s="5">
        <v>12315</v>
      </c>
      <c r="B1526" s="5" t="s">
        <v>73</v>
      </c>
      <c r="C1526" s="5" t="s">
        <v>33</v>
      </c>
      <c r="D1526" s="5" t="s">
        <v>21</v>
      </c>
      <c r="E1526" s="5" t="s">
        <v>34</v>
      </c>
      <c r="F1526" s="5" t="s">
        <v>35</v>
      </c>
      <c r="G1526" s="5" t="s">
        <v>75</v>
      </c>
      <c r="H1526" s="9" t="s">
        <v>186</v>
      </c>
      <c r="I1526" s="10"/>
      <c r="J1526" s="10">
        <v>46001</v>
      </c>
      <c r="K1526" s="5" t="s">
        <v>39</v>
      </c>
      <c r="L1526" s="5" t="s">
        <v>50</v>
      </c>
      <c r="M1526" s="11">
        <v>0.044999999999999998</v>
      </c>
      <c r="N1526" s="5" t="e">
        <f>IF(AND(M1526&gt;#REF!,Cartera!O929="Guaraníes"),"Rendimiento significativo",IF(AND(M1526&gt;#REF!,Cartera!O929="Dólares americanos"),"Rendimiento significativo","Rendimiento no significativo"))</f>
        <v>#REF!</v>
      </c>
      <c r="O1526" s="5" t="s">
        <v>51</v>
      </c>
      <c r="P1526" s="13">
        <v>336.57533999999998</v>
      </c>
      <c r="Q1526" s="12" t="e">
        <f>IF(O1526="Guaraníes",P1526,P1526*#REF!)</f>
        <v>#REF!</v>
      </c>
      <c r="R1526" s="12">
        <f>IF(O1526="Guaraníes",P1526/#REF!,P1526)</f>
        <v>336.57533999999998</v>
      </c>
      <c r="S1526" s="5" t="s">
        <v>42</v>
      </c>
      <c r="T1526" s="5">
        <v>25</v>
      </c>
      <c r="W1526" s="5" t="s">
        <v>65</v>
      </c>
      <c r="X1526" s="5">
        <v>0</v>
      </c>
      <c r="Y1526" s="5">
        <v>0</v>
      </c>
      <c r="Z1526" s="5">
        <v>11.219177999999999</v>
      </c>
      <c r="AA1526" s="5">
        <v>30</v>
      </c>
      <c r="AB1526" s="5">
        <v>336.57533999999998</v>
      </c>
      <c r="AC1526" s="5" t="str">
        <f t="shared" si="73"/>
        <v>Bonos</v>
      </c>
      <c r="AD1526" s="5" t="s">
        <v>43</v>
      </c>
      <c r="AE1526" s="5">
        <f t="shared" si="74"/>
        <v>12</v>
      </c>
      <c r="AF1526" s="5">
        <f t="shared" si="75"/>
        <v>2025</v>
      </c>
    </row>
    <row r="1527" s="5" customFormat="1" ht="13">
      <c r="A1527" s="5">
        <v>12315</v>
      </c>
      <c r="B1527" s="5" t="s">
        <v>73</v>
      </c>
      <c r="C1527" s="5" t="s">
        <v>33</v>
      </c>
      <c r="D1527" s="5" t="s">
        <v>21</v>
      </c>
      <c r="E1527" s="5" t="s">
        <v>34</v>
      </c>
      <c r="F1527" s="5" t="s">
        <v>35</v>
      </c>
      <c r="G1527" s="5" t="s">
        <v>69</v>
      </c>
      <c r="H1527" s="9" t="s">
        <v>186</v>
      </c>
      <c r="I1527" s="10"/>
      <c r="J1527" s="10">
        <v>46001</v>
      </c>
      <c r="K1527" s="5" t="s">
        <v>39</v>
      </c>
      <c r="L1527" s="5" t="s">
        <v>50</v>
      </c>
      <c r="M1527" s="11">
        <v>0.044999999999999998</v>
      </c>
      <c r="N1527" s="5" t="e">
        <f>IF(AND(M1527&gt;#REF!,Cartera!O2542="Guaraníes"),"Rendimiento significativo",IF(AND(M1527&gt;#REF!,Cartera!O2542="Dólares americanos"),"Rendimiento significativo","Rendimiento no significativo"))</f>
        <v>#REF!</v>
      </c>
      <c r="O1527" s="5" t="s">
        <v>51</v>
      </c>
      <c r="P1527" s="13">
        <v>448.76711999999998</v>
      </c>
      <c r="Q1527" s="12" t="e">
        <f>IF(O1527="Guaraníes",P1527,P1527*#REF!)</f>
        <v>#REF!</v>
      </c>
      <c r="R1527" s="12">
        <f>IF(O1527="Guaraníes",P1527/#REF!,P1527)</f>
        <v>448.76711999999998</v>
      </c>
      <c r="S1527" s="5" t="s">
        <v>42</v>
      </c>
      <c r="T1527" s="5">
        <v>593</v>
      </c>
      <c r="W1527" s="5" t="s">
        <v>65</v>
      </c>
      <c r="X1527" s="5">
        <v>0</v>
      </c>
      <c r="Y1527" s="5">
        <v>0</v>
      </c>
      <c r="Z1527" s="5">
        <v>11.219177999999999</v>
      </c>
      <c r="AA1527" s="5">
        <v>40</v>
      </c>
      <c r="AB1527" s="5">
        <v>448.76711999999998</v>
      </c>
      <c r="AC1527" s="5" t="str">
        <f t="shared" ref="AC1527:AC1590" si="76">IF(ISNUMBER(SEARCH("Acciones",L1527)),"Acciones",IF(ISNUMBER(SEARCH("Bono",L1527)),"Bonos",IF(ISNUMBER(SEARCH("CDA",L1527)),"CDA",IF(ISNUMBER(SEARCH("Fondo",L1527)),"Fondo",0))))</f>
        <v>Bonos</v>
      </c>
      <c r="AD1527" s="5" t="s">
        <v>43</v>
      </c>
      <c r="AE1527" s="5">
        <f t="shared" si="74"/>
        <v>12</v>
      </c>
      <c r="AF1527" s="5">
        <f t="shared" si="75"/>
        <v>2025</v>
      </c>
    </row>
    <row r="1528" s="5" customFormat="1" ht="13">
      <c r="A1528" s="5">
        <v>12316</v>
      </c>
      <c r="B1528" s="5" t="s">
        <v>78</v>
      </c>
      <c r="C1528" s="5" t="s">
        <v>160</v>
      </c>
      <c r="D1528" s="5" t="s">
        <v>21</v>
      </c>
      <c r="E1528" s="5" t="s">
        <v>34</v>
      </c>
      <c r="F1528" s="5" t="s">
        <v>68</v>
      </c>
      <c r="G1528" s="5" t="s">
        <v>91</v>
      </c>
      <c r="H1528" s="9" t="s">
        <v>161</v>
      </c>
      <c r="I1528" s="10">
        <v>44581</v>
      </c>
      <c r="J1528" s="10">
        <v>46006</v>
      </c>
      <c r="K1528" s="5" t="s">
        <v>162</v>
      </c>
      <c r="L1528" s="5" t="s">
        <v>58</v>
      </c>
      <c r="M1528" s="11">
        <v>0.086999999999999994</v>
      </c>
      <c r="N1528" s="5" t="e">
        <f>IF(AND(M1528&gt;#REF!,Cartera!O3137="Guaraníes"),"Rendimiento significativo",IF(AND(M1528&gt;#REF!,Cartera!O3137="Dólares americanos"),"Rendimiento significativo","Rendimiento no significativo"))</f>
        <v>#REF!</v>
      </c>
      <c r="O1528" s="5" t="s">
        <v>41</v>
      </c>
      <c r="P1528" s="12">
        <v>17352328.767200001</v>
      </c>
      <c r="Q1528" s="12">
        <f>IF(O1528="Guaraníes",P1528,P1528*#REF!)</f>
        <v>17352328.767200001</v>
      </c>
      <c r="R1528" s="12" t="e">
        <f>IF(O1528="Guaraníes",P1528/#REF!,P1528)</f>
        <v>#REF!</v>
      </c>
      <c r="S1528" s="5" t="s">
        <v>42</v>
      </c>
      <c r="AC1528" s="5" t="str">
        <f t="shared" si="76"/>
        <v>Bonos</v>
      </c>
      <c r="AD1528" s="5" t="s">
        <v>43</v>
      </c>
      <c r="AE1528" s="5">
        <f t="shared" si="74"/>
        <v>12</v>
      </c>
      <c r="AF1528" s="5">
        <f t="shared" si="75"/>
        <v>2025</v>
      </c>
    </row>
    <row r="1529" s="5" customFormat="1" ht="13">
      <c r="A1529" s="5">
        <v>12316</v>
      </c>
      <c r="B1529" s="5" t="s">
        <v>78</v>
      </c>
      <c r="C1529" s="5" t="s">
        <v>189</v>
      </c>
      <c r="D1529" s="5" t="s">
        <v>21</v>
      </c>
      <c r="E1529" s="5" t="s">
        <v>34</v>
      </c>
      <c r="F1529" s="5" t="s">
        <v>190</v>
      </c>
      <c r="G1529" s="5" t="s">
        <v>141</v>
      </c>
      <c r="H1529" s="9" t="s">
        <v>191</v>
      </c>
      <c r="I1529" s="10"/>
      <c r="J1529" s="10">
        <v>46010</v>
      </c>
      <c r="K1529" s="5" t="s">
        <v>77</v>
      </c>
      <c r="L1529" s="5" t="s">
        <v>58</v>
      </c>
      <c r="M1529" s="11">
        <v>0.089999999999999997</v>
      </c>
      <c r="N1529" s="5" t="e">
        <f>IF(AND(M1529&gt;#REF!,Cartera!O2115="Guaraníes"),"Rendimiento significativo",IF(AND(M1529&gt;#REF!,Cartera!O2115="Dólares americanos"),"Rendimiento significativo","Rendimiento no significativo"))</f>
        <v>#REF!</v>
      </c>
      <c r="O1529" s="5" t="s">
        <v>41</v>
      </c>
      <c r="P1529" s="12">
        <v>6731506.8480000002</v>
      </c>
      <c r="Q1529" s="12">
        <f>IF(O1529="Guaraníes",P1529,P1529*#REF!)</f>
        <v>6731506.8480000002</v>
      </c>
      <c r="R1529" s="12" t="e">
        <f>IF(O1529="Guaraníes",P1529/#REF!,P1529)</f>
        <v>#REF!</v>
      </c>
      <c r="S1529" s="5" t="s">
        <v>42</v>
      </c>
      <c r="T1529" s="5">
        <v>9243</v>
      </c>
      <c r="W1529" s="5" t="s">
        <v>65</v>
      </c>
      <c r="X1529" s="5">
        <v>0</v>
      </c>
      <c r="Y1529" s="5">
        <v>0</v>
      </c>
      <c r="Z1529" s="5">
        <v>22438.356159999999</v>
      </c>
      <c r="AA1529" s="5">
        <v>300</v>
      </c>
      <c r="AB1529" s="5">
        <v>6731506.8490000004</v>
      </c>
      <c r="AC1529" s="5" t="str">
        <f t="shared" si="76"/>
        <v>Bonos</v>
      </c>
      <c r="AD1529" s="5" t="s">
        <v>43</v>
      </c>
      <c r="AE1529" s="5">
        <f t="shared" si="74"/>
        <v>12</v>
      </c>
      <c r="AF1529" s="5">
        <f t="shared" si="75"/>
        <v>2025</v>
      </c>
    </row>
    <row r="1530" s="5" customFormat="1" ht="13">
      <c r="A1530" s="5">
        <v>12316</v>
      </c>
      <c r="B1530" s="5" t="s">
        <v>78</v>
      </c>
      <c r="C1530" s="5" t="s">
        <v>54</v>
      </c>
      <c r="D1530" s="5" t="s">
        <v>21</v>
      </c>
      <c r="E1530" s="5" t="s">
        <v>34</v>
      </c>
      <c r="F1530" s="5" t="s">
        <v>46</v>
      </c>
      <c r="G1530" s="5" t="s">
        <v>86</v>
      </c>
      <c r="H1530" s="9" t="s">
        <v>147</v>
      </c>
      <c r="I1530" s="10"/>
      <c r="J1530" s="10">
        <v>46013</v>
      </c>
      <c r="K1530" s="5" t="s">
        <v>57</v>
      </c>
      <c r="L1530" s="5" t="s">
        <v>58</v>
      </c>
      <c r="M1530" s="11">
        <v>0.12</v>
      </c>
      <c r="N1530" s="5" t="e">
        <f>IF(AND(M1530&gt;#REF!,Cartera!O221="Guaraníes"),"Rendimiento significativo",IF(AND(M1530&gt;#REF!,Cartera!O221="Dólares americanos"),"Rendimiento significativo","Rendimiento no significativo"))</f>
        <v>#REF!</v>
      </c>
      <c r="O1530" s="5" t="s">
        <v>41</v>
      </c>
      <c r="P1530" s="12">
        <v>2991780.8218999999</v>
      </c>
      <c r="Q1530" s="12">
        <f>IF(O1530="Guaraníes",P1530,P1530*#REF!)</f>
        <v>2991780.8218999999</v>
      </c>
      <c r="R1530" s="12" t="e">
        <f>IF(O1530="Guaraníes",P1530/#REF!,P1530)</f>
        <v>#REF!</v>
      </c>
      <c r="S1530" s="5" t="s">
        <v>42</v>
      </c>
      <c r="T1530" s="5">
        <v>10834</v>
      </c>
      <c r="W1530" s="5" t="s">
        <v>65</v>
      </c>
      <c r="X1530" s="5">
        <v>0</v>
      </c>
      <c r="Y1530" s="5">
        <v>0</v>
      </c>
      <c r="Z1530" s="5">
        <v>29917.808218999999</v>
      </c>
      <c r="AA1530" s="5">
        <v>100</v>
      </c>
      <c r="AB1530" s="5">
        <v>2991780.8218999999</v>
      </c>
      <c r="AC1530" s="5" t="str">
        <f t="shared" si="76"/>
        <v>Bonos</v>
      </c>
      <c r="AD1530" s="5" t="s">
        <v>43</v>
      </c>
      <c r="AE1530" s="5">
        <f t="shared" si="74"/>
        <v>12</v>
      </c>
      <c r="AF1530" s="5">
        <f t="shared" si="75"/>
        <v>2025</v>
      </c>
    </row>
    <row r="1531" s="5" customFormat="1" ht="13">
      <c r="A1531" s="5">
        <v>12316</v>
      </c>
      <c r="B1531" s="5" t="s">
        <v>78</v>
      </c>
      <c r="C1531" s="5" t="s">
        <v>54</v>
      </c>
      <c r="D1531" s="5" t="s">
        <v>21</v>
      </c>
      <c r="E1531" s="5" t="s">
        <v>34</v>
      </c>
      <c r="F1531" s="5" t="s">
        <v>46</v>
      </c>
      <c r="G1531" s="5" t="s">
        <v>86</v>
      </c>
      <c r="H1531" s="9" t="s">
        <v>148</v>
      </c>
      <c r="I1531" s="10"/>
      <c r="J1531" s="10">
        <v>46013</v>
      </c>
      <c r="K1531" s="5" t="s">
        <v>57</v>
      </c>
      <c r="L1531" s="5" t="s">
        <v>58</v>
      </c>
      <c r="M1531" s="11">
        <v>0.097500000000000003</v>
      </c>
      <c r="N1531" s="5" t="e">
        <f>IF(AND(M1535&gt;'Dashboard Sin Cavapy'!$B$21,Cartera!#REF!="Guaraníes"),"Rendimiento significativo", IF(AND(M1535&gt;'Dashboard Sin Cavapy'!$B$22,Cartera!#REF!="Dólares americanos"),"Rendimiento significativo","Rendimiento no significativo"))</f>
        <v>#NAME?</v>
      </c>
      <c r="O1531" s="5" t="s">
        <v>41</v>
      </c>
      <c r="P1531" s="12">
        <v>12154109.589</v>
      </c>
      <c r="Q1531" s="12">
        <f>IF(O1531="Guaraníes",P1531,P1531*#REF!)</f>
        <v>12154109.589</v>
      </c>
      <c r="R1531" s="12" t="e">
        <f>IF(O1531="Guaraníes",P1531/#REF!,P1531)</f>
        <v>#REF!</v>
      </c>
      <c r="S1531" s="5" t="s">
        <v>42</v>
      </c>
      <c r="T1531" s="5">
        <v>10834</v>
      </c>
      <c r="W1531" s="5" t="s">
        <v>65</v>
      </c>
      <c r="X1531" s="5">
        <v>0</v>
      </c>
      <c r="Y1531" s="5">
        <v>0</v>
      </c>
      <c r="Z1531" s="5">
        <v>24308.219177999999</v>
      </c>
      <c r="AA1531" s="5">
        <v>500</v>
      </c>
      <c r="AB1531" s="5">
        <v>12154109.589</v>
      </c>
      <c r="AC1531" s="5" t="str">
        <f t="shared" si="76"/>
        <v>Bonos</v>
      </c>
      <c r="AD1531" s="5" t="s">
        <v>43</v>
      </c>
      <c r="AE1531" s="5">
        <f t="shared" si="74"/>
        <v>12</v>
      </c>
      <c r="AF1531" s="5">
        <f t="shared" si="75"/>
        <v>2025</v>
      </c>
    </row>
    <row r="1532" s="5" customFormat="1" ht="13">
      <c r="A1532" s="5">
        <v>12316</v>
      </c>
      <c r="B1532" s="5" t="s">
        <v>78</v>
      </c>
      <c r="C1532" s="5" t="s">
        <v>54</v>
      </c>
      <c r="D1532" s="5" t="s">
        <v>21</v>
      </c>
      <c r="E1532" s="5" t="s">
        <v>34</v>
      </c>
      <c r="F1532" s="5" t="s">
        <v>46</v>
      </c>
      <c r="G1532" s="5" t="s">
        <v>75</v>
      </c>
      <c r="H1532" s="9" t="s">
        <v>147</v>
      </c>
      <c r="I1532" s="10"/>
      <c r="J1532" s="10">
        <v>46013</v>
      </c>
      <c r="K1532" s="5" t="s">
        <v>57</v>
      </c>
      <c r="L1532" s="5" t="s">
        <v>58</v>
      </c>
      <c r="M1532" s="11">
        <v>0.12</v>
      </c>
      <c r="N1532" s="5" t="e">
        <f>IF(AND(M1532&gt;#REF!,Cartera!O930="Guaraníes"),"Rendimiento significativo",IF(AND(M1532&gt;#REF!,Cartera!O930="Dólares americanos"),"Rendimiento significativo","Rendimiento no significativo"))</f>
        <v>#REF!</v>
      </c>
      <c r="O1532" s="5" t="s">
        <v>41</v>
      </c>
      <c r="P1532" s="12">
        <v>4487671.2328500003</v>
      </c>
      <c r="Q1532" s="12">
        <f>IF(O1532="Guaraníes",P1532,P1532*#REF!)</f>
        <v>4487671.2328500003</v>
      </c>
      <c r="R1532" s="12" t="e">
        <f>IF(O1532="Guaraníes",P1532/#REF!,P1532)</f>
        <v>#REF!</v>
      </c>
      <c r="S1532" s="5" t="s">
        <v>42</v>
      </c>
      <c r="T1532" s="5">
        <v>25</v>
      </c>
      <c r="W1532" s="5" t="s">
        <v>192</v>
      </c>
      <c r="X1532" s="5">
        <v>0</v>
      </c>
      <c r="Y1532" s="5">
        <v>0</v>
      </c>
      <c r="Z1532" s="5">
        <v>29917.808218999999</v>
      </c>
      <c r="AA1532" s="5">
        <v>150</v>
      </c>
      <c r="AB1532" s="5">
        <v>4487671.2328500003</v>
      </c>
      <c r="AC1532" s="5" t="str">
        <f t="shared" si="76"/>
        <v>Bonos</v>
      </c>
      <c r="AD1532" s="5" t="s">
        <v>43</v>
      </c>
      <c r="AE1532" s="5">
        <f t="shared" si="74"/>
        <v>12</v>
      </c>
      <c r="AF1532" s="5">
        <f t="shared" si="75"/>
        <v>2025</v>
      </c>
    </row>
    <row r="1533" s="5" customFormat="1" ht="13">
      <c r="A1533" s="5">
        <v>12316</v>
      </c>
      <c r="B1533" s="5" t="s">
        <v>78</v>
      </c>
      <c r="C1533" s="5" t="s">
        <v>138</v>
      </c>
      <c r="D1533" s="5" t="s">
        <v>21</v>
      </c>
      <c r="E1533" s="5" t="s">
        <v>34</v>
      </c>
      <c r="F1533" s="5" t="s">
        <v>68</v>
      </c>
      <c r="G1533" s="5" t="s">
        <v>86</v>
      </c>
      <c r="H1533" s="9" t="s">
        <v>193</v>
      </c>
      <c r="I1533" s="10">
        <v>44104</v>
      </c>
      <c r="J1533" s="10">
        <v>46014</v>
      </c>
      <c r="K1533" s="5" t="s">
        <v>140</v>
      </c>
      <c r="L1533" s="5" t="s">
        <v>58</v>
      </c>
      <c r="M1533" s="11">
        <v>0.10000000000000001</v>
      </c>
      <c r="N1533" s="5" t="e">
        <f>IF(AND(M1533&gt;#REF!,Cartera!O3433="Guaraníes"),"Rendimiento significativo",IF(AND(M1533&gt;#REF!,Cartera!O3433="Dólares americanos"),"Rendimiento significativo","Rendimiento no significativo"))</f>
        <v>#REF!</v>
      </c>
      <c r="O1533" s="5" t="s">
        <v>41</v>
      </c>
      <c r="P1533" s="12">
        <v>2493150.6849000002</v>
      </c>
      <c r="Q1533" s="12">
        <f>IF(O1533="Guaraníes",P1533,P1533*#REF!)</f>
        <v>2493150.6849000002</v>
      </c>
      <c r="R1533" s="12" t="e">
        <f>IF(O1533="Guaraníes",P1533/#REF!,P1533)</f>
        <v>#REF!</v>
      </c>
      <c r="S1533" s="5" t="s">
        <v>42</v>
      </c>
      <c r="AC1533" s="5" t="str">
        <f t="shared" si="76"/>
        <v>Bonos</v>
      </c>
      <c r="AD1533" s="5" t="s">
        <v>43</v>
      </c>
      <c r="AE1533" s="5">
        <f t="shared" si="74"/>
        <v>12</v>
      </c>
      <c r="AF1533" s="5">
        <f t="shared" si="75"/>
        <v>2025</v>
      </c>
    </row>
    <row r="1534" s="5" customFormat="1" ht="13">
      <c r="A1534" s="5">
        <v>12316</v>
      </c>
      <c r="B1534" s="5" t="s">
        <v>78</v>
      </c>
      <c r="C1534" s="5" t="s">
        <v>33</v>
      </c>
      <c r="D1534" s="5" t="s">
        <v>21</v>
      </c>
      <c r="E1534" s="5" t="s">
        <v>34</v>
      </c>
      <c r="F1534" s="5" t="s">
        <v>35</v>
      </c>
      <c r="G1534" s="5" t="s">
        <v>141</v>
      </c>
      <c r="H1534" s="9" t="s">
        <v>214</v>
      </c>
      <c r="I1534" s="10">
        <v>45015</v>
      </c>
      <c r="J1534" s="10">
        <v>46015</v>
      </c>
      <c r="K1534" s="5" t="s">
        <v>39</v>
      </c>
      <c r="L1534" s="5" t="s">
        <v>106</v>
      </c>
      <c r="M1534" s="11">
        <v>0.092700000000000005</v>
      </c>
      <c r="N1534" s="5" t="e">
        <f>IF(AND(M1534&gt;#REF!,Cartera!O3096="Guaraníes"),"Rendimiento significativo",IF(AND(M1534&gt;#REF!,Cartera!O3096="Dólares americanos"),"Rendimiento significativo","Rendimiento no significativo"))</f>
        <v>#REF!</v>
      </c>
      <c r="O1534" s="5" t="s">
        <v>41</v>
      </c>
      <c r="P1534" s="12">
        <v>6857260.2741</v>
      </c>
      <c r="Q1534" s="12">
        <f>IF(O1534="Guaraníes",P1534,P1534*#REF!)</f>
        <v>6857260.2741</v>
      </c>
      <c r="R1534" s="12" t="e">
        <f>IF(O1534="Guaraníes",P1534/#REF!,P1534)</f>
        <v>#REF!</v>
      </c>
      <c r="S1534" s="5" t="s">
        <v>42</v>
      </c>
      <c r="AC1534" s="5" t="str">
        <f t="shared" si="76"/>
        <v>Bonos</v>
      </c>
      <c r="AD1534" s="5" t="s">
        <v>43</v>
      </c>
      <c r="AE1534" s="5">
        <f t="shared" si="74"/>
        <v>12</v>
      </c>
      <c r="AF1534" s="5">
        <f t="shared" si="75"/>
        <v>2025</v>
      </c>
    </row>
    <row r="1535" s="5" customFormat="1" ht="13">
      <c r="A1535" s="5">
        <v>12316</v>
      </c>
      <c r="B1535" s="5" t="s">
        <v>78</v>
      </c>
      <c r="C1535" s="5" t="s">
        <v>183</v>
      </c>
      <c r="D1535" s="5" t="s">
        <v>21</v>
      </c>
      <c r="E1535" s="5" t="s">
        <v>34</v>
      </c>
      <c r="H1535" s="9" t="s">
        <v>210</v>
      </c>
      <c r="I1535" s="10">
        <v>45562</v>
      </c>
      <c r="J1535" s="10">
        <v>46017</v>
      </c>
      <c r="L1535" s="11" t="s">
        <v>82</v>
      </c>
      <c r="M1535" s="11">
        <v>0.053800000000000001</v>
      </c>
      <c r="N1535" s="11"/>
      <c r="O1535" s="5" t="s">
        <v>41</v>
      </c>
      <c r="P1535" s="13">
        <v>2682589</v>
      </c>
      <c r="Q1535" s="12">
        <f>IF(O1535="Guaraníes",P1535,P1535*#REF!)</f>
        <v>2682589</v>
      </c>
      <c r="R1535" s="13">
        <v>344.36757853117501</v>
      </c>
      <c r="S1535" s="5" t="s">
        <v>42</v>
      </c>
      <c r="AC1535" s="5" t="str">
        <f t="shared" si="76"/>
        <v>CDA</v>
      </c>
      <c r="AD1535" s="5" t="s">
        <v>43</v>
      </c>
    </row>
    <row r="1536" s="5" customFormat="1" ht="13">
      <c r="A1536" s="5">
        <v>12315</v>
      </c>
      <c r="B1536" s="5" t="s">
        <v>73</v>
      </c>
      <c r="C1536" s="5" t="s">
        <v>183</v>
      </c>
      <c r="D1536" s="5" t="s">
        <v>21</v>
      </c>
      <c r="E1536" s="5" t="s">
        <v>34</v>
      </c>
      <c r="H1536" s="9" t="s">
        <v>211</v>
      </c>
      <c r="I1536" s="10">
        <v>45562</v>
      </c>
      <c r="J1536" s="10">
        <v>46017</v>
      </c>
      <c r="L1536" s="11" t="s">
        <v>82</v>
      </c>
      <c r="M1536" s="11">
        <v>0.026800000000000001</v>
      </c>
      <c r="N1536" s="11" t="e">
        <f>IF(AND(M1536&gt;#REF!,Cartera!O1536="Guaraníes"),"Rendimiento significativo",IF(AND(M1536&gt;#REF!,Cartera!O1536="Dólares americanos"),"Rendimiento significativo","Rendimiento no significativo"))</f>
        <v>#REF!</v>
      </c>
      <c r="O1536" s="5" t="s">
        <v>51</v>
      </c>
      <c r="P1536" s="13">
        <v>133.63</v>
      </c>
      <c r="Q1536" s="12" t="e">
        <f>IF(O1536="Guaraníes",P1536,P1536*#REF!)</f>
        <v>#REF!</v>
      </c>
      <c r="R1536" s="17">
        <v>133.63</v>
      </c>
      <c r="S1536" s="5" t="s">
        <v>42</v>
      </c>
      <c r="AC1536" s="5" t="str">
        <f t="shared" si="76"/>
        <v>CDA</v>
      </c>
      <c r="AD1536" s="5" t="s">
        <v>43</v>
      </c>
    </row>
    <row r="1537" s="5" customFormat="1" ht="13">
      <c r="A1537" s="5">
        <v>12316</v>
      </c>
      <c r="B1537" s="5" t="s">
        <v>78</v>
      </c>
      <c r="C1537" s="5" t="s">
        <v>164</v>
      </c>
      <c r="D1537" s="5" t="s">
        <v>21</v>
      </c>
      <c r="E1537" s="5" t="s">
        <v>34</v>
      </c>
      <c r="F1537" s="5" t="s">
        <v>68</v>
      </c>
      <c r="G1537" s="5" t="s">
        <v>145</v>
      </c>
      <c r="H1537" s="9" t="s">
        <v>165</v>
      </c>
      <c r="I1537" s="10"/>
      <c r="J1537" s="10">
        <v>46021</v>
      </c>
      <c r="K1537" s="5" t="s">
        <v>124</v>
      </c>
      <c r="L1537" s="5" t="s">
        <v>58</v>
      </c>
      <c r="M1537" s="11">
        <v>0.10000000000000001</v>
      </c>
      <c r="N1537" s="5" t="e">
        <f>IF(AND(M1537&gt;#REF!,Cartera!O1523="Guaraníes"),"Rendimiento significativo",IF(AND(M1537&gt;#REF!,Cartera!O1523="Dólares americanos"),"Rendimiento significativo","Rendimiento no significativo"))</f>
        <v>#REF!</v>
      </c>
      <c r="O1537" s="5" t="s">
        <v>41</v>
      </c>
      <c r="P1537" s="12">
        <v>3506849.3152000001</v>
      </c>
      <c r="Q1537" s="12">
        <f>IF(O1537="Guaraníes",P1537,P1537*#REF!)</f>
        <v>3506849.3152000001</v>
      </c>
      <c r="R1537" s="12" t="e">
        <f>IF(O1537="Guaraníes",P1537/#REF!,P1537)</f>
        <v>#REF!</v>
      </c>
      <c r="S1537" s="5" t="s">
        <v>42</v>
      </c>
      <c r="T1537" s="5">
        <v>1057</v>
      </c>
      <c r="W1537" s="5" t="s">
        <v>65</v>
      </c>
      <c r="X1537" s="5">
        <v>0</v>
      </c>
      <c r="Y1537" s="5">
        <v>0</v>
      </c>
      <c r="Z1537" s="5">
        <v>8767.1232880000007</v>
      </c>
      <c r="AA1537" s="5">
        <v>400</v>
      </c>
      <c r="AB1537" s="5">
        <v>3506849.3152000001</v>
      </c>
      <c r="AC1537" s="5" t="str">
        <f t="shared" si="76"/>
        <v>Bonos</v>
      </c>
      <c r="AD1537" s="5" t="s">
        <v>43</v>
      </c>
      <c r="AE1537" s="5">
        <f t="shared" si="74"/>
        <v>12</v>
      </c>
      <c r="AF1537" s="5">
        <f t="shared" si="75"/>
        <v>2025</v>
      </c>
    </row>
    <row r="1538" s="5" customFormat="1" ht="13">
      <c r="A1538" s="5">
        <v>12316</v>
      </c>
      <c r="B1538" s="5" t="s">
        <v>78</v>
      </c>
      <c r="C1538" s="5" t="s">
        <v>164</v>
      </c>
      <c r="D1538" s="5" t="s">
        <v>21</v>
      </c>
      <c r="E1538" s="5" t="s">
        <v>34</v>
      </c>
      <c r="F1538" s="5" t="s">
        <v>68</v>
      </c>
      <c r="G1538" s="5" t="s">
        <v>91</v>
      </c>
      <c r="H1538" s="9" t="s">
        <v>166</v>
      </c>
      <c r="I1538" s="10"/>
      <c r="J1538" s="10">
        <v>46021</v>
      </c>
      <c r="K1538" s="5" t="s">
        <v>124</v>
      </c>
      <c r="L1538" s="5" t="s">
        <v>58</v>
      </c>
      <c r="M1538" s="11">
        <v>0.092499999999999999</v>
      </c>
      <c r="N1538" s="5" t="e">
        <f>IF(AND(M1538&gt;#REF!,Cartera!O1889="Guaraníes"),"Rendimiento significativo",IF(AND(M1538&gt;#REF!,Cartera!O1889="Dólares americanos"),"Rendimiento significativo","Rendimiento no significativo"))</f>
        <v>#REF!</v>
      </c>
      <c r="O1538" s="5" t="s">
        <v>41</v>
      </c>
      <c r="P1538" s="12">
        <v>1216438.3561500001</v>
      </c>
      <c r="Q1538" s="12">
        <f>IF(O1538="Guaraníes",P1538,P1538*#REF!)</f>
        <v>1216438.3561500001</v>
      </c>
      <c r="R1538" s="12" t="e">
        <f>IF(O1538="Guaraníes",P1538/#REF!,P1538)</f>
        <v>#REF!</v>
      </c>
      <c r="S1538" s="5" t="s">
        <v>42</v>
      </c>
      <c r="T1538" s="5">
        <v>3253</v>
      </c>
      <c r="W1538" s="5" t="s">
        <v>65</v>
      </c>
      <c r="X1538" s="5">
        <v>0</v>
      </c>
      <c r="Y1538" s="5">
        <v>0</v>
      </c>
      <c r="Z1538" s="5">
        <v>8109.5890410000002</v>
      </c>
      <c r="AA1538" s="5">
        <v>150</v>
      </c>
      <c r="AB1538" s="5">
        <v>1216438.3561499999</v>
      </c>
      <c r="AC1538" s="5" t="str">
        <f t="shared" si="76"/>
        <v>Bonos</v>
      </c>
      <c r="AD1538" s="5" t="s">
        <v>43</v>
      </c>
      <c r="AE1538" s="5">
        <f t="shared" si="74"/>
        <v>12</v>
      </c>
      <c r="AF1538" s="5">
        <f t="shared" si="75"/>
        <v>2025</v>
      </c>
    </row>
    <row r="1539" s="5" customFormat="1" ht="13">
      <c r="A1539" s="5">
        <v>12316</v>
      </c>
      <c r="B1539" s="5" t="s">
        <v>78</v>
      </c>
      <c r="C1539" s="5" t="s">
        <v>164</v>
      </c>
      <c r="D1539" s="5" t="s">
        <v>21</v>
      </c>
      <c r="E1539" s="5" t="s">
        <v>34</v>
      </c>
      <c r="F1539" s="5" t="s">
        <v>68</v>
      </c>
      <c r="G1539" s="5" t="s">
        <v>141</v>
      </c>
      <c r="H1539" s="9" t="s">
        <v>165</v>
      </c>
      <c r="I1539" s="10"/>
      <c r="J1539" s="10">
        <v>46021</v>
      </c>
      <c r="K1539" s="5" t="s">
        <v>124</v>
      </c>
      <c r="L1539" s="5" t="s">
        <v>58</v>
      </c>
      <c r="M1539" s="11">
        <v>0.10000000000000001</v>
      </c>
      <c r="N1539" s="5" t="e">
        <f>IF(AND(M1539&gt;#REF!,Cartera!O2116="Guaraníes"),"Rendimiento significativo",IF(AND(M1539&gt;#REF!,Cartera!O2116="Dólares americanos"),"Rendimiento significativo","Rendimiento no significativo"))</f>
        <v>#REF!</v>
      </c>
      <c r="O1539" s="5" t="s">
        <v>41</v>
      </c>
      <c r="P1539" s="12">
        <v>876712.32880000002</v>
      </c>
      <c r="Q1539" s="12">
        <f>IF(O1539="Guaraníes",P1539,P1539*#REF!)</f>
        <v>876712.32880000002</v>
      </c>
      <c r="R1539" s="12" t="e">
        <f>IF(O1539="Guaraníes",P1539/#REF!,P1539)</f>
        <v>#REF!</v>
      </c>
      <c r="S1539" s="5" t="s">
        <v>42</v>
      </c>
      <c r="T1539" s="5">
        <v>9243</v>
      </c>
      <c r="W1539" s="5" t="s">
        <v>65</v>
      </c>
      <c r="X1539" s="5">
        <v>0</v>
      </c>
      <c r="Y1539" s="5">
        <v>0</v>
      </c>
      <c r="Z1539" s="5">
        <v>8767.1232880000007</v>
      </c>
      <c r="AA1539" s="5">
        <v>100</v>
      </c>
      <c r="AB1539" s="5">
        <v>876712.32880000002</v>
      </c>
      <c r="AC1539" s="5" t="str">
        <f t="shared" si="76"/>
        <v>Bonos</v>
      </c>
      <c r="AD1539" s="5" t="s">
        <v>43</v>
      </c>
      <c r="AE1539" s="5">
        <f t="shared" si="74"/>
        <v>12</v>
      </c>
      <c r="AF1539" s="5">
        <f t="shared" si="75"/>
        <v>2025</v>
      </c>
    </row>
    <row r="1540" s="5" customFormat="1" ht="13">
      <c r="A1540" s="5">
        <v>12316</v>
      </c>
      <c r="B1540" s="5" t="s">
        <v>78</v>
      </c>
      <c r="C1540" s="5" t="s">
        <v>164</v>
      </c>
      <c r="D1540" s="5" t="s">
        <v>21</v>
      </c>
      <c r="E1540" s="5" t="s">
        <v>34</v>
      </c>
      <c r="F1540" s="5" t="s">
        <v>68</v>
      </c>
      <c r="G1540" s="5" t="s">
        <v>141</v>
      </c>
      <c r="H1540" s="9" t="s">
        <v>167</v>
      </c>
      <c r="I1540" s="10"/>
      <c r="J1540" s="10">
        <v>46021</v>
      </c>
      <c r="K1540" s="5" t="s">
        <v>124</v>
      </c>
      <c r="L1540" s="5" t="s">
        <v>58</v>
      </c>
      <c r="M1540" s="11">
        <v>0.092499999999999999</v>
      </c>
      <c r="N1540" s="5" t="e">
        <f>IF(AND(M1540&gt;#REF!,Cartera!O2117="Guaraníes"),"Rendimiento significativo",IF(AND(M1540&gt;#REF!,Cartera!O2117="Dólares americanos"),"Rendimiento significativo","Rendimiento no significativo"))</f>
        <v>#REF!</v>
      </c>
      <c r="O1540" s="5" t="s">
        <v>41</v>
      </c>
      <c r="P1540" s="12">
        <v>810958.90410000004</v>
      </c>
      <c r="Q1540" s="12">
        <f>IF(O1540="Guaraníes",P1540,P1540*#REF!)</f>
        <v>810958.90410000004</v>
      </c>
      <c r="R1540" s="12" t="e">
        <f>IF(O1540="Guaraníes",P1540/#REF!,P1540)</f>
        <v>#REF!</v>
      </c>
      <c r="S1540" s="5" t="s">
        <v>42</v>
      </c>
      <c r="T1540" s="5">
        <v>9243</v>
      </c>
      <c r="W1540" s="5" t="s">
        <v>65</v>
      </c>
      <c r="X1540" s="5">
        <v>0</v>
      </c>
      <c r="Y1540" s="5">
        <v>0</v>
      </c>
      <c r="Z1540" s="5">
        <v>8109.5890410000002</v>
      </c>
      <c r="AA1540" s="5">
        <v>100</v>
      </c>
      <c r="AB1540" s="5">
        <v>810958.90410000004</v>
      </c>
      <c r="AC1540" s="5" t="str">
        <f t="shared" si="76"/>
        <v>Bonos</v>
      </c>
      <c r="AD1540" s="5" t="s">
        <v>43</v>
      </c>
      <c r="AE1540" s="5">
        <f t="shared" si="74"/>
        <v>12</v>
      </c>
      <c r="AF1540" s="5">
        <f t="shared" si="75"/>
        <v>2025</v>
      </c>
    </row>
    <row r="1541" s="5" customFormat="1" ht="13">
      <c r="A1541" s="5">
        <v>12316</v>
      </c>
      <c r="B1541" s="5" t="s">
        <v>78</v>
      </c>
      <c r="C1541" s="5" t="s">
        <v>138</v>
      </c>
      <c r="D1541" s="5" t="s">
        <v>21</v>
      </c>
      <c r="E1541" s="5" t="s">
        <v>34</v>
      </c>
      <c r="F1541" s="5" t="s">
        <v>68</v>
      </c>
      <c r="G1541" s="5" t="s">
        <v>86</v>
      </c>
      <c r="H1541" s="9" t="s">
        <v>139</v>
      </c>
      <c r="I1541" s="10">
        <v>43948</v>
      </c>
      <c r="J1541" s="10">
        <v>46021</v>
      </c>
      <c r="K1541" s="5" t="s">
        <v>140</v>
      </c>
      <c r="L1541" s="5" t="s">
        <v>58</v>
      </c>
      <c r="M1541" s="11">
        <v>0.11</v>
      </c>
      <c r="N1541" s="5" t="e">
        <f>IF(AND(M1541&gt;#REF!,Cartera!O3269="Guaraníes"),"Rendimiento significativo",IF(AND(M1541&gt;#REF!,Cartera!O3269="Dólares americanos"),"Rendimiento significativo","Rendimiento no significativo"))</f>
        <v>#REF!</v>
      </c>
      <c r="O1541" s="5" t="s">
        <v>41</v>
      </c>
      <c r="P1541" s="12">
        <v>873972.60270000005</v>
      </c>
      <c r="Q1541" s="12">
        <f>IF(O1541="Guaraníes",P1541,P1541*#REF!)</f>
        <v>873972.60270000005</v>
      </c>
      <c r="R1541" s="12" t="e">
        <f>IF(O1541="Guaraníes",P1541/#REF!,P1541)</f>
        <v>#REF!</v>
      </c>
      <c r="S1541" s="5" t="s">
        <v>42</v>
      </c>
      <c r="AC1541" s="5" t="str">
        <f t="shared" si="76"/>
        <v>Bonos</v>
      </c>
      <c r="AD1541" s="5" t="s">
        <v>43</v>
      </c>
      <c r="AE1541" s="5">
        <f t="shared" si="74"/>
        <v>12</v>
      </c>
      <c r="AF1541" s="5">
        <f t="shared" si="75"/>
        <v>2025</v>
      </c>
    </row>
    <row r="1542" s="5" customFormat="1" ht="13">
      <c r="A1542" s="5">
        <v>12315</v>
      </c>
      <c r="B1542" s="5" t="s">
        <v>73</v>
      </c>
      <c r="C1542" s="5" t="s">
        <v>74</v>
      </c>
      <c r="D1542" s="5" t="s">
        <v>21</v>
      </c>
      <c r="E1542" s="5" t="s">
        <v>34</v>
      </c>
      <c r="F1542" s="5" t="s">
        <v>68</v>
      </c>
      <c r="G1542" s="5" t="s">
        <v>75</v>
      </c>
      <c r="H1542" s="9" t="s">
        <v>76</v>
      </c>
      <c r="I1542" s="10"/>
      <c r="J1542" s="10">
        <v>46024</v>
      </c>
      <c r="K1542" s="5" t="s">
        <v>77</v>
      </c>
      <c r="L1542" s="5" t="s">
        <v>50</v>
      </c>
      <c r="M1542" s="11">
        <v>0.055</v>
      </c>
      <c r="N1542" s="5" t="e">
        <f>IF(AND(M1542&gt;#REF!,Cartera!O1483="Guaraníes"),"Rendimiento significativo",IF(AND(M1542&gt;#REF!,Cartera!O1483="Dólares americanos"),"Rendimiento significativo","Rendimiento no significativo"))</f>
        <v>#REF!</v>
      </c>
      <c r="O1542" s="5" t="s">
        <v>51</v>
      </c>
      <c r="P1542" s="13">
        <v>420.41097000000002</v>
      </c>
      <c r="Q1542" s="12" t="e">
        <f>IF(O1542="Guaraníes",P1542,P1542*#REF!)</f>
        <v>#REF!</v>
      </c>
      <c r="R1542" s="12">
        <f>IF(O1542="Guaraníes",P1542/#REF!,P1542)</f>
        <v>420.41097000000002</v>
      </c>
      <c r="S1542" s="5" t="s">
        <v>42</v>
      </c>
      <c r="T1542" s="5">
        <v>25</v>
      </c>
      <c r="W1542" s="5" t="s">
        <v>65</v>
      </c>
      <c r="X1542" s="5">
        <v>0</v>
      </c>
      <c r="Y1542" s="5">
        <v>0</v>
      </c>
      <c r="Z1542" s="5">
        <v>14.013699000000001</v>
      </c>
      <c r="AA1542" s="5">
        <v>30</v>
      </c>
      <c r="AB1542" s="5">
        <v>420.41000000000003</v>
      </c>
      <c r="AC1542" s="5" t="str">
        <f t="shared" si="76"/>
        <v>Bonos</v>
      </c>
      <c r="AD1542" s="5" t="s">
        <v>43</v>
      </c>
      <c r="AE1542" s="5">
        <f t="shared" si="74"/>
        <v>1</v>
      </c>
      <c r="AF1542" s="5">
        <f t="shared" si="75"/>
        <v>2026</v>
      </c>
    </row>
    <row r="1543" s="5" customFormat="1" ht="13">
      <c r="A1543" s="5">
        <v>12316</v>
      </c>
      <c r="B1543" s="5" t="s">
        <v>78</v>
      </c>
      <c r="C1543" s="5" t="s">
        <v>94</v>
      </c>
      <c r="D1543" s="5" t="s">
        <v>21</v>
      </c>
      <c r="E1543" s="5" t="s">
        <v>34</v>
      </c>
      <c r="F1543" s="5" t="s">
        <v>68</v>
      </c>
      <c r="H1543" s="9" t="s">
        <v>95</v>
      </c>
      <c r="I1543" s="10">
        <v>45404</v>
      </c>
      <c r="J1543" s="10">
        <v>46034</v>
      </c>
      <c r="K1543" s="5" t="s">
        <v>96</v>
      </c>
      <c r="L1543" s="5" t="s">
        <v>82</v>
      </c>
      <c r="M1543" s="11">
        <v>0.085000000000000006</v>
      </c>
      <c r="N1543" s="5" t="e">
        <f>IF(AND(M1543&gt;#REF!,Cartera!O3592="Guaraníes"),"Rendimiento significativo",IF(AND(M1543&gt;#REF!,Cartera!O3592="Dólares americanos"),"Rendimiento significativo","Rendimiento no significativo"))</f>
        <v>#REF!</v>
      </c>
      <c r="O1543" s="5" t="s">
        <v>41</v>
      </c>
      <c r="P1543" s="12">
        <v>4191781</v>
      </c>
      <c r="Q1543" s="12">
        <f>IF(O1543="Guaraníes",P1543,P1543*#REF!)</f>
        <v>4191781</v>
      </c>
      <c r="R1543" s="12" t="e">
        <f>IF(O1543="Guaraníes",P1543/#REF!,P1543)</f>
        <v>#REF!</v>
      </c>
      <c r="S1543" s="5" t="s">
        <v>42</v>
      </c>
      <c r="AC1543" s="5" t="str">
        <f t="shared" si="76"/>
        <v>CDA</v>
      </c>
      <c r="AD1543" s="5" t="s">
        <v>43</v>
      </c>
      <c r="AE1543" s="5">
        <f t="shared" si="74"/>
        <v>1</v>
      </c>
      <c r="AF1543" s="5">
        <f t="shared" si="75"/>
        <v>2026</v>
      </c>
    </row>
    <row r="1544" s="5" customFormat="1" ht="13">
      <c r="A1544" s="5">
        <v>12315</v>
      </c>
      <c r="B1544" s="5" t="s">
        <v>73</v>
      </c>
      <c r="C1544" s="5" t="s">
        <v>85</v>
      </c>
      <c r="D1544" s="5" t="s">
        <v>21</v>
      </c>
      <c r="E1544" s="5" t="s">
        <v>34</v>
      </c>
      <c r="F1544" s="5" t="s">
        <v>68</v>
      </c>
      <c r="G1544" s="5" t="s">
        <v>86</v>
      </c>
      <c r="H1544" s="9" t="s">
        <v>87</v>
      </c>
      <c r="I1544" s="10"/>
      <c r="J1544" s="10">
        <v>46037</v>
      </c>
      <c r="K1544" s="5" t="s">
        <v>39</v>
      </c>
      <c r="L1544" s="5" t="s">
        <v>58</v>
      </c>
      <c r="M1544" s="11">
        <v>0.059999999999999998</v>
      </c>
      <c r="N1544" s="5" t="e">
        <f>IF(AND(M1544&gt;#REF!,Cartera!O267="Guaraníes"),"Rendimiento significativo",IF(AND(M1544&gt;#REF!,Cartera!O267="Dólares americanos"),"Rendimiento significativo","Rendimiento no significativo"))</f>
        <v>#REF!</v>
      </c>
      <c r="O1544" s="5" t="s">
        <v>51</v>
      </c>
      <c r="P1544" s="13">
        <v>747.9452</v>
      </c>
      <c r="Q1544" s="12" t="e">
        <f>IF(O1544="Guaraníes",P1544,P1544*#REF!)</f>
        <v>#REF!</v>
      </c>
      <c r="R1544" s="12">
        <f>IF(O1544="Guaraníes",P1544/#REF!,P1544)</f>
        <v>747.9452</v>
      </c>
      <c r="S1544" s="5" t="s">
        <v>42</v>
      </c>
      <c r="T1544" s="5">
        <v>10834</v>
      </c>
      <c r="W1544" s="5" t="s">
        <v>371</v>
      </c>
      <c r="X1544" s="5">
        <v>0</v>
      </c>
      <c r="Y1544" s="5">
        <v>0</v>
      </c>
      <c r="Z1544" s="5">
        <v>14.958904</v>
      </c>
      <c r="AA1544" s="5">
        <v>50</v>
      </c>
      <c r="AB1544" s="5">
        <v>747.9452</v>
      </c>
      <c r="AC1544" s="5" t="str">
        <f t="shared" si="76"/>
        <v>Bonos</v>
      </c>
      <c r="AD1544" s="5" t="s">
        <v>43</v>
      </c>
      <c r="AE1544" s="5">
        <f t="shared" si="74"/>
        <v>1</v>
      </c>
      <c r="AF1544" s="5">
        <f t="shared" si="75"/>
        <v>2026</v>
      </c>
    </row>
    <row r="1545" s="5" customFormat="1" ht="13">
      <c r="A1545" s="5">
        <v>12315</v>
      </c>
      <c r="B1545" s="5" t="s">
        <v>73</v>
      </c>
      <c r="C1545" s="5" t="s">
        <v>89</v>
      </c>
      <c r="D1545" s="5" t="s">
        <v>21</v>
      </c>
      <c r="E1545" s="5" t="s">
        <v>34</v>
      </c>
      <c r="F1545" s="5" t="s">
        <v>90</v>
      </c>
      <c r="G1545" s="5" t="s">
        <v>91</v>
      </c>
      <c r="H1545" s="9" t="s">
        <v>92</v>
      </c>
      <c r="I1545" s="10"/>
      <c r="J1545" s="10">
        <v>46037</v>
      </c>
      <c r="K1545" s="5" t="s">
        <v>93</v>
      </c>
      <c r="L1545" s="5" t="s">
        <v>58</v>
      </c>
      <c r="M1545" s="11">
        <v>0.080000000000000002</v>
      </c>
      <c r="N1545" s="5" t="e">
        <f>IF(AND(M1545&gt;#REF!,Cartera!O1890="Guaraníes"),"Rendimiento significativo",IF(AND(M1545&gt;#REF!,Cartera!O1890="Dólares americanos"),"Rendimiento significativo","Rendimiento no significativo"))</f>
        <v>#REF!</v>
      </c>
      <c r="O1545" s="5" t="s">
        <v>51</v>
      </c>
      <c r="P1545" s="13">
        <v>299.17807500000004</v>
      </c>
      <c r="Q1545" s="12" t="e">
        <f>IF(O1545="Guaraníes",P1545,P1545*#REF!)</f>
        <v>#REF!</v>
      </c>
      <c r="R1545" s="12">
        <f>IF(O1545="Guaraníes",P1545/#REF!,P1545)</f>
        <v>299.17807500000004</v>
      </c>
      <c r="S1545" s="5" t="s">
        <v>42</v>
      </c>
      <c r="T1545" s="5">
        <v>3253</v>
      </c>
      <c r="W1545" s="5" t="s">
        <v>65</v>
      </c>
      <c r="X1545" s="5">
        <v>0</v>
      </c>
      <c r="Y1545" s="5">
        <v>0</v>
      </c>
      <c r="Z1545" s="5">
        <v>19.945205000000001</v>
      </c>
      <c r="AA1545" s="5">
        <v>15</v>
      </c>
      <c r="AB1545" s="5">
        <v>299.17807499999998</v>
      </c>
      <c r="AC1545" s="5" t="str">
        <f t="shared" si="76"/>
        <v>Bonos</v>
      </c>
      <c r="AD1545" s="5" t="s">
        <v>43</v>
      </c>
      <c r="AE1545" s="5">
        <f t="shared" si="74"/>
        <v>1</v>
      </c>
      <c r="AF1545" s="5">
        <f t="shared" si="75"/>
        <v>2026</v>
      </c>
    </row>
    <row r="1546" s="5" customFormat="1" ht="13">
      <c r="A1546" s="5">
        <v>12315</v>
      </c>
      <c r="B1546" s="5" t="s">
        <v>73</v>
      </c>
      <c r="C1546" s="5" t="s">
        <v>60</v>
      </c>
      <c r="D1546" s="5" t="s">
        <v>21</v>
      </c>
      <c r="E1546" s="5" t="s">
        <v>34</v>
      </c>
      <c r="F1546" s="5" t="s">
        <v>68</v>
      </c>
      <c r="H1546" s="9" t="s">
        <v>84</v>
      </c>
      <c r="I1546" s="10">
        <v>45393</v>
      </c>
      <c r="J1546" s="10">
        <v>46037</v>
      </c>
      <c r="K1546" s="5" t="s">
        <v>64</v>
      </c>
      <c r="L1546" s="5" t="s">
        <v>82</v>
      </c>
      <c r="M1546" s="11">
        <v>0.055</v>
      </c>
      <c r="N1546" s="5" t="e">
        <f>IF(AND(M1546&gt;#REF!,Cartera!O3578="Guaraníes"),"Rendimiento significativo",IF(AND(M1546&gt;#REF!,Cartera!O3578="Dólares americanos"),"Rendimiento significativo","Rendimiento no significativo"))</f>
        <v>#REF!</v>
      </c>
      <c r="O1546" s="5" t="s">
        <v>51</v>
      </c>
      <c r="P1546" s="13">
        <v>291.12</v>
      </c>
      <c r="Q1546" s="12" t="e">
        <f>IF(O1546="Guaraníes",P1546,P1546*#REF!)</f>
        <v>#REF!</v>
      </c>
      <c r="R1546" s="12">
        <f>IF(O1546="Guaraníes",P1546/#REF!,P1546)</f>
        <v>291.12</v>
      </c>
      <c r="S1546" s="5" t="s">
        <v>42</v>
      </c>
      <c r="AC1546" s="5" t="str">
        <f t="shared" si="76"/>
        <v>CDA</v>
      </c>
      <c r="AD1546" s="5" t="s">
        <v>43</v>
      </c>
      <c r="AE1546" s="5">
        <f t="shared" si="74"/>
        <v>1</v>
      </c>
      <c r="AF1546" s="5">
        <f t="shared" si="75"/>
        <v>2026</v>
      </c>
    </row>
    <row r="1547" s="5" customFormat="1" ht="13">
      <c r="A1547" s="5">
        <v>12315</v>
      </c>
      <c r="B1547" s="5" t="s">
        <v>73</v>
      </c>
      <c r="C1547" s="5" t="s">
        <v>111</v>
      </c>
      <c r="D1547" s="5" t="s">
        <v>21</v>
      </c>
      <c r="E1547" s="5" t="s">
        <v>34</v>
      </c>
      <c r="F1547" s="5" t="s">
        <v>68</v>
      </c>
      <c r="H1547" s="9"/>
      <c r="I1547" s="10">
        <v>45497</v>
      </c>
      <c r="J1547" s="10">
        <v>46037</v>
      </c>
      <c r="L1547" s="5" t="s">
        <v>82</v>
      </c>
      <c r="M1547" s="11">
        <v>0.058000000000000003</v>
      </c>
      <c r="N1547" s="5"/>
      <c r="O1547" s="5" t="s">
        <v>51</v>
      </c>
      <c r="P1547" s="18">
        <v>286.02999999999997</v>
      </c>
      <c r="Q1547" s="12" t="e">
        <f>IF(O1547="Guaraníes",P1547,P1547*#REF!)</f>
        <v>#REF!</v>
      </c>
      <c r="R1547" s="12">
        <f>IF(O1547="Guaraníes",P1547/#REF!,P1547)</f>
        <v>286.02999999999997</v>
      </c>
      <c r="S1547" s="5" t="s">
        <v>42</v>
      </c>
      <c r="AC1547" s="5" t="str">
        <f t="shared" si="76"/>
        <v>CDA</v>
      </c>
      <c r="AD1547" s="5" t="s">
        <v>43</v>
      </c>
      <c r="AE1547" s="5">
        <f t="shared" si="74"/>
        <v>1</v>
      </c>
      <c r="AF1547" s="5">
        <f t="shared" si="75"/>
        <v>2026</v>
      </c>
    </row>
    <row r="1548" s="5" customFormat="1" ht="13">
      <c r="A1548" s="5">
        <v>12316</v>
      </c>
      <c r="B1548" s="5" t="s">
        <v>78</v>
      </c>
      <c r="C1548" s="5" t="s">
        <v>111</v>
      </c>
      <c r="D1548" s="5" t="s">
        <v>21</v>
      </c>
      <c r="E1548" s="5" t="s">
        <v>34</v>
      </c>
      <c r="F1548" s="12" t="s">
        <v>68</v>
      </c>
      <c r="G1548" s="12"/>
      <c r="H1548" s="19"/>
      <c r="I1548" s="10">
        <v>45497</v>
      </c>
      <c r="J1548" s="10">
        <v>46037</v>
      </c>
      <c r="K1548" s="12"/>
      <c r="L1548" s="5" t="s">
        <v>82</v>
      </c>
      <c r="M1548" s="11">
        <v>0.073999999999999996</v>
      </c>
      <c r="N1548" s="5"/>
      <c r="O1548" s="5" t="s">
        <v>41</v>
      </c>
      <c r="P1548" s="15">
        <v>3193151</v>
      </c>
      <c r="Q1548" s="12">
        <f>IF(O1548="Guaraníes",P1548,P1548*#REF!)</f>
        <v>3193151</v>
      </c>
      <c r="R1548" s="12" t="e">
        <f>IF(O1548="Guaraníes",P1548/#REF!,P1548)</f>
        <v>#REF!</v>
      </c>
      <c r="S1548" s="5" t="s">
        <v>42</v>
      </c>
      <c r="AC1548" s="5" t="str">
        <f t="shared" si="76"/>
        <v>CDA</v>
      </c>
      <c r="AD1548" s="5" t="s">
        <v>43</v>
      </c>
      <c r="AE1548" s="5">
        <f t="shared" si="74"/>
        <v>1</v>
      </c>
      <c r="AF1548" s="5">
        <f t="shared" si="75"/>
        <v>2026</v>
      </c>
    </row>
    <row r="1549" s="5" customFormat="1" ht="13">
      <c r="A1549" s="5">
        <v>12315</v>
      </c>
      <c r="B1549" s="5" t="s">
        <v>73</v>
      </c>
      <c r="C1549" s="5" t="s">
        <v>54</v>
      </c>
      <c r="D1549" s="5" t="s">
        <v>21</v>
      </c>
      <c r="E1549" s="5" t="s">
        <v>34</v>
      </c>
      <c r="F1549" s="5" t="s">
        <v>46</v>
      </c>
      <c r="G1549" s="5" t="s">
        <v>55</v>
      </c>
      <c r="H1549" s="9" t="s">
        <v>56</v>
      </c>
      <c r="I1549" s="10">
        <v>44680</v>
      </c>
      <c r="J1549" s="10">
        <v>46045</v>
      </c>
      <c r="K1549" s="5" t="s">
        <v>57</v>
      </c>
      <c r="L1549" s="5" t="s">
        <v>58</v>
      </c>
      <c r="M1549" s="11">
        <v>0.059999999999999998</v>
      </c>
      <c r="N1549" s="5" t="e">
        <f>IF(AND(M1549&gt;#REF!,Cartera!O18="Guaraníes"),"Rendimiento significativo",IF(AND(M1549&gt;#REF!,Cartera!O18="Dólares americanos"),"Rendimiento significativo","Rendimiento no significativo"))</f>
        <v>#REF!</v>
      </c>
      <c r="O1549" s="5" t="s">
        <v>51</v>
      </c>
      <c r="P1549" s="13">
        <v>747.9452</v>
      </c>
      <c r="Q1549" s="12" t="e">
        <f>IF(O1549="Guaraníes",P1549,P1549*#REF!)</f>
        <v>#REF!</v>
      </c>
      <c r="R1549" s="12">
        <f>IF(O1549="Guaraníes",P1549/#REF!,P1549)</f>
        <v>747.9452</v>
      </c>
      <c r="S1549" s="5" t="s">
        <v>42</v>
      </c>
      <c r="T1549" s="5">
        <v>17035</v>
      </c>
      <c r="V1549" s="5">
        <v>14.960000000000001</v>
      </c>
      <c r="AA1549" s="5">
        <v>50</v>
      </c>
      <c r="AC1549" s="5" t="str">
        <f t="shared" si="76"/>
        <v>Bonos</v>
      </c>
      <c r="AD1549" s="5" t="s">
        <v>43</v>
      </c>
      <c r="AE1549" s="5">
        <f t="shared" si="74"/>
        <v>1</v>
      </c>
      <c r="AF1549" s="5">
        <f t="shared" si="75"/>
        <v>2026</v>
      </c>
    </row>
    <row r="1550" s="5" customFormat="1" ht="13">
      <c r="A1550" s="5">
        <v>12316</v>
      </c>
      <c r="B1550" s="5" t="s">
        <v>78</v>
      </c>
      <c r="C1550" s="5" t="s">
        <v>79</v>
      </c>
      <c r="D1550" s="5" t="s">
        <v>21</v>
      </c>
      <c r="E1550" s="5" t="s">
        <v>34</v>
      </c>
      <c r="F1550" s="12" t="s">
        <v>68</v>
      </c>
      <c r="G1550" s="12"/>
      <c r="H1550" s="9" t="s">
        <v>119</v>
      </c>
      <c r="I1550" s="10">
        <v>45497</v>
      </c>
      <c r="J1550" s="10">
        <v>46048</v>
      </c>
      <c r="K1550" s="12"/>
      <c r="L1550" s="5" t="s">
        <v>82</v>
      </c>
      <c r="M1550" s="11">
        <v>0.083500000000000005</v>
      </c>
      <c r="N1550" s="5"/>
      <c r="O1550" s="5" t="s">
        <v>41</v>
      </c>
      <c r="P1550" s="12">
        <v>3151267</v>
      </c>
      <c r="Q1550" s="12">
        <f>IF(O1550="Guaraníes",P1550,P1550*#REF!)</f>
        <v>3151267</v>
      </c>
      <c r="R1550" s="13" t="e">
        <f>IF(O1550="Guaraníes",P1550/#REF!,P1550)</f>
        <v>#REF!</v>
      </c>
      <c r="S1550" s="5" t="s">
        <v>120</v>
      </c>
      <c r="AC1550" s="5" t="str">
        <f t="shared" si="76"/>
        <v>CDA</v>
      </c>
      <c r="AD1550" s="5" t="s">
        <v>43</v>
      </c>
      <c r="AE1550" s="5">
        <f t="shared" si="74"/>
        <v>1</v>
      </c>
      <c r="AF1550" s="5">
        <f t="shared" si="75"/>
        <v>2026</v>
      </c>
    </row>
    <row r="1551" s="5" customFormat="1" ht="13">
      <c r="A1551" s="5">
        <v>12315</v>
      </c>
      <c r="B1551" s="5" t="s">
        <v>73</v>
      </c>
      <c r="C1551" s="5" t="s">
        <v>79</v>
      </c>
      <c r="D1551" s="5" t="s">
        <v>21</v>
      </c>
      <c r="E1551" s="5" t="s">
        <v>34</v>
      </c>
      <c r="F1551" s="5" t="s">
        <v>68</v>
      </c>
      <c r="H1551" s="9" t="s">
        <v>121</v>
      </c>
      <c r="I1551" s="10">
        <v>45497</v>
      </c>
      <c r="J1551" s="10">
        <v>46048</v>
      </c>
      <c r="L1551" s="5" t="s">
        <v>82</v>
      </c>
      <c r="M1551" s="11">
        <v>0.042000000000000003</v>
      </c>
      <c r="O1551" s="5" t="s">
        <v>51</v>
      </c>
      <c r="P1551" s="13">
        <v>211</v>
      </c>
      <c r="Q1551" s="12" t="e">
        <f>IF(O1551="Guaraníes",P1551,P1551*#REF!)</f>
        <v>#REF!</v>
      </c>
      <c r="R1551" s="13">
        <f>IF(O1551="Guaraníes",P1551/#REF!,P1551)</f>
        <v>211</v>
      </c>
      <c r="S1551" s="5" t="s">
        <v>120</v>
      </c>
      <c r="AC1551" s="5" t="str">
        <f t="shared" si="76"/>
        <v>CDA</v>
      </c>
      <c r="AD1551" s="5" t="s">
        <v>43</v>
      </c>
      <c r="AE1551" s="5">
        <f t="shared" si="74"/>
        <v>1</v>
      </c>
      <c r="AF1551" s="5">
        <f t="shared" si="75"/>
        <v>2026</v>
      </c>
    </row>
    <row r="1552" s="5" customFormat="1" ht="13">
      <c r="A1552" s="5">
        <v>12315</v>
      </c>
      <c r="B1552" s="5" t="s">
        <v>73</v>
      </c>
      <c r="C1552" s="5" t="s">
        <v>33</v>
      </c>
      <c r="D1552" s="5" t="s">
        <v>21</v>
      </c>
      <c r="E1552" s="5" t="s">
        <v>34</v>
      </c>
      <c r="F1552" s="5" t="s">
        <v>35</v>
      </c>
      <c r="G1552" s="5" t="s">
        <v>141</v>
      </c>
      <c r="H1552" s="9" t="s">
        <v>142</v>
      </c>
      <c r="I1552" s="10">
        <v>44956</v>
      </c>
      <c r="J1552" s="10">
        <v>46049</v>
      </c>
      <c r="K1552" s="5" t="s">
        <v>39</v>
      </c>
      <c r="L1552" s="5" t="s">
        <v>50</v>
      </c>
      <c r="M1552" s="11">
        <v>0.065000000000000002</v>
      </c>
      <c r="N1552" s="5" t="e">
        <f>IF(AND(M1552&gt;#REF!,Cartera!O3068="Guaraníes"),"Rendimiento significativo",IF(AND(M1552&gt;#REF!,Cartera!O3068="Dólares americanos"),"Rendimiento significativo","Rendimiento no significativo"))</f>
        <v>#REF!</v>
      </c>
      <c r="O1552" s="5" t="s">
        <v>51</v>
      </c>
      <c r="P1552" s="13">
        <v>1296.43832</v>
      </c>
      <c r="Q1552" s="12" t="e">
        <f>IF(O1552="Guaraníes",P1552,P1552*#REF!)</f>
        <v>#REF!</v>
      </c>
      <c r="R1552" s="12">
        <f>IF(O1552="Guaraníes",P1552/#REF!,P1552)</f>
        <v>1296.43832</v>
      </c>
      <c r="S1552" s="5" t="s">
        <v>42</v>
      </c>
      <c r="AC1552" s="5" t="str">
        <f t="shared" si="76"/>
        <v>Bonos</v>
      </c>
      <c r="AD1552" s="5" t="s">
        <v>43</v>
      </c>
      <c r="AE1552" s="5">
        <f t="shared" si="74"/>
        <v>1</v>
      </c>
      <c r="AF1552" s="5">
        <f t="shared" si="75"/>
        <v>2026</v>
      </c>
    </row>
    <row r="1553" s="5" customFormat="1" ht="13">
      <c r="A1553" s="5">
        <v>12316</v>
      </c>
      <c r="B1553" s="5" t="s">
        <v>78</v>
      </c>
      <c r="C1553" s="5" t="s">
        <v>138</v>
      </c>
      <c r="D1553" s="5" t="s">
        <v>21</v>
      </c>
      <c r="E1553" s="5" t="s">
        <v>34</v>
      </c>
      <c r="F1553" s="5" t="s">
        <v>68</v>
      </c>
      <c r="G1553" s="5" t="s">
        <v>86</v>
      </c>
      <c r="H1553" s="9" t="s">
        <v>139</v>
      </c>
      <c r="I1553" s="10">
        <v>43948</v>
      </c>
      <c r="J1553" s="10">
        <v>46051</v>
      </c>
      <c r="K1553" s="5" t="s">
        <v>140</v>
      </c>
      <c r="L1553" s="5" t="s">
        <v>58</v>
      </c>
      <c r="M1553" s="11">
        <v>0.11</v>
      </c>
      <c r="N1553" s="5" t="e">
        <f>IF(AND(M1553&gt;#REF!,Cartera!O3268="Guaraníes"),"Rendimiento significativo",IF(AND(M1553&gt;#REF!,Cartera!O3268="Dólares americanos"),"Rendimiento significativo","Rendimiento no significativo"))</f>
        <v>#REF!</v>
      </c>
      <c r="O1553" s="5" t="s">
        <v>41</v>
      </c>
      <c r="P1553" s="12">
        <v>904109.58900000004</v>
      </c>
      <c r="Q1553" s="12">
        <f>IF(O1553="Guaraníes",P1553,P1553*#REF!)</f>
        <v>904109.58900000004</v>
      </c>
      <c r="R1553" s="12" t="e">
        <f>IF(O1553="Guaraníes",P1553/#REF!,P1553)</f>
        <v>#REF!</v>
      </c>
      <c r="S1553" s="5" t="s">
        <v>42</v>
      </c>
      <c r="AC1553" s="5" t="str">
        <f t="shared" si="76"/>
        <v>Bonos</v>
      </c>
      <c r="AD1553" s="5" t="s">
        <v>43</v>
      </c>
      <c r="AE1553" s="5">
        <f t="shared" si="74"/>
        <v>1</v>
      </c>
      <c r="AF1553" s="5">
        <f t="shared" si="75"/>
        <v>2026</v>
      </c>
    </row>
    <row r="1554" s="5" customFormat="1" ht="13">
      <c r="A1554" s="5">
        <v>12316</v>
      </c>
      <c r="B1554" s="5" t="s">
        <v>78</v>
      </c>
      <c r="C1554" s="5" t="s">
        <v>164</v>
      </c>
      <c r="D1554" s="5" t="s">
        <v>21</v>
      </c>
      <c r="E1554" s="5" t="s">
        <v>34</v>
      </c>
      <c r="F1554" s="5" t="s">
        <v>68</v>
      </c>
      <c r="G1554" s="5" t="s">
        <v>145</v>
      </c>
      <c r="H1554" s="9" t="s">
        <v>165</v>
      </c>
      <c r="I1554" s="10"/>
      <c r="J1554" s="10">
        <v>46052</v>
      </c>
      <c r="K1554" s="5" t="s">
        <v>124</v>
      </c>
      <c r="L1554" s="5" t="s">
        <v>58</v>
      </c>
      <c r="M1554" s="11">
        <v>0.10000000000000001</v>
      </c>
      <c r="N1554" s="5" t="e">
        <f>IF(AND(M1554&gt;#REF!,Cartera!O1524="Guaraníes"),"Rendimiento significativo",IF(AND(M1554&gt;#REF!,Cartera!O1524="Dólares americanos"),"Rendimiento significativo","Rendimiento no significativo"))</f>
        <v>#REF!</v>
      </c>
      <c r="O1554" s="5" t="s">
        <v>41</v>
      </c>
      <c r="P1554" s="12">
        <v>3397260.2740000002</v>
      </c>
      <c r="Q1554" s="12">
        <f>IF(O1554="Guaraníes",P1554,P1554*#REF!)</f>
        <v>3397260.2740000002</v>
      </c>
      <c r="R1554" s="12" t="e">
        <f>IF(O1554="Guaraníes",P1554/#REF!,P1554)</f>
        <v>#REF!</v>
      </c>
      <c r="S1554" s="5" t="s">
        <v>42</v>
      </c>
      <c r="T1554" s="5">
        <v>1057</v>
      </c>
      <c r="W1554" s="5" t="s">
        <v>65</v>
      </c>
      <c r="X1554" s="5">
        <v>0</v>
      </c>
      <c r="Y1554" s="5">
        <v>0</v>
      </c>
      <c r="Z1554" s="5">
        <v>8493.1506850000005</v>
      </c>
      <c r="AA1554" s="5">
        <v>400</v>
      </c>
      <c r="AB1554" s="5">
        <v>3397260.2740000002</v>
      </c>
      <c r="AC1554" s="5" t="str">
        <f t="shared" si="76"/>
        <v>Bonos</v>
      </c>
      <c r="AD1554" s="5" t="s">
        <v>43</v>
      </c>
      <c r="AE1554" s="5">
        <f t="shared" ref="AE1554:AE1617" si="77">IFERROR((MONTH(J1554)),0)</f>
        <v>1</v>
      </c>
      <c r="AF1554" s="5">
        <f t="shared" ref="AF1554:AF1617" si="78">IFERROR((YEAR(J1554)),0)</f>
        <v>2026</v>
      </c>
    </row>
    <row r="1555" s="5" customFormat="1" ht="13">
      <c r="A1555" s="5">
        <v>12316</v>
      </c>
      <c r="B1555" s="5" t="s">
        <v>78</v>
      </c>
      <c r="C1555" s="5" t="s">
        <v>164</v>
      </c>
      <c r="D1555" s="5" t="s">
        <v>21</v>
      </c>
      <c r="E1555" s="5" t="s">
        <v>34</v>
      </c>
      <c r="F1555" s="5" t="s">
        <v>68</v>
      </c>
      <c r="G1555" s="5" t="s">
        <v>91</v>
      </c>
      <c r="H1555" s="9" t="s">
        <v>166</v>
      </c>
      <c r="I1555" s="10"/>
      <c r="J1555" s="10">
        <v>46052</v>
      </c>
      <c r="K1555" s="5" t="s">
        <v>124</v>
      </c>
      <c r="L1555" s="5" t="s">
        <v>58</v>
      </c>
      <c r="M1555" s="11">
        <v>0.092499999999999999</v>
      </c>
      <c r="N1555" s="5" t="e">
        <f>IF(AND(M1555&gt;#REF!,Cartera!O1891="Guaraníes"),"Rendimiento significativo",IF(AND(M1555&gt;#REF!,Cartera!O1891="Dólares americanos"),"Rendimiento significativo","Rendimiento no significativo"))</f>
        <v>#REF!</v>
      </c>
      <c r="O1555" s="5" t="s">
        <v>41</v>
      </c>
      <c r="P1555" s="12">
        <v>1178424.6576</v>
      </c>
      <c r="Q1555" s="12">
        <f>IF(O1555="Guaraníes",P1555,P1555*#REF!)</f>
        <v>1178424.6576</v>
      </c>
      <c r="R1555" s="12" t="e">
        <f>IF(O1555="Guaraníes",P1555/#REF!,P1555)</f>
        <v>#REF!</v>
      </c>
      <c r="S1555" s="5" t="s">
        <v>42</v>
      </c>
      <c r="T1555" s="5">
        <v>3253</v>
      </c>
      <c r="W1555" s="5" t="s">
        <v>65</v>
      </c>
      <c r="X1555" s="5">
        <v>0</v>
      </c>
      <c r="Y1555" s="5">
        <v>0</v>
      </c>
      <c r="Z1555" s="5">
        <v>7856.1643839999997</v>
      </c>
      <c r="AA1555" s="5">
        <v>150</v>
      </c>
      <c r="AB1555" s="5">
        <v>1178424.6576</v>
      </c>
      <c r="AC1555" s="5" t="str">
        <f t="shared" si="76"/>
        <v>Bonos</v>
      </c>
      <c r="AD1555" s="5" t="s">
        <v>43</v>
      </c>
      <c r="AE1555" s="5">
        <f t="shared" si="77"/>
        <v>1</v>
      </c>
      <c r="AF1555" s="5">
        <f t="shared" si="78"/>
        <v>2026</v>
      </c>
    </row>
    <row r="1556" s="5" customFormat="1" ht="13">
      <c r="A1556" s="5">
        <v>12316</v>
      </c>
      <c r="B1556" s="5" t="s">
        <v>78</v>
      </c>
      <c r="C1556" s="5" t="s">
        <v>164</v>
      </c>
      <c r="D1556" s="5" t="s">
        <v>21</v>
      </c>
      <c r="E1556" s="5" t="s">
        <v>34</v>
      </c>
      <c r="F1556" s="5" t="s">
        <v>68</v>
      </c>
      <c r="G1556" s="5" t="s">
        <v>141</v>
      </c>
      <c r="H1556" s="9" t="s">
        <v>165</v>
      </c>
      <c r="I1556" s="10"/>
      <c r="J1556" s="10">
        <v>46052</v>
      </c>
      <c r="K1556" s="5" t="s">
        <v>124</v>
      </c>
      <c r="L1556" s="5" t="s">
        <v>58</v>
      </c>
      <c r="M1556" s="11">
        <v>0.10000000000000001</v>
      </c>
      <c r="N1556" s="5" t="e">
        <f>IF(AND(M1556&gt;#REF!,Cartera!O2118="Guaraníes"),"Rendimiento significativo",IF(AND(M1556&gt;#REF!,Cartera!O2118="Dólares americanos"),"Rendimiento significativo","Rendimiento no significativo"))</f>
        <v>#REF!</v>
      </c>
      <c r="O1556" s="5" t="s">
        <v>41</v>
      </c>
      <c r="P1556" s="12">
        <v>849315.06850000005</v>
      </c>
      <c r="Q1556" s="12">
        <f>IF(O1556="Guaraníes",P1556,P1556*#REF!)</f>
        <v>849315.06850000005</v>
      </c>
      <c r="R1556" s="12" t="e">
        <f>IF(O1556="Guaraníes",P1556/#REF!,P1556)</f>
        <v>#REF!</v>
      </c>
      <c r="S1556" s="5" t="s">
        <v>42</v>
      </c>
      <c r="T1556" s="5">
        <v>9243</v>
      </c>
      <c r="W1556" s="5" t="s">
        <v>65</v>
      </c>
      <c r="X1556" s="5">
        <v>0</v>
      </c>
      <c r="Y1556" s="5">
        <v>0</v>
      </c>
      <c r="Z1556" s="5">
        <v>8493.1506850000005</v>
      </c>
      <c r="AA1556" s="5">
        <v>100</v>
      </c>
      <c r="AB1556" s="5">
        <v>849315.06850000005</v>
      </c>
      <c r="AC1556" s="5" t="str">
        <f t="shared" si="76"/>
        <v>Bonos</v>
      </c>
      <c r="AD1556" s="5" t="s">
        <v>43</v>
      </c>
      <c r="AE1556" s="5">
        <f t="shared" si="77"/>
        <v>1</v>
      </c>
      <c r="AF1556" s="5">
        <f t="shared" si="78"/>
        <v>2026</v>
      </c>
    </row>
    <row r="1557" s="5" customFormat="1" ht="13">
      <c r="A1557" s="5">
        <v>12316</v>
      </c>
      <c r="B1557" s="5" t="s">
        <v>78</v>
      </c>
      <c r="C1557" s="5" t="s">
        <v>164</v>
      </c>
      <c r="D1557" s="5" t="s">
        <v>21</v>
      </c>
      <c r="E1557" s="5" t="s">
        <v>34</v>
      </c>
      <c r="F1557" s="5" t="s">
        <v>68</v>
      </c>
      <c r="G1557" s="5" t="s">
        <v>141</v>
      </c>
      <c r="H1557" s="9" t="s">
        <v>167</v>
      </c>
      <c r="I1557" s="10"/>
      <c r="J1557" s="10">
        <v>46052</v>
      </c>
      <c r="K1557" s="5" t="s">
        <v>124</v>
      </c>
      <c r="L1557" s="5" t="s">
        <v>58</v>
      </c>
      <c r="M1557" s="11">
        <v>0.092499999999999999</v>
      </c>
      <c r="N1557" s="5" t="e">
        <f>IF(AND(M1557&gt;#REF!,Cartera!O2119="Guaraníes"),"Rendimiento significativo",IF(AND(M1557&gt;#REF!,Cartera!O2119="Dólares americanos"),"Rendimiento significativo","Rendimiento no significativo"))</f>
        <v>#REF!</v>
      </c>
      <c r="O1557" s="5" t="s">
        <v>41</v>
      </c>
      <c r="P1557" s="12">
        <v>785616.43839999998</v>
      </c>
      <c r="Q1557" s="12">
        <f>IF(O1557="Guaraníes",P1557,P1557*#REF!)</f>
        <v>785616.43839999998</v>
      </c>
      <c r="R1557" s="12" t="e">
        <f>IF(O1557="Guaraníes",P1557/#REF!,P1557)</f>
        <v>#REF!</v>
      </c>
      <c r="S1557" s="5" t="s">
        <v>42</v>
      </c>
      <c r="T1557" s="5">
        <v>9243</v>
      </c>
      <c r="W1557" s="5" t="s">
        <v>65</v>
      </c>
      <c r="X1557" s="5">
        <v>0</v>
      </c>
      <c r="Y1557" s="5">
        <v>0</v>
      </c>
      <c r="Z1557" s="5">
        <v>7856.1643839999997</v>
      </c>
      <c r="AA1557" s="5">
        <v>100</v>
      </c>
      <c r="AB1557" s="5">
        <v>785616.43839999998</v>
      </c>
      <c r="AC1557" s="5" t="str">
        <f t="shared" si="76"/>
        <v>Bonos</v>
      </c>
      <c r="AD1557" s="5" t="s">
        <v>43</v>
      </c>
      <c r="AE1557" s="5">
        <f t="shared" si="77"/>
        <v>1</v>
      </c>
      <c r="AF1557" s="5">
        <f t="shared" si="78"/>
        <v>2026</v>
      </c>
    </row>
    <row r="1558" s="5" customFormat="1" ht="13">
      <c r="A1558" s="5">
        <v>12315</v>
      </c>
      <c r="B1558" s="5" t="s">
        <v>73</v>
      </c>
      <c r="C1558" s="5" t="s">
        <v>33</v>
      </c>
      <c r="D1558" s="5" t="s">
        <v>21</v>
      </c>
      <c r="E1558" s="5" t="s">
        <v>34</v>
      </c>
      <c r="F1558" s="5" t="s">
        <v>35</v>
      </c>
      <c r="G1558" s="5" t="s">
        <v>75</v>
      </c>
      <c r="H1558" s="9" t="s">
        <v>168</v>
      </c>
      <c r="I1558" s="10"/>
      <c r="J1558" s="10">
        <v>46056</v>
      </c>
      <c r="K1558" s="5" t="s">
        <v>39</v>
      </c>
      <c r="L1558" s="5" t="s">
        <v>50</v>
      </c>
      <c r="M1558" s="11">
        <v>0.070000000000000007</v>
      </c>
      <c r="N1558" s="5" t="e">
        <f>IF(AND(M1558&gt;#REF!,Cartera!O932="Guaraníes"),"Rendimiento significativo",IF(AND(M1558&gt;#REF!,Cartera!O932="Dólares americanos"),"Rendimiento significativo","Rendimiento no significativo"))</f>
        <v>#REF!</v>
      </c>
      <c r="O1558" s="5" t="s">
        <v>51</v>
      </c>
      <c r="P1558" s="13">
        <v>1221.6400000000001</v>
      </c>
      <c r="Q1558" s="12" t="e">
        <f>IF(O1558="Guaraníes",P1558,P1558*#REF!)</f>
        <v>#REF!</v>
      </c>
      <c r="R1558" s="12">
        <f>IF(O1558="Guaraníes",P1558/#REF!,P1558)</f>
        <v>1221.6400000000001</v>
      </c>
      <c r="S1558" s="5" t="s">
        <v>42</v>
      </c>
      <c r="T1558" s="5">
        <v>25</v>
      </c>
      <c r="U1558" s="5">
        <v>70000</v>
      </c>
      <c r="V1558" s="5">
        <v>93275515.229569986</v>
      </c>
      <c r="W1558" s="5" t="s">
        <v>65</v>
      </c>
      <c r="X1558" s="5">
        <v>100</v>
      </c>
      <c r="Y1558" s="5">
        <v>1000</v>
      </c>
      <c r="Z1558" s="5">
        <v>1017.452055</v>
      </c>
      <c r="AA1558" s="5">
        <v>70</v>
      </c>
      <c r="AB1558" s="5">
        <v>71221.643849999993</v>
      </c>
      <c r="AC1558" s="5" t="str">
        <f t="shared" si="76"/>
        <v>Bonos</v>
      </c>
      <c r="AD1558" s="5" t="s">
        <v>43</v>
      </c>
      <c r="AE1558" s="5">
        <f t="shared" si="77"/>
        <v>2</v>
      </c>
      <c r="AF1558" s="5">
        <f t="shared" si="78"/>
        <v>2026</v>
      </c>
    </row>
    <row r="1559" s="5" customFormat="1" ht="13">
      <c r="A1559" s="5">
        <v>12316</v>
      </c>
      <c r="B1559" s="5" t="s">
        <v>78</v>
      </c>
      <c r="C1559" s="5" t="s">
        <v>114</v>
      </c>
      <c r="D1559" s="5" t="s">
        <v>21</v>
      </c>
      <c r="E1559" s="5" t="s">
        <v>34</v>
      </c>
      <c r="F1559" s="5" t="s">
        <v>68</v>
      </c>
      <c r="G1559" s="5" t="s">
        <v>75</v>
      </c>
      <c r="H1559" s="9" t="s">
        <v>170</v>
      </c>
      <c r="I1559" s="10"/>
      <c r="J1559" s="10">
        <v>46063</v>
      </c>
      <c r="K1559" s="5" t="s">
        <v>77</v>
      </c>
      <c r="L1559" s="5" t="s">
        <v>50</v>
      </c>
      <c r="M1559" s="11">
        <v>0.14000000000000001</v>
      </c>
      <c r="N1559" s="5" t="e">
        <f>IF(AND(M1559&gt;#REF!,Cartera!O3153="Guaraníes"),"Rendimiento significativo",IF(AND(M1559&gt;#REF!,Cartera!O3153="Dólares americanos"),"Rendimiento significativo","Rendimiento no significativo"))</f>
        <v>#REF!</v>
      </c>
      <c r="O1559" s="5" t="s">
        <v>41</v>
      </c>
      <c r="P1559" s="12">
        <v>3490410.96</v>
      </c>
      <c r="Q1559" s="12">
        <f>IF(O1559="Guaraníes",P1559,P1559*#REF!)</f>
        <v>3490410.96</v>
      </c>
      <c r="R1559" s="12" t="e">
        <f>IF(O1559="Guaraníes",P1559/#REF!,P1559)</f>
        <v>#REF!</v>
      </c>
      <c r="S1559" s="5" t="s">
        <v>42</v>
      </c>
      <c r="AC1559" s="5" t="str">
        <f t="shared" si="76"/>
        <v>Bonos</v>
      </c>
      <c r="AD1559" s="5" t="s">
        <v>43</v>
      </c>
      <c r="AE1559" s="5">
        <f t="shared" si="77"/>
        <v>2</v>
      </c>
      <c r="AF1559" s="5">
        <f t="shared" si="78"/>
        <v>2026</v>
      </c>
    </row>
    <row r="1560" s="5" customFormat="1" ht="13">
      <c r="A1560" s="5">
        <v>12316</v>
      </c>
      <c r="B1560" s="5" t="s">
        <v>78</v>
      </c>
      <c r="C1560" s="5" t="s">
        <v>99</v>
      </c>
      <c r="D1560" s="5" t="s">
        <v>21</v>
      </c>
      <c r="E1560" s="5" t="s">
        <v>34</v>
      </c>
      <c r="F1560" s="5" t="s">
        <v>100</v>
      </c>
      <c r="G1560" s="5" t="s">
        <v>91</v>
      </c>
      <c r="H1560" s="9" t="s">
        <v>174</v>
      </c>
      <c r="I1560" s="10">
        <v>44971</v>
      </c>
      <c r="J1560" s="10">
        <v>46068</v>
      </c>
      <c r="K1560" s="5" t="s">
        <v>102</v>
      </c>
      <c r="L1560" s="5" t="s">
        <v>102</v>
      </c>
      <c r="M1560" s="11">
        <v>0.090300000000000005</v>
      </c>
      <c r="N1560" s="5" t="e">
        <f>IF(AND(M1560&gt;#REF!,Cartera!O3046="Guaraníes"),"Rendimiento significativo",IF(AND(M1560&gt;#REF!,Cartera!O3046="Dólares americanos"),"Rendimiento significativo","Rendimiento no significativo"))</f>
        <v>#REF!</v>
      </c>
      <c r="O1560" s="5" t="s">
        <v>41</v>
      </c>
      <c r="P1560" s="12">
        <v>20407800</v>
      </c>
      <c r="Q1560" s="12">
        <f>IF(O1560="Guaraníes",P1560,P1560*#REF!)</f>
        <v>20407800</v>
      </c>
      <c r="R1560" s="12" t="e">
        <f>IF(O1560="Guaraníes",P1560/#REF!,P1560)</f>
        <v>#REF!</v>
      </c>
      <c r="S1560" s="5" t="s">
        <v>42</v>
      </c>
      <c r="AC1560" s="5" t="str">
        <f t="shared" si="76"/>
        <v>Bonos</v>
      </c>
      <c r="AD1560" s="5" t="s">
        <v>43</v>
      </c>
      <c r="AE1560" s="5">
        <f t="shared" si="77"/>
        <v>2</v>
      </c>
      <c r="AF1560" s="5">
        <f t="shared" si="78"/>
        <v>2026</v>
      </c>
    </row>
    <row r="1561" s="5" customFormat="1" ht="13">
      <c r="A1561" s="5">
        <v>12315</v>
      </c>
      <c r="B1561" s="5" t="s">
        <v>73</v>
      </c>
      <c r="C1561" s="5" t="s">
        <v>45</v>
      </c>
      <c r="D1561" s="5" t="s">
        <v>21</v>
      </c>
      <c r="E1561" s="5" t="s">
        <v>34</v>
      </c>
      <c r="F1561" s="5" t="s">
        <v>46</v>
      </c>
      <c r="G1561" s="5" t="s">
        <v>55</v>
      </c>
      <c r="H1561" s="9" t="s">
        <v>108</v>
      </c>
      <c r="I1561" s="10">
        <v>44704</v>
      </c>
      <c r="J1561" s="10">
        <v>46069</v>
      </c>
      <c r="K1561" s="5" t="s">
        <v>49</v>
      </c>
      <c r="L1561" s="5" t="s">
        <v>58</v>
      </c>
      <c r="M1561" s="11">
        <v>0.059999999999999998</v>
      </c>
      <c r="N1561" s="5" t="e">
        <f>IF(AND(M1561&gt;#REF!,Cartera!O47="Guaraníes"),"Rendimiento significativo",IF(AND(M1561&gt;#REF!,Cartera!O47="Dólares americanos"),"Rendimiento significativo","Rendimiento no significativo"))</f>
        <v>#REF!</v>
      </c>
      <c r="O1561" s="5" t="s">
        <v>51</v>
      </c>
      <c r="P1561" s="13">
        <v>373.9726</v>
      </c>
      <c r="Q1561" s="12" t="e">
        <f>IF(O1561="Guaraníes",P1561,P1561*#REF!)</f>
        <v>#REF!</v>
      </c>
      <c r="R1561" s="12">
        <f>IF(O1561="Guaraníes",P1561/#REF!,P1561)</f>
        <v>373.9726</v>
      </c>
      <c r="S1561" s="5" t="s">
        <v>42</v>
      </c>
      <c r="V1561" s="5">
        <v>14.958904</v>
      </c>
      <c r="AA1561" s="5">
        <v>25</v>
      </c>
      <c r="AC1561" s="5" t="str">
        <f t="shared" si="76"/>
        <v>Bonos</v>
      </c>
      <c r="AD1561" s="5" t="s">
        <v>43</v>
      </c>
      <c r="AE1561" s="5">
        <f t="shared" si="77"/>
        <v>2</v>
      </c>
      <c r="AF1561" s="5">
        <f t="shared" si="78"/>
        <v>2026</v>
      </c>
    </row>
    <row r="1562" s="5" customFormat="1" ht="13">
      <c r="A1562" s="5">
        <v>12301</v>
      </c>
      <c r="B1562" s="5" t="s">
        <v>107</v>
      </c>
      <c r="C1562" s="5" t="s">
        <v>164</v>
      </c>
      <c r="D1562" s="5" t="s">
        <v>20</v>
      </c>
      <c r="E1562" s="5" t="s">
        <v>34</v>
      </c>
      <c r="F1562" s="5" t="s">
        <v>68</v>
      </c>
      <c r="G1562" s="5" t="s">
        <v>145</v>
      </c>
      <c r="H1562" s="9" t="s">
        <v>165</v>
      </c>
      <c r="I1562" s="10">
        <v>43626</v>
      </c>
      <c r="J1562" s="10">
        <v>47269</v>
      </c>
      <c r="K1562" s="5" t="s">
        <v>124</v>
      </c>
      <c r="L1562" s="5" t="s">
        <v>58</v>
      </c>
      <c r="M1562" s="11">
        <v>0.10000000000000001</v>
      </c>
      <c r="N1562" s="5" t="e">
        <f>IF(AND(M1562&gt;#REF!,Cartera!O1562="Guaraníes"),"Rendimiento significativo",IF(AND(M1562&gt;#REF!,Cartera!O1562="Dólares americanos"),"Rendimiento significativo","Rendimiento no significativo"))</f>
        <v>#REF!</v>
      </c>
      <c r="O1562" s="5" t="s">
        <v>41</v>
      </c>
      <c r="P1562" s="12">
        <v>400000000</v>
      </c>
      <c r="Q1562" s="12">
        <f>IF(O1562="Guaraníes",P1562,P1562*#REF!)</f>
        <v>400000000</v>
      </c>
      <c r="R1562" s="12" t="e">
        <f>IF(O1562="Guaraníes",P1562/#REF!,P1562)</f>
        <v>#REF!</v>
      </c>
      <c r="S1562" s="5" t="s">
        <v>42</v>
      </c>
      <c r="AC1562" s="5" t="str">
        <f t="shared" si="76"/>
        <v>Bonos</v>
      </c>
      <c r="AD1562" s="5" t="s">
        <v>43</v>
      </c>
      <c r="AE1562" s="5">
        <f t="shared" si="77"/>
        <v>5</v>
      </c>
      <c r="AF1562" s="5">
        <f t="shared" si="78"/>
        <v>2029</v>
      </c>
    </row>
    <row r="1563" s="5" customFormat="1" ht="13">
      <c r="A1563" s="5" t="s">
        <v>44</v>
      </c>
      <c r="B1563" s="5" t="s">
        <v>44</v>
      </c>
      <c r="C1563" s="5" t="s">
        <v>99</v>
      </c>
      <c r="D1563" s="5" t="s">
        <v>21</v>
      </c>
      <c r="E1563" s="5" t="s">
        <v>44</v>
      </c>
      <c r="F1563" s="5" t="s">
        <v>100</v>
      </c>
      <c r="G1563" s="5" t="s">
        <v>145</v>
      </c>
      <c r="H1563" s="9" t="s">
        <v>159</v>
      </c>
      <c r="I1563" s="10">
        <v>44657</v>
      </c>
      <c r="J1563" s="10">
        <v>44807</v>
      </c>
      <c r="K1563" s="5" t="s">
        <v>102</v>
      </c>
      <c r="L1563" s="5" t="s">
        <v>102</v>
      </c>
      <c r="M1563" s="11">
        <v>0.078</v>
      </c>
      <c r="N1563" s="5" t="e">
        <f>IF(AND(M1563&gt;#REF!,Cartera!O1563="Guaraníes"),"Rendimiento significativo",IF(AND(M1563&gt;#REF!,Cartera!O1563="Dólares americanos"),"Rendimiento significativo","Rendimiento no significativo"))</f>
        <v>#REF!</v>
      </c>
      <c r="O1563" s="5" t="s">
        <v>41</v>
      </c>
      <c r="P1563" s="12">
        <v>35100000</v>
      </c>
      <c r="Q1563" s="12">
        <f>IF(O1563="Guaraníes",P1563,P1563*#REF!)</f>
        <v>35100000</v>
      </c>
      <c r="R1563" s="12" t="e">
        <f>IF(O1563="Guaraníes",P1563/#REF!,P1563)</f>
        <v>#REF!</v>
      </c>
      <c r="S1563" s="5" t="s">
        <v>52</v>
      </c>
      <c r="V1563" s="5">
        <v>39000</v>
      </c>
      <c r="AA1563" s="5">
        <v>900</v>
      </c>
      <c r="AC1563" s="5" t="str">
        <f t="shared" si="76"/>
        <v>Bonos</v>
      </c>
      <c r="AD1563" s="5" t="s">
        <v>43</v>
      </c>
      <c r="AE1563" s="5">
        <f t="shared" si="77"/>
        <v>9</v>
      </c>
      <c r="AF1563" s="5">
        <f t="shared" si="78"/>
        <v>2022</v>
      </c>
    </row>
    <row r="1564" s="5" customFormat="1" ht="13">
      <c r="A1564" s="5" t="s">
        <v>44</v>
      </c>
      <c r="B1564" s="5" t="s">
        <v>44</v>
      </c>
      <c r="C1564" s="5" t="s">
        <v>99</v>
      </c>
      <c r="D1564" s="5" t="s">
        <v>21</v>
      </c>
      <c r="E1564" s="5" t="s">
        <v>44</v>
      </c>
      <c r="F1564" s="5" t="s">
        <v>100</v>
      </c>
      <c r="G1564" s="5" t="s">
        <v>145</v>
      </c>
      <c r="H1564" s="9" t="s">
        <v>159</v>
      </c>
      <c r="I1564" s="10">
        <v>44657</v>
      </c>
      <c r="J1564" s="10">
        <v>44988</v>
      </c>
      <c r="K1564" s="5" t="s">
        <v>102</v>
      </c>
      <c r="L1564" s="5" t="s">
        <v>102</v>
      </c>
      <c r="M1564" s="11">
        <v>0.078</v>
      </c>
      <c r="N1564" s="5" t="e">
        <f>IF(AND(M1564&gt;#REF!,Cartera!O1564="Guaraníes"),"Rendimiento significativo",IF(AND(M1564&gt;#REF!,Cartera!O1564="Dólares americanos"),"Rendimiento significativo","Rendimiento no significativo"))</f>
        <v>#REF!</v>
      </c>
      <c r="O1564" s="5" t="s">
        <v>41</v>
      </c>
      <c r="P1564" s="12">
        <v>35100000</v>
      </c>
      <c r="Q1564" s="12">
        <f>IF(O1564="Guaraníes",P1564,P1564*#REF!)</f>
        <v>35100000</v>
      </c>
      <c r="R1564" s="12" t="e">
        <f>IF(O1564="Guaraníes",P1564/#REF!,P1564)</f>
        <v>#REF!</v>
      </c>
      <c r="S1564" s="5" t="s">
        <v>52</v>
      </c>
      <c r="V1564" s="5">
        <v>39000</v>
      </c>
      <c r="AA1564" s="5">
        <v>900</v>
      </c>
      <c r="AC1564" s="5" t="str">
        <f t="shared" si="76"/>
        <v>Bonos</v>
      </c>
      <c r="AD1564" s="5" t="s">
        <v>43</v>
      </c>
      <c r="AE1564" s="5">
        <f t="shared" si="77"/>
        <v>3</v>
      </c>
      <c r="AF1564" s="5">
        <f t="shared" si="78"/>
        <v>2023</v>
      </c>
    </row>
    <row r="1565" s="5" customFormat="1" ht="13">
      <c r="A1565" s="5" t="s">
        <v>44</v>
      </c>
      <c r="B1565" s="5" t="s">
        <v>44</v>
      </c>
      <c r="C1565" s="5" t="s">
        <v>99</v>
      </c>
      <c r="D1565" s="5" t="s">
        <v>21</v>
      </c>
      <c r="E1565" s="5" t="s">
        <v>44</v>
      </c>
      <c r="F1565" s="5" t="s">
        <v>100</v>
      </c>
      <c r="G1565" s="5" t="s">
        <v>145</v>
      </c>
      <c r="H1565" s="9" t="s">
        <v>159</v>
      </c>
      <c r="I1565" s="10">
        <v>44657</v>
      </c>
      <c r="J1565" s="10">
        <v>45172</v>
      </c>
      <c r="K1565" s="5" t="s">
        <v>102</v>
      </c>
      <c r="L1565" s="5" t="s">
        <v>102</v>
      </c>
      <c r="M1565" s="11">
        <v>0.078</v>
      </c>
      <c r="N1565" s="5" t="e">
        <f>IF(AND(M1565&gt;#REF!,Cartera!O1565="Guaraníes"),"Rendimiento significativo",IF(AND(M1565&gt;#REF!,Cartera!O1565="Dólares americanos"),"Rendimiento significativo","Rendimiento no significativo"))</f>
        <v>#REF!</v>
      </c>
      <c r="O1565" s="5" t="s">
        <v>41</v>
      </c>
      <c r="P1565" s="12">
        <v>35100000</v>
      </c>
      <c r="Q1565" s="12">
        <f>IF(O1565="Guaraníes",P1565,P1565*#REF!)</f>
        <v>35100000</v>
      </c>
      <c r="R1565" s="12" t="e">
        <f>IF(O1565="Guaraníes",P1565/#REF!,P1565)</f>
        <v>#REF!</v>
      </c>
      <c r="S1565" s="5" t="s">
        <v>52</v>
      </c>
      <c r="V1565" s="5">
        <v>39000</v>
      </c>
      <c r="AA1565" s="5">
        <v>900</v>
      </c>
      <c r="AC1565" s="5" t="str">
        <f t="shared" si="76"/>
        <v>Bonos</v>
      </c>
      <c r="AD1565" s="5" t="s">
        <v>43</v>
      </c>
      <c r="AE1565" s="5">
        <f t="shared" si="77"/>
        <v>9</v>
      </c>
      <c r="AF1565" s="5">
        <f t="shared" si="78"/>
        <v>2023</v>
      </c>
    </row>
    <row r="1566" s="5" customFormat="1" ht="13">
      <c r="A1566" s="5" t="s">
        <v>44</v>
      </c>
      <c r="B1566" s="5" t="s">
        <v>44</v>
      </c>
      <c r="C1566" s="5" t="s">
        <v>99</v>
      </c>
      <c r="D1566" s="5" t="s">
        <v>21</v>
      </c>
      <c r="E1566" s="5" t="s">
        <v>44</v>
      </c>
      <c r="F1566" s="5" t="s">
        <v>100</v>
      </c>
      <c r="G1566" s="5" t="s">
        <v>145</v>
      </c>
      <c r="H1566" s="9" t="s">
        <v>159</v>
      </c>
      <c r="I1566" s="10">
        <v>44657</v>
      </c>
      <c r="J1566" s="10">
        <v>45354</v>
      </c>
      <c r="K1566" s="5" t="s">
        <v>102</v>
      </c>
      <c r="L1566" s="5" t="s">
        <v>102</v>
      </c>
      <c r="M1566" s="11">
        <v>0.078</v>
      </c>
      <c r="N1566" s="5" t="e">
        <f>IF(AND(M1566&gt;#REF!,Cartera!O1566="Guaraníes"),"Rendimiento significativo",IF(AND(M1566&gt;#REF!,Cartera!O1566="Dólares americanos"),"Rendimiento significativo","Rendimiento no significativo"))</f>
        <v>#REF!</v>
      </c>
      <c r="O1566" s="5" t="s">
        <v>41</v>
      </c>
      <c r="P1566" s="12">
        <v>35100000</v>
      </c>
      <c r="Q1566" s="12">
        <f>IF(O1566="Guaraníes",P1566,P1566*#REF!)</f>
        <v>35100000</v>
      </c>
      <c r="R1566" s="12" t="e">
        <f>IF(O1566="Guaraníes",P1566/#REF!,P1566)</f>
        <v>#REF!</v>
      </c>
      <c r="S1566" s="5" t="s">
        <v>52</v>
      </c>
      <c r="V1566" s="5">
        <v>39000</v>
      </c>
      <c r="AA1566" s="5">
        <v>900</v>
      </c>
      <c r="AC1566" s="5" t="str">
        <f t="shared" si="76"/>
        <v>Bonos</v>
      </c>
      <c r="AD1566" s="5" t="s">
        <v>43</v>
      </c>
      <c r="AE1566" s="5">
        <f t="shared" si="77"/>
        <v>3</v>
      </c>
      <c r="AF1566" s="5">
        <f t="shared" si="78"/>
        <v>2024</v>
      </c>
    </row>
    <row r="1567" s="5" customFormat="1" ht="13">
      <c r="A1567" s="5">
        <v>12315</v>
      </c>
      <c r="B1567" s="5" t="s">
        <v>73</v>
      </c>
      <c r="C1567" s="5" t="s">
        <v>45</v>
      </c>
      <c r="D1567" s="5" t="s">
        <v>21</v>
      </c>
      <c r="E1567" s="5" t="s">
        <v>34</v>
      </c>
      <c r="F1567" s="5" t="s">
        <v>46</v>
      </c>
      <c r="G1567" s="5" t="s">
        <v>86</v>
      </c>
      <c r="H1567" s="9" t="s">
        <v>108</v>
      </c>
      <c r="I1567" s="10">
        <v>44704</v>
      </c>
      <c r="J1567" s="10">
        <v>46069</v>
      </c>
      <c r="K1567" s="5" t="s">
        <v>49</v>
      </c>
      <c r="L1567" s="5" t="s">
        <v>58</v>
      </c>
      <c r="M1567" s="11">
        <v>0.059999999999999998</v>
      </c>
      <c r="N1567" s="5" t="e">
        <f>IF(AND(M1567&gt;#REF!,Cartera!O341="Guaraníes"),"Rendimiento significativo",IF(AND(M1567&gt;#REF!,Cartera!O341="Dólares americanos"),"Rendimiento significativo","Rendimiento no significativo"))</f>
        <v>#REF!</v>
      </c>
      <c r="O1567" s="5" t="s">
        <v>51</v>
      </c>
      <c r="P1567" s="13">
        <v>478.68492800000001</v>
      </c>
      <c r="Q1567" s="12" t="e">
        <f>IF(O1567="Guaraníes",P1567,P1567*#REF!)</f>
        <v>#REF!</v>
      </c>
      <c r="R1567" s="12">
        <f>IF(O1567="Guaraníes",P1567/#REF!,P1567)</f>
        <v>478.68492800000001</v>
      </c>
      <c r="S1567" s="5" t="s">
        <v>42</v>
      </c>
      <c r="AA1567" s="5">
        <v>32</v>
      </c>
      <c r="AC1567" s="5" t="str">
        <f t="shared" si="76"/>
        <v>Bonos</v>
      </c>
      <c r="AD1567" s="5" t="s">
        <v>43</v>
      </c>
      <c r="AE1567" s="5">
        <f t="shared" si="77"/>
        <v>2</v>
      </c>
      <c r="AF1567" s="5">
        <f t="shared" si="78"/>
        <v>2026</v>
      </c>
    </row>
    <row r="1568" s="5" customFormat="1" ht="13">
      <c r="A1568" s="5">
        <v>12316</v>
      </c>
      <c r="B1568" s="5" t="s">
        <v>78</v>
      </c>
      <c r="C1568" s="5" t="s">
        <v>94</v>
      </c>
      <c r="D1568" s="5" t="s">
        <v>21</v>
      </c>
      <c r="E1568" s="5" t="s">
        <v>34</v>
      </c>
      <c r="F1568" s="5" t="s">
        <v>68</v>
      </c>
      <c r="H1568" s="9" t="s">
        <v>182</v>
      </c>
      <c r="I1568" s="10">
        <v>45530</v>
      </c>
      <c r="J1568" s="10">
        <v>46070</v>
      </c>
      <c r="L1568" s="5" t="s">
        <v>82</v>
      </c>
      <c r="M1568" s="11">
        <v>0.082500000000000004</v>
      </c>
      <c r="O1568" s="5" t="s">
        <v>41</v>
      </c>
      <c r="P1568" s="13">
        <v>4068493</v>
      </c>
      <c r="Q1568" s="12">
        <f>IF(O1568="Guaraníes",P1568,P1568*#REF!)</f>
        <v>4068493</v>
      </c>
      <c r="R1568" s="13" t="e">
        <f>IF(O1568="Guaraníes",P1568/#REF!,P1568)</f>
        <v>#REF!</v>
      </c>
      <c r="S1568" s="5" t="s">
        <v>120</v>
      </c>
      <c r="AC1568" s="5" t="str">
        <f t="shared" si="76"/>
        <v>CDA</v>
      </c>
      <c r="AD1568" s="5" t="s">
        <v>43</v>
      </c>
      <c r="AE1568" s="5">
        <f t="shared" si="77"/>
        <v>2</v>
      </c>
      <c r="AF1568" s="5">
        <f t="shared" si="78"/>
        <v>2026</v>
      </c>
    </row>
    <row r="1569" s="5" customFormat="1" ht="13">
      <c r="A1569" s="5">
        <v>12315</v>
      </c>
      <c r="B1569" s="5" t="s">
        <v>73</v>
      </c>
      <c r="C1569" s="5" t="s">
        <v>176</v>
      </c>
      <c r="D1569" s="5" t="s">
        <v>21</v>
      </c>
      <c r="E1569" s="5" t="s">
        <v>34</v>
      </c>
      <c r="F1569" s="5" t="s">
        <v>68</v>
      </c>
      <c r="G1569" s="5" t="s">
        <v>91</v>
      </c>
      <c r="H1569" s="9" t="s">
        <v>177</v>
      </c>
      <c r="I1569" s="10"/>
      <c r="J1569" s="10">
        <v>46071</v>
      </c>
      <c r="K1569" s="5" t="s">
        <v>178</v>
      </c>
      <c r="L1569" s="5" t="s">
        <v>58</v>
      </c>
      <c r="M1569" s="11">
        <v>0.085000000000000006</v>
      </c>
      <c r="N1569" s="5" t="e">
        <f>IF(AND(M1569&gt;#REF!,Cartera!O1892="Guaraníes"),"Rendimiento significativo",IF(AND(M1569&gt;#REF!,Cartera!O1892="Dólares americanos"),"Rendimiento significativo","Rendimiento no significativo"))</f>
        <v>#REF!</v>
      </c>
      <c r="O1569" s="5" t="s">
        <v>51</v>
      </c>
      <c r="P1569" s="13">
        <v>560.95890000000009</v>
      </c>
      <c r="Q1569" s="12" t="e">
        <f>IF(O1569="Guaraníes",P1569,P1569*#REF!)</f>
        <v>#REF!</v>
      </c>
      <c r="R1569" s="12">
        <f>IF(O1569="Guaraníes",P1569/#REF!,P1569)</f>
        <v>560.95890000000009</v>
      </c>
      <c r="S1569" s="5" t="s">
        <v>42</v>
      </c>
      <c r="T1569" s="5">
        <v>3253</v>
      </c>
      <c r="W1569" s="5" t="s">
        <v>65</v>
      </c>
      <c r="X1569" s="5">
        <v>0</v>
      </c>
      <c r="Y1569" s="5">
        <v>0</v>
      </c>
      <c r="Z1569" s="5">
        <v>18.698630000000001</v>
      </c>
      <c r="AA1569" s="5">
        <v>30</v>
      </c>
      <c r="AB1569" s="5">
        <v>560.95889999999997</v>
      </c>
      <c r="AC1569" s="5" t="str">
        <f t="shared" si="76"/>
        <v>Bonos</v>
      </c>
      <c r="AD1569" s="5" t="s">
        <v>43</v>
      </c>
      <c r="AE1569" s="5">
        <f t="shared" si="77"/>
        <v>2</v>
      </c>
      <c r="AF1569" s="5">
        <f t="shared" si="78"/>
        <v>2026</v>
      </c>
    </row>
    <row r="1570" s="5" customFormat="1" ht="13">
      <c r="A1570" s="5">
        <v>12315</v>
      </c>
      <c r="B1570" s="5" t="s">
        <v>73</v>
      </c>
      <c r="C1570" s="5" t="s">
        <v>60</v>
      </c>
      <c r="D1570" s="5" t="s">
        <v>21</v>
      </c>
      <c r="E1570" s="5" t="s">
        <v>34</v>
      </c>
      <c r="F1570" s="5" t="s">
        <v>68</v>
      </c>
      <c r="H1570" s="9"/>
      <c r="I1570" s="10">
        <v>45527</v>
      </c>
      <c r="J1570" s="10">
        <v>46073</v>
      </c>
      <c r="L1570" s="5" t="s">
        <v>82</v>
      </c>
      <c r="M1570" s="11">
        <v>0.057500000000000002</v>
      </c>
      <c r="O1570" s="5" t="s">
        <v>51</v>
      </c>
      <c r="P1570" s="13">
        <v>286.70999999999998</v>
      </c>
      <c r="Q1570" s="12" t="e">
        <f>IF(O1570="Guaraníes",P1570,P1570*#REF!)</f>
        <v>#REF!</v>
      </c>
      <c r="R1570" s="13">
        <f>IF(O1570="Guaraníes",P1570/#REF!,P1570)</f>
        <v>286.70999999999998</v>
      </c>
      <c r="S1570" s="5" t="s">
        <v>120</v>
      </c>
      <c r="AC1570" s="5" t="str">
        <f t="shared" si="76"/>
        <v>CDA</v>
      </c>
      <c r="AD1570" s="5" t="s">
        <v>43</v>
      </c>
      <c r="AE1570" s="5">
        <f t="shared" si="77"/>
        <v>2</v>
      </c>
      <c r="AF1570" s="5">
        <f t="shared" si="78"/>
        <v>2026</v>
      </c>
    </row>
    <row r="1571" s="5" customFormat="1" ht="13">
      <c r="A1571" s="5">
        <v>12316</v>
      </c>
      <c r="B1571" s="5" t="s">
        <v>78</v>
      </c>
      <c r="C1571" s="5" t="s">
        <v>164</v>
      </c>
      <c r="D1571" s="5" t="s">
        <v>21</v>
      </c>
      <c r="E1571" s="5" t="s">
        <v>34</v>
      </c>
      <c r="F1571" s="5" t="s">
        <v>68</v>
      </c>
      <c r="G1571" s="5" t="s">
        <v>145</v>
      </c>
      <c r="H1571" s="9" t="s">
        <v>165</v>
      </c>
      <c r="I1571" s="10"/>
      <c r="J1571" s="10">
        <v>46080</v>
      </c>
      <c r="K1571" s="5" t="s">
        <v>124</v>
      </c>
      <c r="L1571" s="5" t="s">
        <v>58</v>
      </c>
      <c r="M1571" s="11">
        <v>0.10000000000000001</v>
      </c>
      <c r="N1571" s="5" t="e">
        <f>IF(AND(M1571&gt;#REF!,Cartera!O1525="Guaraníes"),"Rendimiento significativo",IF(AND(M1571&gt;#REF!,Cartera!O1525="Dólares americanos"),"Rendimiento significativo","Rendimiento no significativo"))</f>
        <v>#REF!</v>
      </c>
      <c r="O1571" s="5" t="s">
        <v>41</v>
      </c>
      <c r="P1571" s="12">
        <v>3068493.1507999999</v>
      </c>
      <c r="Q1571" s="12">
        <f>IF(O1571="Guaraníes",P1571,P1571*#REF!)</f>
        <v>3068493.1507999999</v>
      </c>
      <c r="R1571" s="12" t="e">
        <f>IF(O1571="Guaraníes",P1571/#REF!,P1571)</f>
        <v>#REF!</v>
      </c>
      <c r="S1571" s="5" t="s">
        <v>42</v>
      </c>
      <c r="T1571" s="5">
        <v>1057</v>
      </c>
      <c r="W1571" s="5" t="s">
        <v>65</v>
      </c>
      <c r="X1571" s="5">
        <v>0</v>
      </c>
      <c r="Y1571" s="5">
        <v>0</v>
      </c>
      <c r="Z1571" s="5">
        <v>7671.2328770000004</v>
      </c>
      <c r="AA1571" s="5">
        <v>400</v>
      </c>
      <c r="AB1571" s="5">
        <v>3068493.1507999999</v>
      </c>
      <c r="AC1571" s="5" t="str">
        <f t="shared" si="76"/>
        <v>Bonos</v>
      </c>
      <c r="AD1571" s="5" t="s">
        <v>43</v>
      </c>
      <c r="AE1571" s="5">
        <f t="shared" si="77"/>
        <v>2</v>
      </c>
      <c r="AF1571" s="5">
        <f t="shared" si="78"/>
        <v>2026</v>
      </c>
    </row>
    <row r="1572" s="5" customFormat="1" ht="13">
      <c r="A1572" s="5">
        <v>12316</v>
      </c>
      <c r="B1572" s="5" t="s">
        <v>78</v>
      </c>
      <c r="C1572" s="5" t="s">
        <v>164</v>
      </c>
      <c r="D1572" s="5" t="s">
        <v>21</v>
      </c>
      <c r="E1572" s="5" t="s">
        <v>34</v>
      </c>
      <c r="F1572" s="5" t="s">
        <v>68</v>
      </c>
      <c r="G1572" s="5" t="s">
        <v>91</v>
      </c>
      <c r="H1572" s="9" t="s">
        <v>166</v>
      </c>
      <c r="I1572" s="10"/>
      <c r="J1572" s="10">
        <v>46080</v>
      </c>
      <c r="K1572" s="5" t="s">
        <v>124</v>
      </c>
      <c r="L1572" s="5" t="s">
        <v>58</v>
      </c>
      <c r="M1572" s="11">
        <v>0.092499999999999999</v>
      </c>
      <c r="N1572" s="5" t="e">
        <f>IF(AND(M1572&gt;#REF!,Cartera!O1893="Guaraníes"),"Rendimiento significativo",IF(AND(M1572&gt;#REF!,Cartera!O1893="Dólares americanos"),"Rendimiento significativo","Rendimiento no significativo"))</f>
        <v>#REF!</v>
      </c>
      <c r="O1572" s="5" t="s">
        <v>41</v>
      </c>
      <c r="P1572" s="12">
        <v>1064383.56165</v>
      </c>
      <c r="Q1572" s="12">
        <f>IF(O1572="Guaraníes",P1572,P1572*#REF!)</f>
        <v>1064383.56165</v>
      </c>
      <c r="R1572" s="12" t="e">
        <f>IF(O1572="Guaraníes",P1572/#REF!,P1572)</f>
        <v>#REF!</v>
      </c>
      <c r="S1572" s="5" t="s">
        <v>42</v>
      </c>
      <c r="T1572" s="5">
        <v>3253</v>
      </c>
      <c r="W1572" s="5" t="s">
        <v>65</v>
      </c>
      <c r="X1572" s="5">
        <v>0</v>
      </c>
      <c r="Y1572" s="5">
        <v>0</v>
      </c>
      <c r="Z1572" s="5">
        <v>7095.8904110000003</v>
      </c>
      <c r="AA1572" s="5">
        <v>150</v>
      </c>
      <c r="AB1572" s="5">
        <v>1064383.56165</v>
      </c>
      <c r="AC1572" s="5" t="str">
        <f t="shared" si="76"/>
        <v>Bonos</v>
      </c>
      <c r="AD1572" s="5" t="s">
        <v>43</v>
      </c>
      <c r="AE1572" s="5">
        <f t="shared" si="77"/>
        <v>2</v>
      </c>
      <c r="AF1572" s="5">
        <f t="shared" si="78"/>
        <v>2026</v>
      </c>
    </row>
    <row r="1573" s="5" customFormat="1" ht="13">
      <c r="A1573" s="5">
        <v>12316</v>
      </c>
      <c r="B1573" s="5" t="s">
        <v>78</v>
      </c>
      <c r="C1573" s="5" t="s">
        <v>164</v>
      </c>
      <c r="D1573" s="5" t="s">
        <v>21</v>
      </c>
      <c r="E1573" s="5" t="s">
        <v>34</v>
      </c>
      <c r="F1573" s="5" t="s">
        <v>68</v>
      </c>
      <c r="G1573" s="5" t="s">
        <v>141</v>
      </c>
      <c r="H1573" s="9" t="s">
        <v>165</v>
      </c>
      <c r="I1573" s="10"/>
      <c r="J1573" s="10">
        <v>46080</v>
      </c>
      <c r="K1573" s="5" t="s">
        <v>124</v>
      </c>
      <c r="L1573" s="5" t="s">
        <v>58</v>
      </c>
      <c r="M1573" s="11">
        <v>0.10000000000000001</v>
      </c>
      <c r="N1573" s="5" t="e">
        <f>IF(AND(M1573&gt;#REF!,Cartera!O2121="Guaraníes"),"Rendimiento significativo",IF(AND(M1573&gt;#REF!,Cartera!O2121="Dólares americanos"),"Rendimiento significativo","Rendimiento no significativo"))</f>
        <v>#REF!</v>
      </c>
      <c r="O1573" s="5" t="s">
        <v>41</v>
      </c>
      <c r="P1573" s="12">
        <v>767123.28769999999</v>
      </c>
      <c r="Q1573" s="12">
        <f>IF(O1573="Guaraníes",P1573,P1573*#REF!)</f>
        <v>767123.28769999999</v>
      </c>
      <c r="R1573" s="12" t="e">
        <f>IF(O1573="Guaraníes",P1573/#REF!,P1573)</f>
        <v>#REF!</v>
      </c>
      <c r="S1573" s="5" t="s">
        <v>42</v>
      </c>
      <c r="T1573" s="5">
        <v>9243</v>
      </c>
      <c r="W1573" s="5" t="s">
        <v>65</v>
      </c>
      <c r="X1573" s="5">
        <v>0</v>
      </c>
      <c r="Y1573" s="5">
        <v>0</v>
      </c>
      <c r="Z1573" s="5">
        <v>7671.2328770000004</v>
      </c>
      <c r="AA1573" s="5">
        <v>100</v>
      </c>
      <c r="AB1573" s="5">
        <v>767123.28769999999</v>
      </c>
      <c r="AC1573" s="5" t="str">
        <f t="shared" si="76"/>
        <v>Bonos</v>
      </c>
      <c r="AD1573" s="5" t="s">
        <v>43</v>
      </c>
      <c r="AE1573" s="5">
        <f t="shared" si="77"/>
        <v>2</v>
      </c>
      <c r="AF1573" s="5">
        <f t="shared" si="78"/>
        <v>2026</v>
      </c>
    </row>
    <row r="1574" s="5" customFormat="1" ht="13">
      <c r="A1574" s="5">
        <v>12316</v>
      </c>
      <c r="B1574" s="5" t="s">
        <v>78</v>
      </c>
      <c r="C1574" s="5" t="s">
        <v>164</v>
      </c>
      <c r="D1574" s="5" t="s">
        <v>21</v>
      </c>
      <c r="E1574" s="5" t="s">
        <v>34</v>
      </c>
      <c r="F1574" s="5" t="s">
        <v>68</v>
      </c>
      <c r="G1574" s="5" t="s">
        <v>141</v>
      </c>
      <c r="H1574" s="9" t="s">
        <v>167</v>
      </c>
      <c r="I1574" s="10"/>
      <c r="J1574" s="10">
        <v>46080</v>
      </c>
      <c r="K1574" s="5" t="s">
        <v>124</v>
      </c>
      <c r="L1574" s="5" t="s">
        <v>58</v>
      </c>
      <c r="M1574" s="11">
        <v>0.092499999999999999</v>
      </c>
      <c r="N1574" s="5" t="e">
        <f>IF(AND(M1574&gt;#REF!,Cartera!O2122="Guaraníes"),"Rendimiento significativo",IF(AND(M1574&gt;#REF!,Cartera!O2122="Dólares americanos"),"Rendimiento significativo","Rendimiento no significativo"))</f>
        <v>#REF!</v>
      </c>
      <c r="O1574" s="5" t="s">
        <v>41</v>
      </c>
      <c r="P1574" s="12">
        <v>709589.04110000003</v>
      </c>
      <c r="Q1574" s="12">
        <f>IF(O1574="Guaraníes",P1574,P1574*#REF!)</f>
        <v>709589.04110000003</v>
      </c>
      <c r="R1574" s="12" t="e">
        <f>IF(O1574="Guaraníes",P1574/#REF!,P1574)</f>
        <v>#REF!</v>
      </c>
      <c r="S1574" s="5" t="s">
        <v>42</v>
      </c>
      <c r="T1574" s="5">
        <v>9243</v>
      </c>
      <c r="W1574" s="5" t="s">
        <v>65</v>
      </c>
      <c r="X1574" s="5">
        <v>0</v>
      </c>
      <c r="Y1574" s="5">
        <v>0</v>
      </c>
      <c r="Z1574" s="5">
        <v>7095.8904110000003</v>
      </c>
      <c r="AA1574" s="5">
        <v>100</v>
      </c>
      <c r="AB1574" s="5">
        <v>709589.04110000003</v>
      </c>
      <c r="AC1574" s="5" t="str">
        <f t="shared" si="76"/>
        <v>Bonos</v>
      </c>
      <c r="AD1574" s="5" t="s">
        <v>43</v>
      </c>
      <c r="AE1574" s="5">
        <f t="shared" si="77"/>
        <v>2</v>
      </c>
      <c r="AF1574" s="5">
        <f t="shared" si="78"/>
        <v>2026</v>
      </c>
    </row>
    <row r="1575" s="5" customFormat="1" ht="13">
      <c r="A1575" s="5">
        <v>12316</v>
      </c>
      <c r="B1575" s="5" t="s">
        <v>78</v>
      </c>
      <c r="C1575" s="5" t="s">
        <v>138</v>
      </c>
      <c r="D1575" s="5" t="s">
        <v>21</v>
      </c>
      <c r="E1575" s="5" t="s">
        <v>34</v>
      </c>
      <c r="F1575" s="5" t="s">
        <v>68</v>
      </c>
      <c r="G1575" s="5" t="s">
        <v>86</v>
      </c>
      <c r="H1575" s="9" t="s">
        <v>139</v>
      </c>
      <c r="I1575" s="10">
        <v>43948</v>
      </c>
      <c r="J1575" s="10">
        <v>46083</v>
      </c>
      <c r="K1575" s="5" t="s">
        <v>140</v>
      </c>
      <c r="L1575" s="5" t="s">
        <v>58</v>
      </c>
      <c r="M1575" s="11">
        <v>0.11</v>
      </c>
      <c r="N1575" s="5" t="e">
        <f>IF(AND(M1575&gt;#REF!,Cartera!O3267="Guaraníes"),"Rendimiento significativo",IF(AND(M1575&gt;#REF!,Cartera!O3267="Dólares americanos"),"Rendimiento significativo","Rendimiento no significativo"))</f>
        <v>#REF!</v>
      </c>
      <c r="O1575" s="5" t="s">
        <v>41</v>
      </c>
      <c r="P1575" s="12">
        <v>964383.56160000002</v>
      </c>
      <c r="Q1575" s="12">
        <f>IF(O1575="Guaraníes",P1575,P1575*#REF!)</f>
        <v>964383.56160000002</v>
      </c>
      <c r="R1575" s="12" t="e">
        <f>IF(O1575="Guaraníes",P1575/#REF!,P1575)</f>
        <v>#REF!</v>
      </c>
      <c r="S1575" s="5" t="s">
        <v>42</v>
      </c>
      <c r="AC1575" s="5" t="str">
        <f t="shared" si="76"/>
        <v>Bonos</v>
      </c>
      <c r="AD1575" s="5" t="s">
        <v>43</v>
      </c>
      <c r="AE1575" s="5">
        <f t="shared" si="77"/>
        <v>3</v>
      </c>
      <c r="AF1575" s="5">
        <f t="shared" si="78"/>
        <v>2026</v>
      </c>
    </row>
    <row r="1576" s="5" customFormat="1" ht="13">
      <c r="A1576" s="5">
        <v>12316</v>
      </c>
      <c r="B1576" s="5" t="s">
        <v>78</v>
      </c>
      <c r="C1576" s="5" t="s">
        <v>99</v>
      </c>
      <c r="D1576" s="5" t="s">
        <v>21</v>
      </c>
      <c r="E1576" s="5" t="s">
        <v>34</v>
      </c>
      <c r="F1576" s="5" t="s">
        <v>100</v>
      </c>
      <c r="G1576" s="5" t="s">
        <v>86</v>
      </c>
      <c r="H1576" s="9" t="s">
        <v>155</v>
      </c>
      <c r="I1576" s="10"/>
      <c r="J1576" s="10">
        <v>46084</v>
      </c>
      <c r="K1576" s="5" t="s">
        <v>102</v>
      </c>
      <c r="L1576" s="5" t="s">
        <v>102</v>
      </c>
      <c r="M1576" s="11">
        <v>0.081000000000000003</v>
      </c>
      <c r="N1576" s="5" t="e">
        <f>IF(AND(M1576&gt;#REF!,Cartera!O222="Guaraníes"),"Rendimiento significativo",IF(AND(M1576&gt;#REF!,Cartera!O222="Dólares americanos"),"Rendimiento significativo","Rendimiento no significativo"))</f>
        <v>#REF!</v>
      </c>
      <c r="O1576" s="5" t="s">
        <v>41</v>
      </c>
      <c r="P1576" s="12">
        <v>28000000</v>
      </c>
      <c r="Q1576" s="12">
        <f>IF(O1576="Guaraníes",P1576,P1576*#REF!)</f>
        <v>28000000</v>
      </c>
      <c r="R1576" s="12" t="e">
        <f>IF(O1576="Guaraníes",P1576/#REF!,P1576)</f>
        <v>#REF!</v>
      </c>
      <c r="S1576" s="5" t="s">
        <v>42</v>
      </c>
      <c r="T1576" s="5">
        <v>10834</v>
      </c>
      <c r="W1576" s="5" t="s">
        <v>65</v>
      </c>
      <c r="X1576" s="5">
        <v>0</v>
      </c>
      <c r="Y1576" s="5">
        <v>0</v>
      </c>
      <c r="Z1576" s="5">
        <v>40000</v>
      </c>
      <c r="AA1576" s="5">
        <v>700</v>
      </c>
      <c r="AB1576" s="5">
        <v>28000000</v>
      </c>
      <c r="AC1576" s="5" t="str">
        <f t="shared" si="76"/>
        <v>Bonos</v>
      </c>
      <c r="AD1576" s="5" t="s">
        <v>43</v>
      </c>
      <c r="AE1576" s="5">
        <f t="shared" si="77"/>
        <v>3</v>
      </c>
      <c r="AF1576" s="5">
        <f t="shared" si="78"/>
        <v>2026</v>
      </c>
    </row>
    <row r="1577" s="5" customFormat="1" ht="13">
      <c r="A1577" s="5">
        <v>12316</v>
      </c>
      <c r="B1577" s="5" t="s">
        <v>78</v>
      </c>
      <c r="C1577" s="5" t="s">
        <v>99</v>
      </c>
      <c r="D1577" s="5" t="s">
        <v>21</v>
      </c>
      <c r="E1577" s="5" t="s">
        <v>34</v>
      </c>
      <c r="F1577" s="5" t="s">
        <v>100</v>
      </c>
      <c r="G1577" s="5" t="s">
        <v>75</v>
      </c>
      <c r="H1577" s="9" t="s">
        <v>159</v>
      </c>
      <c r="I1577" s="10"/>
      <c r="J1577" s="10">
        <v>46084</v>
      </c>
      <c r="K1577" s="5" t="s">
        <v>102</v>
      </c>
      <c r="L1577" s="5" t="s">
        <v>102</v>
      </c>
      <c r="M1577" s="11">
        <v>0.078</v>
      </c>
      <c r="N1577" s="5" t="e">
        <f>IF(AND(M1577&gt;#REF!,Cartera!O934="Guaraníes"),"Rendimiento significativo",IF(AND(M1577&gt;#REF!,Cartera!O934="Dólares americanos"),"Rendimiento significativo","Rendimiento no significativo"))</f>
        <v>#REF!</v>
      </c>
      <c r="O1577" s="5" t="s">
        <v>41</v>
      </c>
      <c r="P1577" s="12">
        <v>31200000</v>
      </c>
      <c r="Q1577" s="12">
        <f>IF(O1577="Guaraníes",P1577,P1577*#REF!)</f>
        <v>31200000</v>
      </c>
      <c r="R1577" s="12" t="e">
        <f>IF(O1577="Guaraníes",P1577/#REF!,P1577)</f>
        <v>#REF!</v>
      </c>
      <c r="S1577" s="5" t="s">
        <v>42</v>
      </c>
      <c r="T1577" s="5">
        <v>25</v>
      </c>
      <c r="W1577" s="5" t="s">
        <v>65</v>
      </c>
      <c r="X1577" s="5">
        <v>0</v>
      </c>
      <c r="Y1577" s="5">
        <v>0</v>
      </c>
      <c r="Z1577" s="5">
        <v>39000</v>
      </c>
      <c r="AA1577" s="5">
        <v>800</v>
      </c>
      <c r="AB1577" s="5">
        <v>31200000</v>
      </c>
      <c r="AC1577" s="5" t="str">
        <f t="shared" si="76"/>
        <v>Bonos</v>
      </c>
      <c r="AD1577" s="5" t="s">
        <v>43</v>
      </c>
      <c r="AE1577" s="5">
        <f t="shared" si="77"/>
        <v>3</v>
      </c>
      <c r="AF1577" s="5">
        <f t="shared" si="78"/>
        <v>2026</v>
      </c>
    </row>
    <row r="1578" s="5" customFormat="1" ht="13">
      <c r="A1578" s="5">
        <v>12316</v>
      </c>
      <c r="B1578" s="5" t="s">
        <v>78</v>
      </c>
      <c r="C1578" s="5" t="s">
        <v>99</v>
      </c>
      <c r="D1578" s="5" t="s">
        <v>21</v>
      </c>
      <c r="E1578" s="5" t="s">
        <v>34</v>
      </c>
      <c r="F1578" s="5" t="s">
        <v>100</v>
      </c>
      <c r="G1578" s="5" t="s">
        <v>145</v>
      </c>
      <c r="H1578" s="9" t="s">
        <v>159</v>
      </c>
      <c r="I1578" s="10">
        <v>44657</v>
      </c>
      <c r="J1578" s="10">
        <v>46084</v>
      </c>
      <c r="K1578" s="5" t="s">
        <v>102</v>
      </c>
      <c r="L1578" s="5" t="s">
        <v>102</v>
      </c>
      <c r="M1578" s="11">
        <v>0.078</v>
      </c>
      <c r="N1578" s="5" t="e">
        <f>IF(AND(M1582&gt;'Dashboard Sin Cavapy'!$B$21,Cartera!#REF!="Guaraníes"),"Rendimiento significativo", IF(AND(M1582&gt;'Dashboard Sin Cavapy'!$B$22,Cartera!#REF!="Dólares americanos"),"Rendimiento significativo","Rendimiento no significativo"))</f>
        <v>#NAME?</v>
      </c>
      <c r="O1578" s="5" t="s">
        <v>41</v>
      </c>
      <c r="P1578" s="12">
        <v>35100000</v>
      </c>
      <c r="Q1578" s="12">
        <f>IF(O1578="Guaraníes",P1578,P1578*#REF!)</f>
        <v>35100000</v>
      </c>
      <c r="R1578" s="12" t="e">
        <f>IF(O1578="Guaraníes",P1578/#REF!,P1578)</f>
        <v>#REF!</v>
      </c>
      <c r="S1578" s="5" t="s">
        <v>42</v>
      </c>
      <c r="V1578" s="5">
        <v>39000</v>
      </c>
      <c r="AA1578" s="5">
        <v>900</v>
      </c>
      <c r="AC1578" s="5" t="str">
        <f t="shared" si="76"/>
        <v>Bonos</v>
      </c>
      <c r="AD1578" s="5" t="s">
        <v>43</v>
      </c>
      <c r="AE1578" s="5">
        <f t="shared" si="77"/>
        <v>3</v>
      </c>
      <c r="AF1578" s="5">
        <f t="shared" si="78"/>
        <v>2026</v>
      </c>
    </row>
    <row r="1579" s="5" customFormat="1" ht="13">
      <c r="A1579" s="5">
        <v>12316</v>
      </c>
      <c r="B1579" s="5" t="s">
        <v>78</v>
      </c>
      <c r="C1579" s="5" t="s">
        <v>183</v>
      </c>
      <c r="D1579" s="5" t="s">
        <v>21</v>
      </c>
      <c r="E1579" s="5" t="s">
        <v>34</v>
      </c>
      <c r="F1579" s="5" t="s">
        <v>184</v>
      </c>
      <c r="H1579" s="9">
        <v>6217</v>
      </c>
      <c r="I1579" s="10"/>
      <c r="J1579" s="10">
        <v>46090</v>
      </c>
      <c r="K1579" s="5" t="s">
        <v>124</v>
      </c>
      <c r="L1579" s="5" t="s">
        <v>82</v>
      </c>
      <c r="M1579" s="11">
        <v>0.072499999999999995</v>
      </c>
      <c r="N1579" s="5" t="e">
        <f>IF(AND(M1579&gt;#REF!,Cartera!O2967="Guaraníes"),"Rendimiento significativo",IF(AND(M1579&gt;#REF!,Cartera!O2967="Dólares americanos"),"Rendimiento significativo","Rendimiento no significativo"))</f>
        <v>#REF!</v>
      </c>
      <c r="O1579" s="5" t="s">
        <v>41</v>
      </c>
      <c r="P1579" s="12">
        <v>17252690</v>
      </c>
      <c r="Q1579" s="12">
        <f>IF(O1579="Guaraníes",P1579,P1579*#REF!)</f>
        <v>17252690</v>
      </c>
      <c r="R1579" s="12" t="e">
        <f>IF(O1579="Guaraníes",P1579/#REF!,P1579)</f>
        <v>#REF!</v>
      </c>
      <c r="S1579" s="5" t="s">
        <v>42</v>
      </c>
      <c r="V1579" s="5">
        <v>17252690</v>
      </c>
      <c r="W1579" s="5" t="s">
        <v>372</v>
      </c>
      <c r="AC1579" s="5" t="str">
        <f t="shared" si="76"/>
        <v>CDA</v>
      </c>
      <c r="AD1579" s="5" t="s">
        <v>43</v>
      </c>
      <c r="AE1579" s="5">
        <f t="shared" si="77"/>
        <v>3</v>
      </c>
      <c r="AF1579" s="5">
        <f t="shared" si="78"/>
        <v>2026</v>
      </c>
    </row>
    <row r="1580" s="5" customFormat="1" ht="13">
      <c r="A1580" s="5">
        <v>12301</v>
      </c>
      <c r="B1580" s="5" t="s">
        <v>107</v>
      </c>
      <c r="C1580" s="5" t="s">
        <v>99</v>
      </c>
      <c r="D1580" s="5" t="s">
        <v>20</v>
      </c>
      <c r="E1580" s="5" t="s">
        <v>34</v>
      </c>
      <c r="F1580" s="5" t="s">
        <v>100</v>
      </c>
      <c r="G1580" s="5" t="s">
        <v>145</v>
      </c>
      <c r="H1580" s="9" t="s">
        <v>159</v>
      </c>
      <c r="I1580" s="10">
        <v>44657</v>
      </c>
      <c r="J1580" s="10">
        <v>47910</v>
      </c>
      <c r="K1580" s="5" t="s">
        <v>102</v>
      </c>
      <c r="L1580" s="5" t="s">
        <v>102</v>
      </c>
      <c r="M1580" s="11">
        <v>0.078</v>
      </c>
      <c r="N1580" s="5" t="e">
        <f>IF(AND(M1580&gt;#REF!,Cartera!O1580="Guaraníes"),"Rendimiento significativo",IF(AND(M1580&gt;#REF!,Cartera!O1580="Dólares americanos"),"Rendimiento significativo","Rendimiento no significativo"))</f>
        <v>#REF!</v>
      </c>
      <c r="O1580" s="5" t="s">
        <v>41</v>
      </c>
      <c r="P1580" s="12">
        <v>900000000</v>
      </c>
      <c r="Q1580" s="12">
        <f>IF(O1580="Guaraníes",P1580,P1580*#REF!)</f>
        <v>900000000</v>
      </c>
      <c r="R1580" s="12" t="e">
        <f>IF(O1580="Guaraníes",P1580/#REF!,P1580)</f>
        <v>#REF!</v>
      </c>
      <c r="S1580" s="5" t="s">
        <v>42</v>
      </c>
      <c r="AA1580" s="5">
        <v>900</v>
      </c>
      <c r="AC1580" s="5" t="str">
        <f t="shared" si="76"/>
        <v>Bonos</v>
      </c>
      <c r="AD1580" s="5" t="s">
        <v>43</v>
      </c>
      <c r="AE1580" s="5">
        <f t="shared" si="77"/>
        <v>3</v>
      </c>
      <c r="AF1580" s="5">
        <f t="shared" si="78"/>
        <v>2031</v>
      </c>
    </row>
    <row r="1581" s="5" customFormat="1" ht="13">
      <c r="A1581" s="5">
        <v>12306</v>
      </c>
      <c r="B1581" s="5" t="s">
        <v>373</v>
      </c>
      <c r="C1581" s="5" t="s">
        <v>183</v>
      </c>
      <c r="D1581" s="5" t="s">
        <v>20</v>
      </c>
      <c r="E1581" s="5" t="s">
        <v>34</v>
      </c>
      <c r="F1581" s="5" t="s">
        <v>184</v>
      </c>
      <c r="G1581" s="5" t="s">
        <v>276</v>
      </c>
      <c r="H1581" s="9">
        <v>6388</v>
      </c>
      <c r="I1581" s="10">
        <v>44516</v>
      </c>
      <c r="J1581" s="10">
        <v>48158</v>
      </c>
      <c r="K1581" s="5" t="s">
        <v>124</v>
      </c>
      <c r="L1581" s="5" t="s">
        <v>82</v>
      </c>
      <c r="M1581" s="11">
        <v>0.079000000000000001</v>
      </c>
      <c r="N1581" s="5" t="e">
        <f>IF(AND(M1581&gt;#REF!,Cartera!O1581="Guaraníes"),"Rendimiento significativo",IF(AND(M1581&gt;#REF!,Cartera!O1581="Dólares americanos"),"Rendimiento significativo","Rendimiento no significativo"))</f>
        <v>#REF!</v>
      </c>
      <c r="O1581" s="5" t="s">
        <v>41</v>
      </c>
      <c r="P1581" s="12">
        <v>250000000</v>
      </c>
      <c r="Q1581" s="12">
        <f>IF(O1581="Guaraníes",P1581,P1581*#REF!)</f>
        <v>250000000</v>
      </c>
      <c r="R1581" s="12" t="e">
        <f>IF(O1581="Guaraníes",P1581/#REF!,P1581)</f>
        <v>#REF!</v>
      </c>
      <c r="S1581" s="5" t="s">
        <v>42</v>
      </c>
      <c r="AC1581" s="5" t="str">
        <f t="shared" si="76"/>
        <v>CDA</v>
      </c>
      <c r="AD1581" s="5" t="s">
        <v>43</v>
      </c>
      <c r="AE1581" s="5">
        <f t="shared" si="77"/>
        <v>11</v>
      </c>
      <c r="AF1581" s="5">
        <f t="shared" si="78"/>
        <v>2031</v>
      </c>
    </row>
    <row r="1582" s="5" customFormat="1" ht="13">
      <c r="A1582" s="5">
        <v>12306</v>
      </c>
      <c r="B1582" s="5" t="s">
        <v>373</v>
      </c>
      <c r="C1582" s="5" t="s">
        <v>183</v>
      </c>
      <c r="D1582" s="5" t="s">
        <v>20</v>
      </c>
      <c r="E1582" s="5" t="s">
        <v>34</v>
      </c>
      <c r="F1582" s="5" t="s">
        <v>184</v>
      </c>
      <c r="G1582" s="5" t="s">
        <v>276</v>
      </c>
      <c r="H1582" s="9">
        <v>6389</v>
      </c>
      <c r="I1582" s="10">
        <v>44516</v>
      </c>
      <c r="J1582" s="10">
        <v>48158</v>
      </c>
      <c r="K1582" s="5" t="s">
        <v>124</v>
      </c>
      <c r="L1582" s="5" t="s">
        <v>82</v>
      </c>
      <c r="M1582" s="11">
        <v>0.079000000000000001</v>
      </c>
      <c r="N1582" s="5" t="e">
        <f>IF(AND(M1582&gt;#REF!,Cartera!O1582="Guaraníes"),"Rendimiento significativo",IF(AND(M1582&gt;#REF!,Cartera!O1582="Dólares americanos"),"Rendimiento significativo","Rendimiento no significativo"))</f>
        <v>#REF!</v>
      </c>
      <c r="O1582" s="5" t="s">
        <v>41</v>
      </c>
      <c r="P1582" s="12">
        <v>250000000</v>
      </c>
      <c r="Q1582" s="12">
        <f>IF(O1582="Guaraníes",P1582,P1582*#REF!)</f>
        <v>250000000</v>
      </c>
      <c r="R1582" s="12" t="e">
        <f>IF(O1582="Guaraníes",P1582/#REF!,P1582)</f>
        <v>#REF!</v>
      </c>
      <c r="S1582" s="5" t="s">
        <v>42</v>
      </c>
      <c r="AC1582" s="5" t="str">
        <f t="shared" si="76"/>
        <v>CDA</v>
      </c>
      <c r="AD1582" s="5" t="s">
        <v>43</v>
      </c>
      <c r="AE1582" s="5">
        <f t="shared" si="77"/>
        <v>11</v>
      </c>
      <c r="AF1582" s="5">
        <f t="shared" si="78"/>
        <v>2031</v>
      </c>
    </row>
    <row r="1583" s="5" customFormat="1" ht="13">
      <c r="A1583" s="5">
        <v>12306</v>
      </c>
      <c r="B1583" s="5" t="s">
        <v>373</v>
      </c>
      <c r="C1583" s="5" t="s">
        <v>183</v>
      </c>
      <c r="D1583" s="5" t="s">
        <v>20</v>
      </c>
      <c r="E1583" s="5" t="s">
        <v>34</v>
      </c>
      <c r="F1583" s="5" t="s">
        <v>184</v>
      </c>
      <c r="G1583" s="5" t="s">
        <v>276</v>
      </c>
      <c r="H1583" s="9">
        <v>6390</v>
      </c>
      <c r="I1583" s="10">
        <v>44516</v>
      </c>
      <c r="J1583" s="10">
        <v>48158</v>
      </c>
      <c r="K1583" s="5" t="s">
        <v>124</v>
      </c>
      <c r="L1583" s="5" t="s">
        <v>82</v>
      </c>
      <c r="M1583" s="11">
        <v>0.079000000000000001</v>
      </c>
      <c r="N1583" s="5" t="e">
        <f>IF(AND(M1583&gt;#REF!,Cartera!O1583="Guaraníes"),"Rendimiento significativo",IF(AND(M1583&gt;#REF!,Cartera!O1583="Dólares americanos"),"Rendimiento significativo","Rendimiento no significativo"))</f>
        <v>#REF!</v>
      </c>
      <c r="O1583" s="5" t="s">
        <v>41</v>
      </c>
      <c r="P1583" s="12">
        <v>250000000</v>
      </c>
      <c r="Q1583" s="12">
        <f>IF(O1583="Guaraníes",P1583,P1583*#REF!)</f>
        <v>250000000</v>
      </c>
      <c r="R1583" s="12" t="e">
        <f>IF(O1583="Guaraníes",P1583/#REF!,P1583)</f>
        <v>#REF!</v>
      </c>
      <c r="S1583" s="5" t="s">
        <v>42</v>
      </c>
      <c r="AC1583" s="5" t="str">
        <f t="shared" si="76"/>
        <v>CDA</v>
      </c>
      <c r="AD1583" s="5" t="s">
        <v>43</v>
      </c>
      <c r="AE1583" s="5">
        <f t="shared" si="77"/>
        <v>11</v>
      </c>
      <c r="AF1583" s="5">
        <f t="shared" si="78"/>
        <v>2031</v>
      </c>
    </row>
    <row r="1584" s="5" customFormat="1" ht="13">
      <c r="A1584" s="5">
        <v>12306</v>
      </c>
      <c r="B1584" s="5" t="s">
        <v>373</v>
      </c>
      <c r="C1584" s="5" t="s">
        <v>183</v>
      </c>
      <c r="D1584" s="5" t="s">
        <v>20</v>
      </c>
      <c r="E1584" s="5" t="s">
        <v>34</v>
      </c>
      <c r="F1584" s="5" t="s">
        <v>184</v>
      </c>
      <c r="G1584" s="5" t="s">
        <v>276</v>
      </c>
      <c r="H1584" s="9">
        <v>6391</v>
      </c>
      <c r="I1584" s="10">
        <v>44516</v>
      </c>
      <c r="J1584" s="10">
        <v>48158</v>
      </c>
      <c r="K1584" s="5" t="s">
        <v>124</v>
      </c>
      <c r="L1584" s="5" t="s">
        <v>82</v>
      </c>
      <c r="M1584" s="11">
        <v>0.079000000000000001</v>
      </c>
      <c r="N1584" s="5" t="e">
        <f>IF(AND(M1584&gt;#REF!,Cartera!O1584="Guaraníes"),"Rendimiento significativo",IF(AND(M1584&gt;#REF!,Cartera!O1584="Dólares americanos"),"Rendimiento significativo","Rendimiento no significativo"))</f>
        <v>#REF!</v>
      </c>
      <c r="O1584" s="5" t="s">
        <v>41</v>
      </c>
      <c r="P1584" s="12">
        <v>250000000</v>
      </c>
      <c r="Q1584" s="12">
        <f>IF(O1584="Guaraníes",P1584,P1584*#REF!)</f>
        <v>250000000</v>
      </c>
      <c r="R1584" s="12" t="e">
        <f>IF(O1584="Guaraníes",P1584/#REF!,P1584)</f>
        <v>#REF!</v>
      </c>
      <c r="S1584" s="5" t="s">
        <v>42</v>
      </c>
      <c r="AC1584" s="5" t="str">
        <f t="shared" si="76"/>
        <v>CDA</v>
      </c>
      <c r="AD1584" s="5" t="s">
        <v>43</v>
      </c>
      <c r="AE1584" s="5">
        <f t="shared" si="77"/>
        <v>11</v>
      </c>
      <c r="AF1584" s="5">
        <f t="shared" si="78"/>
        <v>2031</v>
      </c>
    </row>
    <row r="1585" s="5" customFormat="1" ht="13">
      <c r="A1585" s="5" t="s">
        <v>44</v>
      </c>
      <c r="B1585" s="5" t="s">
        <v>44</v>
      </c>
      <c r="C1585" s="5" t="s">
        <v>143</v>
      </c>
      <c r="D1585" s="5" t="s">
        <v>21</v>
      </c>
      <c r="E1585" s="5" t="s">
        <v>44</v>
      </c>
      <c r="F1585" s="5" t="s">
        <v>144</v>
      </c>
      <c r="G1585" s="5" t="s">
        <v>91</v>
      </c>
      <c r="H1585" s="9" t="s">
        <v>374</v>
      </c>
      <c r="I1585" s="10"/>
      <c r="J1585" s="10">
        <v>42627</v>
      </c>
      <c r="K1585" s="5" t="s">
        <v>49</v>
      </c>
      <c r="L1585" s="5" t="s">
        <v>58</v>
      </c>
      <c r="M1585" s="11">
        <v>0.062</v>
      </c>
      <c r="N1585" s="5" t="e">
        <f>IF(AND(M1585&gt;#REF!,Cartera!O1585="Guaraníes"),"Rendimiento significativo",IF(AND(M1585&gt;#REF!,Cartera!O1585="Dólares americanos"),"Rendimiento significativo","Rendimiento no significativo"))</f>
        <v>#REF!</v>
      </c>
      <c r="O1585" s="5" t="s">
        <v>51</v>
      </c>
      <c r="P1585" s="13">
        <v>870.37809599999991</v>
      </c>
      <c r="Q1585" s="12" t="e">
        <f>IF(O1585="Guaraníes",P1585,P1585*#REF!)</f>
        <v>#REF!</v>
      </c>
      <c r="R1585" s="12">
        <f>IF(O1585="Guaraníes",P1585/#REF!,P1585)</f>
        <v>870.37809599999991</v>
      </c>
      <c r="S1585" s="5" t="s">
        <v>52</v>
      </c>
      <c r="T1585" s="5">
        <v>3253</v>
      </c>
      <c r="W1585" s="5" t="s">
        <v>65</v>
      </c>
      <c r="X1585" s="5">
        <v>0</v>
      </c>
      <c r="Y1585" s="5">
        <v>0</v>
      </c>
      <c r="Z1585" s="5">
        <v>31.084931999999998</v>
      </c>
      <c r="AA1585" s="5">
        <v>28</v>
      </c>
      <c r="AB1585" s="5">
        <v>870.37809600000003</v>
      </c>
      <c r="AC1585" s="5" t="str">
        <f t="shared" si="76"/>
        <v>Bonos</v>
      </c>
      <c r="AD1585" s="5" t="s">
        <v>43</v>
      </c>
      <c r="AE1585" s="5">
        <f t="shared" si="77"/>
        <v>9</v>
      </c>
      <c r="AF1585" s="5">
        <f t="shared" si="78"/>
        <v>2016</v>
      </c>
    </row>
    <row r="1586" s="5" customFormat="1" ht="13">
      <c r="A1586" s="5" t="s">
        <v>44</v>
      </c>
      <c r="B1586" s="5" t="s">
        <v>44</v>
      </c>
      <c r="C1586" s="5" t="s">
        <v>33</v>
      </c>
      <c r="D1586" s="5" t="s">
        <v>21</v>
      </c>
      <c r="E1586" s="5" t="s">
        <v>44</v>
      </c>
      <c r="F1586" s="5" t="s">
        <v>35</v>
      </c>
      <c r="G1586" s="5" t="s">
        <v>91</v>
      </c>
      <c r="H1586" s="9" t="s">
        <v>375</v>
      </c>
      <c r="I1586" s="10"/>
      <c r="J1586" s="10">
        <v>42698</v>
      </c>
      <c r="K1586" s="5" t="s">
        <v>39</v>
      </c>
      <c r="L1586" s="5" t="s">
        <v>50</v>
      </c>
      <c r="M1586" s="11">
        <v>0.0625</v>
      </c>
      <c r="N1586" s="5" t="e">
        <f>IF(AND(M1586&gt;#REF!,Cartera!O1586="Guaraníes"),"Rendimiento significativo",IF(AND(M1586&gt;#REF!,Cartera!O1586="Dólares americanos"),"Rendimiento significativo","Rendimiento no significativo"))</f>
        <v>#REF!</v>
      </c>
      <c r="O1586" s="5" t="s">
        <v>51</v>
      </c>
      <c r="P1586" s="13">
        <v>1047.1233000000002</v>
      </c>
      <c r="Q1586" s="12" t="e">
        <f>IF(O1586="Guaraníes",P1586,P1586*#REF!)</f>
        <v>#REF!</v>
      </c>
      <c r="R1586" s="12">
        <f>IF(O1586="Guaraníes",P1586/#REF!,P1586)</f>
        <v>1047.1233000000002</v>
      </c>
      <c r="S1586" s="5" t="s">
        <v>52</v>
      </c>
      <c r="T1586" s="5">
        <v>3253</v>
      </c>
      <c r="W1586" s="5" t="s">
        <v>65</v>
      </c>
      <c r="X1586" s="5">
        <v>0</v>
      </c>
      <c r="Y1586" s="5">
        <v>0</v>
      </c>
      <c r="Z1586" s="5">
        <v>34.904110000000003</v>
      </c>
      <c r="AA1586" s="5">
        <v>30</v>
      </c>
      <c r="AB1586" s="5">
        <v>1047.1233</v>
      </c>
      <c r="AC1586" s="5" t="str">
        <f t="shared" si="76"/>
        <v>Bonos</v>
      </c>
      <c r="AD1586" s="5" t="s">
        <v>43</v>
      </c>
      <c r="AE1586" s="5">
        <f t="shared" si="77"/>
        <v>11</v>
      </c>
      <c r="AF1586" s="5">
        <f t="shared" si="78"/>
        <v>2016</v>
      </c>
    </row>
    <row r="1587" s="5" customFormat="1" ht="13">
      <c r="A1587" s="5" t="s">
        <v>44</v>
      </c>
      <c r="B1587" s="5" t="s">
        <v>44</v>
      </c>
      <c r="C1587" s="5" t="s">
        <v>143</v>
      </c>
      <c r="D1587" s="5" t="s">
        <v>21</v>
      </c>
      <c r="E1587" s="5" t="s">
        <v>44</v>
      </c>
      <c r="F1587" s="5" t="s">
        <v>144</v>
      </c>
      <c r="G1587" s="5" t="s">
        <v>91</v>
      </c>
      <c r="H1587" s="9" t="s">
        <v>374</v>
      </c>
      <c r="I1587" s="10"/>
      <c r="J1587" s="10">
        <v>42809</v>
      </c>
      <c r="K1587" s="5" t="s">
        <v>49</v>
      </c>
      <c r="L1587" s="5" t="s">
        <v>58</v>
      </c>
      <c r="M1587" s="11">
        <v>0.062</v>
      </c>
      <c r="N1587" s="5" t="e">
        <f>IF(AND(M1587&gt;#REF!,Cartera!O1587="Guaraníes"),"Rendimiento significativo",IF(AND(M1587&gt;#REF!,Cartera!O1587="Dólares americanos"),"Rendimiento significativo","Rendimiento no significativo"))</f>
        <v>#REF!</v>
      </c>
      <c r="O1587" s="5" t="s">
        <v>51</v>
      </c>
      <c r="P1587" s="13">
        <v>865.62190400000009</v>
      </c>
      <c r="Q1587" s="12" t="e">
        <f>IF(O1587="Guaraníes",P1587,P1587*#REF!)</f>
        <v>#REF!</v>
      </c>
      <c r="R1587" s="12">
        <f>IF(O1587="Guaraníes",P1587/#REF!,P1587)</f>
        <v>865.62190400000009</v>
      </c>
      <c r="S1587" s="5" t="s">
        <v>52</v>
      </c>
      <c r="T1587" s="5">
        <v>3253</v>
      </c>
      <c r="W1587" s="5" t="s">
        <v>65</v>
      </c>
      <c r="X1587" s="5">
        <v>0</v>
      </c>
      <c r="Y1587" s="5">
        <v>0</v>
      </c>
      <c r="Z1587" s="5">
        <v>30.915068000000002</v>
      </c>
      <c r="AA1587" s="5">
        <v>28</v>
      </c>
      <c r="AB1587" s="5">
        <v>865.62190399999997</v>
      </c>
      <c r="AC1587" s="5" t="str">
        <f t="shared" si="76"/>
        <v>Bonos</v>
      </c>
      <c r="AD1587" s="5" t="s">
        <v>43</v>
      </c>
      <c r="AE1587" s="5">
        <f t="shared" si="77"/>
        <v>3</v>
      </c>
      <c r="AF1587" s="5">
        <f t="shared" si="78"/>
        <v>2017</v>
      </c>
    </row>
    <row r="1588" s="5" customFormat="1" ht="13">
      <c r="A1588" s="5" t="s">
        <v>44</v>
      </c>
      <c r="B1588" s="5" t="s">
        <v>44</v>
      </c>
      <c r="C1588" s="5" t="s">
        <v>33</v>
      </c>
      <c r="D1588" s="5" t="s">
        <v>21</v>
      </c>
      <c r="E1588" s="5" t="s">
        <v>44</v>
      </c>
      <c r="F1588" s="5" t="s">
        <v>35</v>
      </c>
      <c r="G1588" s="5" t="s">
        <v>91</v>
      </c>
      <c r="H1588" s="9" t="s">
        <v>375</v>
      </c>
      <c r="I1588" s="10"/>
      <c r="J1588" s="10">
        <v>42881</v>
      </c>
      <c r="K1588" s="5" t="s">
        <v>39</v>
      </c>
      <c r="L1588" s="5" t="s">
        <v>50</v>
      </c>
      <c r="M1588" s="11">
        <v>0.0625</v>
      </c>
      <c r="N1588" s="5" t="e">
        <f>IF(AND(M1588&gt;#REF!,Cartera!O1588="Guaraníes"),"Rendimiento significativo",IF(AND(M1588&gt;#REF!,Cartera!O1588="Dólares americanos"),"Rendimiento significativo","Rendimiento no significativo"))</f>
        <v>#REF!</v>
      </c>
      <c r="O1588" s="5" t="s">
        <v>51</v>
      </c>
      <c r="P1588" s="13">
        <v>1052.8766999999998</v>
      </c>
      <c r="Q1588" s="12" t="e">
        <f>IF(O1588="Guaraníes",P1588,P1588*#REF!)</f>
        <v>#REF!</v>
      </c>
      <c r="R1588" s="12">
        <f>IF(O1588="Guaraníes",P1588/#REF!,P1588)</f>
        <v>1052.8766999999998</v>
      </c>
      <c r="S1588" s="5" t="s">
        <v>52</v>
      </c>
      <c r="T1588" s="5">
        <v>3253</v>
      </c>
      <c r="W1588" s="5" t="s">
        <v>65</v>
      </c>
      <c r="X1588" s="5">
        <v>0</v>
      </c>
      <c r="Y1588" s="5">
        <v>0</v>
      </c>
      <c r="Z1588" s="5">
        <v>35.095889999999997</v>
      </c>
      <c r="AA1588" s="5">
        <v>30</v>
      </c>
      <c r="AB1588" s="5">
        <v>1052.8767</v>
      </c>
      <c r="AC1588" s="5" t="str">
        <f t="shared" si="76"/>
        <v>Bonos</v>
      </c>
      <c r="AD1588" s="5" t="s">
        <v>43</v>
      </c>
      <c r="AE1588" s="5">
        <f t="shared" si="77"/>
        <v>5</v>
      </c>
      <c r="AF1588" s="5">
        <f t="shared" si="78"/>
        <v>2017</v>
      </c>
    </row>
    <row r="1589" s="5" customFormat="1" ht="13">
      <c r="A1589" s="5" t="s">
        <v>44</v>
      </c>
      <c r="B1589" s="5" t="s">
        <v>44</v>
      </c>
      <c r="C1589" s="5" t="s">
        <v>143</v>
      </c>
      <c r="D1589" s="5" t="s">
        <v>21</v>
      </c>
      <c r="E1589" s="5" t="s">
        <v>44</v>
      </c>
      <c r="F1589" s="5" t="s">
        <v>144</v>
      </c>
      <c r="G1589" s="5" t="s">
        <v>91</v>
      </c>
      <c r="H1589" s="9" t="s">
        <v>374</v>
      </c>
      <c r="I1589" s="10"/>
      <c r="J1589" s="10">
        <v>42992</v>
      </c>
      <c r="K1589" s="5" t="s">
        <v>49</v>
      </c>
      <c r="L1589" s="5" t="s">
        <v>58</v>
      </c>
      <c r="M1589" s="11">
        <v>0.062</v>
      </c>
      <c r="N1589" s="5" t="e">
        <f>IF(AND(M1589&gt;#REF!,Cartera!O1589="Guaraníes"),"Rendimiento significativo",IF(AND(M1589&gt;#REF!,Cartera!O1589="Dólares americanos"),"Rendimiento significativo","Rendimiento no significativo"))</f>
        <v>#REF!</v>
      </c>
      <c r="O1589" s="5" t="s">
        <v>51</v>
      </c>
      <c r="P1589" s="13">
        <v>870.37809599999991</v>
      </c>
      <c r="Q1589" s="12" t="e">
        <f>IF(O1589="Guaraníes",P1589,P1589*#REF!)</f>
        <v>#REF!</v>
      </c>
      <c r="R1589" s="12">
        <f>IF(O1589="Guaraníes",P1589/#REF!,P1589)</f>
        <v>870.37809599999991</v>
      </c>
      <c r="S1589" s="5" t="s">
        <v>52</v>
      </c>
      <c r="T1589" s="5">
        <v>3253</v>
      </c>
      <c r="W1589" s="5" t="s">
        <v>65</v>
      </c>
      <c r="X1589" s="5">
        <v>0</v>
      </c>
      <c r="Y1589" s="5">
        <v>0</v>
      </c>
      <c r="Z1589" s="5">
        <v>31.084931999999998</v>
      </c>
      <c r="AA1589" s="5">
        <v>28</v>
      </c>
      <c r="AB1589" s="5">
        <v>870.37809600000003</v>
      </c>
      <c r="AC1589" s="5" t="str">
        <f t="shared" si="76"/>
        <v>Bonos</v>
      </c>
      <c r="AD1589" s="5" t="s">
        <v>43</v>
      </c>
      <c r="AE1589" s="5">
        <f t="shared" si="77"/>
        <v>9</v>
      </c>
      <c r="AF1589" s="5">
        <f t="shared" si="78"/>
        <v>2017</v>
      </c>
    </row>
    <row r="1590" s="5" customFormat="1" ht="13">
      <c r="A1590" s="5" t="s">
        <v>44</v>
      </c>
      <c r="B1590" s="5" t="s">
        <v>44</v>
      </c>
      <c r="C1590" s="5" t="s">
        <v>33</v>
      </c>
      <c r="D1590" s="5" t="s">
        <v>21</v>
      </c>
      <c r="E1590" s="5" t="s">
        <v>44</v>
      </c>
      <c r="F1590" s="5" t="s">
        <v>35</v>
      </c>
      <c r="G1590" s="5" t="s">
        <v>91</v>
      </c>
      <c r="H1590" s="9" t="s">
        <v>375</v>
      </c>
      <c r="I1590" s="10"/>
      <c r="J1590" s="10">
        <v>43063</v>
      </c>
      <c r="K1590" s="5" t="s">
        <v>39</v>
      </c>
      <c r="L1590" s="5" t="s">
        <v>50</v>
      </c>
      <c r="M1590" s="11">
        <v>0.0625</v>
      </c>
      <c r="N1590" s="5" t="e">
        <f>IF(AND(M1590&gt;#REF!,Cartera!O1590="Guaraníes"),"Rendimiento significativo",IF(AND(M1590&gt;#REF!,Cartera!O1590="Dólares americanos"),"Rendimiento significativo","Rendimiento no significativo"))</f>
        <v>#REF!</v>
      </c>
      <c r="O1590" s="5" t="s">
        <v>51</v>
      </c>
      <c r="P1590" s="13">
        <v>1047.1233000000002</v>
      </c>
      <c r="Q1590" s="12" t="e">
        <f>IF(O1590="Guaraníes",P1590,P1590*#REF!)</f>
        <v>#REF!</v>
      </c>
      <c r="R1590" s="12">
        <f>IF(O1590="Guaraníes",P1590/#REF!,P1590)</f>
        <v>1047.1233000000002</v>
      </c>
      <c r="S1590" s="5" t="s">
        <v>52</v>
      </c>
      <c r="T1590" s="5">
        <v>3253</v>
      </c>
      <c r="W1590" s="5" t="s">
        <v>65</v>
      </c>
      <c r="X1590" s="5">
        <v>0</v>
      </c>
      <c r="Y1590" s="5">
        <v>0</v>
      </c>
      <c r="Z1590" s="5">
        <v>34.904110000000003</v>
      </c>
      <c r="AA1590" s="5">
        <v>30</v>
      </c>
      <c r="AB1590" s="5">
        <v>1047.1233</v>
      </c>
      <c r="AC1590" s="5" t="str">
        <f t="shared" si="76"/>
        <v>Bonos</v>
      </c>
      <c r="AD1590" s="5" t="s">
        <v>43</v>
      </c>
      <c r="AE1590" s="5">
        <f t="shared" si="77"/>
        <v>11</v>
      </c>
      <c r="AF1590" s="5">
        <f t="shared" si="78"/>
        <v>2017</v>
      </c>
    </row>
    <row r="1591" s="5" customFormat="1" ht="13">
      <c r="A1591" s="5" t="s">
        <v>44</v>
      </c>
      <c r="B1591" s="5" t="s">
        <v>44</v>
      </c>
      <c r="C1591" s="5" t="s">
        <v>67</v>
      </c>
      <c r="D1591" s="5" t="s">
        <v>21</v>
      </c>
      <c r="E1591" s="5" t="s">
        <v>44</v>
      </c>
      <c r="F1591" s="5" t="s">
        <v>68</v>
      </c>
      <c r="G1591" s="5" t="s">
        <v>91</v>
      </c>
      <c r="H1591" s="9" t="s">
        <v>376</v>
      </c>
      <c r="I1591" s="10"/>
      <c r="J1591" s="10">
        <v>43341</v>
      </c>
      <c r="K1591" s="5" t="s">
        <v>71</v>
      </c>
      <c r="L1591" s="5" t="s">
        <v>58</v>
      </c>
      <c r="M1591" s="11">
        <v>0.089999999999999997</v>
      </c>
      <c r="N1591" s="5" t="e">
        <f>IF(AND(M1591&gt;#REF!,Cartera!O1591="Guaraníes"),"Rendimiento significativo",IF(AND(M1591&gt;#REF!,Cartera!O1591="Dólares americanos"),"Rendimiento significativo","Rendimiento no significativo"))</f>
        <v>#REF!</v>
      </c>
      <c r="O1591" s="5" t="s">
        <v>41</v>
      </c>
      <c r="P1591" s="12">
        <v>2243835.6164000002</v>
      </c>
      <c r="Q1591" s="12">
        <f>IF(O1591="Guaraníes",P1591,P1591*#REF!)</f>
        <v>2243835.6164000002</v>
      </c>
      <c r="R1591" s="12" t="e">
        <f>IF(O1591="Guaraníes",P1591/#REF!,P1591)</f>
        <v>#REF!</v>
      </c>
      <c r="S1591" s="5" t="s">
        <v>52</v>
      </c>
      <c r="T1591" s="5">
        <v>3253</v>
      </c>
      <c r="W1591" s="5" t="s">
        <v>65</v>
      </c>
      <c r="X1591" s="5">
        <v>0</v>
      </c>
      <c r="Y1591" s="5">
        <v>0</v>
      </c>
      <c r="Z1591" s="5">
        <v>18986.301370000001</v>
      </c>
      <c r="AA1591" s="5">
        <v>100</v>
      </c>
      <c r="AB1591" s="5">
        <v>1898630.1370000001</v>
      </c>
      <c r="AC1591" s="5" t="str">
        <f t="shared" ref="AC1591:AC1654" si="79">IF(ISNUMBER(SEARCH("Acciones",L1591)),"Acciones",IF(ISNUMBER(SEARCH("Bono",L1591)),"Bonos",IF(ISNUMBER(SEARCH("CDA",L1591)),"CDA",IF(ISNUMBER(SEARCH("Fondo",L1591)),"Fondo",0))))</f>
        <v>Bonos</v>
      </c>
      <c r="AD1591" s="5" t="s">
        <v>43</v>
      </c>
      <c r="AE1591" s="5">
        <f t="shared" si="77"/>
        <v>8</v>
      </c>
      <c r="AF1591" s="5">
        <f t="shared" si="78"/>
        <v>2018</v>
      </c>
    </row>
    <row r="1592" s="5" customFormat="1" ht="13">
      <c r="A1592" s="5" t="s">
        <v>44</v>
      </c>
      <c r="B1592" s="5" t="s">
        <v>44</v>
      </c>
      <c r="C1592" s="5" t="s">
        <v>143</v>
      </c>
      <c r="D1592" s="5" t="s">
        <v>21</v>
      </c>
      <c r="E1592" s="5" t="s">
        <v>44</v>
      </c>
      <c r="F1592" s="5" t="s">
        <v>144</v>
      </c>
      <c r="G1592" s="5" t="s">
        <v>91</v>
      </c>
      <c r="H1592" s="9" t="s">
        <v>374</v>
      </c>
      <c r="I1592" s="10"/>
      <c r="J1592" s="10">
        <v>43175</v>
      </c>
      <c r="K1592" s="5" t="s">
        <v>49</v>
      </c>
      <c r="L1592" s="5" t="s">
        <v>58</v>
      </c>
      <c r="M1592" s="11">
        <v>0.062</v>
      </c>
      <c r="N1592" s="5" t="e">
        <f>IF(AND(M1592&gt;#REF!,Cartera!O1592="Guaraníes"),"Rendimiento significativo",IF(AND(M1592&gt;#REF!,Cartera!O1592="Dólares americanos"),"Rendimiento significativo","Rendimiento no significativo"))</f>
        <v>#REF!</v>
      </c>
      <c r="O1592" s="5" t="s">
        <v>51</v>
      </c>
      <c r="P1592" s="13">
        <v>870.37809599999991</v>
      </c>
      <c r="Q1592" s="12" t="e">
        <f>IF(O1592="Guaraníes",P1592,P1592*#REF!)</f>
        <v>#REF!</v>
      </c>
      <c r="R1592" s="12">
        <f>IF(O1592="Guaraníes",P1592/#REF!,P1592)</f>
        <v>870.37809599999991</v>
      </c>
      <c r="S1592" s="5" t="s">
        <v>52</v>
      </c>
      <c r="T1592" s="5">
        <v>3253</v>
      </c>
      <c r="W1592" s="5" t="s">
        <v>65</v>
      </c>
      <c r="X1592" s="5">
        <v>0</v>
      </c>
      <c r="Y1592" s="5">
        <v>0</v>
      </c>
      <c r="Z1592" s="5">
        <v>31.084931999999998</v>
      </c>
      <c r="AA1592" s="5">
        <v>28</v>
      </c>
      <c r="AB1592" s="5">
        <v>870.37809600000003</v>
      </c>
      <c r="AC1592" s="5" t="str">
        <f t="shared" si="79"/>
        <v>Bonos</v>
      </c>
      <c r="AD1592" s="5" t="s">
        <v>43</v>
      </c>
      <c r="AE1592" s="5">
        <f t="shared" si="77"/>
        <v>3</v>
      </c>
      <c r="AF1592" s="5">
        <f t="shared" si="78"/>
        <v>2018</v>
      </c>
    </row>
    <row r="1593" s="5" customFormat="1" ht="13">
      <c r="A1593" s="5" t="s">
        <v>44</v>
      </c>
      <c r="B1593" s="5" t="s">
        <v>44</v>
      </c>
      <c r="C1593" s="5" t="s">
        <v>33</v>
      </c>
      <c r="D1593" s="5" t="s">
        <v>21</v>
      </c>
      <c r="E1593" s="5" t="s">
        <v>44</v>
      </c>
      <c r="F1593" s="5" t="s">
        <v>35</v>
      </c>
      <c r="G1593" s="5" t="s">
        <v>91</v>
      </c>
      <c r="H1593" s="9" t="s">
        <v>375</v>
      </c>
      <c r="I1593" s="10"/>
      <c r="J1593" s="10">
        <v>43248</v>
      </c>
      <c r="K1593" s="5" t="s">
        <v>39</v>
      </c>
      <c r="L1593" s="5" t="s">
        <v>50</v>
      </c>
      <c r="M1593" s="11">
        <v>0.0625</v>
      </c>
      <c r="N1593" s="5" t="e">
        <f>IF(AND(M1593&gt;#REF!,Cartera!O1593="Guaraníes"),"Rendimiento significativo",IF(AND(M1593&gt;#REF!,Cartera!O1593="Dólares americanos"),"Rendimiento significativo","Rendimiento no significativo"))</f>
        <v>#REF!</v>
      </c>
      <c r="O1593" s="5" t="s">
        <v>51</v>
      </c>
      <c r="P1593" s="13">
        <v>1064.38356</v>
      </c>
      <c r="Q1593" s="12" t="e">
        <f>IF(O1593="Guaraníes",P1593,P1593*#REF!)</f>
        <v>#REF!</v>
      </c>
      <c r="R1593" s="12">
        <f>IF(O1593="Guaraníes",P1593/#REF!,P1593)</f>
        <v>1064.38356</v>
      </c>
      <c r="S1593" s="5" t="s">
        <v>52</v>
      </c>
      <c r="T1593" s="5">
        <v>3253</v>
      </c>
      <c r="W1593" s="5" t="s">
        <v>65</v>
      </c>
      <c r="X1593" s="5">
        <v>0</v>
      </c>
      <c r="Y1593" s="5">
        <v>0</v>
      </c>
      <c r="Z1593" s="5">
        <v>35.479452000000002</v>
      </c>
      <c r="AA1593" s="5">
        <v>30</v>
      </c>
      <c r="AB1593" s="5">
        <v>1064.38356</v>
      </c>
      <c r="AC1593" s="5" t="str">
        <f t="shared" si="79"/>
        <v>Bonos</v>
      </c>
      <c r="AD1593" s="5" t="s">
        <v>43</v>
      </c>
      <c r="AE1593" s="5">
        <f t="shared" si="77"/>
        <v>5</v>
      </c>
      <c r="AF1593" s="5">
        <f t="shared" si="78"/>
        <v>2018</v>
      </c>
    </row>
    <row r="1594" s="5" customFormat="1" ht="13">
      <c r="A1594" s="5" t="s">
        <v>44</v>
      </c>
      <c r="B1594" s="5" t="s">
        <v>44</v>
      </c>
      <c r="C1594" s="5" t="s">
        <v>45</v>
      </c>
      <c r="D1594" s="5" t="s">
        <v>21</v>
      </c>
      <c r="E1594" s="5" t="s">
        <v>44</v>
      </c>
      <c r="F1594" s="5" t="s">
        <v>46</v>
      </c>
      <c r="G1594" s="5" t="s">
        <v>91</v>
      </c>
      <c r="H1594" s="9" t="s">
        <v>365</v>
      </c>
      <c r="I1594" s="10"/>
      <c r="J1594" s="10">
        <v>43307</v>
      </c>
      <c r="K1594" s="5" t="s">
        <v>49</v>
      </c>
      <c r="L1594" s="5" t="s">
        <v>58</v>
      </c>
      <c r="M1594" s="11">
        <v>0.059999999999999998</v>
      </c>
      <c r="N1594" s="5" t="e">
        <f>IF(AND(M1594&gt;#REF!,Cartera!O1594="Guaraníes"),"Rendimiento significativo",IF(AND(M1594&gt;#REF!,Cartera!O1594="Dólares americanos"),"Rendimiento significativo","Rendimiento no significativo"))</f>
        <v>#REF!</v>
      </c>
      <c r="O1594" s="5" t="s">
        <v>51</v>
      </c>
      <c r="P1594" s="13">
        <v>458.11643500000002</v>
      </c>
      <c r="Q1594" s="12" t="e">
        <f>IF(O1594="Guaraníes",P1594,P1594*#REF!)</f>
        <v>#REF!</v>
      </c>
      <c r="R1594" s="12">
        <f>IF(O1594="Guaraníes",P1594/#REF!,P1594)</f>
        <v>458.11643500000002</v>
      </c>
      <c r="S1594" s="5" t="s">
        <v>52</v>
      </c>
      <c r="T1594" s="5">
        <v>3253</v>
      </c>
      <c r="W1594" s="5" t="s">
        <v>65</v>
      </c>
      <c r="X1594" s="5">
        <v>0</v>
      </c>
      <c r="Y1594" s="5">
        <v>0</v>
      </c>
      <c r="Z1594" s="5">
        <v>13.089041</v>
      </c>
      <c r="AA1594" s="5">
        <v>35</v>
      </c>
      <c r="AB1594" s="5">
        <v>458.11643500000002</v>
      </c>
      <c r="AC1594" s="5" t="str">
        <f t="shared" si="79"/>
        <v>Bonos</v>
      </c>
      <c r="AD1594" s="5" t="s">
        <v>43</v>
      </c>
      <c r="AE1594" s="5">
        <f t="shared" si="77"/>
        <v>7</v>
      </c>
      <c r="AF1594" s="5">
        <f t="shared" si="78"/>
        <v>2018</v>
      </c>
    </row>
    <row r="1595" s="5" customFormat="1" ht="13">
      <c r="A1595" s="5" t="s">
        <v>44</v>
      </c>
      <c r="B1595" s="5" t="s">
        <v>44</v>
      </c>
      <c r="C1595" s="5" t="s">
        <v>143</v>
      </c>
      <c r="D1595" s="5" t="s">
        <v>21</v>
      </c>
      <c r="E1595" s="5" t="s">
        <v>44</v>
      </c>
      <c r="F1595" s="5" t="s">
        <v>144</v>
      </c>
      <c r="G1595" s="5" t="s">
        <v>91</v>
      </c>
      <c r="H1595" s="9" t="s">
        <v>374</v>
      </c>
      <c r="I1595" s="10"/>
      <c r="J1595" s="10">
        <v>43357</v>
      </c>
      <c r="K1595" s="5" t="s">
        <v>49</v>
      </c>
      <c r="L1595" s="5" t="s">
        <v>58</v>
      </c>
      <c r="M1595" s="11">
        <v>0.062</v>
      </c>
      <c r="N1595" s="5" t="e">
        <f>IF(AND(M1595&gt;#REF!,Cartera!O1595="Guaraníes"),"Rendimiento significativo",IF(AND(M1595&gt;#REF!,Cartera!O1595="Dólares americanos"),"Rendimiento significativo","Rendimiento no significativo"))</f>
        <v>#REF!</v>
      </c>
      <c r="O1595" s="5" t="s">
        <v>51</v>
      </c>
      <c r="P1595" s="13">
        <v>865.62190400000009</v>
      </c>
      <c r="Q1595" s="12" t="e">
        <f>IF(O1595="Guaraníes",P1595,P1595*#REF!)</f>
        <v>#REF!</v>
      </c>
      <c r="R1595" s="12">
        <f>IF(O1595="Guaraníes",P1595/#REF!,P1595)</f>
        <v>865.62190400000009</v>
      </c>
      <c r="S1595" s="5" t="s">
        <v>52</v>
      </c>
      <c r="T1595" s="5">
        <v>3253</v>
      </c>
      <c r="W1595" s="5" t="s">
        <v>65</v>
      </c>
      <c r="X1595" s="5">
        <v>0</v>
      </c>
      <c r="Y1595" s="5">
        <v>0</v>
      </c>
      <c r="Z1595" s="5">
        <v>30.915068000000002</v>
      </c>
      <c r="AA1595" s="5">
        <v>28</v>
      </c>
      <c r="AB1595" s="5">
        <v>865.62190399999997</v>
      </c>
      <c r="AC1595" s="5" t="str">
        <f t="shared" si="79"/>
        <v>Bonos</v>
      </c>
      <c r="AD1595" s="5" t="s">
        <v>43</v>
      </c>
      <c r="AE1595" s="5">
        <f t="shared" si="77"/>
        <v>9</v>
      </c>
      <c r="AF1595" s="5">
        <f t="shared" si="78"/>
        <v>2018</v>
      </c>
    </row>
    <row r="1596" s="5" customFormat="1" ht="13">
      <c r="A1596" s="5">
        <v>12314</v>
      </c>
      <c r="B1596" s="5" t="s">
        <v>377</v>
      </c>
      <c r="C1596" s="5" t="s">
        <v>378</v>
      </c>
      <c r="D1596" s="5" t="s">
        <v>20</v>
      </c>
      <c r="E1596" s="5" t="s">
        <v>34</v>
      </c>
      <c r="F1596" s="5" t="s">
        <v>379</v>
      </c>
      <c r="G1596" s="5" t="s">
        <v>91</v>
      </c>
      <c r="H1596" s="9" t="s">
        <v>151</v>
      </c>
      <c r="I1596" s="10" t="s">
        <v>152</v>
      </c>
      <c r="J1596" s="10" t="s">
        <v>152</v>
      </c>
      <c r="K1596" s="5" t="s">
        <v>153</v>
      </c>
      <c r="L1596" s="5" t="s">
        <v>151</v>
      </c>
      <c r="M1596" s="11">
        <v>0.043700000000000003</v>
      </c>
      <c r="N1596" s="5" t="e">
        <f>IF(AND(M1596&gt;#REF!,Cartera!O1596="Guaraníes"),"Rendimiento significativo",IF(AND(M1596&gt;#REF!,Cartera!O1596="Dólares americanos"),"Rendimiento significativo","Rendimiento no significativo"))</f>
        <v>#REF!</v>
      </c>
      <c r="O1596" s="5" t="s">
        <v>51</v>
      </c>
      <c r="P1596" s="13">
        <v>238309.67999999999</v>
      </c>
      <c r="Q1596" s="12" t="e">
        <f>IF(O1596="Guaraníes",P1596,P1596*#REF!)</f>
        <v>#REF!</v>
      </c>
      <c r="R1596" s="12">
        <f>IF(O1596="Guaraníes",P1596/#REF!,P1596)</f>
        <v>238309.67999999999</v>
      </c>
      <c r="S1596" s="5" t="s">
        <v>52</v>
      </c>
      <c r="AC1596" s="5" t="str">
        <f t="shared" si="79"/>
        <v>Fondo</v>
      </c>
      <c r="AD1596" s="5" t="s">
        <v>43</v>
      </c>
      <c r="AE1596" s="5">
        <f t="shared" si="77"/>
        <v>0</v>
      </c>
      <c r="AF1596" s="5">
        <f t="shared" si="78"/>
        <v>0</v>
      </c>
    </row>
    <row r="1597" s="5" customFormat="1" ht="13">
      <c r="A1597" s="5" t="s">
        <v>44</v>
      </c>
      <c r="B1597" s="5" t="s">
        <v>44</v>
      </c>
      <c r="C1597" s="5" t="s">
        <v>67</v>
      </c>
      <c r="D1597" s="5" t="s">
        <v>21</v>
      </c>
      <c r="E1597" s="5" t="s">
        <v>44</v>
      </c>
      <c r="F1597" s="5" t="s">
        <v>68</v>
      </c>
      <c r="G1597" s="5" t="s">
        <v>91</v>
      </c>
      <c r="H1597" s="9" t="s">
        <v>110</v>
      </c>
      <c r="I1597" s="10"/>
      <c r="J1597" s="10">
        <v>43396</v>
      </c>
      <c r="K1597" s="5" t="s">
        <v>71</v>
      </c>
      <c r="L1597" s="5" t="s">
        <v>58</v>
      </c>
      <c r="M1597" s="11">
        <v>0.089999999999999997</v>
      </c>
      <c r="N1597" s="5" t="e">
        <f>IF(AND(M1597&gt;#REF!,Cartera!O1597="Guaraníes"),"Rendimiento significativo",IF(AND(M1597&gt;#REF!,Cartera!O1597="Dólares americanos"),"Rendimiento significativo","Rendimiento no significativo"))</f>
        <v>#REF!</v>
      </c>
      <c r="O1597" s="5" t="s">
        <v>51</v>
      </c>
      <c r="P1597" s="13">
        <v>252.43150499999999</v>
      </c>
      <c r="Q1597" s="12" t="e">
        <f>IF(O1597="Guaraníes",P1597,P1597*#REF!)</f>
        <v>#REF!</v>
      </c>
      <c r="R1597" s="12">
        <f>IF(O1597="Guaraníes",P1597/#REF!,P1597)</f>
        <v>252.43150499999999</v>
      </c>
      <c r="S1597" s="5" t="s">
        <v>52</v>
      </c>
      <c r="T1597" s="5">
        <v>3253</v>
      </c>
      <c r="W1597" s="5" t="s">
        <v>65</v>
      </c>
      <c r="X1597" s="5">
        <v>0</v>
      </c>
      <c r="Y1597" s="5">
        <v>0</v>
      </c>
      <c r="Z1597" s="5">
        <v>16.828766999999999</v>
      </c>
      <c r="AA1597" s="5">
        <v>15</v>
      </c>
      <c r="AB1597" s="5">
        <v>252.43150499999999</v>
      </c>
      <c r="AC1597" s="5" t="str">
        <f t="shared" si="79"/>
        <v>Bonos</v>
      </c>
      <c r="AD1597" s="5" t="s">
        <v>43</v>
      </c>
      <c r="AE1597" s="5">
        <f t="shared" si="77"/>
        <v>10</v>
      </c>
      <c r="AF1597" s="5">
        <f t="shared" si="78"/>
        <v>2018</v>
      </c>
    </row>
    <row r="1598" s="5" customFormat="1" ht="13">
      <c r="A1598" s="5" t="s">
        <v>44</v>
      </c>
      <c r="B1598" s="5" t="s">
        <v>44</v>
      </c>
      <c r="C1598" s="5" t="s">
        <v>45</v>
      </c>
      <c r="D1598" s="5" t="s">
        <v>21</v>
      </c>
      <c r="E1598" s="5" t="s">
        <v>44</v>
      </c>
      <c r="F1598" s="5" t="s">
        <v>46</v>
      </c>
      <c r="G1598" s="5" t="s">
        <v>91</v>
      </c>
      <c r="H1598" s="9" t="s">
        <v>365</v>
      </c>
      <c r="I1598" s="10"/>
      <c r="J1598" s="10">
        <v>43398</v>
      </c>
      <c r="K1598" s="5" t="s">
        <v>49</v>
      </c>
      <c r="L1598" s="5" t="s">
        <v>58</v>
      </c>
      <c r="M1598" s="11">
        <v>0.059999999999999998</v>
      </c>
      <c r="N1598" s="5" t="e">
        <f>IF(AND(M1598&gt;#REF!,Cartera!O1598="Guaraníes"),"Rendimiento significativo",IF(AND(M1598&gt;#REF!,Cartera!O1598="Dólares americanos"),"Rendimiento significativo","Rendimiento no significativo"))</f>
        <v>#REF!</v>
      </c>
      <c r="O1598" s="5" t="s">
        <v>51</v>
      </c>
      <c r="P1598" s="13">
        <v>458.11643500000002</v>
      </c>
      <c r="Q1598" s="12" t="e">
        <f>IF(O1598="Guaraníes",P1598,P1598*#REF!)</f>
        <v>#REF!</v>
      </c>
      <c r="R1598" s="12">
        <f>IF(O1598="Guaraníes",P1598/#REF!,P1598)</f>
        <v>458.11643500000002</v>
      </c>
      <c r="S1598" s="5" t="s">
        <v>52</v>
      </c>
      <c r="T1598" s="5">
        <v>3253</v>
      </c>
      <c r="W1598" s="5" t="s">
        <v>65</v>
      </c>
      <c r="X1598" s="5">
        <v>0</v>
      </c>
      <c r="Y1598" s="5">
        <v>0</v>
      </c>
      <c r="Z1598" s="5">
        <v>13.089041</v>
      </c>
      <c r="AA1598" s="5">
        <v>35</v>
      </c>
      <c r="AB1598" s="5">
        <v>458.11643500000002</v>
      </c>
      <c r="AC1598" s="5" t="str">
        <f t="shared" si="79"/>
        <v>Bonos</v>
      </c>
      <c r="AD1598" s="5" t="s">
        <v>43</v>
      </c>
      <c r="AE1598" s="5">
        <f t="shared" si="77"/>
        <v>10</v>
      </c>
      <c r="AF1598" s="5">
        <f t="shared" si="78"/>
        <v>2018</v>
      </c>
    </row>
    <row r="1599" s="5" customFormat="1" ht="13">
      <c r="A1599" s="5" t="s">
        <v>44</v>
      </c>
      <c r="B1599" s="5" t="s">
        <v>44</v>
      </c>
      <c r="C1599" s="5" t="s">
        <v>33</v>
      </c>
      <c r="D1599" s="5" t="s">
        <v>21</v>
      </c>
      <c r="E1599" s="5" t="s">
        <v>44</v>
      </c>
      <c r="F1599" s="5" t="s">
        <v>35</v>
      </c>
      <c r="G1599" s="5" t="s">
        <v>91</v>
      </c>
      <c r="H1599" s="9" t="s">
        <v>375</v>
      </c>
      <c r="I1599" s="10"/>
      <c r="J1599" s="10">
        <v>43430</v>
      </c>
      <c r="K1599" s="5" t="s">
        <v>39</v>
      </c>
      <c r="L1599" s="5" t="s">
        <v>50</v>
      </c>
      <c r="M1599" s="11">
        <v>0.0625</v>
      </c>
      <c r="N1599" s="5" t="e">
        <f>IF(AND(M1599&gt;#REF!,Cartera!O1599="Guaraníes"),"Rendimiento significativo",IF(AND(M1599&gt;#REF!,Cartera!O1599="Dólares americanos"),"Rendimiento significativo","Rendimiento no significativo"))</f>
        <v>#REF!</v>
      </c>
      <c r="O1599" s="5" t="s">
        <v>51</v>
      </c>
      <c r="P1599" s="13">
        <v>1047.1233000000002</v>
      </c>
      <c r="Q1599" s="12" t="e">
        <f>IF(O1599="Guaraníes",P1599,P1599*#REF!)</f>
        <v>#REF!</v>
      </c>
      <c r="R1599" s="12">
        <f>IF(O1599="Guaraníes",P1599/#REF!,P1599)</f>
        <v>1047.1233000000002</v>
      </c>
      <c r="S1599" s="5" t="s">
        <v>52</v>
      </c>
      <c r="T1599" s="5">
        <v>3253</v>
      </c>
      <c r="W1599" s="5" t="s">
        <v>65</v>
      </c>
      <c r="X1599" s="5">
        <v>0</v>
      </c>
      <c r="Y1599" s="5">
        <v>0</v>
      </c>
      <c r="Z1599" s="5">
        <v>34.904110000000003</v>
      </c>
      <c r="AA1599" s="5">
        <v>30</v>
      </c>
      <c r="AB1599" s="5">
        <v>1047.1233</v>
      </c>
      <c r="AC1599" s="5" t="str">
        <f t="shared" si="79"/>
        <v>Bonos</v>
      </c>
      <c r="AD1599" s="5" t="s">
        <v>43</v>
      </c>
      <c r="AE1599" s="5">
        <f t="shared" si="77"/>
        <v>11</v>
      </c>
      <c r="AF1599" s="5">
        <f t="shared" si="78"/>
        <v>2018</v>
      </c>
    </row>
    <row r="1600" s="5" customFormat="1" ht="13">
      <c r="A1600" s="5" t="s">
        <v>44</v>
      </c>
      <c r="B1600" s="5" t="s">
        <v>44</v>
      </c>
      <c r="C1600" s="5" t="s">
        <v>67</v>
      </c>
      <c r="D1600" s="5" t="s">
        <v>21</v>
      </c>
      <c r="E1600" s="5" t="s">
        <v>44</v>
      </c>
      <c r="F1600" s="5" t="s">
        <v>68</v>
      </c>
      <c r="G1600" s="5" t="s">
        <v>91</v>
      </c>
      <c r="H1600" s="9" t="s">
        <v>376</v>
      </c>
      <c r="I1600" s="10"/>
      <c r="J1600" s="10">
        <v>43432</v>
      </c>
      <c r="K1600" s="5" t="s">
        <v>71</v>
      </c>
      <c r="L1600" s="5" t="s">
        <v>58</v>
      </c>
      <c r="M1600" s="11">
        <v>0.089999999999999997</v>
      </c>
      <c r="N1600" s="5" t="e">
        <f>IF(AND(M1600&gt;#REF!,Cartera!O1600="Guaraníes"),"Rendimiento significativo",IF(AND(M1600&gt;#REF!,Cartera!O1600="Dólares americanos"),"Rendimiento significativo","Rendimiento no significativo"))</f>
        <v>#REF!</v>
      </c>
      <c r="O1600" s="5" t="s">
        <v>41</v>
      </c>
      <c r="P1600" s="12">
        <v>2243835.6164000002</v>
      </c>
      <c r="Q1600" s="12">
        <f>IF(O1600="Guaraníes",P1600,P1600*#REF!)</f>
        <v>2243835.6164000002</v>
      </c>
      <c r="R1600" s="12" t="e">
        <f>IF(O1600="Guaraníes",P1600/#REF!,P1600)</f>
        <v>#REF!</v>
      </c>
      <c r="S1600" s="5" t="s">
        <v>52</v>
      </c>
      <c r="T1600" s="5">
        <v>3253</v>
      </c>
      <c r="W1600" s="5" t="s">
        <v>65</v>
      </c>
      <c r="X1600" s="5">
        <v>0</v>
      </c>
      <c r="Y1600" s="5">
        <v>0</v>
      </c>
      <c r="Z1600" s="5">
        <v>22438.356164000001</v>
      </c>
      <c r="AA1600" s="5">
        <v>100</v>
      </c>
      <c r="AB1600" s="5">
        <v>2243835.6164000002</v>
      </c>
      <c r="AC1600" s="5" t="str">
        <f t="shared" si="79"/>
        <v>Bonos</v>
      </c>
      <c r="AD1600" s="5" t="s">
        <v>43</v>
      </c>
      <c r="AE1600" s="5">
        <f t="shared" si="77"/>
        <v>11</v>
      </c>
      <c r="AF1600" s="5">
        <f t="shared" si="78"/>
        <v>2018</v>
      </c>
    </row>
    <row r="1601" s="5" customFormat="1" ht="13">
      <c r="A1601" s="5" t="s">
        <v>44</v>
      </c>
      <c r="B1601" s="5" t="s">
        <v>44</v>
      </c>
      <c r="C1601" s="5" t="s">
        <v>67</v>
      </c>
      <c r="D1601" s="5" t="s">
        <v>21</v>
      </c>
      <c r="E1601" s="5" t="s">
        <v>44</v>
      </c>
      <c r="F1601" s="5" t="s">
        <v>68</v>
      </c>
      <c r="G1601" s="5" t="s">
        <v>91</v>
      </c>
      <c r="H1601" s="9" t="s">
        <v>110</v>
      </c>
      <c r="I1601" s="10"/>
      <c r="J1601" s="10">
        <v>43487</v>
      </c>
      <c r="K1601" s="5" t="s">
        <v>71</v>
      </c>
      <c r="L1601" s="5" t="s">
        <v>58</v>
      </c>
      <c r="M1601" s="11">
        <v>0.089999999999999997</v>
      </c>
      <c r="N1601" s="5" t="e">
        <f>IF(AND(M1601&gt;#REF!,Cartera!O1601="Guaraníes"),"Rendimiento significativo",IF(AND(M1601&gt;#REF!,Cartera!O1601="Dólares americanos"),"Rendimiento significativo","Rendimiento no significativo"))</f>
        <v>#REF!</v>
      </c>
      <c r="O1601" s="5" t="s">
        <v>51</v>
      </c>
      <c r="P1601" s="13">
        <v>252.43150499999999</v>
      </c>
      <c r="Q1601" s="12" t="e">
        <f>IF(O1601="Guaraníes",P1601,P1601*#REF!)</f>
        <v>#REF!</v>
      </c>
      <c r="R1601" s="12">
        <f>IF(O1601="Guaraníes",P1601/#REF!,P1601)</f>
        <v>252.43150499999999</v>
      </c>
      <c r="S1601" s="5" t="s">
        <v>52</v>
      </c>
      <c r="T1601" s="5">
        <v>3253</v>
      </c>
      <c r="W1601" s="5" t="s">
        <v>65</v>
      </c>
      <c r="X1601" s="5">
        <v>0</v>
      </c>
      <c r="Y1601" s="5">
        <v>0</v>
      </c>
      <c r="Z1601" s="5">
        <v>16.828766999999999</v>
      </c>
      <c r="AA1601" s="5">
        <v>15</v>
      </c>
      <c r="AB1601" s="5">
        <v>252.43150499999999</v>
      </c>
      <c r="AC1601" s="5" t="str">
        <f t="shared" si="79"/>
        <v>Bonos</v>
      </c>
      <c r="AD1601" s="5" t="s">
        <v>43</v>
      </c>
      <c r="AE1601" s="5">
        <f t="shared" si="77"/>
        <v>1</v>
      </c>
      <c r="AF1601" s="5">
        <f t="shared" si="78"/>
        <v>2019</v>
      </c>
    </row>
    <row r="1602" s="5" customFormat="1" ht="13">
      <c r="A1602" s="5" t="s">
        <v>44</v>
      </c>
      <c r="B1602" s="5" t="s">
        <v>44</v>
      </c>
      <c r="C1602" s="5" t="s">
        <v>45</v>
      </c>
      <c r="D1602" s="5" t="s">
        <v>21</v>
      </c>
      <c r="E1602" s="5" t="s">
        <v>44</v>
      </c>
      <c r="F1602" s="5" t="s">
        <v>46</v>
      </c>
      <c r="G1602" s="5" t="s">
        <v>91</v>
      </c>
      <c r="H1602" s="9" t="s">
        <v>365</v>
      </c>
      <c r="I1602" s="10"/>
      <c r="J1602" s="10">
        <v>43489</v>
      </c>
      <c r="K1602" s="5" t="s">
        <v>49</v>
      </c>
      <c r="L1602" s="5" t="s">
        <v>58</v>
      </c>
      <c r="M1602" s="11">
        <v>0.059999999999999998</v>
      </c>
      <c r="N1602" s="5" t="e">
        <f>IF(AND(M1602&gt;#REF!,Cartera!O1602="Guaraníes"),"Rendimiento significativo",IF(AND(M1602&gt;#REF!,Cartera!O1602="Dólares americanos"),"Rendimiento significativo","Rendimiento no significativo"))</f>
        <v>#REF!</v>
      </c>
      <c r="O1602" s="5" t="s">
        <v>51</v>
      </c>
      <c r="P1602" s="13">
        <v>458.11643500000002</v>
      </c>
      <c r="Q1602" s="12" t="e">
        <f>IF(O1602="Guaraníes",P1602,P1602*#REF!)</f>
        <v>#REF!</v>
      </c>
      <c r="R1602" s="12">
        <f>IF(O1602="Guaraníes",P1602/#REF!,P1602)</f>
        <v>458.11643500000002</v>
      </c>
      <c r="S1602" s="5" t="s">
        <v>52</v>
      </c>
      <c r="T1602" s="5">
        <v>3253</v>
      </c>
      <c r="W1602" s="5" t="s">
        <v>65</v>
      </c>
      <c r="X1602" s="5">
        <v>0</v>
      </c>
      <c r="Y1602" s="5">
        <v>0</v>
      </c>
      <c r="Z1602" s="5">
        <v>13.089041</v>
      </c>
      <c r="AA1602" s="5">
        <v>35</v>
      </c>
      <c r="AB1602" s="5">
        <v>458.11643500000002</v>
      </c>
      <c r="AC1602" s="5" t="str">
        <f t="shared" si="79"/>
        <v>Bonos</v>
      </c>
      <c r="AD1602" s="5" t="s">
        <v>43</v>
      </c>
      <c r="AE1602" s="5">
        <f t="shared" si="77"/>
        <v>1</v>
      </c>
      <c r="AF1602" s="5">
        <f t="shared" si="78"/>
        <v>2019</v>
      </c>
    </row>
    <row r="1603" s="5" customFormat="1" ht="13">
      <c r="A1603" s="5" t="s">
        <v>44</v>
      </c>
      <c r="B1603" s="5" t="s">
        <v>44</v>
      </c>
      <c r="C1603" s="5" t="s">
        <v>67</v>
      </c>
      <c r="D1603" s="5" t="s">
        <v>21</v>
      </c>
      <c r="E1603" s="5" t="s">
        <v>44</v>
      </c>
      <c r="F1603" s="5" t="s">
        <v>68</v>
      </c>
      <c r="G1603" s="5" t="s">
        <v>91</v>
      </c>
      <c r="H1603" s="9" t="s">
        <v>376</v>
      </c>
      <c r="I1603" s="10"/>
      <c r="J1603" s="10">
        <v>43523</v>
      </c>
      <c r="K1603" s="5" t="s">
        <v>71</v>
      </c>
      <c r="L1603" s="5" t="s">
        <v>58</v>
      </c>
      <c r="M1603" s="11">
        <v>0.089999999999999997</v>
      </c>
      <c r="N1603" s="5" t="e">
        <f>IF(AND(M1603&gt;#REF!,Cartera!O1603="Guaraníes"),"Rendimiento significativo",IF(AND(M1603&gt;#REF!,Cartera!O1603="Dólares americanos"),"Rendimiento significativo","Rendimiento no significativo"))</f>
        <v>#REF!</v>
      </c>
      <c r="O1603" s="5" t="s">
        <v>41</v>
      </c>
      <c r="P1603" s="12">
        <v>2243835.6164000002</v>
      </c>
      <c r="Q1603" s="12">
        <f>IF(O1603="Guaraníes",P1603,P1603*#REF!)</f>
        <v>2243835.6164000002</v>
      </c>
      <c r="R1603" s="12" t="e">
        <f>IF(O1603="Guaraníes",P1603/#REF!,P1603)</f>
        <v>#REF!</v>
      </c>
      <c r="S1603" s="5" t="s">
        <v>52</v>
      </c>
      <c r="T1603" s="5">
        <v>3253</v>
      </c>
      <c r="W1603" s="5" t="s">
        <v>65</v>
      </c>
      <c r="X1603" s="5">
        <v>0</v>
      </c>
      <c r="Y1603" s="5">
        <v>0</v>
      </c>
      <c r="Z1603" s="5">
        <v>22438.356164000001</v>
      </c>
      <c r="AA1603" s="5">
        <v>100</v>
      </c>
      <c r="AB1603" s="5">
        <v>2243835.6164000002</v>
      </c>
      <c r="AC1603" s="5" t="str">
        <f t="shared" si="79"/>
        <v>Bonos</v>
      </c>
      <c r="AD1603" s="5" t="s">
        <v>43</v>
      </c>
      <c r="AE1603" s="5">
        <f t="shared" si="77"/>
        <v>2</v>
      </c>
      <c r="AF1603" s="5">
        <f t="shared" si="78"/>
        <v>2019</v>
      </c>
    </row>
    <row r="1604" s="5" customFormat="1" ht="13">
      <c r="A1604" s="5" t="s">
        <v>44</v>
      </c>
      <c r="B1604" s="5" t="s">
        <v>44</v>
      </c>
      <c r="C1604" s="5" t="s">
        <v>143</v>
      </c>
      <c r="D1604" s="5" t="s">
        <v>21</v>
      </c>
      <c r="E1604" s="5" t="s">
        <v>44</v>
      </c>
      <c r="F1604" s="5" t="s">
        <v>144</v>
      </c>
      <c r="G1604" s="5" t="s">
        <v>91</v>
      </c>
      <c r="H1604" s="9" t="s">
        <v>374</v>
      </c>
      <c r="I1604" s="10"/>
      <c r="J1604" s="10">
        <v>43539</v>
      </c>
      <c r="K1604" s="5" t="s">
        <v>49</v>
      </c>
      <c r="L1604" s="5" t="s">
        <v>58</v>
      </c>
      <c r="M1604" s="11">
        <v>0.062</v>
      </c>
      <c r="N1604" s="5" t="e">
        <f>IF(AND(M1604&gt;#REF!,Cartera!O1604="Guaraníes"),"Rendimiento significativo",IF(AND(M1604&gt;#REF!,Cartera!O1604="Dólares americanos"),"Rendimiento significativo","Rendimiento no significativo"))</f>
        <v>#REF!</v>
      </c>
      <c r="O1604" s="5" t="s">
        <v>51</v>
      </c>
      <c r="P1604" s="13">
        <v>865.62190400000009</v>
      </c>
      <c r="Q1604" s="12" t="e">
        <f>IF(O1604="Guaraníes",P1604,P1604*#REF!)</f>
        <v>#REF!</v>
      </c>
      <c r="R1604" s="12">
        <f>IF(O1604="Guaraníes",P1604/#REF!,P1604)</f>
        <v>865.62190400000009</v>
      </c>
      <c r="S1604" s="5" t="s">
        <v>52</v>
      </c>
      <c r="T1604" s="5">
        <v>3253</v>
      </c>
      <c r="W1604" s="5" t="s">
        <v>65</v>
      </c>
      <c r="X1604" s="5">
        <v>0</v>
      </c>
      <c r="Y1604" s="5">
        <v>0</v>
      </c>
      <c r="Z1604" s="5">
        <v>30.915068000000002</v>
      </c>
      <c r="AA1604" s="5">
        <v>28</v>
      </c>
      <c r="AB1604" s="5">
        <v>865.62190399999997</v>
      </c>
      <c r="AC1604" s="5" t="str">
        <f t="shared" si="79"/>
        <v>Bonos</v>
      </c>
      <c r="AD1604" s="5" t="s">
        <v>43</v>
      </c>
      <c r="AE1604" s="5">
        <f t="shared" si="77"/>
        <v>3</v>
      </c>
      <c r="AF1604" s="5">
        <f t="shared" si="78"/>
        <v>2019</v>
      </c>
    </row>
    <row r="1605" s="5" customFormat="1" ht="13">
      <c r="A1605" s="5" t="s">
        <v>44</v>
      </c>
      <c r="B1605" s="5" t="s">
        <v>44</v>
      </c>
      <c r="C1605" s="5" t="s">
        <v>67</v>
      </c>
      <c r="D1605" s="5" t="s">
        <v>21</v>
      </c>
      <c r="E1605" s="5" t="s">
        <v>44</v>
      </c>
      <c r="F1605" s="5" t="s">
        <v>68</v>
      </c>
      <c r="G1605" s="5" t="s">
        <v>91</v>
      </c>
      <c r="H1605" s="9" t="s">
        <v>110</v>
      </c>
      <c r="I1605" s="10"/>
      <c r="J1605" s="10">
        <v>43578</v>
      </c>
      <c r="K1605" s="5" t="s">
        <v>71</v>
      </c>
      <c r="L1605" s="5" t="s">
        <v>58</v>
      </c>
      <c r="M1605" s="11">
        <v>0.089999999999999997</v>
      </c>
      <c r="N1605" s="5" t="e">
        <f>IF(AND(M1605&gt;#REF!,Cartera!O1605="Guaraníes"),"Rendimiento significativo",IF(AND(M1605&gt;#REF!,Cartera!O1605="Dólares americanos"),"Rendimiento significativo","Rendimiento no significativo"))</f>
        <v>#REF!</v>
      </c>
      <c r="O1605" s="5" t="s">
        <v>51</v>
      </c>
      <c r="P1605" s="13">
        <v>252.43150499999999</v>
      </c>
      <c r="Q1605" s="12" t="e">
        <f>IF(O1605="Guaraníes",P1605,P1605*#REF!)</f>
        <v>#REF!</v>
      </c>
      <c r="R1605" s="12">
        <f>IF(O1605="Guaraníes",P1605/#REF!,P1605)</f>
        <v>252.43150499999999</v>
      </c>
      <c r="S1605" s="5" t="s">
        <v>52</v>
      </c>
      <c r="T1605" s="5">
        <v>3253</v>
      </c>
      <c r="W1605" s="5" t="s">
        <v>65</v>
      </c>
      <c r="X1605" s="5">
        <v>0</v>
      </c>
      <c r="Y1605" s="5">
        <v>0</v>
      </c>
      <c r="Z1605" s="5">
        <v>16.828766999999999</v>
      </c>
      <c r="AA1605" s="5">
        <v>15</v>
      </c>
      <c r="AB1605" s="5">
        <v>252.43150499999999</v>
      </c>
      <c r="AC1605" s="5" t="str">
        <f t="shared" si="79"/>
        <v>Bonos</v>
      </c>
      <c r="AD1605" s="5" t="s">
        <v>43</v>
      </c>
      <c r="AE1605" s="5">
        <f t="shared" si="77"/>
        <v>4</v>
      </c>
      <c r="AF1605" s="5">
        <f t="shared" si="78"/>
        <v>2019</v>
      </c>
    </row>
    <row r="1606" s="5" customFormat="1" ht="13">
      <c r="A1606" s="5" t="s">
        <v>44</v>
      </c>
      <c r="B1606" s="5" t="s">
        <v>44</v>
      </c>
      <c r="C1606" s="5" t="s">
        <v>45</v>
      </c>
      <c r="D1606" s="5" t="s">
        <v>21</v>
      </c>
      <c r="E1606" s="5" t="s">
        <v>44</v>
      </c>
      <c r="F1606" s="5" t="s">
        <v>46</v>
      </c>
      <c r="G1606" s="5" t="s">
        <v>91</v>
      </c>
      <c r="H1606" s="9" t="s">
        <v>365</v>
      </c>
      <c r="I1606" s="10"/>
      <c r="J1606" s="10">
        <v>43580</v>
      </c>
      <c r="K1606" s="5" t="s">
        <v>49</v>
      </c>
      <c r="L1606" s="5" t="s">
        <v>58</v>
      </c>
      <c r="M1606" s="11">
        <v>0.059999999999999998</v>
      </c>
      <c r="N1606" s="5" t="e">
        <f>IF(AND(M1606&gt;#REF!,Cartera!O1606="Guaraníes"),"Rendimiento significativo",IF(AND(M1606&gt;#REF!,Cartera!O1606="Dólares americanos"),"Rendimiento significativo","Rendimiento no significativo"))</f>
        <v>#REF!</v>
      </c>
      <c r="O1606" s="5" t="s">
        <v>51</v>
      </c>
      <c r="P1606" s="13">
        <v>458.11643500000002</v>
      </c>
      <c r="Q1606" s="12" t="e">
        <f>IF(O1606="Guaraníes",P1606,P1606*#REF!)</f>
        <v>#REF!</v>
      </c>
      <c r="R1606" s="12">
        <f>IF(O1606="Guaraníes",P1606/#REF!,P1606)</f>
        <v>458.11643500000002</v>
      </c>
      <c r="S1606" s="5" t="s">
        <v>52</v>
      </c>
      <c r="T1606" s="5">
        <v>3253</v>
      </c>
      <c r="W1606" s="5" t="s">
        <v>65</v>
      </c>
      <c r="X1606" s="5">
        <v>0</v>
      </c>
      <c r="Y1606" s="5">
        <v>0</v>
      </c>
      <c r="Z1606" s="5">
        <v>13.089041</v>
      </c>
      <c r="AA1606" s="5">
        <v>35</v>
      </c>
      <c r="AB1606" s="5">
        <v>458.11643500000002</v>
      </c>
      <c r="AC1606" s="5" t="str">
        <f t="shared" si="79"/>
        <v>Bonos</v>
      </c>
      <c r="AD1606" s="5" t="s">
        <v>43</v>
      </c>
      <c r="AE1606" s="5">
        <f t="shared" si="77"/>
        <v>4</v>
      </c>
      <c r="AF1606" s="5">
        <f t="shared" si="78"/>
        <v>2019</v>
      </c>
    </row>
    <row r="1607" s="5" customFormat="1" ht="13">
      <c r="A1607" s="5" t="s">
        <v>44</v>
      </c>
      <c r="B1607" s="5" t="s">
        <v>44</v>
      </c>
      <c r="C1607" s="5" t="s">
        <v>33</v>
      </c>
      <c r="D1607" s="5" t="s">
        <v>21</v>
      </c>
      <c r="E1607" s="5" t="s">
        <v>44</v>
      </c>
      <c r="F1607" s="5" t="s">
        <v>35</v>
      </c>
      <c r="G1607" s="5" t="s">
        <v>91</v>
      </c>
      <c r="H1607" s="9" t="s">
        <v>375</v>
      </c>
      <c r="I1607" s="10"/>
      <c r="J1607" s="10">
        <v>43612</v>
      </c>
      <c r="K1607" s="5" t="s">
        <v>39</v>
      </c>
      <c r="L1607" s="5" t="s">
        <v>50</v>
      </c>
      <c r="M1607" s="11">
        <v>0.0625</v>
      </c>
      <c r="N1607" s="5" t="e">
        <f>IF(AND(M1607&gt;#REF!,Cartera!O1607="Guaraníes"),"Rendimiento significativo",IF(AND(M1607&gt;#REF!,Cartera!O1607="Dólares americanos"),"Rendimiento significativo","Rendimiento no significativo"))</f>
        <v>#REF!</v>
      </c>
      <c r="O1607" s="5" t="s">
        <v>51</v>
      </c>
      <c r="P1607" s="13">
        <v>1047.1233000000002</v>
      </c>
      <c r="Q1607" s="12" t="e">
        <f>IF(O1607="Guaraníes",P1607,P1607*#REF!)</f>
        <v>#REF!</v>
      </c>
      <c r="R1607" s="12">
        <f>IF(O1607="Guaraníes",P1607/#REF!,P1607)</f>
        <v>1047.1233000000002</v>
      </c>
      <c r="S1607" s="5" t="s">
        <v>52</v>
      </c>
      <c r="T1607" s="5">
        <v>3253</v>
      </c>
      <c r="W1607" s="5" t="s">
        <v>65</v>
      </c>
      <c r="X1607" s="5">
        <v>0</v>
      </c>
      <c r="Y1607" s="5">
        <v>0</v>
      </c>
      <c r="Z1607" s="5">
        <v>34.904110000000003</v>
      </c>
      <c r="AA1607" s="5">
        <v>30</v>
      </c>
      <c r="AB1607" s="5">
        <v>1047.1233</v>
      </c>
      <c r="AC1607" s="5" t="str">
        <f t="shared" si="79"/>
        <v>Bonos</v>
      </c>
      <c r="AD1607" s="5" t="s">
        <v>43</v>
      </c>
      <c r="AE1607" s="5">
        <f t="shared" si="77"/>
        <v>5</v>
      </c>
      <c r="AF1607" s="5">
        <f t="shared" si="78"/>
        <v>2019</v>
      </c>
    </row>
    <row r="1608" s="5" customFormat="1" ht="13">
      <c r="A1608" s="5" t="s">
        <v>44</v>
      </c>
      <c r="B1608" s="5" t="s">
        <v>44</v>
      </c>
      <c r="C1608" s="5" t="s">
        <v>67</v>
      </c>
      <c r="D1608" s="5" t="s">
        <v>21</v>
      </c>
      <c r="E1608" s="5" t="s">
        <v>44</v>
      </c>
      <c r="F1608" s="5" t="s">
        <v>68</v>
      </c>
      <c r="G1608" s="5" t="s">
        <v>91</v>
      </c>
      <c r="H1608" s="9" t="s">
        <v>376</v>
      </c>
      <c r="I1608" s="10"/>
      <c r="J1608" s="10">
        <v>43614</v>
      </c>
      <c r="K1608" s="5" t="s">
        <v>71</v>
      </c>
      <c r="L1608" s="5" t="s">
        <v>58</v>
      </c>
      <c r="M1608" s="11">
        <v>0.089999999999999997</v>
      </c>
      <c r="N1608" s="5" t="e">
        <f>IF(AND(M1608&gt;#REF!,Cartera!O1608="Guaraníes"),"Rendimiento significativo",IF(AND(M1608&gt;#REF!,Cartera!O1608="Dólares americanos"),"Rendimiento significativo","Rendimiento no significativo"))</f>
        <v>#REF!</v>
      </c>
      <c r="O1608" s="5" t="s">
        <v>41</v>
      </c>
      <c r="P1608" s="12">
        <v>2243835.6164000002</v>
      </c>
      <c r="Q1608" s="12">
        <f>IF(O1608="Guaraníes",P1608,P1608*#REF!)</f>
        <v>2243835.6164000002</v>
      </c>
      <c r="R1608" s="12" t="e">
        <f>IF(O1608="Guaraníes",P1608/#REF!,P1608)</f>
        <v>#REF!</v>
      </c>
      <c r="S1608" s="5" t="s">
        <v>52</v>
      </c>
      <c r="T1608" s="5">
        <v>3253</v>
      </c>
      <c r="W1608" s="5" t="s">
        <v>65</v>
      </c>
      <c r="X1608" s="5">
        <v>0</v>
      </c>
      <c r="Y1608" s="5">
        <v>0</v>
      </c>
      <c r="Z1608" s="5">
        <v>22438.356164000001</v>
      </c>
      <c r="AA1608" s="5">
        <v>100</v>
      </c>
      <c r="AB1608" s="5">
        <v>2243835.6164000002</v>
      </c>
      <c r="AC1608" s="5" t="str">
        <f t="shared" si="79"/>
        <v>Bonos</v>
      </c>
      <c r="AD1608" s="5" t="s">
        <v>43</v>
      </c>
      <c r="AE1608" s="5">
        <f t="shared" si="77"/>
        <v>5</v>
      </c>
      <c r="AF1608" s="5">
        <f t="shared" si="78"/>
        <v>2019</v>
      </c>
    </row>
    <row r="1609" s="5" customFormat="1" ht="13">
      <c r="A1609" s="5" t="s">
        <v>44</v>
      </c>
      <c r="B1609" s="5" t="s">
        <v>44</v>
      </c>
      <c r="C1609" s="5" t="s">
        <v>222</v>
      </c>
      <c r="D1609" s="5" t="s">
        <v>21</v>
      </c>
      <c r="E1609" s="5" t="s">
        <v>44</v>
      </c>
      <c r="F1609" s="5" t="s">
        <v>68</v>
      </c>
      <c r="G1609" s="5" t="s">
        <v>91</v>
      </c>
      <c r="H1609" s="9" t="s">
        <v>223</v>
      </c>
      <c r="I1609" s="10"/>
      <c r="J1609" s="10">
        <v>43615</v>
      </c>
      <c r="K1609" s="5" t="s">
        <v>127</v>
      </c>
      <c r="L1609" s="5" t="s">
        <v>50</v>
      </c>
      <c r="M1609" s="11">
        <v>0.070000000000000007</v>
      </c>
      <c r="N1609" s="5" t="e">
        <f>IF(AND(M1609&gt;#REF!,Cartera!O1609="Guaraníes"),"Rendimiento significativo",IF(AND(M1609&gt;#REF!,Cartera!O1609="Dólares americanos"),"Rendimiento significativo","Rendimiento no significativo"))</f>
        <v>#REF!</v>
      </c>
      <c r="O1609" s="5" t="s">
        <v>51</v>
      </c>
      <c r="P1609" s="13">
        <v>1745.2055</v>
      </c>
      <c r="Q1609" s="12" t="e">
        <f>IF(O1609="Guaraníes",P1609,P1609*#REF!)</f>
        <v>#REF!</v>
      </c>
      <c r="R1609" s="12">
        <f>IF(O1609="Guaraníes",P1609/#REF!,P1609)</f>
        <v>1745.2055</v>
      </c>
      <c r="S1609" s="5" t="s">
        <v>52</v>
      </c>
      <c r="T1609" s="5">
        <v>3253</v>
      </c>
      <c r="W1609" s="5" t="s">
        <v>65</v>
      </c>
      <c r="X1609" s="5">
        <v>0</v>
      </c>
      <c r="Y1609" s="5">
        <v>0</v>
      </c>
      <c r="Z1609" s="5">
        <v>34.904110000000003</v>
      </c>
      <c r="AA1609" s="5">
        <v>50</v>
      </c>
      <c r="AB1609" s="5">
        <v>1745.2055</v>
      </c>
      <c r="AC1609" s="5" t="str">
        <f t="shared" si="79"/>
        <v>Bonos</v>
      </c>
      <c r="AD1609" s="5" t="s">
        <v>43</v>
      </c>
      <c r="AE1609" s="5">
        <f t="shared" si="77"/>
        <v>5</v>
      </c>
      <c r="AF1609" s="5">
        <f t="shared" si="78"/>
        <v>2019</v>
      </c>
    </row>
    <row r="1610" s="5" customFormat="1" ht="13">
      <c r="A1610" s="5" t="s">
        <v>44</v>
      </c>
      <c r="B1610" s="5" t="s">
        <v>44</v>
      </c>
      <c r="C1610" s="5" t="s">
        <v>67</v>
      </c>
      <c r="D1610" s="5" t="s">
        <v>21</v>
      </c>
      <c r="E1610" s="5" t="s">
        <v>44</v>
      </c>
      <c r="F1610" s="5" t="s">
        <v>68</v>
      </c>
      <c r="G1610" s="5" t="s">
        <v>91</v>
      </c>
      <c r="H1610" s="9" t="s">
        <v>110</v>
      </c>
      <c r="I1610" s="10"/>
      <c r="J1610" s="10">
        <v>43669</v>
      </c>
      <c r="K1610" s="5" t="s">
        <v>71</v>
      </c>
      <c r="L1610" s="5" t="s">
        <v>58</v>
      </c>
      <c r="M1610" s="11">
        <v>0.089999999999999997</v>
      </c>
      <c r="N1610" s="5" t="e">
        <f>IF(AND(M1610&gt;#REF!,Cartera!O1610="Guaraníes"),"Rendimiento significativo",IF(AND(M1610&gt;#REF!,Cartera!O1610="Dólares americanos"),"Rendimiento significativo","Rendimiento no significativo"))</f>
        <v>#REF!</v>
      </c>
      <c r="O1610" s="5" t="s">
        <v>51</v>
      </c>
      <c r="P1610" s="13">
        <v>252.43150499999999</v>
      </c>
      <c r="Q1610" s="12" t="e">
        <f>IF(O1610="Guaraníes",P1610,P1610*#REF!)</f>
        <v>#REF!</v>
      </c>
      <c r="R1610" s="12">
        <f>IF(O1610="Guaraníes",P1610/#REF!,P1610)</f>
        <v>252.43150499999999</v>
      </c>
      <c r="S1610" s="5" t="s">
        <v>52</v>
      </c>
      <c r="T1610" s="5">
        <v>3253</v>
      </c>
      <c r="W1610" s="5" t="s">
        <v>65</v>
      </c>
      <c r="X1610" s="5">
        <v>0</v>
      </c>
      <c r="Y1610" s="5">
        <v>0</v>
      </c>
      <c r="Z1610" s="5">
        <v>16.828766999999999</v>
      </c>
      <c r="AA1610" s="5">
        <v>15</v>
      </c>
      <c r="AB1610" s="5">
        <v>252.43150499999999</v>
      </c>
      <c r="AC1610" s="5" t="str">
        <f t="shared" si="79"/>
        <v>Bonos</v>
      </c>
      <c r="AD1610" s="5" t="s">
        <v>43</v>
      </c>
      <c r="AE1610" s="5">
        <f t="shared" si="77"/>
        <v>7</v>
      </c>
      <c r="AF1610" s="5">
        <f t="shared" si="78"/>
        <v>2019</v>
      </c>
    </row>
    <row r="1611" s="5" customFormat="1" ht="13">
      <c r="A1611" s="5" t="s">
        <v>44</v>
      </c>
      <c r="B1611" s="5" t="s">
        <v>44</v>
      </c>
      <c r="C1611" s="5" t="s">
        <v>45</v>
      </c>
      <c r="D1611" s="5" t="s">
        <v>21</v>
      </c>
      <c r="E1611" s="5" t="s">
        <v>44</v>
      </c>
      <c r="F1611" s="5" t="s">
        <v>46</v>
      </c>
      <c r="G1611" s="5" t="s">
        <v>91</v>
      </c>
      <c r="H1611" s="9" t="s">
        <v>365</v>
      </c>
      <c r="I1611" s="10"/>
      <c r="J1611" s="10">
        <v>43671</v>
      </c>
      <c r="K1611" s="5" t="s">
        <v>49</v>
      </c>
      <c r="L1611" s="5" t="s">
        <v>58</v>
      </c>
      <c r="M1611" s="11">
        <v>0.059999999999999998</v>
      </c>
      <c r="N1611" s="5" t="e">
        <f>IF(AND(M1611&gt;#REF!,Cartera!O1611="Guaraníes"),"Rendimiento significativo",IF(AND(M1611&gt;#REF!,Cartera!O1611="Dólares americanos"),"Rendimiento significativo","Rendimiento no significativo"))</f>
        <v>#REF!</v>
      </c>
      <c r="O1611" s="5" t="s">
        <v>51</v>
      </c>
      <c r="P1611" s="13">
        <v>458.11643500000002</v>
      </c>
      <c r="Q1611" s="12" t="e">
        <f>IF(O1611="Guaraníes",P1611,P1611*#REF!)</f>
        <v>#REF!</v>
      </c>
      <c r="R1611" s="12">
        <f>IF(O1611="Guaraníes",P1611/#REF!,P1611)</f>
        <v>458.11643500000002</v>
      </c>
      <c r="S1611" s="5" t="s">
        <v>52</v>
      </c>
      <c r="T1611" s="5">
        <v>3253</v>
      </c>
      <c r="W1611" s="5" t="s">
        <v>65</v>
      </c>
      <c r="X1611" s="5">
        <v>0</v>
      </c>
      <c r="Y1611" s="5">
        <v>0</v>
      </c>
      <c r="Z1611" s="5">
        <v>13.089041</v>
      </c>
      <c r="AA1611" s="5">
        <v>35</v>
      </c>
      <c r="AB1611" s="5">
        <v>458.11643500000002</v>
      </c>
      <c r="AC1611" s="5" t="str">
        <f t="shared" si="79"/>
        <v>Bonos</v>
      </c>
      <c r="AD1611" s="5" t="s">
        <v>43</v>
      </c>
      <c r="AE1611" s="5">
        <f t="shared" si="77"/>
        <v>7</v>
      </c>
      <c r="AF1611" s="5">
        <f t="shared" si="78"/>
        <v>2019</v>
      </c>
    </row>
    <row r="1612" s="5" customFormat="1" ht="13">
      <c r="A1612" s="5" t="s">
        <v>44</v>
      </c>
      <c r="B1612" s="5" t="s">
        <v>44</v>
      </c>
      <c r="C1612" s="5" t="s">
        <v>67</v>
      </c>
      <c r="D1612" s="5" t="s">
        <v>21</v>
      </c>
      <c r="E1612" s="5" t="s">
        <v>44</v>
      </c>
      <c r="F1612" s="5" t="s">
        <v>68</v>
      </c>
      <c r="G1612" s="5" t="s">
        <v>91</v>
      </c>
      <c r="H1612" s="9" t="s">
        <v>376</v>
      </c>
      <c r="I1612" s="10"/>
      <c r="J1612" s="10">
        <v>43705</v>
      </c>
      <c r="K1612" s="5" t="s">
        <v>71</v>
      </c>
      <c r="L1612" s="5" t="s">
        <v>58</v>
      </c>
      <c r="M1612" s="11">
        <v>0.089999999999999997</v>
      </c>
      <c r="N1612" s="5" t="e">
        <f>IF(AND(M1612&gt;#REF!,Cartera!O1612="Guaraníes"),"Rendimiento significativo",IF(AND(M1612&gt;#REF!,Cartera!O1612="Dólares americanos"),"Rendimiento significativo","Rendimiento no significativo"))</f>
        <v>#REF!</v>
      </c>
      <c r="O1612" s="5" t="s">
        <v>41</v>
      </c>
      <c r="P1612" s="12">
        <v>2243835.6164000002</v>
      </c>
      <c r="Q1612" s="12">
        <f>IF(O1612="Guaraníes",P1612,P1612*#REF!)</f>
        <v>2243835.6164000002</v>
      </c>
      <c r="R1612" s="12" t="e">
        <f>IF(O1612="Guaraníes",P1612/#REF!,P1612)</f>
        <v>#REF!</v>
      </c>
      <c r="S1612" s="5" t="s">
        <v>52</v>
      </c>
      <c r="T1612" s="5">
        <v>3253</v>
      </c>
      <c r="W1612" s="5" t="s">
        <v>65</v>
      </c>
      <c r="X1612" s="5">
        <v>0</v>
      </c>
      <c r="Y1612" s="5">
        <v>0</v>
      </c>
      <c r="Z1612" s="5">
        <v>22438.356164000001</v>
      </c>
      <c r="AA1612" s="5">
        <v>100</v>
      </c>
      <c r="AB1612" s="5">
        <v>2243835.6164000002</v>
      </c>
      <c r="AC1612" s="5" t="str">
        <f t="shared" si="79"/>
        <v>Bonos</v>
      </c>
      <c r="AD1612" s="5" t="s">
        <v>43</v>
      </c>
      <c r="AE1612" s="5">
        <f t="shared" si="77"/>
        <v>8</v>
      </c>
      <c r="AF1612" s="5">
        <f t="shared" si="78"/>
        <v>2019</v>
      </c>
    </row>
    <row r="1613" s="5" customFormat="1" ht="13">
      <c r="A1613" s="5" t="s">
        <v>44</v>
      </c>
      <c r="B1613" s="5" t="s">
        <v>44</v>
      </c>
      <c r="C1613" s="5" t="s">
        <v>164</v>
      </c>
      <c r="D1613" s="5" t="s">
        <v>21</v>
      </c>
      <c r="E1613" s="5" t="s">
        <v>44</v>
      </c>
      <c r="F1613" s="5" t="s">
        <v>68</v>
      </c>
      <c r="G1613" s="5" t="s">
        <v>91</v>
      </c>
      <c r="H1613" s="9" t="s">
        <v>166</v>
      </c>
      <c r="I1613" s="10"/>
      <c r="J1613" s="10">
        <v>43707</v>
      </c>
      <c r="K1613" s="5" t="s">
        <v>124</v>
      </c>
      <c r="L1613" s="5" t="s">
        <v>58</v>
      </c>
      <c r="M1613" s="11">
        <v>0.092499999999999999</v>
      </c>
      <c r="N1613" s="5" t="e">
        <f>IF(AND(M1613&gt;#REF!,Cartera!O1613="Guaraníes"),"Rendimiento significativo",IF(AND(M1613&gt;#REF!,Cartera!O1613="Dólares americanos"),"Rendimiento significativo","Rendimiento no significativo"))</f>
        <v>#REF!</v>
      </c>
      <c r="O1613" s="5" t="s">
        <v>41</v>
      </c>
      <c r="P1613" s="12">
        <v>1140410.9589</v>
      </c>
      <c r="Q1613" s="12">
        <f>IF(O1613="Guaraníes",P1613,P1613*#REF!)</f>
        <v>1140410.9589</v>
      </c>
      <c r="R1613" s="12" t="e">
        <f>IF(O1613="Guaraníes",P1613/#REF!,P1613)</f>
        <v>#REF!</v>
      </c>
      <c r="S1613" s="5" t="s">
        <v>52</v>
      </c>
      <c r="T1613" s="5">
        <v>3253</v>
      </c>
      <c r="W1613" s="5" t="s">
        <v>65</v>
      </c>
      <c r="X1613" s="5">
        <v>0</v>
      </c>
      <c r="Y1613" s="5">
        <v>0</v>
      </c>
      <c r="Z1613" s="5">
        <v>7602.7397259999998</v>
      </c>
      <c r="AA1613" s="5">
        <v>150</v>
      </c>
      <c r="AB1613" s="5">
        <v>1140410.9589</v>
      </c>
      <c r="AC1613" s="5" t="str">
        <f t="shared" si="79"/>
        <v>Bonos</v>
      </c>
      <c r="AD1613" s="5" t="s">
        <v>43</v>
      </c>
      <c r="AE1613" s="5">
        <f t="shared" si="77"/>
        <v>8</v>
      </c>
      <c r="AF1613" s="5">
        <f t="shared" si="78"/>
        <v>2019</v>
      </c>
    </row>
    <row r="1614" s="5" customFormat="1" ht="13">
      <c r="A1614" s="5" t="s">
        <v>44</v>
      </c>
      <c r="B1614" s="5" t="s">
        <v>44</v>
      </c>
      <c r="C1614" s="5" t="s">
        <v>143</v>
      </c>
      <c r="D1614" s="5" t="s">
        <v>21</v>
      </c>
      <c r="E1614" s="5" t="s">
        <v>44</v>
      </c>
      <c r="F1614" s="5" t="s">
        <v>144</v>
      </c>
      <c r="G1614" s="5" t="s">
        <v>91</v>
      </c>
      <c r="H1614" s="9" t="s">
        <v>374</v>
      </c>
      <c r="I1614" s="10"/>
      <c r="J1614" s="10">
        <v>43721</v>
      </c>
      <c r="K1614" s="5" t="s">
        <v>49</v>
      </c>
      <c r="L1614" s="5" t="s">
        <v>58</v>
      </c>
      <c r="M1614" s="11">
        <v>0.062</v>
      </c>
      <c r="N1614" s="5" t="e">
        <f>IF(AND(M1614&gt;#REF!,Cartera!O1614="Guaraníes"),"Rendimiento significativo",IF(AND(M1614&gt;#REF!,Cartera!O1614="Dólares americanos"),"Rendimiento significativo","Rendimiento no significativo"))</f>
        <v>#REF!</v>
      </c>
      <c r="O1614" s="5" t="s">
        <v>51</v>
      </c>
      <c r="P1614" s="13">
        <v>865.62190400000009</v>
      </c>
      <c r="Q1614" s="12" t="e">
        <f>IF(O1614="Guaraníes",P1614,P1614*#REF!)</f>
        <v>#REF!</v>
      </c>
      <c r="R1614" s="12">
        <f>IF(O1614="Guaraníes",P1614/#REF!,P1614)</f>
        <v>865.62190400000009</v>
      </c>
      <c r="S1614" s="5" t="s">
        <v>52</v>
      </c>
      <c r="T1614" s="5">
        <v>3253</v>
      </c>
      <c r="W1614" s="5" t="s">
        <v>65</v>
      </c>
      <c r="X1614" s="5">
        <v>0</v>
      </c>
      <c r="Y1614" s="5">
        <v>0</v>
      </c>
      <c r="Z1614" s="5">
        <v>30.915068000000002</v>
      </c>
      <c r="AA1614" s="5">
        <v>28</v>
      </c>
      <c r="AB1614" s="5">
        <v>865.62190399999997</v>
      </c>
      <c r="AC1614" s="5" t="str">
        <f t="shared" si="79"/>
        <v>Bonos</v>
      </c>
      <c r="AD1614" s="5" t="s">
        <v>43</v>
      </c>
      <c r="AE1614" s="5">
        <f t="shared" si="77"/>
        <v>9</v>
      </c>
      <c r="AF1614" s="5">
        <f t="shared" si="78"/>
        <v>2019</v>
      </c>
    </row>
    <row r="1615" s="5" customFormat="1" ht="13">
      <c r="A1615" s="5" t="s">
        <v>44</v>
      </c>
      <c r="B1615" s="5" t="s">
        <v>44</v>
      </c>
      <c r="C1615" s="5" t="s">
        <v>164</v>
      </c>
      <c r="D1615" s="5" t="s">
        <v>21</v>
      </c>
      <c r="E1615" s="5" t="s">
        <v>44</v>
      </c>
      <c r="F1615" s="5" t="s">
        <v>68</v>
      </c>
      <c r="G1615" s="5" t="s">
        <v>91</v>
      </c>
      <c r="H1615" s="9" t="s">
        <v>166</v>
      </c>
      <c r="I1615" s="10"/>
      <c r="J1615" s="10">
        <v>43738</v>
      </c>
      <c r="K1615" s="5" t="s">
        <v>124</v>
      </c>
      <c r="L1615" s="5" t="s">
        <v>58</v>
      </c>
      <c r="M1615" s="11">
        <v>0.092499999999999999</v>
      </c>
      <c r="N1615" s="5" t="e">
        <f>IF(AND(M1615&gt;#REF!,Cartera!O1615="Guaraníes"),"Rendimiento significativo",IF(AND(M1615&gt;#REF!,Cartera!O1615="Dólares americanos"),"Rendimiento significativo","Rendimiento no significativo"))</f>
        <v>#REF!</v>
      </c>
      <c r="O1615" s="5" t="s">
        <v>41</v>
      </c>
      <c r="P1615" s="12">
        <v>1178424.6576</v>
      </c>
      <c r="Q1615" s="12">
        <f>IF(O1615="Guaraníes",P1615,P1615*#REF!)</f>
        <v>1178424.6576</v>
      </c>
      <c r="R1615" s="12" t="e">
        <f>IF(O1615="Guaraníes",P1615/#REF!,P1615)</f>
        <v>#REF!</v>
      </c>
      <c r="S1615" s="5" t="s">
        <v>52</v>
      </c>
      <c r="T1615" s="5">
        <v>3253</v>
      </c>
      <c r="W1615" s="5" t="s">
        <v>65</v>
      </c>
      <c r="X1615" s="5">
        <v>0</v>
      </c>
      <c r="Y1615" s="5">
        <v>0</v>
      </c>
      <c r="Z1615" s="5">
        <v>7856.1643839999997</v>
      </c>
      <c r="AA1615" s="5">
        <v>150</v>
      </c>
      <c r="AB1615" s="5">
        <v>1178424.6576</v>
      </c>
      <c r="AC1615" s="5" t="str">
        <f t="shared" si="79"/>
        <v>Bonos</v>
      </c>
      <c r="AD1615" s="5" t="s">
        <v>43</v>
      </c>
      <c r="AE1615" s="5">
        <f t="shared" si="77"/>
        <v>9</v>
      </c>
      <c r="AF1615" s="5">
        <f t="shared" si="78"/>
        <v>2019</v>
      </c>
    </row>
    <row r="1616" s="5" customFormat="1" ht="13">
      <c r="A1616" s="5" t="s">
        <v>44</v>
      </c>
      <c r="B1616" s="5" t="s">
        <v>44</v>
      </c>
      <c r="C1616" s="5" t="s">
        <v>67</v>
      </c>
      <c r="D1616" s="5" t="s">
        <v>21</v>
      </c>
      <c r="E1616" s="5" t="s">
        <v>44</v>
      </c>
      <c r="F1616" s="5" t="s">
        <v>68</v>
      </c>
      <c r="G1616" s="5" t="s">
        <v>91</v>
      </c>
      <c r="H1616" s="9" t="s">
        <v>110</v>
      </c>
      <c r="I1616" s="10"/>
      <c r="J1616" s="10">
        <v>43760</v>
      </c>
      <c r="K1616" s="5" t="s">
        <v>71</v>
      </c>
      <c r="L1616" s="5" t="s">
        <v>58</v>
      </c>
      <c r="M1616" s="11">
        <v>0.089999999999999997</v>
      </c>
      <c r="N1616" s="5" t="e">
        <f>IF(AND(M1616&gt;#REF!,Cartera!O1616="Guaraníes"),"Rendimiento significativo",IF(AND(M1616&gt;#REF!,Cartera!O1616="Dólares americanos"),"Rendimiento significativo","Rendimiento no significativo"))</f>
        <v>#REF!</v>
      </c>
      <c r="O1616" s="5" t="s">
        <v>51</v>
      </c>
      <c r="P1616" s="13">
        <v>252.43150499999999</v>
      </c>
      <c r="Q1616" s="12" t="e">
        <f>IF(O1616="Guaraníes",P1616,P1616*#REF!)</f>
        <v>#REF!</v>
      </c>
      <c r="R1616" s="12">
        <f>IF(O1616="Guaraníes",P1616/#REF!,P1616)</f>
        <v>252.43150499999999</v>
      </c>
      <c r="S1616" s="5" t="s">
        <v>52</v>
      </c>
      <c r="T1616" s="5">
        <v>3253</v>
      </c>
      <c r="W1616" s="5" t="s">
        <v>65</v>
      </c>
      <c r="X1616" s="5">
        <v>0</v>
      </c>
      <c r="Y1616" s="5">
        <v>0</v>
      </c>
      <c r="Z1616" s="5">
        <v>16.828766999999999</v>
      </c>
      <c r="AA1616" s="5">
        <v>15</v>
      </c>
      <c r="AB1616" s="5">
        <v>252.43150499999999</v>
      </c>
      <c r="AC1616" s="5" t="str">
        <f t="shared" si="79"/>
        <v>Bonos</v>
      </c>
      <c r="AD1616" s="5" t="s">
        <v>43</v>
      </c>
      <c r="AE1616" s="5">
        <f t="shared" si="77"/>
        <v>10</v>
      </c>
      <c r="AF1616" s="5">
        <f t="shared" si="78"/>
        <v>2019</v>
      </c>
    </row>
    <row r="1617" s="5" customFormat="1" ht="13">
      <c r="A1617" s="5" t="s">
        <v>44</v>
      </c>
      <c r="B1617" s="5" t="s">
        <v>44</v>
      </c>
      <c r="C1617" s="5" t="s">
        <v>45</v>
      </c>
      <c r="D1617" s="5" t="s">
        <v>21</v>
      </c>
      <c r="E1617" s="5" t="s">
        <v>44</v>
      </c>
      <c r="F1617" s="5" t="s">
        <v>46</v>
      </c>
      <c r="G1617" s="5" t="s">
        <v>91</v>
      </c>
      <c r="H1617" s="9" t="s">
        <v>365</v>
      </c>
      <c r="I1617" s="10"/>
      <c r="J1617" s="10">
        <v>43762</v>
      </c>
      <c r="K1617" s="5" t="s">
        <v>49</v>
      </c>
      <c r="L1617" s="5" t="s">
        <v>58</v>
      </c>
      <c r="M1617" s="11">
        <v>0.059999999999999998</v>
      </c>
      <c r="N1617" s="5" t="e">
        <f>IF(AND(M1617&gt;#REF!,Cartera!O1617="Guaraníes"),"Rendimiento significativo",IF(AND(M1617&gt;#REF!,Cartera!O1617="Dólares americanos"),"Rendimiento significativo","Rendimiento no significativo"))</f>
        <v>#REF!</v>
      </c>
      <c r="O1617" s="5" t="s">
        <v>51</v>
      </c>
      <c r="P1617" s="13">
        <v>458.11643500000002</v>
      </c>
      <c r="Q1617" s="12" t="e">
        <f>IF(O1617="Guaraníes",P1617,P1617*#REF!)</f>
        <v>#REF!</v>
      </c>
      <c r="R1617" s="12">
        <f>IF(O1617="Guaraníes",P1617/#REF!,P1617)</f>
        <v>458.11643500000002</v>
      </c>
      <c r="S1617" s="5" t="s">
        <v>52</v>
      </c>
      <c r="T1617" s="5">
        <v>3253</v>
      </c>
      <c r="W1617" s="5" t="s">
        <v>65</v>
      </c>
      <c r="X1617" s="5">
        <v>0</v>
      </c>
      <c r="Y1617" s="5">
        <v>0</v>
      </c>
      <c r="Z1617" s="5">
        <v>13.089041</v>
      </c>
      <c r="AA1617" s="5">
        <v>35</v>
      </c>
      <c r="AB1617" s="5">
        <v>458.11643500000002</v>
      </c>
      <c r="AC1617" s="5" t="str">
        <f t="shared" si="79"/>
        <v>Bonos</v>
      </c>
      <c r="AD1617" s="5" t="s">
        <v>43</v>
      </c>
      <c r="AE1617" s="5">
        <f t="shared" si="77"/>
        <v>10</v>
      </c>
      <c r="AF1617" s="5">
        <f t="shared" si="78"/>
        <v>2019</v>
      </c>
    </row>
    <row r="1618" s="5" customFormat="1" ht="13">
      <c r="A1618" s="5" t="s">
        <v>44</v>
      </c>
      <c r="B1618" s="5" t="s">
        <v>44</v>
      </c>
      <c r="C1618" s="5" t="s">
        <v>89</v>
      </c>
      <c r="D1618" s="5" t="s">
        <v>21</v>
      </c>
      <c r="E1618" s="5" t="s">
        <v>44</v>
      </c>
      <c r="F1618" s="5" t="s">
        <v>90</v>
      </c>
      <c r="G1618" s="5" t="s">
        <v>91</v>
      </c>
      <c r="H1618" s="9" t="s">
        <v>92</v>
      </c>
      <c r="I1618" s="10"/>
      <c r="J1618" s="10">
        <v>43853</v>
      </c>
      <c r="K1618" s="5" t="s">
        <v>93</v>
      </c>
      <c r="L1618" s="5" t="s">
        <v>58</v>
      </c>
      <c r="M1618" s="11">
        <v>0.080000000000000002</v>
      </c>
      <c r="N1618" s="5" t="e">
        <f>IF(AND(M1618&gt;#REF!,Cartera!O1618="Guaraníes"),"Rendimiento significativo",IF(AND(M1618&gt;#REF!,Cartera!O1618="Dólares americanos"),"Rendimiento significativo","Rendimiento no significativo"))</f>
        <v>#REF!</v>
      </c>
      <c r="O1618" s="5" t="s">
        <v>51</v>
      </c>
      <c r="P1618" s="13">
        <v>299.17807500000004</v>
      </c>
      <c r="Q1618" s="12" t="e">
        <f>IF(O1618="Guaraníes",P1618,P1618*#REF!)</f>
        <v>#REF!</v>
      </c>
      <c r="R1618" s="12">
        <f>IF(O1618="Guaraníes",P1618/#REF!,P1618)</f>
        <v>299.17807500000004</v>
      </c>
      <c r="S1618" s="5" t="s">
        <v>52</v>
      </c>
      <c r="T1618" s="5">
        <v>3253</v>
      </c>
      <c r="W1618" s="5" t="s">
        <v>65</v>
      </c>
      <c r="X1618" s="5">
        <v>0</v>
      </c>
      <c r="Y1618" s="5">
        <v>0</v>
      </c>
      <c r="Z1618" s="5">
        <v>19.945205000000001</v>
      </c>
      <c r="AA1618" s="5">
        <v>15</v>
      </c>
      <c r="AB1618" s="5">
        <v>299.17807499999998</v>
      </c>
      <c r="AC1618" s="5" t="str">
        <f t="shared" si="79"/>
        <v>Bonos</v>
      </c>
      <c r="AD1618" s="5" t="s">
        <v>43</v>
      </c>
      <c r="AE1618" s="5">
        <f t="shared" ref="AE1618:AE1681" si="80">IFERROR((MONTH(J1618)),0)</f>
        <v>1</v>
      </c>
      <c r="AF1618" s="5">
        <f t="shared" ref="AF1618:AF1681" si="81">IFERROR((YEAR(J1618)),0)</f>
        <v>2020</v>
      </c>
    </row>
    <row r="1619" s="5" customFormat="1" ht="13">
      <c r="A1619" s="5" t="s">
        <v>44</v>
      </c>
      <c r="B1619" s="5" t="s">
        <v>44</v>
      </c>
      <c r="C1619" s="5" t="s">
        <v>164</v>
      </c>
      <c r="D1619" s="5" t="s">
        <v>21</v>
      </c>
      <c r="E1619" s="5" t="s">
        <v>44</v>
      </c>
      <c r="F1619" s="5" t="s">
        <v>68</v>
      </c>
      <c r="G1619" s="5" t="s">
        <v>91</v>
      </c>
      <c r="H1619" s="9" t="s">
        <v>166</v>
      </c>
      <c r="I1619" s="10"/>
      <c r="J1619" s="10">
        <v>43769</v>
      </c>
      <c r="K1619" s="5" t="s">
        <v>124</v>
      </c>
      <c r="L1619" s="5" t="s">
        <v>58</v>
      </c>
      <c r="M1619" s="11">
        <v>0.092499999999999999</v>
      </c>
      <c r="N1619" s="5" t="e">
        <f>IF(AND(M1619&gt;#REF!,Cartera!O1619="Guaraníes"),"Rendimiento significativo",IF(AND(M1619&gt;#REF!,Cartera!O1619="Dólares americanos"),"Rendimiento significativo","Rendimiento no significativo"))</f>
        <v>#REF!</v>
      </c>
      <c r="O1619" s="5" t="s">
        <v>41</v>
      </c>
      <c r="P1619" s="12">
        <v>1178424.6576</v>
      </c>
      <c r="Q1619" s="12">
        <f>IF(O1619="Guaraníes",P1619,P1619*#REF!)</f>
        <v>1178424.6576</v>
      </c>
      <c r="R1619" s="12" t="e">
        <f>IF(O1619="Guaraníes",P1619/#REF!,P1619)</f>
        <v>#REF!</v>
      </c>
      <c r="S1619" s="5" t="s">
        <v>52</v>
      </c>
      <c r="T1619" s="5">
        <v>3253</v>
      </c>
      <c r="W1619" s="5" t="s">
        <v>65</v>
      </c>
      <c r="X1619" s="5">
        <v>0</v>
      </c>
      <c r="Y1619" s="5">
        <v>0</v>
      </c>
      <c r="Z1619" s="5">
        <v>7856.1643839999997</v>
      </c>
      <c r="AA1619" s="5">
        <v>150</v>
      </c>
      <c r="AB1619" s="5">
        <v>1178424.6576</v>
      </c>
      <c r="AC1619" s="5" t="str">
        <f t="shared" si="79"/>
        <v>Bonos</v>
      </c>
      <c r="AD1619" s="5" t="s">
        <v>43</v>
      </c>
      <c r="AE1619" s="5">
        <f t="shared" si="80"/>
        <v>10</v>
      </c>
      <c r="AF1619" s="5">
        <f t="shared" si="81"/>
        <v>2019</v>
      </c>
    </row>
    <row r="1620" s="5" customFormat="1" ht="13">
      <c r="A1620" s="5" t="s">
        <v>44</v>
      </c>
      <c r="B1620" s="5" t="s">
        <v>44</v>
      </c>
      <c r="C1620" s="5" t="s">
        <v>33</v>
      </c>
      <c r="D1620" s="5" t="s">
        <v>21</v>
      </c>
      <c r="E1620" s="5" t="s">
        <v>44</v>
      </c>
      <c r="F1620" s="5" t="s">
        <v>35</v>
      </c>
      <c r="G1620" s="5" t="s">
        <v>91</v>
      </c>
      <c r="H1620" s="9" t="s">
        <v>375</v>
      </c>
      <c r="I1620" s="10"/>
      <c r="J1620" s="10">
        <v>43794</v>
      </c>
      <c r="K1620" s="5" t="s">
        <v>39</v>
      </c>
      <c r="L1620" s="5" t="s">
        <v>50</v>
      </c>
      <c r="M1620" s="11">
        <v>0.0625</v>
      </c>
      <c r="N1620" s="5" t="e">
        <f>IF(AND(M1620&gt;#REF!,Cartera!O1620="Guaraníes"),"Rendimiento significativo",IF(AND(M1620&gt;#REF!,Cartera!O1620="Dólares americanos"),"Rendimiento significativo","Rendimiento no significativo"))</f>
        <v>#REF!</v>
      </c>
      <c r="O1620" s="5" t="s">
        <v>51</v>
      </c>
      <c r="P1620" s="13">
        <v>1047.1233000000002</v>
      </c>
      <c r="Q1620" s="12" t="e">
        <f>IF(O1620="Guaraníes",P1620,P1620*#REF!)</f>
        <v>#REF!</v>
      </c>
      <c r="R1620" s="12">
        <f>IF(O1620="Guaraníes",P1620/#REF!,P1620)</f>
        <v>1047.1233000000002</v>
      </c>
      <c r="S1620" s="5" t="s">
        <v>52</v>
      </c>
      <c r="T1620" s="5">
        <v>3253</v>
      </c>
      <c r="W1620" s="5" t="s">
        <v>65</v>
      </c>
      <c r="X1620" s="5">
        <v>0</v>
      </c>
      <c r="Y1620" s="5">
        <v>0</v>
      </c>
      <c r="Z1620" s="5">
        <v>34.904110000000003</v>
      </c>
      <c r="AA1620" s="5">
        <v>30</v>
      </c>
      <c r="AB1620" s="5">
        <v>1047.1233</v>
      </c>
      <c r="AC1620" s="5" t="str">
        <f t="shared" si="79"/>
        <v>Bonos</v>
      </c>
      <c r="AD1620" s="5" t="s">
        <v>43</v>
      </c>
      <c r="AE1620" s="5">
        <f t="shared" si="80"/>
        <v>11</v>
      </c>
      <c r="AF1620" s="5">
        <f t="shared" si="81"/>
        <v>2019</v>
      </c>
    </row>
    <row r="1621" s="5" customFormat="1" ht="13">
      <c r="A1621" s="5" t="s">
        <v>44</v>
      </c>
      <c r="B1621" s="5" t="s">
        <v>44</v>
      </c>
      <c r="C1621" s="5" t="s">
        <v>67</v>
      </c>
      <c r="D1621" s="5" t="s">
        <v>21</v>
      </c>
      <c r="E1621" s="5" t="s">
        <v>44</v>
      </c>
      <c r="F1621" s="5" t="s">
        <v>68</v>
      </c>
      <c r="G1621" s="5" t="s">
        <v>91</v>
      </c>
      <c r="H1621" s="9" t="s">
        <v>376</v>
      </c>
      <c r="I1621" s="10"/>
      <c r="J1621" s="10">
        <v>43796</v>
      </c>
      <c r="K1621" s="5" t="s">
        <v>71</v>
      </c>
      <c r="L1621" s="5" t="s">
        <v>58</v>
      </c>
      <c r="M1621" s="11">
        <v>0.089999999999999997</v>
      </c>
      <c r="N1621" s="5" t="e">
        <f>IF(AND(M1621&gt;#REF!,Cartera!O1621="Guaraníes"),"Rendimiento significativo",IF(AND(M1621&gt;#REF!,Cartera!O1621="Dólares americanos"),"Rendimiento significativo","Rendimiento no significativo"))</f>
        <v>#REF!</v>
      </c>
      <c r="O1621" s="5" t="s">
        <v>41</v>
      </c>
      <c r="P1621" s="12">
        <v>2243835.6164000002</v>
      </c>
      <c r="Q1621" s="12">
        <f>IF(O1621="Guaraníes",P1621,P1621*#REF!)</f>
        <v>2243835.6164000002</v>
      </c>
      <c r="R1621" s="12" t="e">
        <f>IF(O1621="Guaraníes",P1621/#REF!,P1621)</f>
        <v>#REF!</v>
      </c>
      <c r="S1621" s="5" t="s">
        <v>52</v>
      </c>
      <c r="T1621" s="5">
        <v>3253</v>
      </c>
      <c r="W1621" s="5" t="s">
        <v>65</v>
      </c>
      <c r="X1621" s="5">
        <v>0</v>
      </c>
      <c r="Y1621" s="5">
        <v>0</v>
      </c>
      <c r="Z1621" s="5">
        <v>22438.356164000001</v>
      </c>
      <c r="AA1621" s="5">
        <v>100</v>
      </c>
      <c r="AB1621" s="5">
        <v>2243835.6164000002</v>
      </c>
      <c r="AC1621" s="5" t="str">
        <f t="shared" si="79"/>
        <v>Bonos</v>
      </c>
      <c r="AD1621" s="5" t="s">
        <v>43</v>
      </c>
      <c r="AE1621" s="5">
        <f t="shared" si="80"/>
        <v>11</v>
      </c>
      <c r="AF1621" s="5">
        <f t="shared" si="81"/>
        <v>2019</v>
      </c>
    </row>
    <row r="1622" s="5" customFormat="1" ht="13">
      <c r="A1622" s="5" t="s">
        <v>44</v>
      </c>
      <c r="B1622" s="5" t="s">
        <v>44</v>
      </c>
      <c r="C1622" s="5" t="s">
        <v>222</v>
      </c>
      <c r="D1622" s="5" t="s">
        <v>21</v>
      </c>
      <c r="E1622" s="5" t="s">
        <v>44</v>
      </c>
      <c r="F1622" s="5" t="s">
        <v>68</v>
      </c>
      <c r="G1622" s="5" t="s">
        <v>91</v>
      </c>
      <c r="H1622" s="9" t="s">
        <v>223</v>
      </c>
      <c r="I1622" s="10"/>
      <c r="J1622" s="10">
        <v>43797</v>
      </c>
      <c r="K1622" s="5" t="s">
        <v>127</v>
      </c>
      <c r="L1622" s="5" t="s">
        <v>50</v>
      </c>
      <c r="M1622" s="11">
        <v>0.070000000000000007</v>
      </c>
      <c r="N1622" s="5" t="e">
        <f>IF(AND(M1622&gt;#REF!,Cartera!O1622="Guaraníes"),"Rendimiento significativo",IF(AND(M1622&gt;#REF!,Cartera!O1622="Dólares americanos"),"Rendimiento significativo","Rendimiento no significativo"))</f>
        <v>#REF!</v>
      </c>
      <c r="O1622" s="5" t="s">
        <v>51</v>
      </c>
      <c r="P1622" s="13">
        <v>1745.2055</v>
      </c>
      <c r="Q1622" s="12" t="e">
        <f>IF(O1622="Guaraníes",P1622,P1622*#REF!)</f>
        <v>#REF!</v>
      </c>
      <c r="R1622" s="12">
        <f>IF(O1622="Guaraníes",P1622/#REF!,P1622)</f>
        <v>1745.2055</v>
      </c>
      <c r="S1622" s="5" t="s">
        <v>52</v>
      </c>
      <c r="T1622" s="5">
        <v>3253</v>
      </c>
      <c r="W1622" s="5" t="s">
        <v>65</v>
      </c>
      <c r="X1622" s="5">
        <v>0</v>
      </c>
      <c r="Y1622" s="5">
        <v>0</v>
      </c>
      <c r="Z1622" s="5">
        <v>34.904110000000003</v>
      </c>
      <c r="AA1622" s="5">
        <v>50</v>
      </c>
      <c r="AB1622" s="5">
        <v>1745.2055</v>
      </c>
      <c r="AC1622" s="5" t="str">
        <f t="shared" si="79"/>
        <v>Bonos</v>
      </c>
      <c r="AD1622" s="5" t="s">
        <v>43</v>
      </c>
      <c r="AE1622" s="5">
        <f t="shared" si="80"/>
        <v>11</v>
      </c>
      <c r="AF1622" s="5">
        <f t="shared" si="81"/>
        <v>2019</v>
      </c>
    </row>
    <row r="1623" s="5" customFormat="1" ht="13">
      <c r="A1623" s="5" t="s">
        <v>44</v>
      </c>
      <c r="B1623" s="5" t="s">
        <v>44</v>
      </c>
      <c r="C1623" s="5" t="s">
        <v>164</v>
      </c>
      <c r="D1623" s="5" t="s">
        <v>21</v>
      </c>
      <c r="E1623" s="5" t="s">
        <v>44</v>
      </c>
      <c r="F1623" s="5" t="s">
        <v>68</v>
      </c>
      <c r="G1623" s="5" t="s">
        <v>91</v>
      </c>
      <c r="H1623" s="9" t="s">
        <v>166</v>
      </c>
      <c r="I1623" s="10"/>
      <c r="J1623" s="10">
        <v>43798</v>
      </c>
      <c r="K1623" s="5" t="s">
        <v>124</v>
      </c>
      <c r="L1623" s="5" t="s">
        <v>58</v>
      </c>
      <c r="M1623" s="11">
        <v>0.092499999999999999</v>
      </c>
      <c r="N1623" s="5" t="e">
        <f>IF(AND(M1623&gt;#REF!,Cartera!O1623="Guaraníes"),"Rendimiento significativo",IF(AND(M1623&gt;#REF!,Cartera!O1623="Dólares americanos"),"Rendimiento significativo","Rendimiento no significativo"))</f>
        <v>#REF!</v>
      </c>
      <c r="O1623" s="5" t="s">
        <v>41</v>
      </c>
      <c r="P1623" s="12">
        <v>1102397.2601999999</v>
      </c>
      <c r="Q1623" s="12">
        <f>IF(O1623="Guaraníes",P1623,P1623*#REF!)</f>
        <v>1102397.2601999999</v>
      </c>
      <c r="R1623" s="12" t="e">
        <f>IF(O1623="Guaraníes",P1623/#REF!,P1623)</f>
        <v>#REF!</v>
      </c>
      <c r="S1623" s="5" t="s">
        <v>52</v>
      </c>
      <c r="T1623" s="5">
        <v>3253</v>
      </c>
      <c r="W1623" s="5" t="s">
        <v>65</v>
      </c>
      <c r="X1623" s="5">
        <v>0</v>
      </c>
      <c r="Y1623" s="5">
        <v>0</v>
      </c>
      <c r="Z1623" s="5">
        <v>7349.3150679999999</v>
      </c>
      <c r="AA1623" s="5">
        <v>150</v>
      </c>
      <c r="AB1623" s="5">
        <v>1102397.2601999999</v>
      </c>
      <c r="AC1623" s="5" t="str">
        <f t="shared" si="79"/>
        <v>Bonos</v>
      </c>
      <c r="AD1623" s="5" t="s">
        <v>43</v>
      </c>
      <c r="AE1623" s="5">
        <f t="shared" si="80"/>
        <v>11</v>
      </c>
      <c r="AF1623" s="5">
        <f t="shared" si="81"/>
        <v>2019</v>
      </c>
    </row>
    <row r="1624" s="5" customFormat="1" ht="13">
      <c r="A1624" s="5" t="s">
        <v>44</v>
      </c>
      <c r="B1624" s="5" t="s">
        <v>44</v>
      </c>
      <c r="C1624" s="5" t="s">
        <v>164</v>
      </c>
      <c r="D1624" s="5" t="s">
        <v>21</v>
      </c>
      <c r="E1624" s="5" t="s">
        <v>44</v>
      </c>
      <c r="F1624" s="5" t="s">
        <v>68</v>
      </c>
      <c r="G1624" s="5" t="s">
        <v>91</v>
      </c>
      <c r="H1624" s="9" t="s">
        <v>166</v>
      </c>
      <c r="I1624" s="10"/>
      <c r="J1624" s="10">
        <v>43829</v>
      </c>
      <c r="K1624" s="5" t="s">
        <v>124</v>
      </c>
      <c r="L1624" s="5" t="s">
        <v>58</v>
      </c>
      <c r="M1624" s="11">
        <v>0.092499999999999999</v>
      </c>
      <c r="N1624" s="5" t="e">
        <f>IF(AND(M1624&gt;#REF!,Cartera!O1624="Guaraníes"),"Rendimiento significativo",IF(AND(M1624&gt;#REF!,Cartera!O1624="Dólares americanos"),"Rendimiento significativo","Rendimiento no significativo"))</f>
        <v>#REF!</v>
      </c>
      <c r="O1624" s="5" t="s">
        <v>41</v>
      </c>
      <c r="P1624" s="12">
        <v>1178424.6576</v>
      </c>
      <c r="Q1624" s="12">
        <f>IF(O1624="Guaraníes",P1624,P1624*#REF!)</f>
        <v>1178424.6576</v>
      </c>
      <c r="R1624" s="12" t="e">
        <f>IF(O1624="Guaraníes",P1624/#REF!,P1624)</f>
        <v>#REF!</v>
      </c>
      <c r="S1624" s="5" t="s">
        <v>52</v>
      </c>
      <c r="T1624" s="5">
        <v>3253</v>
      </c>
      <c r="W1624" s="5" t="s">
        <v>65</v>
      </c>
      <c r="X1624" s="5">
        <v>0</v>
      </c>
      <c r="Y1624" s="5">
        <v>0</v>
      </c>
      <c r="Z1624" s="5">
        <v>7856.1643839999997</v>
      </c>
      <c r="AA1624" s="5">
        <v>150</v>
      </c>
      <c r="AB1624" s="5">
        <v>1178424.6576</v>
      </c>
      <c r="AC1624" s="5" t="str">
        <f t="shared" si="79"/>
        <v>Bonos</v>
      </c>
      <c r="AD1624" s="5" t="s">
        <v>43</v>
      </c>
      <c r="AE1624" s="5">
        <f t="shared" si="80"/>
        <v>12</v>
      </c>
      <c r="AF1624" s="5">
        <f t="shared" si="81"/>
        <v>2019</v>
      </c>
    </row>
    <row r="1625" s="5" customFormat="1" ht="13">
      <c r="A1625" s="5" t="s">
        <v>44</v>
      </c>
      <c r="B1625" s="5" t="s">
        <v>44</v>
      </c>
      <c r="C1625" s="5" t="s">
        <v>67</v>
      </c>
      <c r="D1625" s="5" t="s">
        <v>21</v>
      </c>
      <c r="E1625" s="5" t="s">
        <v>44</v>
      </c>
      <c r="F1625" s="5" t="s">
        <v>68</v>
      </c>
      <c r="G1625" s="5" t="s">
        <v>91</v>
      </c>
      <c r="H1625" s="9" t="s">
        <v>110</v>
      </c>
      <c r="I1625" s="10"/>
      <c r="J1625" s="10">
        <v>43851</v>
      </c>
      <c r="K1625" s="5" t="s">
        <v>71</v>
      </c>
      <c r="L1625" s="5" t="s">
        <v>58</v>
      </c>
      <c r="M1625" s="11">
        <v>0.089999999999999997</v>
      </c>
      <c r="N1625" s="5" t="e">
        <f>IF(AND(M1625&gt;#REF!,Cartera!O1625="Guaraníes"),"Rendimiento significativo",IF(AND(M1625&gt;#REF!,Cartera!O1625="Dólares americanos"),"Rendimiento significativo","Rendimiento no significativo"))</f>
        <v>#REF!</v>
      </c>
      <c r="O1625" s="5" t="s">
        <v>51</v>
      </c>
      <c r="P1625" s="13">
        <v>252.43150499999999</v>
      </c>
      <c r="Q1625" s="12" t="e">
        <f>IF(O1625="Guaraníes",P1625,P1625*#REF!)</f>
        <v>#REF!</v>
      </c>
      <c r="R1625" s="12">
        <f>IF(O1625="Guaraníes",P1625/#REF!,P1625)</f>
        <v>252.43150499999999</v>
      </c>
      <c r="S1625" s="5" t="s">
        <v>52</v>
      </c>
      <c r="T1625" s="5">
        <v>3253</v>
      </c>
      <c r="W1625" s="5" t="s">
        <v>65</v>
      </c>
      <c r="X1625" s="5">
        <v>0</v>
      </c>
      <c r="Y1625" s="5">
        <v>0</v>
      </c>
      <c r="Z1625" s="5">
        <v>16.828766999999999</v>
      </c>
      <c r="AA1625" s="5">
        <v>15</v>
      </c>
      <c r="AB1625" s="5">
        <v>252.43150499999999</v>
      </c>
      <c r="AC1625" s="5" t="str">
        <f t="shared" si="79"/>
        <v>Bonos</v>
      </c>
      <c r="AD1625" s="5" t="s">
        <v>43</v>
      </c>
      <c r="AE1625" s="5">
        <f t="shared" si="80"/>
        <v>1</v>
      </c>
      <c r="AF1625" s="5">
        <f t="shared" si="81"/>
        <v>2020</v>
      </c>
    </row>
    <row r="1626" s="5" customFormat="1" ht="13">
      <c r="A1626" s="5" t="s">
        <v>44</v>
      </c>
      <c r="B1626" s="5" t="s">
        <v>44</v>
      </c>
      <c r="C1626" s="5" t="s">
        <v>45</v>
      </c>
      <c r="D1626" s="5" t="s">
        <v>21</v>
      </c>
      <c r="E1626" s="5" t="s">
        <v>44</v>
      </c>
      <c r="F1626" s="5" t="s">
        <v>46</v>
      </c>
      <c r="G1626" s="5" t="s">
        <v>91</v>
      </c>
      <c r="H1626" s="9" t="s">
        <v>365</v>
      </c>
      <c r="I1626" s="10"/>
      <c r="J1626" s="10">
        <v>43853</v>
      </c>
      <c r="K1626" s="5" t="s">
        <v>49</v>
      </c>
      <c r="L1626" s="5" t="s">
        <v>58</v>
      </c>
      <c r="M1626" s="11">
        <v>0.059999999999999998</v>
      </c>
      <c r="N1626" s="5" t="e">
        <f>IF(AND(M1626&gt;#REF!,Cartera!O1626="Guaraníes"),"Rendimiento significativo",IF(AND(M1626&gt;#REF!,Cartera!O1626="Dólares americanos"),"Rendimiento significativo","Rendimiento no significativo"))</f>
        <v>#REF!</v>
      </c>
      <c r="O1626" s="5" t="s">
        <v>51</v>
      </c>
      <c r="P1626" s="13">
        <v>458.11643500000002</v>
      </c>
      <c r="Q1626" s="12" t="e">
        <f>IF(O1626="Guaraníes",P1626,P1626*#REF!)</f>
        <v>#REF!</v>
      </c>
      <c r="R1626" s="12">
        <f>IF(O1626="Guaraníes",P1626/#REF!,P1626)</f>
        <v>458.11643500000002</v>
      </c>
      <c r="S1626" s="5" t="s">
        <v>52</v>
      </c>
      <c r="T1626" s="5">
        <v>3253</v>
      </c>
      <c r="W1626" s="5" t="s">
        <v>65</v>
      </c>
      <c r="X1626" s="5">
        <v>0</v>
      </c>
      <c r="Y1626" s="5">
        <v>0</v>
      </c>
      <c r="Z1626" s="5">
        <v>13.089041</v>
      </c>
      <c r="AA1626" s="5">
        <v>35</v>
      </c>
      <c r="AB1626" s="5">
        <v>458.11643500000002</v>
      </c>
      <c r="AC1626" s="5" t="str">
        <f t="shared" si="79"/>
        <v>Bonos</v>
      </c>
      <c r="AD1626" s="5" t="s">
        <v>43</v>
      </c>
      <c r="AE1626" s="5">
        <f t="shared" si="80"/>
        <v>1</v>
      </c>
      <c r="AF1626" s="5">
        <f t="shared" si="81"/>
        <v>2020</v>
      </c>
    </row>
    <row r="1627" s="5" customFormat="1" ht="13">
      <c r="A1627" s="5" t="s">
        <v>44</v>
      </c>
      <c r="B1627" s="5" t="s">
        <v>44</v>
      </c>
      <c r="C1627" s="5" t="s">
        <v>89</v>
      </c>
      <c r="D1627" s="5" t="s">
        <v>21</v>
      </c>
      <c r="E1627" s="5" t="s">
        <v>44</v>
      </c>
      <c r="F1627" s="5" t="s">
        <v>90</v>
      </c>
      <c r="G1627" s="5" t="s">
        <v>91</v>
      </c>
      <c r="H1627" s="9" t="s">
        <v>92</v>
      </c>
      <c r="I1627" s="10"/>
      <c r="J1627" s="10">
        <v>43944</v>
      </c>
      <c r="K1627" s="5" t="s">
        <v>93</v>
      </c>
      <c r="L1627" s="5" t="s">
        <v>58</v>
      </c>
      <c r="M1627" s="11">
        <v>0.080000000000000002</v>
      </c>
      <c r="N1627" s="5" t="e">
        <f>IF(AND(M1627&gt;#REF!,Cartera!O1627="Guaraníes"),"Rendimiento significativo",IF(AND(M1627&gt;#REF!,Cartera!O1627="Dólares americanos"),"Rendimiento significativo","Rendimiento no significativo"))</f>
        <v>#REF!</v>
      </c>
      <c r="O1627" s="5" t="s">
        <v>51</v>
      </c>
      <c r="P1627" s="13">
        <v>299.17807500000004</v>
      </c>
      <c r="Q1627" s="12" t="e">
        <f>IF(O1627="Guaraníes",P1627,P1627*#REF!)</f>
        <v>#REF!</v>
      </c>
      <c r="R1627" s="12">
        <f>IF(O1627="Guaraníes",P1627/#REF!,P1627)</f>
        <v>299.17807500000004</v>
      </c>
      <c r="S1627" s="5" t="s">
        <v>52</v>
      </c>
      <c r="T1627" s="5">
        <v>3253</v>
      </c>
      <c r="W1627" s="5" t="s">
        <v>65</v>
      </c>
      <c r="X1627" s="5">
        <v>0</v>
      </c>
      <c r="Y1627" s="5">
        <v>0</v>
      </c>
      <c r="Z1627" s="5">
        <v>19.945205000000001</v>
      </c>
      <c r="AA1627" s="5">
        <v>15</v>
      </c>
      <c r="AB1627" s="5">
        <v>299.17807499999998</v>
      </c>
      <c r="AC1627" s="5" t="str">
        <f t="shared" si="79"/>
        <v>Bonos</v>
      </c>
      <c r="AD1627" s="5" t="s">
        <v>43</v>
      </c>
      <c r="AE1627" s="5">
        <f t="shared" si="80"/>
        <v>4</v>
      </c>
      <c r="AF1627" s="5">
        <f t="shared" si="81"/>
        <v>2020</v>
      </c>
    </row>
    <row r="1628" s="5" customFormat="1" ht="13">
      <c r="A1628" s="5" t="s">
        <v>44</v>
      </c>
      <c r="B1628" s="5" t="s">
        <v>44</v>
      </c>
      <c r="C1628" s="5" t="s">
        <v>164</v>
      </c>
      <c r="D1628" s="5" t="s">
        <v>21</v>
      </c>
      <c r="E1628" s="5" t="s">
        <v>44</v>
      </c>
      <c r="F1628" s="5" t="s">
        <v>68</v>
      </c>
      <c r="G1628" s="5" t="s">
        <v>91</v>
      </c>
      <c r="H1628" s="9" t="s">
        <v>166</v>
      </c>
      <c r="I1628" s="10"/>
      <c r="J1628" s="10">
        <v>43861</v>
      </c>
      <c r="K1628" s="5" t="s">
        <v>124</v>
      </c>
      <c r="L1628" s="5" t="s">
        <v>58</v>
      </c>
      <c r="M1628" s="11">
        <v>0.092499999999999999</v>
      </c>
      <c r="N1628" s="5" t="e">
        <f>IF(AND(M1628&gt;#REF!,Cartera!O1628="Guaraníes"),"Rendimiento significativo",IF(AND(M1628&gt;#REF!,Cartera!O1628="Dólares americanos"),"Rendimiento significativo","Rendimiento no significativo"))</f>
        <v>#REF!</v>
      </c>
      <c r="O1628" s="5" t="s">
        <v>41</v>
      </c>
      <c r="P1628" s="12">
        <v>1216438.3561500001</v>
      </c>
      <c r="Q1628" s="12">
        <f>IF(O1628="Guaraníes",P1628,P1628*#REF!)</f>
        <v>1216438.3561500001</v>
      </c>
      <c r="R1628" s="12" t="e">
        <f>IF(O1628="Guaraníes",P1628/#REF!,P1628)</f>
        <v>#REF!</v>
      </c>
      <c r="S1628" s="5" t="s">
        <v>52</v>
      </c>
      <c r="T1628" s="5">
        <v>3253</v>
      </c>
      <c r="W1628" s="5" t="s">
        <v>65</v>
      </c>
      <c r="X1628" s="5">
        <v>0</v>
      </c>
      <c r="Y1628" s="5">
        <v>0</v>
      </c>
      <c r="Z1628" s="5">
        <v>8109.5890410000002</v>
      </c>
      <c r="AA1628" s="5">
        <v>150</v>
      </c>
      <c r="AB1628" s="5">
        <v>1216438.3561499999</v>
      </c>
      <c r="AC1628" s="5" t="str">
        <f t="shared" si="79"/>
        <v>Bonos</v>
      </c>
      <c r="AD1628" s="5" t="s">
        <v>43</v>
      </c>
      <c r="AE1628" s="5">
        <f t="shared" si="80"/>
        <v>1</v>
      </c>
      <c r="AF1628" s="5">
        <f t="shared" si="81"/>
        <v>2020</v>
      </c>
    </row>
    <row r="1629" s="5" customFormat="1" ht="13">
      <c r="A1629" s="5" t="s">
        <v>44</v>
      </c>
      <c r="B1629" s="5" t="s">
        <v>44</v>
      </c>
      <c r="C1629" s="5" t="s">
        <v>67</v>
      </c>
      <c r="D1629" s="5" t="s">
        <v>21</v>
      </c>
      <c r="E1629" s="5" t="s">
        <v>44</v>
      </c>
      <c r="F1629" s="5" t="s">
        <v>68</v>
      </c>
      <c r="G1629" s="5" t="s">
        <v>91</v>
      </c>
      <c r="H1629" s="9" t="s">
        <v>376</v>
      </c>
      <c r="I1629" s="10"/>
      <c r="J1629" s="10">
        <v>43887</v>
      </c>
      <c r="K1629" s="5" t="s">
        <v>71</v>
      </c>
      <c r="L1629" s="5" t="s">
        <v>58</v>
      </c>
      <c r="M1629" s="11">
        <v>0.089999999999999997</v>
      </c>
      <c r="N1629" s="5" t="e">
        <f>IF(AND(M1629&gt;#REF!,Cartera!O1629="Guaraníes"),"Rendimiento significativo",IF(AND(M1629&gt;#REF!,Cartera!O1629="Dólares americanos"),"Rendimiento significativo","Rendimiento no significativo"))</f>
        <v>#REF!</v>
      </c>
      <c r="O1629" s="5" t="s">
        <v>41</v>
      </c>
      <c r="P1629" s="12">
        <v>12243835.6164</v>
      </c>
      <c r="Q1629" s="12">
        <f>IF(O1629="Guaraníes",P1629,P1629*#REF!)</f>
        <v>12243835.6164</v>
      </c>
      <c r="R1629" s="12" t="e">
        <f>IF(O1629="Guaraníes",P1629/#REF!,P1629)</f>
        <v>#REF!</v>
      </c>
      <c r="S1629" s="5" t="s">
        <v>52</v>
      </c>
      <c r="T1629" s="5">
        <v>3253</v>
      </c>
      <c r="W1629" s="5" t="s">
        <v>65</v>
      </c>
      <c r="X1629" s="5">
        <v>10</v>
      </c>
      <c r="Y1629" s="5">
        <v>100000</v>
      </c>
      <c r="Z1629" s="5">
        <v>122438.356164</v>
      </c>
      <c r="AA1629" s="5">
        <v>100</v>
      </c>
      <c r="AB1629" s="5">
        <v>12243835.6164</v>
      </c>
      <c r="AC1629" s="5" t="str">
        <f t="shared" si="79"/>
        <v>Bonos</v>
      </c>
      <c r="AD1629" s="5" t="s">
        <v>43</v>
      </c>
      <c r="AE1629" s="5">
        <f t="shared" si="80"/>
        <v>2</v>
      </c>
      <c r="AF1629" s="5">
        <f t="shared" si="81"/>
        <v>2020</v>
      </c>
    </row>
    <row r="1630" s="5" customFormat="1" ht="13">
      <c r="A1630" s="5" t="s">
        <v>44</v>
      </c>
      <c r="B1630" s="5" t="s">
        <v>44</v>
      </c>
      <c r="C1630" s="5" t="s">
        <v>164</v>
      </c>
      <c r="D1630" s="5" t="s">
        <v>21</v>
      </c>
      <c r="E1630" s="5" t="s">
        <v>44</v>
      </c>
      <c r="F1630" s="5" t="s">
        <v>68</v>
      </c>
      <c r="G1630" s="5" t="s">
        <v>91</v>
      </c>
      <c r="H1630" s="9" t="s">
        <v>166</v>
      </c>
      <c r="I1630" s="10"/>
      <c r="J1630" s="10">
        <v>43889</v>
      </c>
      <c r="K1630" s="5" t="s">
        <v>124</v>
      </c>
      <c r="L1630" s="5" t="s">
        <v>58</v>
      </c>
      <c r="M1630" s="11">
        <v>0.092499999999999999</v>
      </c>
      <c r="N1630" s="5" t="e">
        <f>IF(AND(M1630&gt;#REF!,Cartera!O1630="Guaraníes"),"Rendimiento significativo",IF(AND(M1630&gt;#REF!,Cartera!O1630="Dólares americanos"),"Rendimiento significativo","Rendimiento no significativo"))</f>
        <v>#REF!</v>
      </c>
      <c r="O1630" s="5" t="s">
        <v>41</v>
      </c>
      <c r="P1630" s="12">
        <v>1064383.56165</v>
      </c>
      <c r="Q1630" s="12">
        <f>IF(O1630="Guaraníes",P1630,P1630*#REF!)</f>
        <v>1064383.56165</v>
      </c>
      <c r="R1630" s="12" t="e">
        <f>IF(O1630="Guaraníes",P1630/#REF!,P1630)</f>
        <v>#REF!</v>
      </c>
      <c r="S1630" s="5" t="s">
        <v>52</v>
      </c>
      <c r="T1630" s="5">
        <v>3253</v>
      </c>
      <c r="W1630" s="5" t="s">
        <v>65</v>
      </c>
      <c r="X1630" s="5">
        <v>0</v>
      </c>
      <c r="Y1630" s="5">
        <v>0</v>
      </c>
      <c r="Z1630" s="5">
        <v>7095.8904110000003</v>
      </c>
      <c r="AA1630" s="5">
        <v>150</v>
      </c>
      <c r="AB1630" s="5">
        <v>1064383.56165</v>
      </c>
      <c r="AC1630" s="5" t="str">
        <f t="shared" si="79"/>
        <v>Bonos</v>
      </c>
      <c r="AD1630" s="5" t="s">
        <v>43</v>
      </c>
      <c r="AE1630" s="5">
        <f t="shared" si="80"/>
        <v>2</v>
      </c>
      <c r="AF1630" s="5">
        <f t="shared" si="81"/>
        <v>2020</v>
      </c>
    </row>
    <row r="1631" s="5" customFormat="1" ht="13">
      <c r="A1631" s="5" t="s">
        <v>44</v>
      </c>
      <c r="B1631" s="5" t="s">
        <v>44</v>
      </c>
      <c r="C1631" s="5" t="s">
        <v>143</v>
      </c>
      <c r="D1631" s="5" t="s">
        <v>21</v>
      </c>
      <c r="E1631" s="5" t="s">
        <v>44</v>
      </c>
      <c r="F1631" s="5" t="s">
        <v>144</v>
      </c>
      <c r="G1631" s="5" t="s">
        <v>91</v>
      </c>
      <c r="H1631" s="9" t="s">
        <v>374</v>
      </c>
      <c r="I1631" s="10"/>
      <c r="J1631" s="10">
        <v>43906</v>
      </c>
      <c r="K1631" s="5" t="s">
        <v>49</v>
      </c>
      <c r="L1631" s="5" t="s">
        <v>58</v>
      </c>
      <c r="M1631" s="11">
        <v>0.062</v>
      </c>
      <c r="N1631" s="5" t="e">
        <f>IF(AND(M1631&gt;#REF!,Cartera!O1631="Guaraníes"),"Rendimiento significativo",IF(AND(M1631&gt;#REF!,Cartera!O1631="Dólares americanos"),"Rendimiento significativo","Rendimiento no significativo"))</f>
        <v>#REF!</v>
      </c>
      <c r="O1631" s="5" t="s">
        <v>51</v>
      </c>
      <c r="P1631" s="13">
        <v>879.89042400000005</v>
      </c>
      <c r="Q1631" s="12" t="e">
        <f>IF(O1631="Guaraníes",P1631,P1631*#REF!)</f>
        <v>#REF!</v>
      </c>
      <c r="R1631" s="12">
        <f>IF(O1631="Guaraníes",P1631/#REF!,P1631)</f>
        <v>879.89042400000005</v>
      </c>
      <c r="S1631" s="5" t="s">
        <v>52</v>
      </c>
      <c r="T1631" s="5">
        <v>3253</v>
      </c>
      <c r="W1631" s="5" t="s">
        <v>65</v>
      </c>
      <c r="X1631" s="5">
        <v>0</v>
      </c>
      <c r="Y1631" s="5">
        <v>0</v>
      </c>
      <c r="Z1631" s="5">
        <v>31.424658000000001</v>
      </c>
      <c r="AA1631" s="5">
        <v>28</v>
      </c>
      <c r="AB1631" s="5">
        <v>879.89042400000005</v>
      </c>
      <c r="AC1631" s="5" t="str">
        <f t="shared" si="79"/>
        <v>Bonos</v>
      </c>
      <c r="AD1631" s="5" t="s">
        <v>43</v>
      </c>
      <c r="AE1631" s="5">
        <f t="shared" si="80"/>
        <v>3</v>
      </c>
      <c r="AF1631" s="5">
        <f t="shared" si="81"/>
        <v>2020</v>
      </c>
    </row>
    <row r="1632" s="5" customFormat="1" ht="13">
      <c r="A1632" s="5" t="s">
        <v>44</v>
      </c>
      <c r="B1632" s="5" t="s">
        <v>44</v>
      </c>
      <c r="C1632" s="5" t="s">
        <v>67</v>
      </c>
      <c r="D1632" s="5" t="s">
        <v>21</v>
      </c>
      <c r="E1632" s="5" t="s">
        <v>44</v>
      </c>
      <c r="F1632" s="5" t="s">
        <v>68</v>
      </c>
      <c r="G1632" s="5" t="s">
        <v>91</v>
      </c>
      <c r="H1632" s="9" t="s">
        <v>376</v>
      </c>
      <c r="I1632" s="10"/>
      <c r="J1632" s="10">
        <v>43917</v>
      </c>
      <c r="K1632" s="5" t="s">
        <v>71</v>
      </c>
      <c r="L1632" s="5" t="s">
        <v>58</v>
      </c>
      <c r="M1632" s="11">
        <v>0.089999999999999997</v>
      </c>
      <c r="N1632" s="5" t="e">
        <f>IF(AND(M1632&gt;#REF!,Cartera!O1632="Guaraníes"),"Rendimiento significativo",IF(AND(M1632&gt;#REF!,Cartera!O1632="Dólares americanos"),"Rendimiento significativo","Rendimiento no significativo"))</f>
        <v>#REF!</v>
      </c>
      <c r="O1632" s="5" t="s">
        <v>41</v>
      </c>
      <c r="P1632" s="12">
        <v>10000000</v>
      </c>
      <c r="Q1632" s="12">
        <f>IF(O1632="Guaraníes",P1632,P1632*#REF!)</f>
        <v>10000000</v>
      </c>
      <c r="R1632" s="12" t="e">
        <f>IF(O1632="Guaraníes",P1632/#REF!,P1632)</f>
        <v>#REF!</v>
      </c>
      <c r="S1632" s="5" t="s">
        <v>52</v>
      </c>
      <c r="T1632" s="5">
        <v>3253</v>
      </c>
      <c r="W1632" s="5" t="s">
        <v>65</v>
      </c>
      <c r="X1632" s="5">
        <v>10</v>
      </c>
      <c r="Y1632" s="5">
        <v>100000</v>
      </c>
      <c r="Z1632" s="5">
        <v>100000</v>
      </c>
      <c r="AA1632" s="5">
        <v>100</v>
      </c>
      <c r="AB1632" s="5">
        <v>10000000</v>
      </c>
      <c r="AC1632" s="5" t="str">
        <f t="shared" si="79"/>
        <v>Bonos</v>
      </c>
      <c r="AD1632" s="5" t="s">
        <v>43</v>
      </c>
      <c r="AE1632" s="5">
        <f t="shared" si="80"/>
        <v>3</v>
      </c>
      <c r="AF1632" s="5">
        <f t="shared" si="81"/>
        <v>2020</v>
      </c>
    </row>
    <row r="1633" s="5" customFormat="1" ht="13">
      <c r="A1633" s="5" t="s">
        <v>44</v>
      </c>
      <c r="B1633" s="5" t="s">
        <v>44</v>
      </c>
      <c r="C1633" s="5" t="s">
        <v>143</v>
      </c>
      <c r="D1633" s="5" t="s">
        <v>21</v>
      </c>
      <c r="E1633" s="5" t="s">
        <v>44</v>
      </c>
      <c r="F1633" s="5" t="s">
        <v>144</v>
      </c>
      <c r="G1633" s="5" t="s">
        <v>91</v>
      </c>
      <c r="H1633" s="9" t="s">
        <v>380</v>
      </c>
      <c r="I1633" s="10"/>
      <c r="J1633" s="10">
        <v>43921</v>
      </c>
      <c r="K1633" s="5" t="s">
        <v>49</v>
      </c>
      <c r="L1633" s="5" t="s">
        <v>106</v>
      </c>
      <c r="M1633" s="11">
        <v>0.059999999999999998</v>
      </c>
      <c r="N1633" s="5" t="e">
        <f>IF(AND(M1633&gt;#REF!,Cartera!O1633="Guaraníes"),"Rendimiento significativo",IF(AND(M1633&gt;#REF!,Cartera!O1633="Dólares americanos"),"Rendimiento significativo","Rendimiento no significativo"))</f>
        <v>#REF!</v>
      </c>
      <c r="O1633" s="5" t="s">
        <v>51</v>
      </c>
      <c r="P1633" s="13">
        <v>52.602739999999997</v>
      </c>
      <c r="Q1633" s="12" t="e">
        <f>IF(O1633="Guaraníes",P1633,P1633*#REF!)</f>
        <v>#REF!</v>
      </c>
      <c r="R1633" s="12">
        <f>IF(O1633="Guaraníes",P1633/#REF!,P1633)</f>
        <v>52.602739999999997</v>
      </c>
      <c r="S1633" s="5" t="s">
        <v>52</v>
      </c>
      <c r="T1633" s="5">
        <v>3253</v>
      </c>
      <c r="W1633" s="5" t="s">
        <v>65</v>
      </c>
      <c r="X1633" s="5">
        <v>0</v>
      </c>
      <c r="Y1633" s="5">
        <v>0</v>
      </c>
      <c r="Z1633" s="5">
        <v>5.2602739999999999</v>
      </c>
      <c r="AA1633" s="5">
        <v>10</v>
      </c>
      <c r="AB1633" s="5">
        <v>52.602739999999997</v>
      </c>
      <c r="AC1633" s="5" t="str">
        <f t="shared" si="79"/>
        <v>Bonos</v>
      </c>
      <c r="AD1633" s="5" t="s">
        <v>43</v>
      </c>
      <c r="AE1633" s="5">
        <f t="shared" si="80"/>
        <v>3</v>
      </c>
      <c r="AF1633" s="5">
        <f t="shared" si="81"/>
        <v>2020</v>
      </c>
    </row>
    <row r="1634" s="5" customFormat="1" ht="13">
      <c r="A1634" s="5" t="s">
        <v>44</v>
      </c>
      <c r="B1634" s="5" t="s">
        <v>44</v>
      </c>
      <c r="C1634" s="5" t="s">
        <v>164</v>
      </c>
      <c r="D1634" s="5" t="s">
        <v>21</v>
      </c>
      <c r="E1634" s="5" t="s">
        <v>44</v>
      </c>
      <c r="F1634" s="5" t="s">
        <v>68</v>
      </c>
      <c r="G1634" s="5" t="s">
        <v>91</v>
      </c>
      <c r="H1634" s="9" t="s">
        <v>166</v>
      </c>
      <c r="I1634" s="10"/>
      <c r="J1634" s="10">
        <v>43921</v>
      </c>
      <c r="K1634" s="5" t="s">
        <v>124</v>
      </c>
      <c r="L1634" s="5" t="s">
        <v>58</v>
      </c>
      <c r="M1634" s="11">
        <v>0.092499999999999999</v>
      </c>
      <c r="N1634" s="5" t="e">
        <f>IF(AND(M1634&gt;#REF!,Cartera!O1634="Guaraníes"),"Rendimiento significativo",IF(AND(M1634&gt;#REF!,Cartera!O1634="Dólares americanos"),"Rendimiento significativo","Rendimiento no significativo"))</f>
        <v>#REF!</v>
      </c>
      <c r="O1634" s="5" t="s">
        <v>41</v>
      </c>
      <c r="P1634" s="12">
        <v>1216438.3561500001</v>
      </c>
      <c r="Q1634" s="12">
        <f>IF(O1634="Guaraníes",P1634,P1634*#REF!)</f>
        <v>1216438.3561500001</v>
      </c>
      <c r="R1634" s="12" t="e">
        <f>IF(O1634="Guaraníes",P1634/#REF!,P1634)</f>
        <v>#REF!</v>
      </c>
      <c r="S1634" s="5" t="s">
        <v>52</v>
      </c>
      <c r="T1634" s="5">
        <v>3253</v>
      </c>
      <c r="W1634" s="5" t="s">
        <v>65</v>
      </c>
      <c r="X1634" s="5">
        <v>0</v>
      </c>
      <c r="Y1634" s="5">
        <v>0</v>
      </c>
      <c r="Z1634" s="5">
        <v>8109.5890410000002</v>
      </c>
      <c r="AA1634" s="5">
        <v>150</v>
      </c>
      <c r="AB1634" s="5">
        <v>1216438.3561499999</v>
      </c>
      <c r="AC1634" s="5" t="str">
        <f t="shared" si="79"/>
        <v>Bonos</v>
      </c>
      <c r="AD1634" s="5" t="s">
        <v>43</v>
      </c>
      <c r="AE1634" s="5">
        <f t="shared" si="80"/>
        <v>3</v>
      </c>
      <c r="AF1634" s="5">
        <f t="shared" si="81"/>
        <v>2020</v>
      </c>
    </row>
    <row r="1635" s="5" customFormat="1" ht="13">
      <c r="A1635" s="5" t="s">
        <v>44</v>
      </c>
      <c r="B1635" s="5" t="s">
        <v>44</v>
      </c>
      <c r="C1635" s="5" t="s">
        <v>67</v>
      </c>
      <c r="D1635" s="5" t="s">
        <v>21</v>
      </c>
      <c r="E1635" s="5" t="s">
        <v>44</v>
      </c>
      <c r="F1635" s="5" t="s">
        <v>68</v>
      </c>
      <c r="G1635" s="5" t="s">
        <v>91</v>
      </c>
      <c r="H1635" s="9" t="s">
        <v>110</v>
      </c>
      <c r="I1635" s="10"/>
      <c r="J1635" s="10">
        <v>43942</v>
      </c>
      <c r="K1635" s="5" t="s">
        <v>71</v>
      </c>
      <c r="L1635" s="5" t="s">
        <v>58</v>
      </c>
      <c r="M1635" s="11">
        <v>0.089999999999999997</v>
      </c>
      <c r="N1635" s="5" t="e">
        <f>IF(AND(M1635&gt;#REF!,Cartera!O1635="Guaraníes"),"Rendimiento significativo",IF(AND(M1635&gt;#REF!,Cartera!O1635="Dólares americanos"),"Rendimiento significativo","Rendimiento no significativo"))</f>
        <v>#REF!</v>
      </c>
      <c r="O1635" s="5" t="s">
        <v>51</v>
      </c>
      <c r="P1635" s="13">
        <v>252.43150499999999</v>
      </c>
      <c r="Q1635" s="12" t="e">
        <f>IF(O1635="Guaraníes",P1635,P1635*#REF!)</f>
        <v>#REF!</v>
      </c>
      <c r="R1635" s="12">
        <f>IF(O1635="Guaraníes",P1635/#REF!,P1635)</f>
        <v>252.43150499999999</v>
      </c>
      <c r="S1635" s="5" t="s">
        <v>52</v>
      </c>
      <c r="T1635" s="5">
        <v>3253</v>
      </c>
      <c r="W1635" s="5" t="s">
        <v>65</v>
      </c>
      <c r="X1635" s="5">
        <v>0</v>
      </c>
      <c r="Y1635" s="5">
        <v>0</v>
      </c>
      <c r="Z1635" s="5">
        <v>16.828766999999999</v>
      </c>
      <c r="AA1635" s="5">
        <v>15</v>
      </c>
      <c r="AB1635" s="5">
        <v>252.43150499999999</v>
      </c>
      <c r="AC1635" s="5" t="str">
        <f t="shared" si="79"/>
        <v>Bonos</v>
      </c>
      <c r="AD1635" s="5" t="s">
        <v>43</v>
      </c>
      <c r="AE1635" s="5">
        <f t="shared" si="80"/>
        <v>4</v>
      </c>
      <c r="AF1635" s="5">
        <f t="shared" si="81"/>
        <v>2020</v>
      </c>
    </row>
    <row r="1636" s="5" customFormat="1" ht="13">
      <c r="A1636" s="5" t="s">
        <v>44</v>
      </c>
      <c r="B1636" s="5" t="s">
        <v>44</v>
      </c>
      <c r="C1636" s="5" t="s">
        <v>45</v>
      </c>
      <c r="D1636" s="5" t="s">
        <v>21</v>
      </c>
      <c r="E1636" s="5" t="s">
        <v>44</v>
      </c>
      <c r="F1636" s="5" t="s">
        <v>46</v>
      </c>
      <c r="G1636" s="5" t="s">
        <v>91</v>
      </c>
      <c r="H1636" s="9" t="s">
        <v>365</v>
      </c>
      <c r="I1636" s="10"/>
      <c r="J1636" s="10">
        <v>43944</v>
      </c>
      <c r="K1636" s="5" t="s">
        <v>49</v>
      </c>
      <c r="L1636" s="5" t="s">
        <v>58</v>
      </c>
      <c r="M1636" s="11">
        <v>0.059999999999999998</v>
      </c>
      <c r="N1636" s="5" t="e">
        <f>IF(AND(M1636&gt;#REF!,Cartera!O1636="Guaraníes"),"Rendimiento significativo",IF(AND(M1636&gt;#REF!,Cartera!O1636="Dólares americanos"),"Rendimiento significativo","Rendimiento no significativo"))</f>
        <v>#REF!</v>
      </c>
      <c r="O1636" s="5" t="s">
        <v>51</v>
      </c>
      <c r="P1636" s="13">
        <v>458.11643500000002</v>
      </c>
      <c r="Q1636" s="12" t="e">
        <f>IF(O1636="Guaraníes",P1636,P1636*#REF!)</f>
        <v>#REF!</v>
      </c>
      <c r="R1636" s="12">
        <f>IF(O1636="Guaraníes",P1636/#REF!,P1636)</f>
        <v>458.11643500000002</v>
      </c>
      <c r="S1636" s="5" t="s">
        <v>52</v>
      </c>
      <c r="T1636" s="5">
        <v>3253</v>
      </c>
      <c r="W1636" s="5" t="s">
        <v>65</v>
      </c>
      <c r="X1636" s="5">
        <v>0</v>
      </c>
      <c r="Y1636" s="5">
        <v>0</v>
      </c>
      <c r="Z1636" s="5">
        <v>13.089041</v>
      </c>
      <c r="AA1636" s="5">
        <v>35</v>
      </c>
      <c r="AB1636" s="5">
        <v>458.11643500000002</v>
      </c>
      <c r="AC1636" s="5" t="str">
        <f t="shared" si="79"/>
        <v>Bonos</v>
      </c>
      <c r="AD1636" s="5" t="s">
        <v>43</v>
      </c>
      <c r="AE1636" s="5">
        <f t="shared" si="80"/>
        <v>4</v>
      </c>
      <c r="AF1636" s="5">
        <f t="shared" si="81"/>
        <v>2020</v>
      </c>
    </row>
    <row r="1637" s="5" customFormat="1" ht="13">
      <c r="A1637" s="5" t="s">
        <v>44</v>
      </c>
      <c r="B1637" s="5" t="s">
        <v>44</v>
      </c>
      <c r="C1637" s="5" t="s">
        <v>89</v>
      </c>
      <c r="D1637" s="5" t="s">
        <v>21</v>
      </c>
      <c r="E1637" s="5" t="s">
        <v>44</v>
      </c>
      <c r="F1637" s="5" t="s">
        <v>90</v>
      </c>
      <c r="G1637" s="5" t="s">
        <v>91</v>
      </c>
      <c r="H1637" s="9" t="s">
        <v>92</v>
      </c>
      <c r="I1637" s="10"/>
      <c r="J1637" s="10">
        <v>44035</v>
      </c>
      <c r="K1637" s="5" t="s">
        <v>93</v>
      </c>
      <c r="L1637" s="5" t="s">
        <v>58</v>
      </c>
      <c r="M1637" s="11">
        <v>0.080000000000000002</v>
      </c>
      <c r="N1637" s="5" t="e">
        <f>IF(AND(M1637&gt;#REF!,Cartera!O1637="Guaraníes"),"Rendimiento significativo",IF(AND(M1637&gt;#REF!,Cartera!O1637="Dólares americanos"),"Rendimiento significativo","Rendimiento no significativo"))</f>
        <v>#REF!</v>
      </c>
      <c r="O1637" s="5" t="s">
        <v>51</v>
      </c>
      <c r="P1637" s="13">
        <v>299.17807500000004</v>
      </c>
      <c r="Q1637" s="12" t="e">
        <f>IF(O1637="Guaraníes",P1637,P1637*#REF!)</f>
        <v>#REF!</v>
      </c>
      <c r="R1637" s="12">
        <f>IF(O1637="Guaraníes",P1637/#REF!,P1637)</f>
        <v>299.17807500000004</v>
      </c>
      <c r="S1637" s="5" t="s">
        <v>52</v>
      </c>
      <c r="T1637" s="5">
        <v>3253</v>
      </c>
      <c r="W1637" s="5" t="s">
        <v>65</v>
      </c>
      <c r="X1637" s="5">
        <v>0</v>
      </c>
      <c r="Y1637" s="5">
        <v>0</v>
      </c>
      <c r="Z1637" s="5">
        <v>19.945205000000001</v>
      </c>
      <c r="AA1637" s="5">
        <v>15</v>
      </c>
      <c r="AB1637" s="5">
        <v>299.17807499999998</v>
      </c>
      <c r="AC1637" s="5" t="str">
        <f t="shared" si="79"/>
        <v>Bonos</v>
      </c>
      <c r="AD1637" s="5" t="s">
        <v>43</v>
      </c>
      <c r="AE1637" s="5">
        <f t="shared" si="80"/>
        <v>7</v>
      </c>
      <c r="AF1637" s="5">
        <f t="shared" si="81"/>
        <v>2020</v>
      </c>
    </row>
    <row r="1638" s="5" customFormat="1" ht="13">
      <c r="A1638" s="5" t="s">
        <v>44</v>
      </c>
      <c r="B1638" s="5" t="s">
        <v>44</v>
      </c>
      <c r="C1638" s="5" t="s">
        <v>67</v>
      </c>
      <c r="D1638" s="5" t="s">
        <v>21</v>
      </c>
      <c r="E1638" s="5" t="s">
        <v>44</v>
      </c>
      <c r="F1638" s="5" t="s">
        <v>68</v>
      </c>
      <c r="G1638" s="5" t="s">
        <v>91</v>
      </c>
      <c r="H1638" s="9" t="s">
        <v>376</v>
      </c>
      <c r="I1638" s="10"/>
      <c r="J1638" s="10">
        <v>43948</v>
      </c>
      <c r="K1638" s="5" t="s">
        <v>71</v>
      </c>
      <c r="L1638" s="5" t="s">
        <v>58</v>
      </c>
      <c r="M1638" s="11">
        <v>0.089999999999999997</v>
      </c>
      <c r="N1638" s="5" t="e">
        <f>IF(AND(M1638&gt;#REF!,Cartera!O1638="Guaraníes"),"Rendimiento significativo",IF(AND(M1638&gt;#REF!,Cartera!O1638="Dólares americanos"),"Rendimiento significativo","Rendimiento no significativo"))</f>
        <v>#REF!</v>
      </c>
      <c r="O1638" s="5" t="s">
        <v>41</v>
      </c>
      <c r="P1638" s="12">
        <v>10000000</v>
      </c>
      <c r="Q1638" s="12">
        <f>IF(O1638="Guaraníes",P1638,P1638*#REF!)</f>
        <v>10000000</v>
      </c>
      <c r="R1638" s="12" t="e">
        <f>IF(O1638="Guaraníes",P1638/#REF!,P1638)</f>
        <v>#REF!</v>
      </c>
      <c r="S1638" s="5" t="s">
        <v>52</v>
      </c>
      <c r="T1638" s="5">
        <v>3253</v>
      </c>
      <c r="W1638" s="5" t="s">
        <v>65</v>
      </c>
      <c r="X1638" s="5">
        <v>10</v>
      </c>
      <c r="Y1638" s="5">
        <v>100000</v>
      </c>
      <c r="Z1638" s="5">
        <v>100000</v>
      </c>
      <c r="AA1638" s="5">
        <v>100</v>
      </c>
      <c r="AB1638" s="5">
        <v>10000000</v>
      </c>
      <c r="AC1638" s="5" t="str">
        <f t="shared" si="79"/>
        <v>Bonos</v>
      </c>
      <c r="AD1638" s="5" t="s">
        <v>43</v>
      </c>
      <c r="AE1638" s="5">
        <f t="shared" si="80"/>
        <v>4</v>
      </c>
      <c r="AF1638" s="5">
        <f t="shared" si="81"/>
        <v>2020</v>
      </c>
    </row>
    <row r="1639" s="5" customFormat="1" ht="13">
      <c r="A1639" s="5" t="s">
        <v>44</v>
      </c>
      <c r="B1639" s="5" t="s">
        <v>44</v>
      </c>
      <c r="C1639" s="5" t="s">
        <v>143</v>
      </c>
      <c r="D1639" s="5" t="s">
        <v>21</v>
      </c>
      <c r="E1639" s="5" t="s">
        <v>44</v>
      </c>
      <c r="F1639" s="5" t="s">
        <v>144</v>
      </c>
      <c r="G1639" s="5" t="s">
        <v>91</v>
      </c>
      <c r="H1639" s="9" t="s">
        <v>380</v>
      </c>
      <c r="I1639" s="10"/>
      <c r="J1639" s="10">
        <v>43951</v>
      </c>
      <c r="K1639" s="5" t="s">
        <v>49</v>
      </c>
      <c r="L1639" s="5" t="s">
        <v>106</v>
      </c>
      <c r="M1639" s="11">
        <v>0.059999999999999998</v>
      </c>
      <c r="N1639" s="5" t="e">
        <f>IF(AND(M1639&gt;#REF!,Cartera!O1639="Guaraníes"),"Rendimiento significativo",IF(AND(M1639&gt;#REF!,Cartera!O1639="Dólares americanos"),"Rendimiento significativo","Rendimiento no significativo"))</f>
        <v>#REF!</v>
      </c>
      <c r="O1639" s="5" t="s">
        <v>51</v>
      </c>
      <c r="P1639" s="13">
        <v>49.315069999999999</v>
      </c>
      <c r="Q1639" s="12" t="e">
        <f>IF(O1639="Guaraníes",P1639,P1639*#REF!)</f>
        <v>#REF!</v>
      </c>
      <c r="R1639" s="12">
        <f>IF(O1639="Guaraníes",P1639/#REF!,P1639)</f>
        <v>49.315069999999999</v>
      </c>
      <c r="S1639" s="5" t="s">
        <v>52</v>
      </c>
      <c r="T1639" s="5">
        <v>3253</v>
      </c>
      <c r="W1639" s="5" t="s">
        <v>65</v>
      </c>
      <c r="X1639" s="5">
        <v>0</v>
      </c>
      <c r="Y1639" s="5">
        <v>0</v>
      </c>
      <c r="Z1639" s="5">
        <v>4.9315069999999999</v>
      </c>
      <c r="AA1639" s="5">
        <v>10</v>
      </c>
      <c r="AB1639" s="5">
        <v>49.315069999999999</v>
      </c>
      <c r="AC1639" s="5" t="str">
        <f t="shared" si="79"/>
        <v>Bonos</v>
      </c>
      <c r="AD1639" s="5" t="s">
        <v>43</v>
      </c>
      <c r="AE1639" s="5">
        <f t="shared" si="80"/>
        <v>4</v>
      </c>
      <c r="AF1639" s="5">
        <f t="shared" si="81"/>
        <v>2020</v>
      </c>
    </row>
    <row r="1640" s="5" customFormat="1" ht="13">
      <c r="A1640" s="5" t="s">
        <v>44</v>
      </c>
      <c r="B1640" s="5" t="s">
        <v>44</v>
      </c>
      <c r="C1640" s="5" t="s">
        <v>164</v>
      </c>
      <c r="D1640" s="5" t="s">
        <v>21</v>
      </c>
      <c r="E1640" s="5" t="s">
        <v>44</v>
      </c>
      <c r="F1640" s="5" t="s">
        <v>68</v>
      </c>
      <c r="G1640" s="5" t="s">
        <v>91</v>
      </c>
      <c r="H1640" s="9" t="s">
        <v>166</v>
      </c>
      <c r="I1640" s="10"/>
      <c r="J1640" s="10">
        <v>43951</v>
      </c>
      <c r="K1640" s="5" t="s">
        <v>124</v>
      </c>
      <c r="L1640" s="5" t="s">
        <v>58</v>
      </c>
      <c r="M1640" s="11">
        <v>0.092499999999999999</v>
      </c>
      <c r="N1640" s="5" t="e">
        <f>IF(AND(M1640&gt;#REF!,Cartera!O1640="Guaraníes"),"Rendimiento significativo",IF(AND(M1640&gt;#REF!,Cartera!O1640="Dólares americanos"),"Rendimiento significativo","Rendimiento no significativo"))</f>
        <v>#REF!</v>
      </c>
      <c r="O1640" s="5" t="s">
        <v>41</v>
      </c>
      <c r="P1640" s="12">
        <v>1140410.9589</v>
      </c>
      <c r="Q1640" s="12">
        <f>IF(O1640="Guaraníes",P1640,P1640*#REF!)</f>
        <v>1140410.9589</v>
      </c>
      <c r="R1640" s="12" t="e">
        <f>IF(O1640="Guaraníes",P1640/#REF!,P1640)</f>
        <v>#REF!</v>
      </c>
      <c r="S1640" s="5" t="s">
        <v>52</v>
      </c>
      <c r="T1640" s="5">
        <v>3253</v>
      </c>
      <c r="W1640" s="5" t="s">
        <v>65</v>
      </c>
      <c r="X1640" s="5">
        <v>0</v>
      </c>
      <c r="Y1640" s="5">
        <v>0</v>
      </c>
      <c r="Z1640" s="5">
        <v>7602.7397259999998</v>
      </c>
      <c r="AA1640" s="5">
        <v>150</v>
      </c>
      <c r="AB1640" s="5">
        <v>1140410.9589</v>
      </c>
      <c r="AC1640" s="5" t="str">
        <f t="shared" si="79"/>
        <v>Bonos</v>
      </c>
      <c r="AD1640" s="5" t="s">
        <v>43</v>
      </c>
      <c r="AE1640" s="5">
        <f t="shared" si="80"/>
        <v>4</v>
      </c>
      <c r="AF1640" s="5">
        <f t="shared" si="81"/>
        <v>2020</v>
      </c>
    </row>
    <row r="1641" s="5" customFormat="1" ht="13">
      <c r="A1641" s="5" t="s">
        <v>44</v>
      </c>
      <c r="B1641" s="5" t="s">
        <v>44</v>
      </c>
      <c r="C1641" s="5" t="s">
        <v>33</v>
      </c>
      <c r="D1641" s="5" t="s">
        <v>21</v>
      </c>
      <c r="E1641" s="5" t="s">
        <v>44</v>
      </c>
      <c r="F1641" s="5" t="s">
        <v>35</v>
      </c>
      <c r="G1641" s="5" t="s">
        <v>91</v>
      </c>
      <c r="H1641" s="9" t="s">
        <v>375</v>
      </c>
      <c r="I1641" s="10"/>
      <c r="J1641" s="10">
        <v>43976</v>
      </c>
      <c r="K1641" s="5" t="s">
        <v>39</v>
      </c>
      <c r="L1641" s="5" t="s">
        <v>50</v>
      </c>
      <c r="M1641" s="11">
        <v>0.0625</v>
      </c>
      <c r="N1641" s="5" t="e">
        <f>IF(AND(M1641&gt;#REF!,Cartera!O1641="Guaraníes"),"Rendimiento significativo",IF(AND(M1641&gt;#REF!,Cartera!O1641="Dólares americanos"),"Rendimiento significativo","Rendimiento no significativo"))</f>
        <v>#REF!</v>
      </c>
      <c r="O1641" s="5" t="s">
        <v>51</v>
      </c>
      <c r="P1641" s="13">
        <v>1047.1233000000002</v>
      </c>
      <c r="Q1641" s="12" t="e">
        <f>IF(O1641="Guaraníes",P1641,P1641*#REF!)</f>
        <v>#REF!</v>
      </c>
      <c r="R1641" s="12">
        <f>IF(O1641="Guaraníes",P1641/#REF!,P1641)</f>
        <v>1047.1233000000002</v>
      </c>
      <c r="S1641" s="5" t="s">
        <v>52</v>
      </c>
      <c r="T1641" s="5">
        <v>3253</v>
      </c>
      <c r="W1641" s="5" t="s">
        <v>65</v>
      </c>
      <c r="X1641" s="5">
        <v>0</v>
      </c>
      <c r="Y1641" s="5">
        <v>0</v>
      </c>
      <c r="Z1641" s="5">
        <v>34.904110000000003</v>
      </c>
      <c r="AA1641" s="5">
        <v>30</v>
      </c>
      <c r="AB1641" s="5">
        <v>1047.1233</v>
      </c>
      <c r="AC1641" s="5" t="str">
        <f t="shared" si="79"/>
        <v>Bonos</v>
      </c>
      <c r="AD1641" s="5" t="s">
        <v>43</v>
      </c>
      <c r="AE1641" s="5">
        <f t="shared" si="80"/>
        <v>5</v>
      </c>
      <c r="AF1641" s="5">
        <f t="shared" si="81"/>
        <v>2020</v>
      </c>
    </row>
    <row r="1642" s="5" customFormat="1" ht="13">
      <c r="A1642" s="5" t="s">
        <v>44</v>
      </c>
      <c r="B1642" s="5" t="s">
        <v>44</v>
      </c>
      <c r="C1642" s="5" t="s">
        <v>67</v>
      </c>
      <c r="D1642" s="5" t="s">
        <v>21</v>
      </c>
      <c r="E1642" s="5" t="s">
        <v>44</v>
      </c>
      <c r="F1642" s="5" t="s">
        <v>68</v>
      </c>
      <c r="G1642" s="5" t="s">
        <v>91</v>
      </c>
      <c r="H1642" s="9" t="s">
        <v>376</v>
      </c>
      <c r="I1642" s="10"/>
      <c r="J1642" s="10">
        <v>43978</v>
      </c>
      <c r="K1642" s="5" t="s">
        <v>71</v>
      </c>
      <c r="L1642" s="5" t="s">
        <v>58</v>
      </c>
      <c r="M1642" s="11">
        <v>0.089999999999999997</v>
      </c>
      <c r="N1642" s="5" t="e">
        <f>IF(AND(M1642&gt;#REF!,Cartera!O1642="Guaraníes"),"Rendimiento significativo",IF(AND(M1642&gt;#REF!,Cartera!O1642="Dólares americanos"),"Rendimiento significativo","Rendimiento no significativo"))</f>
        <v>#REF!</v>
      </c>
      <c r="O1642" s="5" t="s">
        <v>41</v>
      </c>
      <c r="P1642" s="12">
        <v>11795068.4932</v>
      </c>
      <c r="Q1642" s="12">
        <f>IF(O1642="Guaraníes",P1642,P1642*#REF!)</f>
        <v>11795068.4932</v>
      </c>
      <c r="R1642" s="12" t="e">
        <f>IF(O1642="Guaraníes",P1642/#REF!,P1642)</f>
        <v>#REF!</v>
      </c>
      <c r="S1642" s="5" t="s">
        <v>52</v>
      </c>
      <c r="T1642" s="5">
        <v>3253</v>
      </c>
      <c r="W1642" s="5" t="s">
        <v>65</v>
      </c>
      <c r="X1642" s="5">
        <v>10</v>
      </c>
      <c r="Y1642" s="5">
        <v>100000</v>
      </c>
      <c r="Z1642" s="5">
        <v>117950.684932</v>
      </c>
      <c r="AA1642" s="5">
        <v>100</v>
      </c>
      <c r="AB1642" s="5">
        <v>11795068.4932</v>
      </c>
      <c r="AC1642" s="5" t="str">
        <f t="shared" si="79"/>
        <v>Bonos</v>
      </c>
      <c r="AD1642" s="5" t="s">
        <v>43</v>
      </c>
      <c r="AE1642" s="5">
        <f t="shared" si="80"/>
        <v>5</v>
      </c>
      <c r="AF1642" s="5">
        <f t="shared" si="81"/>
        <v>2020</v>
      </c>
    </row>
    <row r="1643" s="5" customFormat="1" ht="13">
      <c r="A1643" s="5" t="s">
        <v>44</v>
      </c>
      <c r="B1643" s="5" t="s">
        <v>44</v>
      </c>
      <c r="C1643" s="5" t="s">
        <v>222</v>
      </c>
      <c r="D1643" s="5" t="s">
        <v>21</v>
      </c>
      <c r="E1643" s="5" t="s">
        <v>44</v>
      </c>
      <c r="F1643" s="5" t="s">
        <v>68</v>
      </c>
      <c r="G1643" s="5" t="s">
        <v>91</v>
      </c>
      <c r="H1643" s="9" t="s">
        <v>223</v>
      </c>
      <c r="I1643" s="10"/>
      <c r="J1643" s="10">
        <v>43979</v>
      </c>
      <c r="K1643" s="5" t="s">
        <v>127</v>
      </c>
      <c r="L1643" s="5" t="s">
        <v>50</v>
      </c>
      <c r="M1643" s="11">
        <v>0.070000000000000007</v>
      </c>
      <c r="N1643" s="5" t="e">
        <f>IF(AND(M1643&gt;#REF!,Cartera!O1643="Guaraníes"),"Rendimiento significativo",IF(AND(M1643&gt;#REF!,Cartera!O1643="Dólares americanos"),"Rendimiento significativo","Rendimiento no significativo"))</f>
        <v>#REF!</v>
      </c>
      <c r="O1643" s="5" t="s">
        <v>51</v>
      </c>
      <c r="P1643" s="13">
        <v>1745.2055</v>
      </c>
      <c r="Q1643" s="12" t="e">
        <f>IF(O1643="Guaraníes",P1643,P1643*#REF!)</f>
        <v>#REF!</v>
      </c>
      <c r="R1643" s="12">
        <f>IF(O1643="Guaraníes",P1643/#REF!,P1643)</f>
        <v>1745.2055</v>
      </c>
      <c r="S1643" s="5" t="s">
        <v>52</v>
      </c>
      <c r="T1643" s="5">
        <v>3253</v>
      </c>
      <c r="W1643" s="5" t="s">
        <v>65</v>
      </c>
      <c r="X1643" s="5">
        <v>0</v>
      </c>
      <c r="Y1643" s="5">
        <v>0</v>
      </c>
      <c r="Z1643" s="5">
        <v>34.904110000000003</v>
      </c>
      <c r="AA1643" s="5">
        <v>50</v>
      </c>
      <c r="AB1643" s="5">
        <v>1745.2055</v>
      </c>
      <c r="AC1643" s="5" t="str">
        <f t="shared" si="79"/>
        <v>Bonos</v>
      </c>
      <c r="AD1643" s="5" t="s">
        <v>43</v>
      </c>
      <c r="AE1643" s="5">
        <f t="shared" si="80"/>
        <v>5</v>
      </c>
      <c r="AF1643" s="5">
        <f t="shared" si="81"/>
        <v>2020</v>
      </c>
    </row>
    <row r="1644" s="5" customFormat="1" ht="13">
      <c r="A1644" s="5" t="s">
        <v>44</v>
      </c>
      <c r="B1644" s="5" t="s">
        <v>44</v>
      </c>
      <c r="C1644" s="5" t="s">
        <v>143</v>
      </c>
      <c r="D1644" s="5" t="s">
        <v>21</v>
      </c>
      <c r="E1644" s="5" t="s">
        <v>44</v>
      </c>
      <c r="F1644" s="5" t="s">
        <v>144</v>
      </c>
      <c r="G1644" s="5" t="s">
        <v>91</v>
      </c>
      <c r="H1644" s="9" t="s">
        <v>380</v>
      </c>
      <c r="I1644" s="10"/>
      <c r="J1644" s="10">
        <v>43980</v>
      </c>
      <c r="K1644" s="5" t="s">
        <v>49</v>
      </c>
      <c r="L1644" s="5" t="s">
        <v>106</v>
      </c>
      <c r="M1644" s="11">
        <v>0.059999999999999998</v>
      </c>
      <c r="N1644" s="5" t="e">
        <f>IF(AND(M1644&gt;#REF!,Cartera!O1644="Guaraníes"),"Rendimiento significativo",IF(AND(M1644&gt;#REF!,Cartera!O1644="Dólares americanos"),"Rendimiento significativo","Rendimiento no significativo"))</f>
        <v>#REF!</v>
      </c>
      <c r="O1644" s="5" t="s">
        <v>51</v>
      </c>
      <c r="P1644" s="13">
        <v>47.671229999999994</v>
      </c>
      <c r="Q1644" s="12" t="e">
        <f>IF(O1644="Guaraníes",P1644,P1644*#REF!)</f>
        <v>#REF!</v>
      </c>
      <c r="R1644" s="12">
        <f>IF(O1644="Guaraníes",P1644/#REF!,P1644)</f>
        <v>47.671229999999994</v>
      </c>
      <c r="S1644" s="5" t="s">
        <v>52</v>
      </c>
      <c r="T1644" s="5">
        <v>3253</v>
      </c>
      <c r="W1644" s="5" t="s">
        <v>65</v>
      </c>
      <c r="X1644" s="5">
        <v>0</v>
      </c>
      <c r="Y1644" s="5">
        <v>0</v>
      </c>
      <c r="Z1644" s="5">
        <v>4.7671229999999998</v>
      </c>
      <c r="AA1644" s="5">
        <v>10</v>
      </c>
      <c r="AB1644" s="5">
        <v>47.671230000000001</v>
      </c>
      <c r="AC1644" s="5" t="str">
        <f t="shared" si="79"/>
        <v>Bonos</v>
      </c>
      <c r="AD1644" s="5" t="s">
        <v>43</v>
      </c>
      <c r="AE1644" s="5">
        <f t="shared" si="80"/>
        <v>5</v>
      </c>
      <c r="AF1644" s="5">
        <f t="shared" si="81"/>
        <v>2020</v>
      </c>
    </row>
    <row r="1645" s="5" customFormat="1" ht="13">
      <c r="A1645" s="5" t="s">
        <v>44</v>
      </c>
      <c r="B1645" s="5" t="s">
        <v>44</v>
      </c>
      <c r="C1645" s="5" t="s">
        <v>164</v>
      </c>
      <c r="D1645" s="5" t="s">
        <v>21</v>
      </c>
      <c r="E1645" s="5" t="s">
        <v>44</v>
      </c>
      <c r="F1645" s="5" t="s">
        <v>68</v>
      </c>
      <c r="G1645" s="5" t="s">
        <v>91</v>
      </c>
      <c r="H1645" s="9" t="s">
        <v>166</v>
      </c>
      <c r="I1645" s="10"/>
      <c r="J1645" s="10">
        <v>43980</v>
      </c>
      <c r="K1645" s="5" t="s">
        <v>124</v>
      </c>
      <c r="L1645" s="5" t="s">
        <v>58</v>
      </c>
      <c r="M1645" s="11">
        <v>0.092499999999999999</v>
      </c>
      <c r="N1645" s="5" t="e">
        <f>IF(AND(M1645&gt;#REF!,Cartera!O1645="Guaraníes"),"Rendimiento significativo",IF(AND(M1645&gt;#REF!,Cartera!O1645="Dólares americanos"),"Rendimiento significativo","Rendimiento no significativo"))</f>
        <v>#REF!</v>
      </c>
      <c r="O1645" s="5" t="s">
        <v>41</v>
      </c>
      <c r="P1645" s="12">
        <v>1102397.2601999999</v>
      </c>
      <c r="Q1645" s="12">
        <f>IF(O1645="Guaraníes",P1645,P1645*#REF!)</f>
        <v>1102397.2601999999</v>
      </c>
      <c r="R1645" s="12" t="e">
        <f>IF(O1645="Guaraníes",P1645/#REF!,P1645)</f>
        <v>#REF!</v>
      </c>
      <c r="S1645" s="5" t="s">
        <v>52</v>
      </c>
      <c r="T1645" s="5">
        <v>3253</v>
      </c>
      <c r="W1645" s="5" t="s">
        <v>65</v>
      </c>
      <c r="X1645" s="5">
        <v>0</v>
      </c>
      <c r="Y1645" s="5">
        <v>0</v>
      </c>
      <c r="Z1645" s="5">
        <v>7349.3150679999999</v>
      </c>
      <c r="AA1645" s="5">
        <v>150</v>
      </c>
      <c r="AB1645" s="5">
        <v>1102397.2601999999</v>
      </c>
      <c r="AC1645" s="5" t="str">
        <f t="shared" si="79"/>
        <v>Bonos</v>
      </c>
      <c r="AD1645" s="5" t="s">
        <v>43</v>
      </c>
      <c r="AE1645" s="5">
        <f t="shared" si="80"/>
        <v>5</v>
      </c>
      <c r="AF1645" s="5">
        <f t="shared" si="81"/>
        <v>2020</v>
      </c>
    </row>
    <row r="1646" s="5" customFormat="1" ht="13">
      <c r="A1646" s="5" t="s">
        <v>44</v>
      </c>
      <c r="B1646" s="5" t="s">
        <v>44</v>
      </c>
      <c r="C1646" s="5" t="s">
        <v>143</v>
      </c>
      <c r="D1646" s="5" t="s">
        <v>21</v>
      </c>
      <c r="E1646" s="5" t="s">
        <v>44</v>
      </c>
      <c r="F1646" s="5" t="s">
        <v>144</v>
      </c>
      <c r="G1646" s="5" t="s">
        <v>91</v>
      </c>
      <c r="H1646" s="9" t="s">
        <v>380</v>
      </c>
      <c r="I1646" s="10"/>
      <c r="J1646" s="10">
        <v>44012</v>
      </c>
      <c r="K1646" s="5" t="s">
        <v>49</v>
      </c>
      <c r="L1646" s="5" t="s">
        <v>106</v>
      </c>
      <c r="M1646" s="11">
        <v>0.059999999999999998</v>
      </c>
      <c r="N1646" s="5" t="e">
        <f>IF(AND(M1646&gt;#REF!,Cartera!O1646="Guaraníes"),"Rendimiento significativo",IF(AND(M1646&gt;#REF!,Cartera!O1646="Dólares americanos"),"Rendimiento significativo","Rendimiento no significativo"))</f>
        <v>#REF!</v>
      </c>
      <c r="O1646" s="5" t="s">
        <v>51</v>
      </c>
      <c r="P1646" s="13">
        <v>52.602739999999997</v>
      </c>
      <c r="Q1646" s="12" t="e">
        <f>IF(O1646="Guaraníes",P1646,P1646*#REF!)</f>
        <v>#REF!</v>
      </c>
      <c r="R1646" s="12">
        <f>IF(O1646="Guaraníes",P1646/#REF!,P1646)</f>
        <v>52.602739999999997</v>
      </c>
      <c r="S1646" s="5" t="s">
        <v>52</v>
      </c>
      <c r="T1646" s="5">
        <v>3253</v>
      </c>
      <c r="W1646" s="5" t="s">
        <v>65</v>
      </c>
      <c r="X1646" s="5">
        <v>0</v>
      </c>
      <c r="Y1646" s="5">
        <v>0</v>
      </c>
      <c r="Z1646" s="5">
        <v>5.2602739999999999</v>
      </c>
      <c r="AA1646" s="5">
        <v>10</v>
      </c>
      <c r="AB1646" s="5">
        <v>52.602739999999997</v>
      </c>
      <c r="AC1646" s="5" t="str">
        <f t="shared" si="79"/>
        <v>Bonos</v>
      </c>
      <c r="AD1646" s="5" t="s">
        <v>43</v>
      </c>
      <c r="AE1646" s="5">
        <f t="shared" si="80"/>
        <v>6</v>
      </c>
      <c r="AF1646" s="5">
        <f t="shared" si="81"/>
        <v>2020</v>
      </c>
    </row>
    <row r="1647" s="5" customFormat="1" ht="13">
      <c r="A1647" s="5" t="s">
        <v>44</v>
      </c>
      <c r="B1647" s="5" t="s">
        <v>44</v>
      </c>
      <c r="C1647" s="5" t="s">
        <v>164</v>
      </c>
      <c r="D1647" s="5" t="s">
        <v>21</v>
      </c>
      <c r="E1647" s="5" t="s">
        <v>44</v>
      </c>
      <c r="F1647" s="5" t="s">
        <v>68</v>
      </c>
      <c r="G1647" s="5" t="s">
        <v>91</v>
      </c>
      <c r="H1647" s="9" t="s">
        <v>166</v>
      </c>
      <c r="I1647" s="10"/>
      <c r="J1647" s="10">
        <v>44012</v>
      </c>
      <c r="K1647" s="5" t="s">
        <v>124</v>
      </c>
      <c r="L1647" s="5" t="s">
        <v>58</v>
      </c>
      <c r="M1647" s="11">
        <v>0.092499999999999999</v>
      </c>
      <c r="N1647" s="5" t="e">
        <f>IF(AND(M1647&gt;#REF!,Cartera!O1647="Guaraníes"),"Rendimiento significativo",IF(AND(M1647&gt;#REF!,Cartera!O1647="Dólares americanos"),"Rendimiento significativo","Rendimiento no significativo"))</f>
        <v>#REF!</v>
      </c>
      <c r="O1647" s="5" t="s">
        <v>41</v>
      </c>
      <c r="P1647" s="12">
        <v>1216438.3561500001</v>
      </c>
      <c r="Q1647" s="12">
        <f>IF(O1647="Guaraníes",P1647,P1647*#REF!)</f>
        <v>1216438.3561500001</v>
      </c>
      <c r="R1647" s="12" t="e">
        <f>IF(O1647="Guaraníes",P1647/#REF!,P1647)</f>
        <v>#REF!</v>
      </c>
      <c r="S1647" s="5" t="s">
        <v>52</v>
      </c>
      <c r="T1647" s="5">
        <v>3253</v>
      </c>
      <c r="W1647" s="5" t="s">
        <v>65</v>
      </c>
      <c r="X1647" s="5">
        <v>0</v>
      </c>
      <c r="Y1647" s="5">
        <v>0</v>
      </c>
      <c r="Z1647" s="5">
        <v>8109.5890410000002</v>
      </c>
      <c r="AA1647" s="5">
        <v>150</v>
      </c>
      <c r="AB1647" s="5">
        <v>1216438.3561499999</v>
      </c>
      <c r="AC1647" s="5" t="str">
        <f t="shared" si="79"/>
        <v>Bonos</v>
      </c>
      <c r="AD1647" s="5" t="s">
        <v>43</v>
      </c>
      <c r="AE1647" s="5">
        <f t="shared" si="80"/>
        <v>6</v>
      </c>
      <c r="AF1647" s="5">
        <f t="shared" si="81"/>
        <v>2020</v>
      </c>
    </row>
    <row r="1648" s="5" customFormat="1" ht="13">
      <c r="A1648" s="5" t="s">
        <v>44</v>
      </c>
      <c r="B1648" s="5" t="s">
        <v>44</v>
      </c>
      <c r="C1648" s="5" t="s">
        <v>67</v>
      </c>
      <c r="D1648" s="5" t="s">
        <v>21</v>
      </c>
      <c r="E1648" s="5" t="s">
        <v>44</v>
      </c>
      <c r="F1648" s="5" t="s">
        <v>68</v>
      </c>
      <c r="G1648" s="5" t="s">
        <v>91</v>
      </c>
      <c r="H1648" s="9" t="s">
        <v>110</v>
      </c>
      <c r="I1648" s="10"/>
      <c r="J1648" s="10">
        <v>44033</v>
      </c>
      <c r="K1648" s="5" t="s">
        <v>71</v>
      </c>
      <c r="L1648" s="5" t="s">
        <v>58</v>
      </c>
      <c r="M1648" s="11">
        <v>0.089999999999999997</v>
      </c>
      <c r="N1648" s="5" t="e">
        <f>IF(AND(M1648&gt;#REF!,Cartera!O1648="Guaraníes"),"Rendimiento significativo",IF(AND(M1648&gt;#REF!,Cartera!O1648="Dólares americanos"),"Rendimiento significativo","Rendimiento no significativo"))</f>
        <v>#REF!</v>
      </c>
      <c r="O1648" s="5" t="s">
        <v>51</v>
      </c>
      <c r="P1648" s="13">
        <v>252.43150499999999</v>
      </c>
      <c r="Q1648" s="12" t="e">
        <f>IF(O1648="Guaraníes",P1648,P1648*#REF!)</f>
        <v>#REF!</v>
      </c>
      <c r="R1648" s="12">
        <f>IF(O1648="Guaraníes",P1648/#REF!,P1648)</f>
        <v>252.43150499999999</v>
      </c>
      <c r="S1648" s="5" t="s">
        <v>52</v>
      </c>
      <c r="T1648" s="5">
        <v>3253</v>
      </c>
      <c r="W1648" s="5" t="s">
        <v>65</v>
      </c>
      <c r="X1648" s="5">
        <v>0</v>
      </c>
      <c r="Y1648" s="5">
        <v>0</v>
      </c>
      <c r="Z1648" s="5">
        <v>16.828766999999999</v>
      </c>
      <c r="AA1648" s="5">
        <v>15</v>
      </c>
      <c r="AB1648" s="5">
        <v>252.43150499999999</v>
      </c>
      <c r="AC1648" s="5" t="str">
        <f t="shared" si="79"/>
        <v>Bonos</v>
      </c>
      <c r="AD1648" s="5" t="s">
        <v>43</v>
      </c>
      <c r="AE1648" s="5">
        <f t="shared" si="80"/>
        <v>7</v>
      </c>
      <c r="AF1648" s="5">
        <f t="shared" si="81"/>
        <v>2020</v>
      </c>
    </row>
    <row r="1649" s="5" customFormat="1" ht="13">
      <c r="A1649" s="5" t="s">
        <v>44</v>
      </c>
      <c r="B1649" s="5" t="s">
        <v>44</v>
      </c>
      <c r="C1649" s="5" t="s">
        <v>45</v>
      </c>
      <c r="D1649" s="5" t="s">
        <v>21</v>
      </c>
      <c r="E1649" s="5" t="s">
        <v>44</v>
      </c>
      <c r="F1649" s="5" t="s">
        <v>46</v>
      </c>
      <c r="G1649" s="5" t="s">
        <v>91</v>
      </c>
      <c r="H1649" s="9" t="s">
        <v>365</v>
      </c>
      <c r="I1649" s="10"/>
      <c r="J1649" s="10">
        <v>44035</v>
      </c>
      <c r="K1649" s="5" t="s">
        <v>49</v>
      </c>
      <c r="L1649" s="5" t="s">
        <v>58</v>
      </c>
      <c r="M1649" s="11">
        <v>0.059999999999999998</v>
      </c>
      <c r="N1649" s="5" t="e">
        <f>IF(AND(M1649&gt;#REF!,Cartera!O1649="Guaraníes"),"Rendimiento significativo",IF(AND(M1649&gt;#REF!,Cartera!O1649="Dólares americanos"),"Rendimiento significativo","Rendimiento no significativo"))</f>
        <v>#REF!</v>
      </c>
      <c r="O1649" s="5" t="s">
        <v>51</v>
      </c>
      <c r="P1649" s="13">
        <v>458.11643500000002</v>
      </c>
      <c r="Q1649" s="12" t="e">
        <f>IF(O1649="Guaraníes",P1649,P1649*#REF!)</f>
        <v>#REF!</v>
      </c>
      <c r="R1649" s="12">
        <f>IF(O1649="Guaraníes",P1649/#REF!,P1649)</f>
        <v>458.11643500000002</v>
      </c>
      <c r="S1649" s="5" t="s">
        <v>52</v>
      </c>
      <c r="T1649" s="5">
        <v>3253</v>
      </c>
      <c r="W1649" s="5" t="s">
        <v>65</v>
      </c>
      <c r="X1649" s="5">
        <v>0</v>
      </c>
      <c r="Y1649" s="5">
        <v>0</v>
      </c>
      <c r="Z1649" s="5">
        <v>13.089041</v>
      </c>
      <c r="AA1649" s="5">
        <v>35</v>
      </c>
      <c r="AB1649" s="5">
        <v>458.11643500000002</v>
      </c>
      <c r="AC1649" s="5" t="str">
        <f t="shared" si="79"/>
        <v>Bonos</v>
      </c>
      <c r="AD1649" s="5" t="s">
        <v>43</v>
      </c>
      <c r="AE1649" s="5">
        <f t="shared" si="80"/>
        <v>7</v>
      </c>
      <c r="AF1649" s="5">
        <f t="shared" si="81"/>
        <v>2020</v>
      </c>
    </row>
    <row r="1650" s="5" customFormat="1" ht="13">
      <c r="A1650" s="5" t="s">
        <v>44</v>
      </c>
      <c r="B1650" s="5" t="s">
        <v>44</v>
      </c>
      <c r="C1650" s="5" t="s">
        <v>89</v>
      </c>
      <c r="D1650" s="5" t="s">
        <v>21</v>
      </c>
      <c r="E1650" s="5" t="s">
        <v>44</v>
      </c>
      <c r="F1650" s="5" t="s">
        <v>90</v>
      </c>
      <c r="G1650" s="5" t="s">
        <v>91</v>
      </c>
      <c r="H1650" s="9" t="s">
        <v>92</v>
      </c>
      <c r="I1650" s="10"/>
      <c r="J1650" s="10">
        <v>44126</v>
      </c>
      <c r="K1650" s="5" t="s">
        <v>93</v>
      </c>
      <c r="L1650" s="5" t="s">
        <v>58</v>
      </c>
      <c r="M1650" s="11">
        <v>0.080000000000000002</v>
      </c>
      <c r="N1650" s="5" t="e">
        <f>IF(AND(M1650&gt;#REF!,Cartera!O1650="Guaraníes"),"Rendimiento significativo",IF(AND(M1650&gt;#REF!,Cartera!O1650="Dólares americanos"),"Rendimiento significativo","Rendimiento no significativo"))</f>
        <v>#REF!</v>
      </c>
      <c r="O1650" s="5" t="s">
        <v>51</v>
      </c>
      <c r="P1650" s="13">
        <v>299.17807500000004</v>
      </c>
      <c r="Q1650" s="12" t="e">
        <f>IF(O1650="Guaraníes",P1650,P1650*#REF!)</f>
        <v>#REF!</v>
      </c>
      <c r="R1650" s="12">
        <f>IF(O1650="Guaraníes",P1650/#REF!,P1650)</f>
        <v>299.17807500000004</v>
      </c>
      <c r="S1650" s="5" t="s">
        <v>52</v>
      </c>
      <c r="T1650" s="5">
        <v>3253</v>
      </c>
      <c r="W1650" s="5" t="s">
        <v>65</v>
      </c>
      <c r="X1650" s="5">
        <v>0</v>
      </c>
      <c r="Y1650" s="5">
        <v>0</v>
      </c>
      <c r="Z1650" s="5">
        <v>19.945205000000001</v>
      </c>
      <c r="AA1650" s="5">
        <v>15</v>
      </c>
      <c r="AB1650" s="5">
        <v>299.17807499999998</v>
      </c>
      <c r="AC1650" s="5" t="str">
        <f t="shared" si="79"/>
        <v>Bonos</v>
      </c>
      <c r="AD1650" s="5" t="s">
        <v>43</v>
      </c>
      <c r="AE1650" s="5">
        <f t="shared" si="80"/>
        <v>10</v>
      </c>
      <c r="AF1650" s="5">
        <f t="shared" si="81"/>
        <v>2020</v>
      </c>
    </row>
    <row r="1651" s="5" customFormat="1" ht="13">
      <c r="A1651" s="5" t="s">
        <v>44</v>
      </c>
      <c r="B1651" s="5" t="s">
        <v>44</v>
      </c>
      <c r="C1651" s="5" t="s">
        <v>143</v>
      </c>
      <c r="D1651" s="5" t="s">
        <v>21</v>
      </c>
      <c r="E1651" s="5" t="s">
        <v>44</v>
      </c>
      <c r="F1651" s="5" t="s">
        <v>144</v>
      </c>
      <c r="G1651" s="5" t="s">
        <v>91</v>
      </c>
      <c r="H1651" s="9" t="s">
        <v>380</v>
      </c>
      <c r="I1651" s="10"/>
      <c r="J1651" s="10">
        <v>44043</v>
      </c>
      <c r="K1651" s="5" t="s">
        <v>49</v>
      </c>
      <c r="L1651" s="5" t="s">
        <v>106</v>
      </c>
      <c r="M1651" s="11">
        <v>0.059999999999999998</v>
      </c>
      <c r="N1651" s="5" t="e">
        <f>IF(AND(M1651&gt;#REF!,Cartera!O1651="Guaraníes"),"Rendimiento significativo",IF(AND(M1651&gt;#REF!,Cartera!O1651="Dólares americanos"),"Rendimiento significativo","Rendimiento no significativo"))</f>
        <v>#REF!</v>
      </c>
      <c r="O1651" s="5" t="s">
        <v>51</v>
      </c>
      <c r="P1651" s="13">
        <v>50.9589</v>
      </c>
      <c r="Q1651" s="12" t="e">
        <f>IF(O1651="Guaraníes",P1651,P1651*#REF!)</f>
        <v>#REF!</v>
      </c>
      <c r="R1651" s="12">
        <f>IF(O1651="Guaraníes",P1651/#REF!,P1651)</f>
        <v>50.9589</v>
      </c>
      <c r="S1651" s="5" t="s">
        <v>52</v>
      </c>
      <c r="T1651" s="5">
        <v>3253</v>
      </c>
      <c r="W1651" s="5" t="s">
        <v>65</v>
      </c>
      <c r="X1651" s="5">
        <v>0</v>
      </c>
      <c r="Y1651" s="5">
        <v>0</v>
      </c>
      <c r="Z1651" s="5">
        <v>5.0958899999999998</v>
      </c>
      <c r="AA1651" s="5">
        <v>10</v>
      </c>
      <c r="AB1651" s="5">
        <v>50.9589</v>
      </c>
      <c r="AC1651" s="5" t="str">
        <f t="shared" si="79"/>
        <v>Bonos</v>
      </c>
      <c r="AD1651" s="5" t="s">
        <v>43</v>
      </c>
      <c r="AE1651" s="5">
        <f t="shared" si="80"/>
        <v>7</v>
      </c>
      <c r="AF1651" s="5">
        <f t="shared" si="81"/>
        <v>2020</v>
      </c>
    </row>
    <row r="1652" s="5" customFormat="1" ht="13">
      <c r="A1652" s="5" t="s">
        <v>44</v>
      </c>
      <c r="B1652" s="5" t="s">
        <v>44</v>
      </c>
      <c r="C1652" s="5" t="s">
        <v>164</v>
      </c>
      <c r="D1652" s="5" t="s">
        <v>21</v>
      </c>
      <c r="E1652" s="5" t="s">
        <v>44</v>
      </c>
      <c r="F1652" s="5" t="s">
        <v>68</v>
      </c>
      <c r="G1652" s="5" t="s">
        <v>91</v>
      </c>
      <c r="H1652" s="9" t="s">
        <v>166</v>
      </c>
      <c r="I1652" s="10"/>
      <c r="J1652" s="10">
        <v>44043</v>
      </c>
      <c r="K1652" s="5" t="s">
        <v>124</v>
      </c>
      <c r="L1652" s="5" t="s">
        <v>58</v>
      </c>
      <c r="M1652" s="11">
        <v>0.092499999999999999</v>
      </c>
      <c r="N1652" s="5" t="e">
        <f>IF(AND(M1652&gt;#REF!,Cartera!O1652="Guaraníes"),"Rendimiento significativo",IF(AND(M1652&gt;#REF!,Cartera!O1652="Dólares americanos"),"Rendimiento significativo","Rendimiento no significativo"))</f>
        <v>#REF!</v>
      </c>
      <c r="O1652" s="5" t="s">
        <v>41</v>
      </c>
      <c r="P1652" s="12">
        <v>1178424.6576</v>
      </c>
      <c r="Q1652" s="12">
        <f>IF(O1652="Guaraníes",P1652,P1652*#REF!)</f>
        <v>1178424.6576</v>
      </c>
      <c r="R1652" s="12" t="e">
        <f>IF(O1652="Guaraníes",P1652/#REF!,P1652)</f>
        <v>#REF!</v>
      </c>
      <c r="S1652" s="5" t="s">
        <v>52</v>
      </c>
      <c r="T1652" s="5">
        <v>3253</v>
      </c>
      <c r="W1652" s="5" t="s">
        <v>65</v>
      </c>
      <c r="X1652" s="5">
        <v>0</v>
      </c>
      <c r="Y1652" s="5">
        <v>0</v>
      </c>
      <c r="Z1652" s="5">
        <v>7856.1643839999997</v>
      </c>
      <c r="AA1652" s="5">
        <v>150</v>
      </c>
      <c r="AB1652" s="5">
        <v>1178424.6576</v>
      </c>
      <c r="AC1652" s="5" t="str">
        <f t="shared" si="79"/>
        <v>Bonos</v>
      </c>
      <c r="AD1652" s="5" t="s">
        <v>43</v>
      </c>
      <c r="AE1652" s="5">
        <f t="shared" si="80"/>
        <v>7</v>
      </c>
      <c r="AF1652" s="5">
        <f t="shared" si="81"/>
        <v>2020</v>
      </c>
    </row>
    <row r="1653" s="5" customFormat="1" ht="13">
      <c r="A1653" s="5" t="s">
        <v>44</v>
      </c>
      <c r="B1653" s="5" t="s">
        <v>44</v>
      </c>
      <c r="C1653" s="5" t="s">
        <v>67</v>
      </c>
      <c r="D1653" s="5" t="s">
        <v>21</v>
      </c>
      <c r="E1653" s="5" t="s">
        <v>44</v>
      </c>
      <c r="F1653" s="5" t="s">
        <v>68</v>
      </c>
      <c r="G1653" s="5" t="s">
        <v>91</v>
      </c>
      <c r="H1653" s="9" t="s">
        <v>376</v>
      </c>
      <c r="I1653" s="10"/>
      <c r="J1653" s="10">
        <v>44069</v>
      </c>
      <c r="K1653" s="5" t="s">
        <v>71</v>
      </c>
      <c r="L1653" s="5" t="s">
        <v>58</v>
      </c>
      <c r="M1653" s="11">
        <v>0.089999999999999997</v>
      </c>
      <c r="N1653" s="5" t="e">
        <f>IF(AND(M1653&gt;#REF!,Cartera!O1653="Guaraníes"),"Rendimiento significativo",IF(AND(M1653&gt;#REF!,Cartera!O1653="Dólares americanos"),"Rendimiento significativo","Rendimiento no significativo"))</f>
        <v>#REF!</v>
      </c>
      <c r="O1653" s="5" t="s">
        <v>41</v>
      </c>
      <c r="P1653" s="12">
        <v>1346301.3698999998</v>
      </c>
      <c r="Q1653" s="12">
        <f>IF(O1653="Guaraníes",P1653,P1653*#REF!)</f>
        <v>1346301.3698999998</v>
      </c>
      <c r="R1653" s="12" t="e">
        <f>IF(O1653="Guaraníes",P1653/#REF!,P1653)</f>
        <v>#REF!</v>
      </c>
      <c r="S1653" s="5" t="s">
        <v>52</v>
      </c>
      <c r="T1653" s="5">
        <v>3253</v>
      </c>
      <c r="W1653" s="5" t="s">
        <v>65</v>
      </c>
      <c r="X1653" s="5">
        <v>0</v>
      </c>
      <c r="Y1653" s="5">
        <v>0</v>
      </c>
      <c r="Z1653" s="5">
        <v>13463.013698999999</v>
      </c>
      <c r="AA1653" s="5">
        <v>100</v>
      </c>
      <c r="AB1653" s="5">
        <v>1346301.3699</v>
      </c>
      <c r="AC1653" s="5" t="str">
        <f t="shared" si="79"/>
        <v>Bonos</v>
      </c>
      <c r="AD1653" s="5" t="s">
        <v>43</v>
      </c>
      <c r="AE1653" s="5">
        <f t="shared" si="80"/>
        <v>8</v>
      </c>
      <c r="AF1653" s="5">
        <f t="shared" si="81"/>
        <v>2020</v>
      </c>
    </row>
    <row r="1654" s="5" customFormat="1" ht="13">
      <c r="A1654" s="5" t="s">
        <v>44</v>
      </c>
      <c r="B1654" s="5" t="s">
        <v>44</v>
      </c>
      <c r="C1654" s="5" t="s">
        <v>143</v>
      </c>
      <c r="D1654" s="5" t="s">
        <v>21</v>
      </c>
      <c r="E1654" s="5" t="s">
        <v>44</v>
      </c>
      <c r="F1654" s="5" t="s">
        <v>144</v>
      </c>
      <c r="G1654" s="5" t="s">
        <v>91</v>
      </c>
      <c r="H1654" s="9" t="s">
        <v>380</v>
      </c>
      <c r="I1654" s="10"/>
      <c r="J1654" s="10">
        <v>44074</v>
      </c>
      <c r="K1654" s="5" t="s">
        <v>49</v>
      </c>
      <c r="L1654" s="5" t="s">
        <v>106</v>
      </c>
      <c r="M1654" s="11">
        <v>0.059999999999999998</v>
      </c>
      <c r="N1654" s="5" t="e">
        <f>IF(AND(M1654&gt;#REF!,Cartera!O1654="Guaraníes"),"Rendimiento significativo",IF(AND(M1654&gt;#REF!,Cartera!O1654="Dólares americanos"),"Rendimiento significativo","Rendimiento no significativo"))</f>
        <v>#REF!</v>
      </c>
      <c r="O1654" s="5" t="s">
        <v>51</v>
      </c>
      <c r="P1654" s="13">
        <v>50.9589</v>
      </c>
      <c r="Q1654" s="12" t="e">
        <f>IF(O1654="Guaraníes",P1654,P1654*#REF!)</f>
        <v>#REF!</v>
      </c>
      <c r="R1654" s="12">
        <f>IF(O1654="Guaraníes",P1654/#REF!,P1654)</f>
        <v>50.9589</v>
      </c>
      <c r="S1654" s="5" t="s">
        <v>52</v>
      </c>
      <c r="T1654" s="5">
        <v>3253</v>
      </c>
      <c r="W1654" s="5" t="s">
        <v>65</v>
      </c>
      <c r="X1654" s="5">
        <v>0</v>
      </c>
      <c r="Y1654" s="5">
        <v>0</v>
      </c>
      <c r="Z1654" s="5">
        <v>5.0958899999999998</v>
      </c>
      <c r="AA1654" s="5">
        <v>10</v>
      </c>
      <c r="AB1654" s="5">
        <v>50.9589</v>
      </c>
      <c r="AC1654" s="5" t="str">
        <f t="shared" si="79"/>
        <v>Bonos</v>
      </c>
      <c r="AD1654" s="5" t="s">
        <v>43</v>
      </c>
      <c r="AE1654" s="5">
        <f t="shared" si="80"/>
        <v>8</v>
      </c>
      <c r="AF1654" s="5">
        <f t="shared" si="81"/>
        <v>2020</v>
      </c>
    </row>
    <row r="1655" s="5" customFormat="1" ht="13">
      <c r="A1655" s="5" t="s">
        <v>44</v>
      </c>
      <c r="B1655" s="5" t="s">
        <v>44</v>
      </c>
      <c r="C1655" s="5" t="s">
        <v>164</v>
      </c>
      <c r="D1655" s="5" t="s">
        <v>21</v>
      </c>
      <c r="E1655" s="5" t="s">
        <v>44</v>
      </c>
      <c r="F1655" s="5" t="s">
        <v>68</v>
      </c>
      <c r="G1655" s="5" t="s">
        <v>91</v>
      </c>
      <c r="H1655" s="9" t="s">
        <v>166</v>
      </c>
      <c r="I1655" s="10"/>
      <c r="J1655" s="10">
        <v>44074</v>
      </c>
      <c r="K1655" s="5" t="s">
        <v>124</v>
      </c>
      <c r="L1655" s="5" t="s">
        <v>58</v>
      </c>
      <c r="M1655" s="11">
        <v>0.092499999999999999</v>
      </c>
      <c r="N1655" s="5" t="e">
        <f>IF(AND(M1655&gt;#REF!,Cartera!O1655="Guaraníes"),"Rendimiento significativo",IF(AND(M1655&gt;#REF!,Cartera!O1655="Dólares americanos"),"Rendimiento significativo","Rendimiento no significativo"))</f>
        <v>#REF!</v>
      </c>
      <c r="O1655" s="5" t="s">
        <v>41</v>
      </c>
      <c r="P1655" s="12">
        <v>1178424.6576</v>
      </c>
      <c r="Q1655" s="12">
        <f>IF(O1655="Guaraníes",P1655,P1655*#REF!)</f>
        <v>1178424.6576</v>
      </c>
      <c r="R1655" s="12" t="e">
        <f>IF(O1655="Guaraníes",P1655/#REF!,P1655)</f>
        <v>#REF!</v>
      </c>
      <c r="S1655" s="5" t="s">
        <v>52</v>
      </c>
      <c r="T1655" s="5">
        <v>3253</v>
      </c>
      <c r="W1655" s="5" t="s">
        <v>65</v>
      </c>
      <c r="X1655" s="5">
        <v>0</v>
      </c>
      <c r="Y1655" s="5">
        <v>0</v>
      </c>
      <c r="Z1655" s="5">
        <v>7856.1643839999997</v>
      </c>
      <c r="AA1655" s="5">
        <v>150</v>
      </c>
      <c r="AB1655" s="5">
        <v>1178424.6576</v>
      </c>
      <c r="AC1655" s="5" t="str">
        <f t="shared" ref="AC1655:AC1718" si="82">IF(ISNUMBER(SEARCH("Acciones",L1655)),"Acciones",IF(ISNUMBER(SEARCH("Bono",L1655)),"Bonos",IF(ISNUMBER(SEARCH("CDA",L1655)),"CDA",IF(ISNUMBER(SEARCH("Fondo",L1655)),"Fondo",0))))</f>
        <v>Bonos</v>
      </c>
      <c r="AD1655" s="5" t="s">
        <v>43</v>
      </c>
      <c r="AE1655" s="5">
        <f t="shared" si="80"/>
        <v>8</v>
      </c>
      <c r="AF1655" s="5">
        <f t="shared" si="81"/>
        <v>2020</v>
      </c>
    </row>
    <row r="1656" s="5" customFormat="1" ht="13">
      <c r="A1656" s="5" t="s">
        <v>44</v>
      </c>
      <c r="B1656" s="5" t="s">
        <v>44</v>
      </c>
      <c r="C1656" s="5" t="s">
        <v>143</v>
      </c>
      <c r="D1656" s="5" t="s">
        <v>21</v>
      </c>
      <c r="E1656" s="5" t="s">
        <v>44</v>
      </c>
      <c r="F1656" s="5" t="s">
        <v>144</v>
      </c>
      <c r="G1656" s="5" t="s">
        <v>91</v>
      </c>
      <c r="H1656" s="9" t="s">
        <v>374</v>
      </c>
      <c r="I1656" s="10"/>
      <c r="J1656" s="10">
        <v>44088</v>
      </c>
      <c r="K1656" s="5" t="s">
        <v>49</v>
      </c>
      <c r="L1656" s="5" t="s">
        <v>58</v>
      </c>
      <c r="M1656" s="11">
        <v>0.062</v>
      </c>
      <c r="N1656" s="5" t="e">
        <f>IF(AND(M1656&gt;#REF!,Cartera!O1656="Guaraníes"),"Rendimiento significativo",IF(AND(M1656&gt;#REF!,Cartera!O1656="Dólares americanos"),"Rendimiento significativo","Rendimiento no significativo"))</f>
        <v>#REF!</v>
      </c>
      <c r="O1656" s="5" t="s">
        <v>51</v>
      </c>
      <c r="P1656" s="13">
        <v>865.62190400000009</v>
      </c>
      <c r="Q1656" s="12" t="e">
        <f>IF(O1656="Guaraníes",P1656,P1656*#REF!)</f>
        <v>#REF!</v>
      </c>
      <c r="R1656" s="12">
        <f>IF(O1656="Guaraníes",P1656/#REF!,P1656)</f>
        <v>865.62190400000009</v>
      </c>
      <c r="S1656" s="5" t="s">
        <v>52</v>
      </c>
      <c r="T1656" s="5">
        <v>3253</v>
      </c>
      <c r="W1656" s="5" t="s">
        <v>65</v>
      </c>
      <c r="X1656" s="5">
        <v>0</v>
      </c>
      <c r="Y1656" s="5">
        <v>0</v>
      </c>
      <c r="Z1656" s="5">
        <v>30.915068000000002</v>
      </c>
      <c r="AA1656" s="5">
        <v>28</v>
      </c>
      <c r="AB1656" s="5">
        <v>865.62190399999997</v>
      </c>
      <c r="AC1656" s="5" t="str">
        <f t="shared" si="82"/>
        <v>Bonos</v>
      </c>
      <c r="AD1656" s="5" t="s">
        <v>43</v>
      </c>
      <c r="AE1656" s="5">
        <f t="shared" si="80"/>
        <v>9</v>
      </c>
      <c r="AF1656" s="5">
        <f t="shared" si="81"/>
        <v>2020</v>
      </c>
    </row>
    <row r="1657" s="5" customFormat="1" ht="13">
      <c r="A1657" s="5" t="s">
        <v>44</v>
      </c>
      <c r="B1657" s="5" t="s">
        <v>44</v>
      </c>
      <c r="C1657" s="5" t="s">
        <v>143</v>
      </c>
      <c r="D1657" s="5" t="s">
        <v>21</v>
      </c>
      <c r="E1657" s="5" t="s">
        <v>44</v>
      </c>
      <c r="F1657" s="5" t="s">
        <v>144</v>
      </c>
      <c r="G1657" s="5" t="s">
        <v>91</v>
      </c>
      <c r="H1657" s="9" t="s">
        <v>380</v>
      </c>
      <c r="I1657" s="10"/>
      <c r="J1657" s="10">
        <v>44104</v>
      </c>
      <c r="K1657" s="5" t="s">
        <v>49</v>
      </c>
      <c r="L1657" s="5" t="s">
        <v>106</v>
      </c>
      <c r="M1657" s="11">
        <v>0.059999999999999998</v>
      </c>
      <c r="N1657" s="5" t="e">
        <f>IF(AND(M1657&gt;#REF!,Cartera!O1657="Guaraníes"),"Rendimiento significativo",IF(AND(M1657&gt;#REF!,Cartera!O1657="Dólares americanos"),"Rendimiento significativo","Rendimiento no significativo"))</f>
        <v>#REF!</v>
      </c>
      <c r="O1657" s="5" t="s">
        <v>51</v>
      </c>
      <c r="P1657" s="13">
        <v>49.315069999999999</v>
      </c>
      <c r="Q1657" s="12" t="e">
        <f>IF(O1657="Guaraníes",P1657,P1657*#REF!)</f>
        <v>#REF!</v>
      </c>
      <c r="R1657" s="12">
        <f>IF(O1657="Guaraníes",P1657/#REF!,P1657)</f>
        <v>49.315069999999999</v>
      </c>
      <c r="S1657" s="5" t="s">
        <v>52</v>
      </c>
      <c r="T1657" s="5">
        <v>3253</v>
      </c>
      <c r="W1657" s="5" t="s">
        <v>65</v>
      </c>
      <c r="X1657" s="5">
        <v>0</v>
      </c>
      <c r="Y1657" s="5">
        <v>0</v>
      </c>
      <c r="Z1657" s="5">
        <v>4.9315069999999999</v>
      </c>
      <c r="AA1657" s="5">
        <v>10</v>
      </c>
      <c r="AB1657" s="5">
        <v>49.315069999999999</v>
      </c>
      <c r="AC1657" s="5" t="str">
        <f t="shared" si="82"/>
        <v>Bonos</v>
      </c>
      <c r="AD1657" s="5" t="s">
        <v>43</v>
      </c>
      <c r="AE1657" s="5">
        <f t="shared" si="80"/>
        <v>9</v>
      </c>
      <c r="AF1657" s="5">
        <f t="shared" si="81"/>
        <v>2020</v>
      </c>
    </row>
    <row r="1658" s="5" customFormat="1" ht="13">
      <c r="A1658" s="5" t="s">
        <v>44</v>
      </c>
      <c r="B1658" s="5" t="s">
        <v>44</v>
      </c>
      <c r="C1658" s="5" t="s">
        <v>164</v>
      </c>
      <c r="D1658" s="5" t="s">
        <v>21</v>
      </c>
      <c r="E1658" s="5" t="s">
        <v>44</v>
      </c>
      <c r="F1658" s="5" t="s">
        <v>68</v>
      </c>
      <c r="G1658" s="5" t="s">
        <v>91</v>
      </c>
      <c r="H1658" s="9" t="s">
        <v>166</v>
      </c>
      <c r="I1658" s="10"/>
      <c r="J1658" s="10">
        <v>44104</v>
      </c>
      <c r="K1658" s="5" t="s">
        <v>124</v>
      </c>
      <c r="L1658" s="5" t="s">
        <v>58</v>
      </c>
      <c r="M1658" s="11">
        <v>0.092499999999999999</v>
      </c>
      <c r="N1658" s="5" t="e">
        <f>IF(AND(M1658&gt;#REF!,Cartera!O1658="Guaraníes"),"Rendimiento significativo",IF(AND(M1658&gt;#REF!,Cartera!O1658="Dólares americanos"),"Rendimiento significativo","Rendimiento no significativo"))</f>
        <v>#REF!</v>
      </c>
      <c r="O1658" s="5" t="s">
        <v>41</v>
      </c>
      <c r="P1658" s="12">
        <v>1140410.9589</v>
      </c>
      <c r="Q1658" s="12">
        <f>IF(O1658="Guaraníes",P1658,P1658*#REF!)</f>
        <v>1140410.9589</v>
      </c>
      <c r="R1658" s="12" t="e">
        <f>IF(O1658="Guaraníes",P1658/#REF!,P1658)</f>
        <v>#REF!</v>
      </c>
      <c r="S1658" s="5" t="s">
        <v>52</v>
      </c>
      <c r="T1658" s="5">
        <v>3253</v>
      </c>
      <c r="W1658" s="5" t="s">
        <v>65</v>
      </c>
      <c r="X1658" s="5">
        <v>0</v>
      </c>
      <c r="Y1658" s="5">
        <v>0</v>
      </c>
      <c r="Z1658" s="5">
        <v>7602.7397259999998</v>
      </c>
      <c r="AA1658" s="5">
        <v>150</v>
      </c>
      <c r="AB1658" s="5">
        <v>1140410.9589</v>
      </c>
      <c r="AC1658" s="5" t="str">
        <f t="shared" si="82"/>
        <v>Bonos</v>
      </c>
      <c r="AD1658" s="5" t="s">
        <v>43</v>
      </c>
      <c r="AE1658" s="5">
        <f t="shared" si="80"/>
        <v>9</v>
      </c>
      <c r="AF1658" s="5">
        <f t="shared" si="81"/>
        <v>2020</v>
      </c>
    </row>
    <row r="1659" s="5" customFormat="1" ht="13">
      <c r="A1659" s="5" t="s">
        <v>44</v>
      </c>
      <c r="B1659" s="5" t="s">
        <v>44</v>
      </c>
      <c r="C1659" s="5" t="s">
        <v>67</v>
      </c>
      <c r="D1659" s="5" t="s">
        <v>21</v>
      </c>
      <c r="E1659" s="5" t="s">
        <v>44</v>
      </c>
      <c r="F1659" s="5" t="s">
        <v>68</v>
      </c>
      <c r="G1659" s="5" t="s">
        <v>91</v>
      </c>
      <c r="H1659" s="9" t="s">
        <v>110</v>
      </c>
      <c r="I1659" s="10"/>
      <c r="J1659" s="10">
        <v>44124</v>
      </c>
      <c r="K1659" s="5" t="s">
        <v>71</v>
      </c>
      <c r="L1659" s="5" t="s">
        <v>58</v>
      </c>
      <c r="M1659" s="11">
        <v>0.089999999999999997</v>
      </c>
      <c r="N1659" s="5" t="e">
        <f>IF(AND(M1659&gt;#REF!,Cartera!O1659="Guaraníes"),"Rendimiento significativo",IF(AND(M1659&gt;#REF!,Cartera!O1659="Dólares americanos"),"Rendimiento significativo","Rendimiento no significativo"))</f>
        <v>#REF!</v>
      </c>
      <c r="O1659" s="5" t="s">
        <v>51</v>
      </c>
      <c r="P1659" s="13">
        <v>252.43150499999999</v>
      </c>
      <c r="Q1659" s="12" t="e">
        <f>IF(O1659="Guaraníes",P1659,P1659*#REF!)</f>
        <v>#REF!</v>
      </c>
      <c r="R1659" s="12">
        <f>IF(O1659="Guaraníes",P1659/#REF!,P1659)</f>
        <v>252.43150499999999</v>
      </c>
      <c r="S1659" s="5" t="s">
        <v>52</v>
      </c>
      <c r="T1659" s="5">
        <v>3253</v>
      </c>
      <c r="W1659" s="5" t="s">
        <v>65</v>
      </c>
      <c r="X1659" s="5">
        <v>0</v>
      </c>
      <c r="Y1659" s="5">
        <v>0</v>
      </c>
      <c r="Z1659" s="5">
        <v>16.828766999999999</v>
      </c>
      <c r="AA1659" s="5">
        <v>15</v>
      </c>
      <c r="AB1659" s="5">
        <v>252.43150499999999</v>
      </c>
      <c r="AC1659" s="5" t="str">
        <f t="shared" si="82"/>
        <v>Bonos</v>
      </c>
      <c r="AD1659" s="5" t="s">
        <v>43</v>
      </c>
      <c r="AE1659" s="5">
        <f t="shared" si="80"/>
        <v>10</v>
      </c>
      <c r="AF1659" s="5">
        <f t="shared" si="81"/>
        <v>2020</v>
      </c>
    </row>
    <row r="1660" s="5" customFormat="1" ht="13">
      <c r="A1660" s="5" t="s">
        <v>44</v>
      </c>
      <c r="B1660" s="5" t="s">
        <v>44</v>
      </c>
      <c r="C1660" s="5" t="s">
        <v>45</v>
      </c>
      <c r="D1660" s="5" t="s">
        <v>21</v>
      </c>
      <c r="E1660" s="5" t="s">
        <v>44</v>
      </c>
      <c r="F1660" s="5" t="s">
        <v>46</v>
      </c>
      <c r="G1660" s="5" t="s">
        <v>91</v>
      </c>
      <c r="H1660" s="9" t="s">
        <v>365</v>
      </c>
      <c r="I1660" s="10"/>
      <c r="J1660" s="10">
        <v>44126</v>
      </c>
      <c r="K1660" s="5" t="s">
        <v>49</v>
      </c>
      <c r="L1660" s="5" t="s">
        <v>58</v>
      </c>
      <c r="M1660" s="11">
        <v>0.059999999999999998</v>
      </c>
      <c r="N1660" s="5" t="e">
        <f>IF(AND(M1660&gt;#REF!,Cartera!O1660="Guaraníes"),"Rendimiento significativo",IF(AND(M1660&gt;#REF!,Cartera!O1660="Dólares americanos"),"Rendimiento significativo","Rendimiento no significativo"))</f>
        <v>#REF!</v>
      </c>
      <c r="O1660" s="5" t="s">
        <v>51</v>
      </c>
      <c r="P1660" s="13">
        <v>458.11643500000002</v>
      </c>
      <c r="Q1660" s="12" t="e">
        <f>IF(O1660="Guaraníes",P1660,P1660*#REF!)</f>
        <v>#REF!</v>
      </c>
      <c r="R1660" s="12">
        <f>IF(O1660="Guaraníes",P1660/#REF!,P1660)</f>
        <v>458.11643500000002</v>
      </c>
      <c r="S1660" s="5" t="s">
        <v>52</v>
      </c>
      <c r="T1660" s="5">
        <v>3253</v>
      </c>
      <c r="W1660" s="5" t="s">
        <v>65</v>
      </c>
      <c r="X1660" s="5">
        <v>0</v>
      </c>
      <c r="Y1660" s="5">
        <v>0</v>
      </c>
      <c r="Z1660" s="5">
        <v>13.089041</v>
      </c>
      <c r="AA1660" s="5">
        <v>35</v>
      </c>
      <c r="AB1660" s="5">
        <v>458.11643500000002</v>
      </c>
      <c r="AC1660" s="5" t="str">
        <f t="shared" si="82"/>
        <v>Bonos</v>
      </c>
      <c r="AD1660" s="5" t="s">
        <v>43</v>
      </c>
      <c r="AE1660" s="5">
        <f t="shared" si="80"/>
        <v>10</v>
      </c>
      <c r="AF1660" s="5">
        <f t="shared" si="81"/>
        <v>2020</v>
      </c>
    </row>
    <row r="1661" s="5" customFormat="1" ht="13">
      <c r="A1661" s="5" t="s">
        <v>44</v>
      </c>
      <c r="B1661" s="5" t="s">
        <v>44</v>
      </c>
      <c r="C1661" s="5" t="s">
        <v>89</v>
      </c>
      <c r="D1661" s="5" t="s">
        <v>21</v>
      </c>
      <c r="E1661" s="5" t="s">
        <v>44</v>
      </c>
      <c r="F1661" s="5" t="s">
        <v>90</v>
      </c>
      <c r="G1661" s="5" t="s">
        <v>91</v>
      </c>
      <c r="H1661" s="9" t="s">
        <v>92</v>
      </c>
      <c r="I1661" s="10"/>
      <c r="J1661" s="10">
        <v>44217</v>
      </c>
      <c r="K1661" s="5" t="s">
        <v>93</v>
      </c>
      <c r="L1661" s="5" t="s">
        <v>58</v>
      </c>
      <c r="M1661" s="11">
        <v>0.080000000000000002</v>
      </c>
      <c r="N1661" s="5" t="e">
        <f>IF(AND(M1661&gt;#REF!,Cartera!O1661="Guaraníes"),"Rendimiento significativo",IF(AND(M1661&gt;#REF!,Cartera!O1661="Dólares americanos"),"Rendimiento significativo","Rendimiento no significativo"))</f>
        <v>#REF!</v>
      </c>
      <c r="O1661" s="5" t="s">
        <v>51</v>
      </c>
      <c r="P1661" s="13">
        <v>299.17807500000004</v>
      </c>
      <c r="Q1661" s="12" t="e">
        <f>IF(O1661="Guaraníes",P1661,P1661*#REF!)</f>
        <v>#REF!</v>
      </c>
      <c r="R1661" s="12">
        <f>IF(O1661="Guaraníes",P1661/#REF!,P1661)</f>
        <v>299.17807500000004</v>
      </c>
      <c r="S1661" s="5" t="s">
        <v>52</v>
      </c>
      <c r="T1661" s="5">
        <v>3253</v>
      </c>
      <c r="W1661" s="5" t="s">
        <v>65</v>
      </c>
      <c r="X1661" s="5">
        <v>0</v>
      </c>
      <c r="Y1661" s="5">
        <v>0</v>
      </c>
      <c r="Z1661" s="5">
        <v>19.945205000000001</v>
      </c>
      <c r="AA1661" s="5">
        <v>15</v>
      </c>
      <c r="AB1661" s="5">
        <v>299.17807499999998</v>
      </c>
      <c r="AC1661" s="5" t="str">
        <f t="shared" si="82"/>
        <v>Bonos</v>
      </c>
      <c r="AD1661" s="5" t="s">
        <v>43</v>
      </c>
      <c r="AE1661" s="5">
        <f t="shared" si="80"/>
        <v>1</v>
      </c>
      <c r="AF1661" s="5">
        <f t="shared" si="81"/>
        <v>2021</v>
      </c>
    </row>
    <row r="1662" s="5" customFormat="1" ht="13">
      <c r="A1662" s="5" t="s">
        <v>44</v>
      </c>
      <c r="B1662" s="5" t="s">
        <v>44</v>
      </c>
      <c r="C1662" s="5" t="s">
        <v>143</v>
      </c>
      <c r="D1662" s="5" t="s">
        <v>21</v>
      </c>
      <c r="E1662" s="5" t="s">
        <v>44</v>
      </c>
      <c r="F1662" s="5" t="s">
        <v>144</v>
      </c>
      <c r="G1662" s="5" t="s">
        <v>91</v>
      </c>
      <c r="H1662" s="9" t="s">
        <v>380</v>
      </c>
      <c r="I1662" s="10"/>
      <c r="J1662" s="10">
        <v>44134</v>
      </c>
      <c r="K1662" s="5" t="s">
        <v>49</v>
      </c>
      <c r="L1662" s="5" t="s">
        <v>106</v>
      </c>
      <c r="M1662" s="11">
        <v>0.059999999999999998</v>
      </c>
      <c r="N1662" s="5" t="e">
        <f>IF(AND(M1662&gt;#REF!,Cartera!O1662="Guaraníes"),"Rendimiento significativo",IF(AND(M1662&gt;#REF!,Cartera!O1662="Dólares americanos"),"Rendimiento significativo","Rendimiento no significativo"))</f>
        <v>#REF!</v>
      </c>
      <c r="O1662" s="5" t="s">
        <v>51</v>
      </c>
      <c r="P1662" s="13">
        <v>49.315069999999999</v>
      </c>
      <c r="Q1662" s="12" t="e">
        <f>IF(O1662="Guaraníes",P1662,P1662*#REF!)</f>
        <v>#REF!</v>
      </c>
      <c r="R1662" s="12">
        <f>IF(O1662="Guaraníes",P1662/#REF!,P1662)</f>
        <v>49.315069999999999</v>
      </c>
      <c r="S1662" s="5" t="s">
        <v>52</v>
      </c>
      <c r="T1662" s="5">
        <v>3253</v>
      </c>
      <c r="W1662" s="5" t="s">
        <v>65</v>
      </c>
      <c r="X1662" s="5">
        <v>0</v>
      </c>
      <c r="Y1662" s="5">
        <v>0</v>
      </c>
      <c r="Z1662" s="5">
        <v>4.9315069999999999</v>
      </c>
      <c r="AA1662" s="5">
        <v>10</v>
      </c>
      <c r="AB1662" s="5">
        <v>49.315069999999999</v>
      </c>
      <c r="AC1662" s="5" t="str">
        <f t="shared" si="82"/>
        <v>Bonos</v>
      </c>
      <c r="AD1662" s="5" t="s">
        <v>43</v>
      </c>
      <c r="AE1662" s="5">
        <f t="shared" si="80"/>
        <v>10</v>
      </c>
      <c r="AF1662" s="5">
        <f t="shared" si="81"/>
        <v>2020</v>
      </c>
    </row>
    <row r="1663" s="5" customFormat="1" ht="13">
      <c r="A1663" s="5" t="s">
        <v>44</v>
      </c>
      <c r="B1663" s="5" t="s">
        <v>44</v>
      </c>
      <c r="C1663" s="5" t="s">
        <v>164</v>
      </c>
      <c r="D1663" s="5" t="s">
        <v>21</v>
      </c>
      <c r="E1663" s="5" t="s">
        <v>44</v>
      </c>
      <c r="F1663" s="5" t="s">
        <v>68</v>
      </c>
      <c r="G1663" s="5" t="s">
        <v>91</v>
      </c>
      <c r="H1663" s="9" t="s">
        <v>166</v>
      </c>
      <c r="I1663" s="10"/>
      <c r="J1663" s="10">
        <v>44134</v>
      </c>
      <c r="K1663" s="5" t="s">
        <v>124</v>
      </c>
      <c r="L1663" s="5" t="s">
        <v>58</v>
      </c>
      <c r="M1663" s="11">
        <v>0.092499999999999999</v>
      </c>
      <c r="N1663" s="5" t="e">
        <f>IF(AND(M1663&gt;#REF!,Cartera!O1663="Guaraníes"),"Rendimiento significativo",IF(AND(M1663&gt;#REF!,Cartera!O1663="Dólares americanos"),"Rendimiento significativo","Rendimiento no significativo"))</f>
        <v>#REF!</v>
      </c>
      <c r="O1663" s="5" t="s">
        <v>41</v>
      </c>
      <c r="P1663" s="12">
        <v>1140410.9589</v>
      </c>
      <c r="Q1663" s="12">
        <f>IF(O1663="Guaraníes",P1663,P1663*#REF!)</f>
        <v>1140410.9589</v>
      </c>
      <c r="R1663" s="12" t="e">
        <f>IF(O1663="Guaraníes",P1663/#REF!,P1663)</f>
        <v>#REF!</v>
      </c>
      <c r="S1663" s="5" t="s">
        <v>52</v>
      </c>
      <c r="T1663" s="5">
        <v>3253</v>
      </c>
      <c r="W1663" s="5" t="s">
        <v>65</v>
      </c>
      <c r="X1663" s="5">
        <v>0</v>
      </c>
      <c r="Y1663" s="5">
        <v>0</v>
      </c>
      <c r="Z1663" s="5">
        <v>7602.7397259999998</v>
      </c>
      <c r="AA1663" s="5">
        <v>150</v>
      </c>
      <c r="AB1663" s="5">
        <v>1140410.9589</v>
      </c>
      <c r="AC1663" s="5" t="str">
        <f t="shared" si="82"/>
        <v>Bonos</v>
      </c>
      <c r="AD1663" s="5" t="s">
        <v>43</v>
      </c>
      <c r="AE1663" s="5">
        <f t="shared" si="80"/>
        <v>10</v>
      </c>
      <c r="AF1663" s="5">
        <f t="shared" si="81"/>
        <v>2020</v>
      </c>
    </row>
    <row r="1664" s="5" customFormat="1" ht="13">
      <c r="A1664" s="5" t="s">
        <v>44</v>
      </c>
      <c r="B1664" s="5" t="s">
        <v>44</v>
      </c>
      <c r="C1664" s="5" t="s">
        <v>33</v>
      </c>
      <c r="D1664" s="5" t="s">
        <v>21</v>
      </c>
      <c r="E1664" s="5" t="s">
        <v>44</v>
      </c>
      <c r="F1664" s="5" t="s">
        <v>35</v>
      </c>
      <c r="G1664" s="5" t="s">
        <v>91</v>
      </c>
      <c r="H1664" s="9" t="s">
        <v>375</v>
      </c>
      <c r="I1664" s="10"/>
      <c r="J1664" s="10">
        <v>44158</v>
      </c>
      <c r="K1664" s="5" t="s">
        <v>39</v>
      </c>
      <c r="L1664" s="5" t="s">
        <v>50</v>
      </c>
      <c r="M1664" s="11">
        <v>0.0625</v>
      </c>
      <c r="N1664" s="5" t="e">
        <f>IF(AND(M1664&gt;#REF!,Cartera!O1664="Guaraníes"),"Rendimiento significativo",IF(AND(M1664&gt;#REF!,Cartera!O1664="Dólares americanos"),"Rendimiento significativo","Rendimiento no significativo"))</f>
        <v>#REF!</v>
      </c>
      <c r="O1664" s="5" t="s">
        <v>51</v>
      </c>
      <c r="P1664" s="13">
        <v>1047.1233000000002</v>
      </c>
      <c r="Q1664" s="12" t="e">
        <f>IF(O1664="Guaraníes",P1664,P1664*#REF!)</f>
        <v>#REF!</v>
      </c>
      <c r="R1664" s="12">
        <f>IF(O1664="Guaraníes",P1664/#REF!,P1664)</f>
        <v>1047.1233000000002</v>
      </c>
      <c r="S1664" s="5" t="s">
        <v>52</v>
      </c>
      <c r="T1664" s="5">
        <v>3253</v>
      </c>
      <c r="W1664" s="5" t="s">
        <v>65</v>
      </c>
      <c r="X1664" s="5">
        <v>0</v>
      </c>
      <c r="Y1664" s="5">
        <v>0</v>
      </c>
      <c r="Z1664" s="5">
        <v>34.904110000000003</v>
      </c>
      <c r="AA1664" s="5">
        <v>30</v>
      </c>
      <c r="AB1664" s="5">
        <v>1047.1233</v>
      </c>
      <c r="AC1664" s="5" t="str">
        <f t="shared" si="82"/>
        <v>Bonos</v>
      </c>
      <c r="AD1664" s="5" t="s">
        <v>43</v>
      </c>
      <c r="AE1664" s="5">
        <f t="shared" si="80"/>
        <v>11</v>
      </c>
      <c r="AF1664" s="5">
        <f t="shared" si="81"/>
        <v>2020</v>
      </c>
    </row>
    <row r="1665" s="5" customFormat="1" ht="13">
      <c r="A1665" s="5" t="s">
        <v>44</v>
      </c>
      <c r="B1665" s="5" t="s">
        <v>44</v>
      </c>
      <c r="C1665" s="5" t="s">
        <v>67</v>
      </c>
      <c r="D1665" s="5" t="s">
        <v>21</v>
      </c>
      <c r="E1665" s="5" t="s">
        <v>44</v>
      </c>
      <c r="F1665" s="5" t="s">
        <v>68</v>
      </c>
      <c r="G1665" s="5" t="s">
        <v>91</v>
      </c>
      <c r="H1665" s="9" t="s">
        <v>376</v>
      </c>
      <c r="I1665" s="10"/>
      <c r="J1665" s="10">
        <v>44160</v>
      </c>
      <c r="K1665" s="5" t="s">
        <v>71</v>
      </c>
      <c r="L1665" s="5" t="s">
        <v>58</v>
      </c>
      <c r="M1665" s="11">
        <v>0.089999999999999997</v>
      </c>
      <c r="N1665" s="5" t="e">
        <f>IF(AND(M1665&gt;#REF!,Cartera!O1665="Guaraníes"),"Rendimiento significativo",IF(AND(M1665&gt;#REF!,Cartera!O1665="Dólares americanos"),"Rendimiento significativo","Rendimiento no significativo"))</f>
        <v>#REF!</v>
      </c>
      <c r="O1665" s="5" t="s">
        <v>41</v>
      </c>
      <c r="P1665" s="12">
        <v>1346301.3698999998</v>
      </c>
      <c r="Q1665" s="12">
        <f>IF(O1665="Guaraníes",P1665,P1665*#REF!)</f>
        <v>1346301.3698999998</v>
      </c>
      <c r="R1665" s="12" t="e">
        <f>IF(O1665="Guaraníes",P1665/#REF!,P1665)</f>
        <v>#REF!</v>
      </c>
      <c r="S1665" s="5" t="s">
        <v>52</v>
      </c>
      <c r="T1665" s="5">
        <v>3253</v>
      </c>
      <c r="W1665" s="5" t="s">
        <v>65</v>
      </c>
      <c r="X1665" s="5">
        <v>0</v>
      </c>
      <c r="Y1665" s="5">
        <v>0</v>
      </c>
      <c r="Z1665" s="5">
        <v>13463.013698999999</v>
      </c>
      <c r="AA1665" s="5">
        <v>100</v>
      </c>
      <c r="AB1665" s="5">
        <v>1346301.3699</v>
      </c>
      <c r="AC1665" s="5" t="str">
        <f t="shared" si="82"/>
        <v>Bonos</v>
      </c>
      <c r="AD1665" s="5" t="s">
        <v>43</v>
      </c>
      <c r="AE1665" s="5">
        <f t="shared" si="80"/>
        <v>11</v>
      </c>
      <c r="AF1665" s="5">
        <f t="shared" si="81"/>
        <v>2020</v>
      </c>
    </row>
    <row r="1666" s="5" customFormat="1" ht="13">
      <c r="A1666" s="5" t="s">
        <v>44</v>
      </c>
      <c r="B1666" s="5" t="s">
        <v>44</v>
      </c>
      <c r="C1666" s="5" t="s">
        <v>176</v>
      </c>
      <c r="D1666" s="5" t="s">
        <v>21</v>
      </c>
      <c r="E1666" s="5" t="s">
        <v>44</v>
      </c>
      <c r="F1666" s="5" t="s">
        <v>68</v>
      </c>
      <c r="G1666" s="5" t="s">
        <v>91</v>
      </c>
      <c r="H1666" s="9" t="s">
        <v>177</v>
      </c>
      <c r="I1666" s="10"/>
      <c r="J1666" s="10">
        <v>44160</v>
      </c>
      <c r="K1666" s="5" t="s">
        <v>178</v>
      </c>
      <c r="L1666" s="5" t="s">
        <v>58</v>
      </c>
      <c r="M1666" s="11">
        <v>0.085000000000000006</v>
      </c>
      <c r="N1666" s="5" t="e">
        <f>IF(AND(M1666&gt;#REF!,Cartera!O1666="Guaraníes"),"Rendimiento significativo",IF(AND(M1666&gt;#REF!,Cartera!O1666="Dólares americanos"),"Rendimiento significativo","Rendimiento no significativo"))</f>
        <v>#REF!</v>
      </c>
      <c r="O1666" s="5" t="s">
        <v>51</v>
      </c>
      <c r="P1666" s="13">
        <v>560.95890000000009</v>
      </c>
      <c r="Q1666" s="12" t="e">
        <f>IF(O1666="Guaraníes",P1666,P1666*#REF!)</f>
        <v>#REF!</v>
      </c>
      <c r="R1666" s="12">
        <f>IF(O1666="Guaraníes",P1666/#REF!,P1666)</f>
        <v>560.95890000000009</v>
      </c>
      <c r="S1666" s="5" t="s">
        <v>52</v>
      </c>
      <c r="T1666" s="5">
        <v>3253</v>
      </c>
      <c r="W1666" s="5" t="s">
        <v>65</v>
      </c>
      <c r="X1666" s="5">
        <v>0</v>
      </c>
      <c r="Y1666" s="5">
        <v>0</v>
      </c>
      <c r="Z1666" s="5">
        <v>18.698630000000001</v>
      </c>
      <c r="AA1666" s="5">
        <v>30</v>
      </c>
      <c r="AB1666" s="5">
        <v>560.95889999999997</v>
      </c>
      <c r="AC1666" s="5" t="str">
        <f t="shared" si="82"/>
        <v>Bonos</v>
      </c>
      <c r="AD1666" s="5" t="s">
        <v>43</v>
      </c>
      <c r="AE1666" s="5">
        <f t="shared" si="80"/>
        <v>11</v>
      </c>
      <c r="AF1666" s="5">
        <f t="shared" si="81"/>
        <v>2020</v>
      </c>
    </row>
    <row r="1667" s="5" customFormat="1" ht="13">
      <c r="A1667" s="5" t="s">
        <v>44</v>
      </c>
      <c r="B1667" s="5" t="s">
        <v>44</v>
      </c>
      <c r="C1667" s="5" t="s">
        <v>222</v>
      </c>
      <c r="D1667" s="5" t="s">
        <v>21</v>
      </c>
      <c r="E1667" s="5" t="s">
        <v>44</v>
      </c>
      <c r="F1667" s="5" t="s">
        <v>68</v>
      </c>
      <c r="G1667" s="5" t="s">
        <v>91</v>
      </c>
      <c r="H1667" s="9" t="s">
        <v>223</v>
      </c>
      <c r="I1667" s="10"/>
      <c r="J1667" s="10">
        <v>44161</v>
      </c>
      <c r="K1667" s="5" t="s">
        <v>127</v>
      </c>
      <c r="L1667" s="5" t="s">
        <v>50</v>
      </c>
      <c r="M1667" s="11">
        <v>0.070000000000000007</v>
      </c>
      <c r="N1667" s="5" t="e">
        <f>IF(AND(M1667&gt;#REF!,Cartera!O1667="Guaraníes"),"Rendimiento significativo",IF(AND(M1667&gt;#REF!,Cartera!O1667="Dólares americanos"),"Rendimiento significativo","Rendimiento no significativo"))</f>
        <v>#REF!</v>
      </c>
      <c r="O1667" s="5" t="s">
        <v>51</v>
      </c>
      <c r="P1667" s="13">
        <v>1745.2055</v>
      </c>
      <c r="Q1667" s="12" t="e">
        <f>IF(O1667="Guaraníes",P1667,P1667*#REF!)</f>
        <v>#REF!</v>
      </c>
      <c r="R1667" s="12">
        <f>IF(O1667="Guaraníes",P1667/#REF!,P1667)</f>
        <v>1745.2055</v>
      </c>
      <c r="S1667" s="5" t="s">
        <v>52</v>
      </c>
      <c r="T1667" s="5">
        <v>3253</v>
      </c>
      <c r="W1667" s="5" t="s">
        <v>65</v>
      </c>
      <c r="X1667" s="5">
        <v>0</v>
      </c>
      <c r="Y1667" s="5">
        <v>0</v>
      </c>
      <c r="Z1667" s="5">
        <v>34.904110000000003</v>
      </c>
      <c r="AA1667" s="5">
        <v>50</v>
      </c>
      <c r="AB1667" s="5">
        <v>1745.2055</v>
      </c>
      <c r="AC1667" s="5" t="str">
        <f t="shared" si="82"/>
        <v>Bonos</v>
      </c>
      <c r="AD1667" s="5" t="s">
        <v>43</v>
      </c>
      <c r="AE1667" s="5">
        <f t="shared" si="80"/>
        <v>11</v>
      </c>
      <c r="AF1667" s="5">
        <f t="shared" si="81"/>
        <v>2020</v>
      </c>
    </row>
    <row r="1668" s="5" customFormat="1" ht="13">
      <c r="A1668" s="5" t="s">
        <v>44</v>
      </c>
      <c r="B1668" s="5" t="s">
        <v>44</v>
      </c>
      <c r="C1668" s="5" t="s">
        <v>143</v>
      </c>
      <c r="D1668" s="5" t="s">
        <v>21</v>
      </c>
      <c r="E1668" s="5" t="s">
        <v>44</v>
      </c>
      <c r="F1668" s="5" t="s">
        <v>144</v>
      </c>
      <c r="G1668" s="5" t="s">
        <v>91</v>
      </c>
      <c r="H1668" s="9" t="s">
        <v>380</v>
      </c>
      <c r="I1668" s="10"/>
      <c r="J1668" s="10">
        <v>44165</v>
      </c>
      <c r="K1668" s="5" t="s">
        <v>49</v>
      </c>
      <c r="L1668" s="5" t="s">
        <v>106</v>
      </c>
      <c r="M1668" s="11">
        <v>0.059999999999999998</v>
      </c>
      <c r="N1668" s="5" t="e">
        <f>IF(AND(M1668&gt;#REF!,Cartera!O1668="Guaraníes"),"Rendimiento significativo",IF(AND(M1668&gt;#REF!,Cartera!O1668="Dólares americanos"),"Rendimiento significativo","Rendimiento no significativo"))</f>
        <v>#REF!</v>
      </c>
      <c r="O1668" s="5" t="s">
        <v>51</v>
      </c>
      <c r="P1668" s="13">
        <v>50.9589</v>
      </c>
      <c r="Q1668" s="12" t="e">
        <f>IF(O1668="Guaraníes",P1668,P1668*#REF!)</f>
        <v>#REF!</v>
      </c>
      <c r="R1668" s="12">
        <f>IF(O1668="Guaraníes",P1668/#REF!,P1668)</f>
        <v>50.9589</v>
      </c>
      <c r="S1668" s="5" t="s">
        <v>52</v>
      </c>
      <c r="T1668" s="5">
        <v>3253</v>
      </c>
      <c r="W1668" s="5" t="s">
        <v>65</v>
      </c>
      <c r="X1668" s="5">
        <v>0</v>
      </c>
      <c r="Y1668" s="5">
        <v>0</v>
      </c>
      <c r="Z1668" s="5">
        <v>5.0958899999999998</v>
      </c>
      <c r="AA1668" s="5">
        <v>10</v>
      </c>
      <c r="AB1668" s="5">
        <v>50.9589</v>
      </c>
      <c r="AC1668" s="5" t="str">
        <f t="shared" si="82"/>
        <v>Bonos</v>
      </c>
      <c r="AD1668" s="5" t="s">
        <v>43</v>
      </c>
      <c r="AE1668" s="5">
        <f t="shared" si="80"/>
        <v>11</v>
      </c>
      <c r="AF1668" s="5">
        <f t="shared" si="81"/>
        <v>2020</v>
      </c>
    </row>
    <row r="1669" s="5" customFormat="1" ht="13">
      <c r="A1669" s="5" t="s">
        <v>44</v>
      </c>
      <c r="B1669" s="5" t="s">
        <v>44</v>
      </c>
      <c r="C1669" s="5" t="s">
        <v>164</v>
      </c>
      <c r="D1669" s="5" t="s">
        <v>21</v>
      </c>
      <c r="E1669" s="5" t="s">
        <v>44</v>
      </c>
      <c r="F1669" s="5" t="s">
        <v>68</v>
      </c>
      <c r="G1669" s="5" t="s">
        <v>91</v>
      </c>
      <c r="H1669" s="9" t="s">
        <v>166</v>
      </c>
      <c r="I1669" s="10"/>
      <c r="J1669" s="10">
        <v>44165</v>
      </c>
      <c r="K1669" s="5" t="s">
        <v>124</v>
      </c>
      <c r="L1669" s="5" t="s">
        <v>58</v>
      </c>
      <c r="M1669" s="11">
        <v>0.092499999999999999</v>
      </c>
      <c r="N1669" s="5" t="e">
        <f>IF(AND(M1669&gt;#REF!,Cartera!O1669="Guaraníes"),"Rendimiento significativo",IF(AND(M1669&gt;#REF!,Cartera!O1669="Dólares americanos"),"Rendimiento significativo","Rendimiento no significativo"))</f>
        <v>#REF!</v>
      </c>
      <c r="O1669" s="5" t="s">
        <v>41</v>
      </c>
      <c r="P1669" s="12">
        <v>1178424.6576</v>
      </c>
      <c r="Q1669" s="12">
        <f>IF(O1669="Guaraníes",P1669,P1669*#REF!)</f>
        <v>1178424.6576</v>
      </c>
      <c r="R1669" s="12" t="e">
        <f>IF(O1669="Guaraníes",P1669/#REF!,P1669)</f>
        <v>#REF!</v>
      </c>
      <c r="S1669" s="5" t="s">
        <v>52</v>
      </c>
      <c r="T1669" s="5">
        <v>3253</v>
      </c>
      <c r="W1669" s="5" t="s">
        <v>65</v>
      </c>
      <c r="X1669" s="5">
        <v>0</v>
      </c>
      <c r="Y1669" s="5">
        <v>0</v>
      </c>
      <c r="Z1669" s="5">
        <v>7856.1643839999997</v>
      </c>
      <c r="AA1669" s="5">
        <v>150</v>
      </c>
      <c r="AB1669" s="5">
        <v>1178424.6576</v>
      </c>
      <c r="AC1669" s="5" t="str">
        <f t="shared" si="82"/>
        <v>Bonos</v>
      </c>
      <c r="AD1669" s="5" t="s">
        <v>43</v>
      </c>
      <c r="AE1669" s="5">
        <f t="shared" si="80"/>
        <v>11</v>
      </c>
      <c r="AF1669" s="5">
        <f t="shared" si="81"/>
        <v>2020</v>
      </c>
    </row>
    <row r="1670" s="5" customFormat="1" ht="13">
      <c r="A1670" s="5" t="s">
        <v>44</v>
      </c>
      <c r="B1670" s="5" t="s">
        <v>44</v>
      </c>
      <c r="C1670" s="5" t="s">
        <v>143</v>
      </c>
      <c r="D1670" s="5" t="s">
        <v>21</v>
      </c>
      <c r="E1670" s="5" t="s">
        <v>44</v>
      </c>
      <c r="F1670" s="5" t="s">
        <v>144</v>
      </c>
      <c r="G1670" s="5" t="s">
        <v>91</v>
      </c>
      <c r="H1670" s="9" t="s">
        <v>380</v>
      </c>
      <c r="I1670" s="10"/>
      <c r="J1670" s="10">
        <v>44195</v>
      </c>
      <c r="K1670" s="5" t="s">
        <v>49</v>
      </c>
      <c r="L1670" s="5" t="s">
        <v>106</v>
      </c>
      <c r="M1670" s="11">
        <v>0.059999999999999998</v>
      </c>
      <c r="N1670" s="5" t="e">
        <f>IF(AND(M1670&gt;#REF!,Cartera!O1670="Guaraníes"),"Rendimiento significativo",IF(AND(M1670&gt;#REF!,Cartera!O1670="Dólares americanos"),"Rendimiento significativo","Rendimiento no significativo"))</f>
        <v>#REF!</v>
      </c>
      <c r="O1670" s="5" t="s">
        <v>51</v>
      </c>
      <c r="P1670" s="13">
        <v>49.315069999999999</v>
      </c>
      <c r="Q1670" s="12" t="e">
        <f>IF(O1670="Guaraníes",P1670,P1670*#REF!)</f>
        <v>#REF!</v>
      </c>
      <c r="R1670" s="12">
        <f>IF(O1670="Guaraníes",P1670/#REF!,P1670)</f>
        <v>49.315069999999999</v>
      </c>
      <c r="S1670" s="5" t="s">
        <v>52</v>
      </c>
      <c r="T1670" s="5">
        <v>3253</v>
      </c>
      <c r="W1670" s="5" t="s">
        <v>65</v>
      </c>
      <c r="X1670" s="5">
        <v>0</v>
      </c>
      <c r="Y1670" s="5">
        <v>0</v>
      </c>
      <c r="Z1670" s="5">
        <v>4.9315069999999999</v>
      </c>
      <c r="AA1670" s="5">
        <v>10</v>
      </c>
      <c r="AB1670" s="5">
        <v>49.315069999999999</v>
      </c>
      <c r="AC1670" s="5" t="str">
        <f t="shared" si="82"/>
        <v>Bonos</v>
      </c>
      <c r="AD1670" s="5" t="s">
        <v>43</v>
      </c>
      <c r="AE1670" s="5">
        <f t="shared" si="80"/>
        <v>12</v>
      </c>
      <c r="AF1670" s="5">
        <f t="shared" si="81"/>
        <v>2020</v>
      </c>
    </row>
    <row r="1671" s="5" customFormat="1" ht="13">
      <c r="A1671" s="5" t="s">
        <v>44</v>
      </c>
      <c r="B1671" s="5" t="s">
        <v>44</v>
      </c>
      <c r="C1671" s="5" t="s">
        <v>164</v>
      </c>
      <c r="D1671" s="5" t="s">
        <v>21</v>
      </c>
      <c r="E1671" s="5" t="s">
        <v>44</v>
      </c>
      <c r="F1671" s="5" t="s">
        <v>68</v>
      </c>
      <c r="G1671" s="5" t="s">
        <v>91</v>
      </c>
      <c r="H1671" s="9" t="s">
        <v>166</v>
      </c>
      <c r="I1671" s="10"/>
      <c r="J1671" s="10">
        <v>44195</v>
      </c>
      <c r="K1671" s="5" t="s">
        <v>124</v>
      </c>
      <c r="L1671" s="5" t="s">
        <v>58</v>
      </c>
      <c r="M1671" s="11">
        <v>0.092499999999999999</v>
      </c>
      <c r="N1671" s="5" t="e">
        <f>IF(AND(M1671&gt;#REF!,Cartera!O1671="Guaraníes"),"Rendimiento significativo",IF(AND(M1671&gt;#REF!,Cartera!O1671="Dólares americanos"),"Rendimiento significativo","Rendimiento no significativo"))</f>
        <v>#REF!</v>
      </c>
      <c r="O1671" s="5" t="s">
        <v>41</v>
      </c>
      <c r="P1671" s="12">
        <v>1140410.9589</v>
      </c>
      <c r="Q1671" s="12">
        <f>IF(O1671="Guaraníes",P1671,P1671*#REF!)</f>
        <v>1140410.9589</v>
      </c>
      <c r="R1671" s="12" t="e">
        <f>IF(O1671="Guaraníes",P1671/#REF!,P1671)</f>
        <v>#REF!</v>
      </c>
      <c r="S1671" s="5" t="s">
        <v>52</v>
      </c>
      <c r="T1671" s="5">
        <v>3253</v>
      </c>
      <c r="W1671" s="5" t="s">
        <v>65</v>
      </c>
      <c r="X1671" s="5">
        <v>0</v>
      </c>
      <c r="Y1671" s="5">
        <v>0</v>
      </c>
      <c r="Z1671" s="5">
        <v>7602.7397259999998</v>
      </c>
      <c r="AA1671" s="5">
        <v>150</v>
      </c>
      <c r="AB1671" s="5">
        <v>1140410.9589</v>
      </c>
      <c r="AC1671" s="5" t="str">
        <f t="shared" si="82"/>
        <v>Bonos</v>
      </c>
      <c r="AD1671" s="5" t="s">
        <v>43</v>
      </c>
      <c r="AE1671" s="5">
        <f t="shared" si="80"/>
        <v>12</v>
      </c>
      <c r="AF1671" s="5">
        <f t="shared" si="81"/>
        <v>2020</v>
      </c>
    </row>
    <row r="1672" s="5" customFormat="1" ht="13">
      <c r="A1672" s="5" t="s">
        <v>44</v>
      </c>
      <c r="B1672" s="5" t="s">
        <v>44</v>
      </c>
      <c r="C1672" s="5" t="s">
        <v>67</v>
      </c>
      <c r="D1672" s="5" t="s">
        <v>21</v>
      </c>
      <c r="E1672" s="5" t="s">
        <v>44</v>
      </c>
      <c r="F1672" s="5" t="s">
        <v>68</v>
      </c>
      <c r="G1672" s="5" t="s">
        <v>91</v>
      </c>
      <c r="H1672" s="9" t="s">
        <v>110</v>
      </c>
      <c r="I1672" s="10"/>
      <c r="J1672" s="10">
        <v>44215</v>
      </c>
      <c r="K1672" s="5" t="s">
        <v>71</v>
      </c>
      <c r="L1672" s="5" t="s">
        <v>58</v>
      </c>
      <c r="M1672" s="11">
        <v>0.089999999999999997</v>
      </c>
      <c r="N1672" s="5" t="e">
        <f>IF(AND(M1672&gt;#REF!,Cartera!O1672="Guaraníes"),"Rendimiento significativo",IF(AND(M1672&gt;#REF!,Cartera!O1672="Dólares americanos"),"Rendimiento significativo","Rendimiento no significativo"))</f>
        <v>#REF!</v>
      </c>
      <c r="O1672" s="5" t="s">
        <v>51</v>
      </c>
      <c r="P1672" s="13">
        <v>252.43150499999999</v>
      </c>
      <c r="Q1672" s="12" t="e">
        <f>IF(O1672="Guaraníes",P1672,P1672*#REF!)</f>
        <v>#REF!</v>
      </c>
      <c r="R1672" s="12">
        <f>IF(O1672="Guaraníes",P1672/#REF!,P1672)</f>
        <v>252.43150499999999</v>
      </c>
      <c r="S1672" s="5" t="s">
        <v>52</v>
      </c>
      <c r="T1672" s="5">
        <v>3253</v>
      </c>
      <c r="W1672" s="5" t="s">
        <v>65</v>
      </c>
      <c r="X1672" s="5">
        <v>0</v>
      </c>
      <c r="Y1672" s="5">
        <v>0</v>
      </c>
      <c r="Z1672" s="5">
        <v>16.828766999999999</v>
      </c>
      <c r="AA1672" s="5">
        <v>15</v>
      </c>
      <c r="AB1672" s="5">
        <v>252.43150499999999</v>
      </c>
      <c r="AC1672" s="5" t="str">
        <f t="shared" si="82"/>
        <v>Bonos</v>
      </c>
      <c r="AD1672" s="5" t="s">
        <v>43</v>
      </c>
      <c r="AE1672" s="5">
        <f t="shared" si="80"/>
        <v>1</v>
      </c>
      <c r="AF1672" s="5">
        <f t="shared" si="81"/>
        <v>2021</v>
      </c>
    </row>
    <row r="1673" s="5" customFormat="1" ht="13">
      <c r="A1673" s="5" t="s">
        <v>44</v>
      </c>
      <c r="B1673" s="5" t="s">
        <v>44</v>
      </c>
      <c r="C1673" s="5" t="s">
        <v>45</v>
      </c>
      <c r="D1673" s="5" t="s">
        <v>21</v>
      </c>
      <c r="E1673" s="5" t="s">
        <v>44</v>
      </c>
      <c r="F1673" s="5" t="s">
        <v>46</v>
      </c>
      <c r="G1673" s="5" t="s">
        <v>91</v>
      </c>
      <c r="H1673" s="9" t="s">
        <v>365</v>
      </c>
      <c r="I1673" s="10"/>
      <c r="J1673" s="10">
        <v>44217</v>
      </c>
      <c r="K1673" s="5" t="s">
        <v>49</v>
      </c>
      <c r="L1673" s="5" t="s">
        <v>58</v>
      </c>
      <c r="M1673" s="11">
        <v>0.059999999999999998</v>
      </c>
      <c r="N1673" s="5" t="e">
        <f>IF(AND(M1673&gt;#REF!,Cartera!O1673="Guaraníes"),"Rendimiento significativo",IF(AND(M1673&gt;#REF!,Cartera!O1673="Dólares americanos"),"Rendimiento significativo","Rendimiento no significativo"))</f>
        <v>#REF!</v>
      </c>
      <c r="O1673" s="5" t="s">
        <v>51</v>
      </c>
      <c r="P1673" s="13">
        <v>458.11643500000002</v>
      </c>
      <c r="Q1673" s="12" t="e">
        <f>IF(O1673="Guaraníes",P1673,P1673*#REF!)</f>
        <v>#REF!</v>
      </c>
      <c r="R1673" s="12">
        <f>IF(O1673="Guaraníes",P1673/#REF!,P1673)</f>
        <v>458.11643500000002</v>
      </c>
      <c r="S1673" s="5" t="s">
        <v>52</v>
      </c>
      <c r="T1673" s="5">
        <v>3253</v>
      </c>
      <c r="W1673" s="5" t="s">
        <v>65</v>
      </c>
      <c r="X1673" s="5">
        <v>0</v>
      </c>
      <c r="Y1673" s="5">
        <v>0</v>
      </c>
      <c r="Z1673" s="5">
        <v>13.089041</v>
      </c>
      <c r="AA1673" s="5">
        <v>35</v>
      </c>
      <c r="AB1673" s="5">
        <v>458.11643500000002</v>
      </c>
      <c r="AC1673" s="5" t="str">
        <f t="shared" si="82"/>
        <v>Bonos</v>
      </c>
      <c r="AD1673" s="5" t="s">
        <v>43</v>
      </c>
      <c r="AE1673" s="5">
        <f t="shared" si="80"/>
        <v>1</v>
      </c>
      <c r="AF1673" s="5">
        <f t="shared" si="81"/>
        <v>2021</v>
      </c>
    </row>
    <row r="1674" s="5" customFormat="1" ht="13">
      <c r="A1674" s="5" t="s">
        <v>44</v>
      </c>
      <c r="B1674" s="5" t="s">
        <v>44</v>
      </c>
      <c r="C1674" s="5" t="s">
        <v>89</v>
      </c>
      <c r="D1674" s="5" t="s">
        <v>21</v>
      </c>
      <c r="E1674" s="5" t="s">
        <v>44</v>
      </c>
      <c r="F1674" s="5" t="s">
        <v>90</v>
      </c>
      <c r="G1674" s="5" t="s">
        <v>91</v>
      </c>
      <c r="H1674" s="9" t="s">
        <v>92</v>
      </c>
      <c r="I1674" s="10"/>
      <c r="J1674" s="10">
        <v>44308</v>
      </c>
      <c r="K1674" s="5" t="s">
        <v>93</v>
      </c>
      <c r="L1674" s="5" t="s">
        <v>58</v>
      </c>
      <c r="M1674" s="11">
        <v>0.080000000000000002</v>
      </c>
      <c r="N1674" s="5" t="e">
        <f>IF(AND(M1674&gt;#REF!,Cartera!O1674="Guaraníes"),"Rendimiento significativo",IF(AND(M1674&gt;#REF!,Cartera!O1674="Dólares americanos"),"Rendimiento significativo","Rendimiento no significativo"))</f>
        <v>#REF!</v>
      </c>
      <c r="O1674" s="5" t="s">
        <v>51</v>
      </c>
      <c r="P1674" s="13">
        <v>299.17807500000004</v>
      </c>
      <c r="Q1674" s="12" t="e">
        <f>IF(O1674="Guaraníes",P1674,P1674*#REF!)</f>
        <v>#REF!</v>
      </c>
      <c r="R1674" s="12">
        <f>IF(O1674="Guaraníes",P1674/#REF!,P1674)</f>
        <v>299.17807500000004</v>
      </c>
      <c r="S1674" s="5" t="s">
        <v>52</v>
      </c>
      <c r="T1674" s="5">
        <v>3253</v>
      </c>
      <c r="W1674" s="5" t="s">
        <v>65</v>
      </c>
      <c r="X1674" s="5">
        <v>0</v>
      </c>
      <c r="Y1674" s="5">
        <v>0</v>
      </c>
      <c r="Z1674" s="5">
        <v>19.945205000000001</v>
      </c>
      <c r="AA1674" s="5">
        <v>15</v>
      </c>
      <c r="AB1674" s="5">
        <v>299.17807499999998</v>
      </c>
      <c r="AC1674" s="5" t="str">
        <f t="shared" si="82"/>
        <v>Bonos</v>
      </c>
      <c r="AD1674" s="5" t="s">
        <v>43</v>
      </c>
      <c r="AE1674" s="5">
        <f t="shared" si="80"/>
        <v>4</v>
      </c>
      <c r="AF1674" s="5">
        <f t="shared" si="81"/>
        <v>2021</v>
      </c>
    </row>
    <row r="1675" s="5" customFormat="1" ht="13">
      <c r="A1675" s="5" t="s">
        <v>44</v>
      </c>
      <c r="B1675" s="5" t="s">
        <v>44</v>
      </c>
      <c r="C1675" s="5" t="s">
        <v>143</v>
      </c>
      <c r="D1675" s="5" t="s">
        <v>21</v>
      </c>
      <c r="E1675" s="5" t="s">
        <v>44</v>
      </c>
      <c r="F1675" s="5" t="s">
        <v>144</v>
      </c>
      <c r="G1675" s="5" t="s">
        <v>91</v>
      </c>
      <c r="H1675" s="9" t="s">
        <v>380</v>
      </c>
      <c r="I1675" s="10"/>
      <c r="J1675" s="10">
        <v>44225</v>
      </c>
      <c r="K1675" s="5" t="s">
        <v>49</v>
      </c>
      <c r="L1675" s="5" t="s">
        <v>106</v>
      </c>
      <c r="M1675" s="11">
        <v>0.059999999999999998</v>
      </c>
      <c r="N1675" s="5" t="e">
        <f>IF(AND(M1675&gt;#REF!,Cartera!O1675="Guaraníes"),"Rendimiento significativo",IF(AND(M1675&gt;#REF!,Cartera!O1675="Dólares americanos"),"Rendimiento significativo","Rendimiento no significativo"))</f>
        <v>#REF!</v>
      </c>
      <c r="O1675" s="5" t="s">
        <v>51</v>
      </c>
      <c r="P1675" s="13">
        <v>49.315069999999999</v>
      </c>
      <c r="Q1675" s="12" t="e">
        <f>IF(O1675="Guaraníes",P1675,P1675*#REF!)</f>
        <v>#REF!</v>
      </c>
      <c r="R1675" s="12">
        <f>IF(O1675="Guaraníes",P1675/#REF!,P1675)</f>
        <v>49.315069999999999</v>
      </c>
      <c r="S1675" s="5" t="s">
        <v>52</v>
      </c>
      <c r="T1675" s="5">
        <v>3253</v>
      </c>
      <c r="W1675" s="5" t="s">
        <v>65</v>
      </c>
      <c r="X1675" s="5">
        <v>0</v>
      </c>
      <c r="Y1675" s="5">
        <v>0</v>
      </c>
      <c r="Z1675" s="5">
        <v>4.9315069999999999</v>
      </c>
      <c r="AA1675" s="5">
        <v>10</v>
      </c>
      <c r="AB1675" s="5">
        <v>49.315069999999999</v>
      </c>
      <c r="AC1675" s="5" t="str">
        <f t="shared" si="82"/>
        <v>Bonos</v>
      </c>
      <c r="AD1675" s="5" t="s">
        <v>43</v>
      </c>
      <c r="AE1675" s="5">
        <f t="shared" si="80"/>
        <v>1</v>
      </c>
      <c r="AF1675" s="5">
        <f t="shared" si="81"/>
        <v>2021</v>
      </c>
    </row>
    <row r="1676" s="5" customFormat="1" ht="13">
      <c r="A1676" s="5" t="s">
        <v>44</v>
      </c>
      <c r="B1676" s="5" t="s">
        <v>44</v>
      </c>
      <c r="C1676" s="5" t="s">
        <v>164</v>
      </c>
      <c r="D1676" s="5" t="s">
        <v>21</v>
      </c>
      <c r="E1676" s="5" t="s">
        <v>44</v>
      </c>
      <c r="F1676" s="5" t="s">
        <v>68</v>
      </c>
      <c r="G1676" s="5" t="s">
        <v>91</v>
      </c>
      <c r="H1676" s="9" t="s">
        <v>166</v>
      </c>
      <c r="I1676" s="10"/>
      <c r="J1676" s="10">
        <v>44225</v>
      </c>
      <c r="K1676" s="5" t="s">
        <v>124</v>
      </c>
      <c r="L1676" s="5" t="s">
        <v>58</v>
      </c>
      <c r="M1676" s="11">
        <v>0.092499999999999999</v>
      </c>
      <c r="N1676" s="5" t="e">
        <f>IF(AND(M1676&gt;#REF!,Cartera!O1676="Guaraníes"),"Rendimiento significativo",IF(AND(M1676&gt;#REF!,Cartera!O1676="Dólares americanos"),"Rendimiento significativo","Rendimiento no significativo"))</f>
        <v>#REF!</v>
      </c>
      <c r="O1676" s="5" t="s">
        <v>41</v>
      </c>
      <c r="P1676" s="12">
        <v>1140410.9589</v>
      </c>
      <c r="Q1676" s="12">
        <f>IF(O1676="Guaraníes",P1676,P1676*#REF!)</f>
        <v>1140410.9589</v>
      </c>
      <c r="R1676" s="12" t="e">
        <f>IF(O1676="Guaraníes",P1676/#REF!,P1676)</f>
        <v>#REF!</v>
      </c>
      <c r="S1676" s="5" t="s">
        <v>52</v>
      </c>
      <c r="T1676" s="5">
        <v>3253</v>
      </c>
      <c r="W1676" s="5" t="s">
        <v>65</v>
      </c>
      <c r="X1676" s="5">
        <v>0</v>
      </c>
      <c r="Y1676" s="5">
        <v>0</v>
      </c>
      <c r="Z1676" s="5">
        <v>7602.7397259999998</v>
      </c>
      <c r="AA1676" s="5">
        <v>150</v>
      </c>
      <c r="AB1676" s="5">
        <v>1140410.9589</v>
      </c>
      <c r="AC1676" s="5" t="str">
        <f t="shared" si="82"/>
        <v>Bonos</v>
      </c>
      <c r="AD1676" s="5" t="s">
        <v>43</v>
      </c>
      <c r="AE1676" s="5">
        <f t="shared" si="80"/>
        <v>1</v>
      </c>
      <c r="AF1676" s="5">
        <f t="shared" si="81"/>
        <v>2021</v>
      </c>
    </row>
    <row r="1677" s="5" customFormat="1" ht="13">
      <c r="A1677" s="5" t="s">
        <v>44</v>
      </c>
      <c r="B1677" s="5" t="s">
        <v>44</v>
      </c>
      <c r="C1677" s="5" t="s">
        <v>67</v>
      </c>
      <c r="D1677" s="5" t="s">
        <v>21</v>
      </c>
      <c r="E1677" s="5" t="s">
        <v>44</v>
      </c>
      <c r="F1677" s="5" t="s">
        <v>68</v>
      </c>
      <c r="G1677" s="5" t="s">
        <v>91</v>
      </c>
      <c r="H1677" s="9" t="s">
        <v>376</v>
      </c>
      <c r="I1677" s="10"/>
      <c r="J1677" s="10">
        <v>44251</v>
      </c>
      <c r="K1677" s="5" t="s">
        <v>71</v>
      </c>
      <c r="L1677" s="5" t="s">
        <v>58</v>
      </c>
      <c r="M1677" s="11">
        <v>0.089999999999999997</v>
      </c>
      <c r="N1677" s="5" t="e">
        <f>IF(AND(M1677&gt;#REF!,Cartera!O1677="Guaraníes"),"Rendimiento significativo",IF(AND(M1677&gt;#REF!,Cartera!O1677="Dólares americanos"),"Rendimiento significativo","Rendimiento no significativo"))</f>
        <v>#REF!</v>
      </c>
      <c r="O1677" s="5" t="s">
        <v>41</v>
      </c>
      <c r="P1677" s="12">
        <v>1346301.3698999998</v>
      </c>
      <c r="Q1677" s="12">
        <f>IF(O1677="Guaraníes",P1677,P1677*#REF!)</f>
        <v>1346301.3698999998</v>
      </c>
      <c r="R1677" s="12" t="e">
        <f>IF(O1677="Guaraníes",P1677/#REF!,P1677)</f>
        <v>#REF!</v>
      </c>
      <c r="S1677" s="5" t="s">
        <v>52</v>
      </c>
      <c r="T1677" s="5">
        <v>3253</v>
      </c>
      <c r="W1677" s="5" t="s">
        <v>65</v>
      </c>
      <c r="X1677" s="5">
        <v>0</v>
      </c>
      <c r="Y1677" s="5">
        <v>0</v>
      </c>
      <c r="Z1677" s="5">
        <v>13463.013698999999</v>
      </c>
      <c r="AA1677" s="5">
        <v>100</v>
      </c>
      <c r="AB1677" s="5">
        <v>1346301.3699</v>
      </c>
      <c r="AC1677" s="5" t="str">
        <f t="shared" si="82"/>
        <v>Bonos</v>
      </c>
      <c r="AD1677" s="5" t="s">
        <v>43</v>
      </c>
      <c r="AE1677" s="5">
        <f t="shared" si="80"/>
        <v>2</v>
      </c>
      <c r="AF1677" s="5">
        <f t="shared" si="81"/>
        <v>2021</v>
      </c>
    </row>
    <row r="1678" s="5" customFormat="1" ht="13">
      <c r="A1678" s="5" t="s">
        <v>44</v>
      </c>
      <c r="B1678" s="5" t="s">
        <v>44</v>
      </c>
      <c r="C1678" s="5" t="s">
        <v>176</v>
      </c>
      <c r="D1678" s="5" t="s">
        <v>21</v>
      </c>
      <c r="E1678" s="5" t="s">
        <v>44</v>
      </c>
      <c r="F1678" s="5" t="s">
        <v>68</v>
      </c>
      <c r="G1678" s="5" t="s">
        <v>91</v>
      </c>
      <c r="H1678" s="9" t="s">
        <v>177</v>
      </c>
      <c r="I1678" s="10"/>
      <c r="J1678" s="10">
        <v>44251</v>
      </c>
      <c r="K1678" s="5" t="s">
        <v>178</v>
      </c>
      <c r="L1678" s="5" t="s">
        <v>58</v>
      </c>
      <c r="M1678" s="11">
        <v>0.085000000000000006</v>
      </c>
      <c r="N1678" s="5" t="e">
        <f>IF(AND(M1678&gt;#REF!,Cartera!O1678="Guaraníes"),"Rendimiento significativo",IF(AND(M1678&gt;#REF!,Cartera!O1678="Dólares americanos"),"Rendimiento significativo","Rendimiento no significativo"))</f>
        <v>#REF!</v>
      </c>
      <c r="O1678" s="5" t="s">
        <v>51</v>
      </c>
      <c r="P1678" s="13">
        <v>560.95890000000009</v>
      </c>
      <c r="Q1678" s="12" t="e">
        <f>IF(O1678="Guaraníes",P1678,P1678*#REF!)</f>
        <v>#REF!</v>
      </c>
      <c r="R1678" s="12">
        <f>IF(O1678="Guaraníes",P1678/#REF!,P1678)</f>
        <v>560.95890000000009</v>
      </c>
      <c r="S1678" s="5" t="s">
        <v>52</v>
      </c>
      <c r="T1678" s="5">
        <v>3253</v>
      </c>
      <c r="W1678" s="5" t="s">
        <v>65</v>
      </c>
      <c r="X1678" s="5">
        <v>0</v>
      </c>
      <c r="Y1678" s="5">
        <v>0</v>
      </c>
      <c r="Z1678" s="5">
        <v>18.698630000000001</v>
      </c>
      <c r="AA1678" s="5">
        <v>30</v>
      </c>
      <c r="AB1678" s="5">
        <v>560.95889999999997</v>
      </c>
      <c r="AC1678" s="5" t="str">
        <f t="shared" si="82"/>
        <v>Bonos</v>
      </c>
      <c r="AD1678" s="5" t="s">
        <v>43</v>
      </c>
      <c r="AE1678" s="5">
        <f t="shared" si="80"/>
        <v>2</v>
      </c>
      <c r="AF1678" s="5">
        <f t="shared" si="81"/>
        <v>2021</v>
      </c>
    </row>
    <row r="1679" s="5" customFormat="1" ht="13">
      <c r="A1679" s="5" t="s">
        <v>44</v>
      </c>
      <c r="B1679" s="5" t="s">
        <v>44</v>
      </c>
      <c r="C1679" s="5" t="s">
        <v>143</v>
      </c>
      <c r="D1679" s="5" t="s">
        <v>21</v>
      </c>
      <c r="E1679" s="5" t="s">
        <v>44</v>
      </c>
      <c r="F1679" s="5" t="s">
        <v>144</v>
      </c>
      <c r="G1679" s="5" t="s">
        <v>91</v>
      </c>
      <c r="H1679" s="9" t="s">
        <v>380</v>
      </c>
      <c r="I1679" s="10"/>
      <c r="J1679" s="10">
        <v>44253</v>
      </c>
      <c r="K1679" s="5" t="s">
        <v>49</v>
      </c>
      <c r="L1679" s="5" t="s">
        <v>106</v>
      </c>
      <c r="M1679" s="11">
        <v>0.059999999999999998</v>
      </c>
      <c r="N1679" s="5" t="e">
        <f>IF(AND(M1679&gt;#REF!,Cartera!O1679="Guaraníes"),"Rendimiento significativo",IF(AND(M1679&gt;#REF!,Cartera!O1679="Dólares americanos"),"Rendimiento significativo","Rendimiento no significativo"))</f>
        <v>#REF!</v>
      </c>
      <c r="O1679" s="5" t="s">
        <v>51</v>
      </c>
      <c r="P1679" s="13">
        <v>46.0274</v>
      </c>
      <c r="Q1679" s="12" t="e">
        <f>IF(O1679="Guaraníes",P1679,P1679*#REF!)</f>
        <v>#REF!</v>
      </c>
      <c r="R1679" s="12">
        <f>IF(O1679="Guaraníes",P1679/#REF!,P1679)</f>
        <v>46.0274</v>
      </c>
      <c r="S1679" s="5" t="s">
        <v>52</v>
      </c>
      <c r="T1679" s="5">
        <v>3253</v>
      </c>
      <c r="W1679" s="5" t="s">
        <v>65</v>
      </c>
      <c r="X1679" s="5">
        <v>0</v>
      </c>
      <c r="Y1679" s="5">
        <v>0</v>
      </c>
      <c r="Z1679" s="5">
        <v>4.6027399999999998</v>
      </c>
      <c r="AA1679" s="5">
        <v>10</v>
      </c>
      <c r="AB1679" s="5">
        <v>46.0274</v>
      </c>
      <c r="AC1679" s="5" t="str">
        <f t="shared" si="82"/>
        <v>Bonos</v>
      </c>
      <c r="AD1679" s="5" t="s">
        <v>43</v>
      </c>
      <c r="AE1679" s="5">
        <f t="shared" si="80"/>
        <v>2</v>
      </c>
      <c r="AF1679" s="5">
        <f t="shared" si="81"/>
        <v>2021</v>
      </c>
    </row>
    <row r="1680" s="5" customFormat="1" ht="13">
      <c r="A1680" s="5" t="s">
        <v>44</v>
      </c>
      <c r="B1680" s="5" t="s">
        <v>44</v>
      </c>
      <c r="C1680" s="5" t="s">
        <v>164</v>
      </c>
      <c r="D1680" s="5" t="s">
        <v>21</v>
      </c>
      <c r="E1680" s="5" t="s">
        <v>44</v>
      </c>
      <c r="F1680" s="5" t="s">
        <v>68</v>
      </c>
      <c r="G1680" s="5" t="s">
        <v>91</v>
      </c>
      <c r="H1680" s="9" t="s">
        <v>166</v>
      </c>
      <c r="I1680" s="10"/>
      <c r="J1680" s="10">
        <v>44253</v>
      </c>
      <c r="K1680" s="5" t="s">
        <v>124</v>
      </c>
      <c r="L1680" s="5" t="s">
        <v>58</v>
      </c>
      <c r="M1680" s="11">
        <v>0.092499999999999999</v>
      </c>
      <c r="N1680" s="5" t="e">
        <f>IF(AND(M1680&gt;#REF!,Cartera!O1680="Guaraníes"),"Rendimiento significativo",IF(AND(M1680&gt;#REF!,Cartera!O1680="Dólares americanos"),"Rendimiento significativo","Rendimiento no significativo"))</f>
        <v>#REF!</v>
      </c>
      <c r="O1680" s="5" t="s">
        <v>41</v>
      </c>
      <c r="P1680" s="12">
        <v>1064383.56165</v>
      </c>
      <c r="Q1680" s="12">
        <f>IF(O1680="Guaraníes",P1680,P1680*#REF!)</f>
        <v>1064383.56165</v>
      </c>
      <c r="R1680" s="12" t="e">
        <f>IF(O1680="Guaraníes",P1680/#REF!,P1680)</f>
        <v>#REF!</v>
      </c>
      <c r="S1680" s="5" t="s">
        <v>52</v>
      </c>
      <c r="T1680" s="5">
        <v>3253</v>
      </c>
      <c r="W1680" s="5" t="s">
        <v>65</v>
      </c>
      <c r="X1680" s="5">
        <v>0</v>
      </c>
      <c r="Y1680" s="5">
        <v>0</v>
      </c>
      <c r="Z1680" s="5">
        <v>7095.8904110000003</v>
      </c>
      <c r="AA1680" s="5">
        <v>150</v>
      </c>
      <c r="AB1680" s="5">
        <v>1064383.56165</v>
      </c>
      <c r="AC1680" s="5" t="str">
        <f t="shared" si="82"/>
        <v>Bonos</v>
      </c>
      <c r="AD1680" s="5" t="s">
        <v>43</v>
      </c>
      <c r="AE1680" s="5">
        <f t="shared" si="80"/>
        <v>2</v>
      </c>
      <c r="AF1680" s="5">
        <f t="shared" si="81"/>
        <v>2021</v>
      </c>
    </row>
    <row r="1681" s="5" customFormat="1" ht="13">
      <c r="A1681" s="5" t="s">
        <v>44</v>
      </c>
      <c r="B1681" s="5" t="s">
        <v>44</v>
      </c>
      <c r="C1681" s="5" t="s">
        <v>143</v>
      </c>
      <c r="D1681" s="5" t="s">
        <v>21</v>
      </c>
      <c r="E1681" s="5" t="s">
        <v>44</v>
      </c>
      <c r="F1681" s="5" t="s">
        <v>144</v>
      </c>
      <c r="G1681" s="5" t="s">
        <v>91</v>
      </c>
      <c r="H1681" s="9" t="s">
        <v>374</v>
      </c>
      <c r="I1681" s="10"/>
      <c r="J1681" s="10">
        <v>44270</v>
      </c>
      <c r="K1681" s="5" t="s">
        <v>49</v>
      </c>
      <c r="L1681" s="5" t="s">
        <v>58</v>
      </c>
      <c r="M1681" s="11">
        <v>0.062</v>
      </c>
      <c r="N1681" s="5" t="e">
        <f>IF(AND(M1681&gt;#REF!,Cartera!O1681="Guaraníes"),"Rendimiento significativo",IF(AND(M1681&gt;#REF!,Cartera!O1681="Dólares americanos"),"Rendimiento significativo","Rendimiento no significativo"))</f>
        <v>#REF!</v>
      </c>
      <c r="O1681" s="5" t="s">
        <v>51</v>
      </c>
      <c r="P1681" s="13">
        <v>28865.621904</v>
      </c>
      <c r="Q1681" s="12" t="e">
        <f>IF(O1681="Guaraníes",P1681,P1681*#REF!)</f>
        <v>#REF!</v>
      </c>
      <c r="R1681" s="12">
        <f>IF(O1681="Guaraníes",P1681/#REF!,P1681)</f>
        <v>28865.621904</v>
      </c>
      <c r="S1681" s="5" t="s">
        <v>52</v>
      </c>
      <c r="T1681" s="5">
        <v>3253</v>
      </c>
      <c r="U1681" s="5">
        <v>28000</v>
      </c>
      <c r="V1681" s="5">
        <v>865.62190399999963</v>
      </c>
      <c r="W1681" s="5" t="s">
        <v>65</v>
      </c>
      <c r="X1681" s="5">
        <v>100</v>
      </c>
      <c r="Y1681" s="5">
        <v>1000</v>
      </c>
      <c r="Z1681" s="5">
        <v>1030.915068</v>
      </c>
      <c r="AA1681" s="5">
        <v>28</v>
      </c>
      <c r="AB1681" s="5">
        <v>28865.621904</v>
      </c>
      <c r="AC1681" s="5" t="str">
        <f t="shared" si="82"/>
        <v>Bonos</v>
      </c>
      <c r="AD1681" s="5" t="s">
        <v>43</v>
      </c>
      <c r="AE1681" s="5">
        <f t="shared" si="80"/>
        <v>3</v>
      </c>
      <c r="AF1681" s="5">
        <f t="shared" si="81"/>
        <v>2021</v>
      </c>
    </row>
    <row r="1682" s="5" customFormat="1" ht="13">
      <c r="A1682" s="5" t="s">
        <v>44</v>
      </c>
      <c r="B1682" s="5" t="s">
        <v>44</v>
      </c>
      <c r="C1682" s="5" t="s">
        <v>143</v>
      </c>
      <c r="D1682" s="5" t="s">
        <v>21</v>
      </c>
      <c r="E1682" s="5" t="s">
        <v>44</v>
      </c>
      <c r="F1682" s="5" t="s">
        <v>144</v>
      </c>
      <c r="G1682" s="5" t="s">
        <v>91</v>
      </c>
      <c r="H1682" s="9" t="s">
        <v>380</v>
      </c>
      <c r="I1682" s="10"/>
      <c r="J1682" s="10">
        <v>44286</v>
      </c>
      <c r="K1682" s="5" t="s">
        <v>49</v>
      </c>
      <c r="L1682" s="5" t="s">
        <v>106</v>
      </c>
      <c r="M1682" s="11">
        <v>0.059999999999999998</v>
      </c>
      <c r="N1682" s="5" t="e">
        <f>IF(AND(M1682&gt;#REF!,Cartera!O1682="Guaraníes"),"Rendimiento significativo",IF(AND(M1682&gt;#REF!,Cartera!O1682="Dólares americanos"),"Rendimiento significativo","Rendimiento no significativo"))</f>
        <v>#REF!</v>
      </c>
      <c r="O1682" s="5" t="s">
        <v>51</v>
      </c>
      <c r="P1682" s="13">
        <v>54.246580000000002</v>
      </c>
      <c r="Q1682" s="12" t="e">
        <f>IF(O1682="Guaraníes",P1682,P1682*#REF!)</f>
        <v>#REF!</v>
      </c>
      <c r="R1682" s="12">
        <f>IF(O1682="Guaraníes",P1682/#REF!,P1682)</f>
        <v>54.246580000000002</v>
      </c>
      <c r="S1682" s="5" t="s">
        <v>52</v>
      </c>
      <c r="T1682" s="5">
        <v>3253</v>
      </c>
      <c r="W1682" s="5" t="s">
        <v>65</v>
      </c>
      <c r="X1682" s="5">
        <v>0</v>
      </c>
      <c r="Y1682" s="5">
        <v>0</v>
      </c>
      <c r="Z1682" s="5">
        <v>5.424658</v>
      </c>
      <c r="AA1682" s="5">
        <v>10</v>
      </c>
      <c r="AB1682" s="5">
        <v>54.246580000000002</v>
      </c>
      <c r="AC1682" s="5" t="str">
        <f t="shared" si="82"/>
        <v>Bonos</v>
      </c>
      <c r="AD1682" s="5" t="s">
        <v>43</v>
      </c>
      <c r="AE1682" s="5">
        <f t="shared" ref="AE1682:AE1745" si="83">IFERROR((MONTH(J1682)),0)</f>
        <v>3</v>
      </c>
      <c r="AF1682" s="5">
        <f t="shared" ref="AF1682:AF1745" si="84">IFERROR((YEAR(J1682)),0)</f>
        <v>2021</v>
      </c>
    </row>
    <row r="1683" s="5" customFormat="1" ht="13">
      <c r="A1683" s="5" t="s">
        <v>44</v>
      </c>
      <c r="B1683" s="5" t="s">
        <v>44</v>
      </c>
      <c r="C1683" s="5" t="s">
        <v>164</v>
      </c>
      <c r="D1683" s="5" t="s">
        <v>21</v>
      </c>
      <c r="E1683" s="5" t="s">
        <v>44</v>
      </c>
      <c r="F1683" s="5" t="s">
        <v>68</v>
      </c>
      <c r="G1683" s="5" t="s">
        <v>91</v>
      </c>
      <c r="H1683" s="9" t="s">
        <v>166</v>
      </c>
      <c r="I1683" s="10"/>
      <c r="J1683" s="10">
        <v>44286</v>
      </c>
      <c r="K1683" s="5" t="s">
        <v>124</v>
      </c>
      <c r="L1683" s="5" t="s">
        <v>58</v>
      </c>
      <c r="M1683" s="11">
        <v>0.092499999999999999</v>
      </c>
      <c r="N1683" s="5" t="e">
        <f>IF(AND(M1683&gt;#REF!,Cartera!O1683="Guaraníes"),"Rendimiento significativo",IF(AND(M1683&gt;#REF!,Cartera!O1683="Dólares americanos"),"Rendimiento significativo","Rendimiento no significativo"))</f>
        <v>#REF!</v>
      </c>
      <c r="O1683" s="5" t="s">
        <v>41</v>
      </c>
      <c r="P1683" s="12">
        <v>1254452.05485</v>
      </c>
      <c r="Q1683" s="12">
        <f>IF(O1683="Guaraníes",P1683,P1683*#REF!)</f>
        <v>1254452.05485</v>
      </c>
      <c r="R1683" s="12" t="e">
        <f>IF(O1683="Guaraníes",P1683/#REF!,P1683)</f>
        <v>#REF!</v>
      </c>
      <c r="S1683" s="5" t="s">
        <v>52</v>
      </c>
      <c r="T1683" s="5">
        <v>3253</v>
      </c>
      <c r="W1683" s="5" t="s">
        <v>65</v>
      </c>
      <c r="X1683" s="5">
        <v>0</v>
      </c>
      <c r="Y1683" s="5">
        <v>0</v>
      </c>
      <c r="Z1683" s="5">
        <v>8363.0136989999992</v>
      </c>
      <c r="AA1683" s="5">
        <v>150</v>
      </c>
      <c r="AB1683" s="5">
        <v>1254452.05485</v>
      </c>
      <c r="AC1683" s="5" t="str">
        <f t="shared" si="82"/>
        <v>Bonos</v>
      </c>
      <c r="AD1683" s="5" t="s">
        <v>43</v>
      </c>
      <c r="AE1683" s="5">
        <f t="shared" si="83"/>
        <v>3</v>
      </c>
      <c r="AF1683" s="5">
        <f t="shared" si="84"/>
        <v>2021</v>
      </c>
    </row>
    <row r="1684" s="5" customFormat="1" ht="13">
      <c r="A1684" s="5" t="s">
        <v>44</v>
      </c>
      <c r="B1684" s="5" t="s">
        <v>44</v>
      </c>
      <c r="C1684" s="5" t="s">
        <v>67</v>
      </c>
      <c r="D1684" s="5" t="s">
        <v>21</v>
      </c>
      <c r="E1684" s="5" t="s">
        <v>44</v>
      </c>
      <c r="F1684" s="5" t="s">
        <v>68</v>
      </c>
      <c r="G1684" s="5" t="s">
        <v>91</v>
      </c>
      <c r="H1684" s="9" t="s">
        <v>110</v>
      </c>
      <c r="I1684" s="10"/>
      <c r="J1684" s="10">
        <v>44306</v>
      </c>
      <c r="K1684" s="5" t="s">
        <v>71</v>
      </c>
      <c r="L1684" s="5" t="s">
        <v>58</v>
      </c>
      <c r="M1684" s="11">
        <v>0.089999999999999997</v>
      </c>
      <c r="N1684" s="5" t="e">
        <f>IF(AND(M1684&gt;#REF!,Cartera!O1684="Guaraníes"),"Rendimiento significativo",IF(AND(M1684&gt;#REF!,Cartera!O1684="Dólares americanos"),"Rendimiento significativo","Rendimiento no significativo"))</f>
        <v>#REF!</v>
      </c>
      <c r="O1684" s="5" t="s">
        <v>51</v>
      </c>
      <c r="P1684" s="13">
        <v>252.43150499999999</v>
      </c>
      <c r="Q1684" s="12" t="e">
        <f>IF(O1684="Guaraníes",P1684,P1684*#REF!)</f>
        <v>#REF!</v>
      </c>
      <c r="R1684" s="12">
        <f>IF(O1684="Guaraníes",P1684/#REF!,P1684)</f>
        <v>252.43150499999999</v>
      </c>
      <c r="S1684" s="5" t="s">
        <v>52</v>
      </c>
      <c r="T1684" s="5">
        <v>3253</v>
      </c>
      <c r="W1684" s="5" t="s">
        <v>65</v>
      </c>
      <c r="X1684" s="5">
        <v>0</v>
      </c>
      <c r="Y1684" s="5">
        <v>0</v>
      </c>
      <c r="Z1684" s="5">
        <v>16.828766999999999</v>
      </c>
      <c r="AA1684" s="5">
        <v>15</v>
      </c>
      <c r="AB1684" s="5">
        <v>252.43150499999999</v>
      </c>
      <c r="AC1684" s="5" t="str">
        <f t="shared" si="82"/>
        <v>Bonos</v>
      </c>
      <c r="AD1684" s="5" t="s">
        <v>43</v>
      </c>
      <c r="AE1684" s="5">
        <f t="shared" si="83"/>
        <v>4</v>
      </c>
      <c r="AF1684" s="5">
        <f t="shared" si="84"/>
        <v>2021</v>
      </c>
    </row>
    <row r="1685" s="5" customFormat="1" ht="13">
      <c r="A1685" s="5" t="s">
        <v>44</v>
      </c>
      <c r="B1685" s="5" t="s">
        <v>44</v>
      </c>
      <c r="C1685" s="5" t="s">
        <v>45</v>
      </c>
      <c r="D1685" s="5" t="s">
        <v>21</v>
      </c>
      <c r="E1685" s="5" t="s">
        <v>44</v>
      </c>
      <c r="F1685" s="5" t="s">
        <v>46</v>
      </c>
      <c r="G1685" s="5" t="s">
        <v>91</v>
      </c>
      <c r="H1685" s="9" t="s">
        <v>365</v>
      </c>
      <c r="I1685" s="10"/>
      <c r="J1685" s="10">
        <v>44308</v>
      </c>
      <c r="K1685" s="5" t="s">
        <v>49</v>
      </c>
      <c r="L1685" s="5" t="s">
        <v>58</v>
      </c>
      <c r="M1685" s="11">
        <v>0.059999999999999998</v>
      </c>
      <c r="N1685" s="5" t="e">
        <f>IF(AND(M1685&gt;#REF!,Cartera!O1685="Guaraníes"),"Rendimiento significativo",IF(AND(M1685&gt;#REF!,Cartera!O1685="Dólares americanos"),"Rendimiento significativo","Rendimiento no significativo"))</f>
        <v>#REF!</v>
      </c>
      <c r="O1685" s="5" t="s">
        <v>51</v>
      </c>
      <c r="P1685" s="13">
        <v>458.11643500000002</v>
      </c>
      <c r="Q1685" s="12" t="e">
        <f>IF(O1685="Guaraníes",P1685,P1685*#REF!)</f>
        <v>#REF!</v>
      </c>
      <c r="R1685" s="12">
        <f>IF(O1685="Guaraníes",P1685/#REF!,P1685)</f>
        <v>458.11643500000002</v>
      </c>
      <c r="S1685" s="5" t="s">
        <v>52</v>
      </c>
      <c r="T1685" s="5">
        <v>3253</v>
      </c>
      <c r="W1685" s="5" t="s">
        <v>65</v>
      </c>
      <c r="X1685" s="5">
        <v>0</v>
      </c>
      <c r="Y1685" s="5">
        <v>0</v>
      </c>
      <c r="Z1685" s="5">
        <v>13.089041</v>
      </c>
      <c r="AA1685" s="5">
        <v>35</v>
      </c>
      <c r="AB1685" s="5">
        <v>458.11643500000002</v>
      </c>
      <c r="AC1685" s="5" t="str">
        <f t="shared" si="82"/>
        <v>Bonos</v>
      </c>
      <c r="AD1685" s="5" t="s">
        <v>43</v>
      </c>
      <c r="AE1685" s="5">
        <f t="shared" si="83"/>
        <v>4</v>
      </c>
      <c r="AF1685" s="5">
        <f t="shared" si="84"/>
        <v>2021</v>
      </c>
    </row>
    <row r="1686" s="5" customFormat="1" ht="13">
      <c r="A1686" s="5" t="s">
        <v>44</v>
      </c>
      <c r="B1686" s="5" t="s">
        <v>44</v>
      </c>
      <c r="C1686" s="5" t="s">
        <v>89</v>
      </c>
      <c r="D1686" s="5" t="s">
        <v>21</v>
      </c>
      <c r="E1686" s="5" t="s">
        <v>44</v>
      </c>
      <c r="F1686" s="5" t="s">
        <v>90</v>
      </c>
      <c r="G1686" s="5" t="s">
        <v>91</v>
      </c>
      <c r="H1686" s="9" t="s">
        <v>92</v>
      </c>
      <c r="I1686" s="10"/>
      <c r="J1686" s="10">
        <v>44399</v>
      </c>
      <c r="K1686" s="5" t="s">
        <v>93</v>
      </c>
      <c r="L1686" s="5" t="s">
        <v>58</v>
      </c>
      <c r="M1686" s="11">
        <v>0.080000000000000002</v>
      </c>
      <c r="N1686" s="5" t="e">
        <f>IF(AND(M1686&gt;#REF!,Cartera!O1686="Guaraníes"),"Rendimiento significativo",IF(AND(M1686&gt;#REF!,Cartera!O1686="Dólares americanos"),"Rendimiento significativo","Rendimiento no significativo"))</f>
        <v>#REF!</v>
      </c>
      <c r="O1686" s="5" t="s">
        <v>51</v>
      </c>
      <c r="P1686" s="13">
        <v>299.17807500000004</v>
      </c>
      <c r="Q1686" s="12" t="e">
        <f>IF(O1686="Guaraníes",P1686,P1686*#REF!)</f>
        <v>#REF!</v>
      </c>
      <c r="R1686" s="12">
        <f>IF(O1686="Guaraníes",P1686/#REF!,P1686)</f>
        <v>299.17807500000004</v>
      </c>
      <c r="S1686" s="5" t="s">
        <v>52</v>
      </c>
      <c r="T1686" s="5">
        <v>3253</v>
      </c>
      <c r="W1686" s="5" t="s">
        <v>65</v>
      </c>
      <c r="X1686" s="5">
        <v>0</v>
      </c>
      <c r="Y1686" s="5">
        <v>0</v>
      </c>
      <c r="Z1686" s="5">
        <v>19.945205000000001</v>
      </c>
      <c r="AA1686" s="5">
        <v>15</v>
      </c>
      <c r="AB1686" s="5">
        <v>299.17807499999998</v>
      </c>
      <c r="AC1686" s="5" t="str">
        <f t="shared" si="82"/>
        <v>Bonos</v>
      </c>
      <c r="AD1686" s="5" t="s">
        <v>43</v>
      </c>
      <c r="AE1686" s="5">
        <f t="shared" si="83"/>
        <v>7</v>
      </c>
      <c r="AF1686" s="5">
        <f t="shared" si="84"/>
        <v>2021</v>
      </c>
    </row>
    <row r="1687" s="5" customFormat="1" ht="13">
      <c r="A1687" s="5" t="s">
        <v>44</v>
      </c>
      <c r="B1687" s="5" t="s">
        <v>44</v>
      </c>
      <c r="C1687" s="5" t="s">
        <v>122</v>
      </c>
      <c r="D1687" s="5" t="s">
        <v>21</v>
      </c>
      <c r="E1687" s="5" t="s">
        <v>44</v>
      </c>
      <c r="F1687" s="5" t="s">
        <v>61</v>
      </c>
      <c r="G1687" s="5" t="s">
        <v>91</v>
      </c>
      <c r="H1687" s="9" t="s">
        <v>132</v>
      </c>
      <c r="I1687" s="10"/>
      <c r="J1687" s="10">
        <v>44314</v>
      </c>
      <c r="K1687" s="5" t="s">
        <v>124</v>
      </c>
      <c r="L1687" s="5" t="s">
        <v>50</v>
      </c>
      <c r="M1687" s="11">
        <v>0.059999999999999998</v>
      </c>
      <c r="N1687" s="5" t="e">
        <f>IF(AND(M1687&gt;#REF!,Cartera!O1687="Guaraníes"),"Rendimiento significativo",IF(AND(M1687&gt;#REF!,Cartera!O1687="Dólares americanos"),"Rendimiento significativo","Rendimiento no significativo"))</f>
        <v>#REF!</v>
      </c>
      <c r="O1687" s="5" t="s">
        <v>51</v>
      </c>
      <c r="P1687" s="13">
        <v>299.17808000000002</v>
      </c>
      <c r="Q1687" s="12" t="e">
        <f>IF(O1687="Guaraníes",P1687,P1687*#REF!)</f>
        <v>#REF!</v>
      </c>
      <c r="R1687" s="12">
        <f>IF(O1687="Guaraníes",P1687/#REF!,P1687)</f>
        <v>299.17808000000002</v>
      </c>
      <c r="S1687" s="5" t="s">
        <v>52</v>
      </c>
      <c r="T1687" s="5">
        <v>3253</v>
      </c>
      <c r="W1687" s="5" t="s">
        <v>65</v>
      </c>
      <c r="X1687" s="5">
        <v>0</v>
      </c>
      <c r="Y1687" s="5">
        <v>0</v>
      </c>
      <c r="Z1687" s="5">
        <v>29.917808000000001</v>
      </c>
      <c r="AA1687" s="5">
        <v>10</v>
      </c>
      <c r="AB1687" s="5">
        <v>299.17808000000002</v>
      </c>
      <c r="AC1687" s="5" t="str">
        <f t="shared" si="82"/>
        <v>Bonos</v>
      </c>
      <c r="AD1687" s="5" t="s">
        <v>43</v>
      </c>
      <c r="AE1687" s="5">
        <f t="shared" si="83"/>
        <v>4</v>
      </c>
      <c r="AF1687" s="5">
        <f t="shared" si="84"/>
        <v>2021</v>
      </c>
    </row>
    <row r="1688" s="5" customFormat="1" ht="13">
      <c r="A1688" s="5" t="s">
        <v>44</v>
      </c>
      <c r="B1688" s="5" t="s">
        <v>44</v>
      </c>
      <c r="C1688" s="5" t="s">
        <v>143</v>
      </c>
      <c r="D1688" s="5" t="s">
        <v>21</v>
      </c>
      <c r="E1688" s="5" t="s">
        <v>44</v>
      </c>
      <c r="F1688" s="5" t="s">
        <v>144</v>
      </c>
      <c r="G1688" s="5" t="s">
        <v>91</v>
      </c>
      <c r="H1688" s="9" t="s">
        <v>380</v>
      </c>
      <c r="I1688" s="10"/>
      <c r="J1688" s="10">
        <v>44316</v>
      </c>
      <c r="K1688" s="5" t="s">
        <v>49</v>
      </c>
      <c r="L1688" s="5" t="s">
        <v>106</v>
      </c>
      <c r="M1688" s="11">
        <v>0.059999999999999998</v>
      </c>
      <c r="N1688" s="5" t="e">
        <f>IF(AND(M1688&gt;#REF!,Cartera!O1688="Guaraníes"),"Rendimiento significativo",IF(AND(M1688&gt;#REF!,Cartera!O1688="Dólares americanos"),"Rendimiento significativo","Rendimiento no significativo"))</f>
        <v>#REF!</v>
      </c>
      <c r="O1688" s="5" t="s">
        <v>51</v>
      </c>
      <c r="P1688" s="13">
        <v>49.315069999999999</v>
      </c>
      <c r="Q1688" s="12" t="e">
        <f>IF(O1688="Guaraníes",P1688,P1688*#REF!)</f>
        <v>#REF!</v>
      </c>
      <c r="R1688" s="12">
        <f>IF(O1688="Guaraníes",P1688/#REF!,P1688)</f>
        <v>49.315069999999999</v>
      </c>
      <c r="S1688" s="5" t="s">
        <v>52</v>
      </c>
      <c r="T1688" s="5">
        <v>3253</v>
      </c>
      <c r="W1688" s="5" t="s">
        <v>65</v>
      </c>
      <c r="X1688" s="5">
        <v>0</v>
      </c>
      <c r="Y1688" s="5">
        <v>0</v>
      </c>
      <c r="Z1688" s="5">
        <v>4.9315069999999999</v>
      </c>
      <c r="AA1688" s="5">
        <v>10</v>
      </c>
      <c r="AB1688" s="5">
        <v>49.315069999999999</v>
      </c>
      <c r="AC1688" s="5" t="str">
        <f t="shared" si="82"/>
        <v>Bonos</v>
      </c>
      <c r="AD1688" s="5" t="s">
        <v>43</v>
      </c>
      <c r="AE1688" s="5">
        <f t="shared" si="83"/>
        <v>4</v>
      </c>
      <c r="AF1688" s="5">
        <f t="shared" si="84"/>
        <v>2021</v>
      </c>
    </row>
    <row r="1689" s="5" customFormat="1" ht="13">
      <c r="A1689" s="5" t="s">
        <v>44</v>
      </c>
      <c r="B1689" s="5" t="s">
        <v>44</v>
      </c>
      <c r="C1689" s="5" t="s">
        <v>164</v>
      </c>
      <c r="D1689" s="5" t="s">
        <v>21</v>
      </c>
      <c r="E1689" s="5" t="s">
        <v>44</v>
      </c>
      <c r="F1689" s="5" t="s">
        <v>68</v>
      </c>
      <c r="G1689" s="5" t="s">
        <v>91</v>
      </c>
      <c r="H1689" s="9" t="s">
        <v>166</v>
      </c>
      <c r="I1689" s="10"/>
      <c r="J1689" s="10">
        <v>44316</v>
      </c>
      <c r="K1689" s="5" t="s">
        <v>124</v>
      </c>
      <c r="L1689" s="5" t="s">
        <v>58</v>
      </c>
      <c r="M1689" s="11">
        <v>0.092499999999999999</v>
      </c>
      <c r="N1689" s="5" t="e">
        <f>IF(AND(M1689&gt;#REF!,Cartera!O1689="Guaraníes"),"Rendimiento significativo",IF(AND(M1689&gt;#REF!,Cartera!O1689="Dólares americanos"),"Rendimiento significativo","Rendimiento no significativo"))</f>
        <v>#REF!</v>
      </c>
      <c r="O1689" s="5" t="s">
        <v>41</v>
      </c>
      <c r="P1689" s="12">
        <v>1140410.9589</v>
      </c>
      <c r="Q1689" s="12">
        <f>IF(O1689="Guaraníes",P1689,P1689*#REF!)</f>
        <v>1140410.9589</v>
      </c>
      <c r="R1689" s="12" t="e">
        <f>IF(O1689="Guaraníes",P1689/#REF!,P1689)</f>
        <v>#REF!</v>
      </c>
      <c r="S1689" s="5" t="s">
        <v>52</v>
      </c>
      <c r="T1689" s="5">
        <v>3253</v>
      </c>
      <c r="W1689" s="5" t="s">
        <v>65</v>
      </c>
      <c r="X1689" s="5">
        <v>0</v>
      </c>
      <c r="Y1689" s="5">
        <v>0</v>
      </c>
      <c r="Z1689" s="5">
        <v>7602.7397259999998</v>
      </c>
      <c r="AA1689" s="5">
        <v>150</v>
      </c>
      <c r="AB1689" s="5">
        <v>1140410.9589</v>
      </c>
      <c r="AC1689" s="5" t="str">
        <f t="shared" si="82"/>
        <v>Bonos</v>
      </c>
      <c r="AD1689" s="5" t="s">
        <v>43</v>
      </c>
      <c r="AE1689" s="5">
        <f t="shared" si="83"/>
        <v>4</v>
      </c>
      <c r="AF1689" s="5">
        <f t="shared" si="84"/>
        <v>2021</v>
      </c>
    </row>
    <row r="1690" s="5" customFormat="1" ht="13">
      <c r="A1690" s="5" t="s">
        <v>44</v>
      </c>
      <c r="B1690" s="5" t="s">
        <v>44</v>
      </c>
      <c r="C1690" s="5" t="s">
        <v>33</v>
      </c>
      <c r="D1690" s="5" t="s">
        <v>21</v>
      </c>
      <c r="E1690" s="5" t="s">
        <v>44</v>
      </c>
      <c r="F1690" s="5" t="s">
        <v>35</v>
      </c>
      <c r="G1690" s="5" t="s">
        <v>91</v>
      </c>
      <c r="H1690" s="9" t="s">
        <v>375</v>
      </c>
      <c r="I1690" s="10"/>
      <c r="J1690" s="10">
        <v>44341</v>
      </c>
      <c r="K1690" s="5" t="s">
        <v>39</v>
      </c>
      <c r="L1690" s="5" t="s">
        <v>50</v>
      </c>
      <c r="M1690" s="11">
        <v>0.0625</v>
      </c>
      <c r="N1690" s="5" t="e">
        <f>IF(AND(M1690&gt;#REF!,Cartera!O1690="Guaraníes"),"Rendimiento significativo",IF(AND(M1690&gt;#REF!,Cartera!O1690="Dólares americanos"),"Rendimiento significativo","Rendimiento no significativo"))</f>
        <v>#REF!</v>
      </c>
      <c r="O1690" s="5" t="s">
        <v>51</v>
      </c>
      <c r="P1690" s="13">
        <v>1052.8766999999998</v>
      </c>
      <c r="Q1690" s="12" t="e">
        <f>IF(O1690="Guaraníes",P1690,P1690*#REF!)</f>
        <v>#REF!</v>
      </c>
      <c r="R1690" s="12">
        <f>IF(O1690="Guaraníes",P1690/#REF!,P1690)</f>
        <v>1052.8766999999998</v>
      </c>
      <c r="S1690" s="5" t="s">
        <v>52</v>
      </c>
      <c r="T1690" s="5">
        <v>3253</v>
      </c>
      <c r="W1690" s="5" t="s">
        <v>65</v>
      </c>
      <c r="X1690" s="5">
        <v>0</v>
      </c>
      <c r="Y1690" s="5">
        <v>0</v>
      </c>
      <c r="Z1690" s="5">
        <v>35.095889999999997</v>
      </c>
      <c r="AA1690" s="5">
        <v>30</v>
      </c>
      <c r="AB1690" s="5">
        <v>1052.8767</v>
      </c>
      <c r="AC1690" s="5" t="str">
        <f t="shared" si="82"/>
        <v>Bonos</v>
      </c>
      <c r="AD1690" s="5" t="s">
        <v>43</v>
      </c>
      <c r="AE1690" s="5">
        <f t="shared" si="83"/>
        <v>5</v>
      </c>
      <c r="AF1690" s="5">
        <f t="shared" si="84"/>
        <v>2021</v>
      </c>
    </row>
    <row r="1691" s="5" customFormat="1" ht="13">
      <c r="A1691" s="5" t="s">
        <v>44</v>
      </c>
      <c r="B1691" s="5" t="s">
        <v>44</v>
      </c>
      <c r="C1691" s="5" t="s">
        <v>67</v>
      </c>
      <c r="D1691" s="5" t="s">
        <v>21</v>
      </c>
      <c r="E1691" s="5" t="s">
        <v>44</v>
      </c>
      <c r="F1691" s="5" t="s">
        <v>68</v>
      </c>
      <c r="G1691" s="5" t="s">
        <v>91</v>
      </c>
      <c r="H1691" s="9" t="s">
        <v>376</v>
      </c>
      <c r="I1691" s="10"/>
      <c r="J1691" s="10">
        <v>44342</v>
      </c>
      <c r="K1691" s="5" t="s">
        <v>71</v>
      </c>
      <c r="L1691" s="5" t="s">
        <v>58</v>
      </c>
      <c r="M1691" s="11">
        <v>0.089999999999999997</v>
      </c>
      <c r="N1691" s="5" t="e">
        <f>IF(AND(M1691&gt;#REF!,Cartera!O1691="Guaraníes"),"Rendimiento significativo",IF(AND(M1691&gt;#REF!,Cartera!O1691="Dólares americanos"),"Rendimiento significativo","Rendimiento no significativo"))</f>
        <v>#REF!</v>
      </c>
      <c r="O1691" s="5" t="s">
        <v>41</v>
      </c>
      <c r="P1691" s="12">
        <v>1346301.3698999998</v>
      </c>
      <c r="Q1691" s="12">
        <f>IF(O1691="Guaraníes",P1691,P1691*#REF!)</f>
        <v>1346301.3698999998</v>
      </c>
      <c r="R1691" s="12" t="e">
        <f>IF(O1691="Guaraníes",P1691/#REF!,P1691)</f>
        <v>#REF!</v>
      </c>
      <c r="S1691" s="5" t="s">
        <v>52</v>
      </c>
      <c r="T1691" s="5">
        <v>3253</v>
      </c>
      <c r="W1691" s="5" t="s">
        <v>65</v>
      </c>
      <c r="X1691" s="5">
        <v>0</v>
      </c>
      <c r="Y1691" s="5">
        <v>0</v>
      </c>
      <c r="Z1691" s="5">
        <v>13463.013698999999</v>
      </c>
      <c r="AA1691" s="5">
        <v>100</v>
      </c>
      <c r="AB1691" s="5">
        <v>1346301.3699</v>
      </c>
      <c r="AC1691" s="5" t="str">
        <f t="shared" si="82"/>
        <v>Bonos</v>
      </c>
      <c r="AD1691" s="5" t="s">
        <v>43</v>
      </c>
      <c r="AE1691" s="5">
        <f t="shared" si="83"/>
        <v>5</v>
      </c>
      <c r="AF1691" s="5">
        <f t="shared" si="84"/>
        <v>2021</v>
      </c>
    </row>
    <row r="1692" s="5" customFormat="1" ht="13">
      <c r="A1692" s="5" t="s">
        <v>44</v>
      </c>
      <c r="B1692" s="5" t="s">
        <v>44</v>
      </c>
      <c r="C1692" s="5" t="s">
        <v>176</v>
      </c>
      <c r="D1692" s="5" t="s">
        <v>21</v>
      </c>
      <c r="E1692" s="5" t="s">
        <v>44</v>
      </c>
      <c r="F1692" s="5" t="s">
        <v>68</v>
      </c>
      <c r="G1692" s="5" t="s">
        <v>91</v>
      </c>
      <c r="H1692" s="9" t="s">
        <v>177</v>
      </c>
      <c r="I1692" s="10"/>
      <c r="J1692" s="10">
        <v>44342</v>
      </c>
      <c r="K1692" s="5" t="s">
        <v>178</v>
      </c>
      <c r="L1692" s="5" t="s">
        <v>58</v>
      </c>
      <c r="M1692" s="11">
        <v>0.085000000000000006</v>
      </c>
      <c r="N1692" s="5" t="e">
        <f>IF(AND(M1692&gt;#REF!,Cartera!O1692="Guaraníes"),"Rendimiento significativo",IF(AND(M1692&gt;#REF!,Cartera!O1692="Dólares americanos"),"Rendimiento significativo","Rendimiento no significativo"))</f>
        <v>#REF!</v>
      </c>
      <c r="O1692" s="5" t="s">
        <v>51</v>
      </c>
      <c r="P1692" s="13">
        <v>560.95890000000009</v>
      </c>
      <c r="Q1692" s="12" t="e">
        <f>IF(O1692="Guaraníes",P1692,P1692*#REF!)</f>
        <v>#REF!</v>
      </c>
      <c r="R1692" s="12">
        <f>IF(O1692="Guaraníes",P1692/#REF!,P1692)</f>
        <v>560.95890000000009</v>
      </c>
      <c r="S1692" s="5" t="s">
        <v>52</v>
      </c>
      <c r="T1692" s="5">
        <v>3253</v>
      </c>
      <c r="W1692" s="5" t="s">
        <v>65</v>
      </c>
      <c r="X1692" s="5">
        <v>0</v>
      </c>
      <c r="Y1692" s="5">
        <v>0</v>
      </c>
      <c r="Z1692" s="5">
        <v>18.698630000000001</v>
      </c>
      <c r="AA1692" s="5">
        <v>30</v>
      </c>
      <c r="AB1692" s="5">
        <v>560.95889999999997</v>
      </c>
      <c r="AC1692" s="5" t="str">
        <f t="shared" si="82"/>
        <v>Bonos</v>
      </c>
      <c r="AD1692" s="5" t="s">
        <v>43</v>
      </c>
      <c r="AE1692" s="5">
        <f t="shared" si="83"/>
        <v>5</v>
      </c>
      <c r="AF1692" s="5">
        <f t="shared" si="84"/>
        <v>2021</v>
      </c>
    </row>
    <row r="1693" s="5" customFormat="1" ht="13">
      <c r="A1693" s="5" t="s">
        <v>44</v>
      </c>
      <c r="B1693" s="5" t="s">
        <v>44</v>
      </c>
      <c r="C1693" s="5" t="s">
        <v>222</v>
      </c>
      <c r="D1693" s="5" t="s">
        <v>21</v>
      </c>
      <c r="E1693" s="5" t="s">
        <v>44</v>
      </c>
      <c r="F1693" s="5" t="s">
        <v>68</v>
      </c>
      <c r="G1693" s="5" t="s">
        <v>91</v>
      </c>
      <c r="H1693" s="9" t="s">
        <v>223</v>
      </c>
      <c r="I1693" s="10"/>
      <c r="J1693" s="10">
        <v>44343</v>
      </c>
      <c r="K1693" s="5" t="s">
        <v>127</v>
      </c>
      <c r="L1693" s="5" t="s">
        <v>50</v>
      </c>
      <c r="M1693" s="11">
        <v>0.070000000000000007</v>
      </c>
      <c r="N1693" s="5" t="e">
        <f>IF(AND(M1693&gt;#REF!,Cartera!O1693="Guaraníes"),"Rendimiento significativo",IF(AND(M1693&gt;#REF!,Cartera!O1693="Dólares americanos"),"Rendimiento significativo","Rendimiento no significativo"))</f>
        <v>#REF!</v>
      </c>
      <c r="O1693" s="5" t="s">
        <v>51</v>
      </c>
      <c r="P1693" s="13">
        <v>1745.2055</v>
      </c>
      <c r="Q1693" s="12" t="e">
        <f>IF(O1693="Guaraníes",P1693,P1693*#REF!)</f>
        <v>#REF!</v>
      </c>
      <c r="R1693" s="12">
        <f>IF(O1693="Guaraníes",P1693/#REF!,P1693)</f>
        <v>1745.2055</v>
      </c>
      <c r="S1693" s="5" t="s">
        <v>52</v>
      </c>
      <c r="T1693" s="5">
        <v>3253</v>
      </c>
      <c r="W1693" s="5" t="s">
        <v>65</v>
      </c>
      <c r="X1693" s="5">
        <v>0</v>
      </c>
      <c r="Y1693" s="5">
        <v>0</v>
      </c>
      <c r="Z1693" s="5">
        <v>34.904110000000003</v>
      </c>
      <c r="AA1693" s="5">
        <v>50</v>
      </c>
      <c r="AB1693" s="5">
        <v>1745.2055</v>
      </c>
      <c r="AC1693" s="5" t="str">
        <f t="shared" si="82"/>
        <v>Bonos</v>
      </c>
      <c r="AD1693" s="5" t="s">
        <v>43</v>
      </c>
      <c r="AE1693" s="5">
        <f t="shared" si="83"/>
        <v>5</v>
      </c>
      <c r="AF1693" s="5">
        <f t="shared" si="84"/>
        <v>2021</v>
      </c>
    </row>
    <row r="1694" s="5" customFormat="1" ht="13">
      <c r="A1694" s="5" t="s">
        <v>44</v>
      </c>
      <c r="B1694" s="5" t="s">
        <v>44</v>
      </c>
      <c r="C1694" s="5" t="s">
        <v>143</v>
      </c>
      <c r="D1694" s="5" t="s">
        <v>21</v>
      </c>
      <c r="E1694" s="5" t="s">
        <v>44</v>
      </c>
      <c r="F1694" s="5" t="s">
        <v>144</v>
      </c>
      <c r="G1694" s="5" t="s">
        <v>91</v>
      </c>
      <c r="H1694" s="9" t="s">
        <v>380</v>
      </c>
      <c r="I1694" s="10"/>
      <c r="J1694" s="10">
        <v>44347</v>
      </c>
      <c r="K1694" s="5" t="s">
        <v>49</v>
      </c>
      <c r="L1694" s="5" t="s">
        <v>106</v>
      </c>
      <c r="M1694" s="11">
        <v>0.059999999999999998</v>
      </c>
      <c r="N1694" s="5" t="e">
        <f>IF(AND(M1694&gt;#REF!,Cartera!O1694="Guaraníes"),"Rendimiento significativo",IF(AND(M1694&gt;#REF!,Cartera!O1694="Dólares americanos"),"Rendimiento significativo","Rendimiento no significativo"))</f>
        <v>#REF!</v>
      </c>
      <c r="O1694" s="5" t="s">
        <v>51</v>
      </c>
      <c r="P1694" s="13">
        <v>50.9589</v>
      </c>
      <c r="Q1694" s="12" t="e">
        <f>IF(O1694="Guaraníes",P1694,P1694*#REF!)</f>
        <v>#REF!</v>
      </c>
      <c r="R1694" s="12">
        <f>IF(O1694="Guaraníes",P1694/#REF!,P1694)</f>
        <v>50.9589</v>
      </c>
      <c r="S1694" s="5" t="s">
        <v>52</v>
      </c>
      <c r="T1694" s="5">
        <v>3253</v>
      </c>
      <c r="W1694" s="5" t="s">
        <v>65</v>
      </c>
      <c r="X1694" s="5">
        <v>0</v>
      </c>
      <c r="Y1694" s="5">
        <v>0</v>
      </c>
      <c r="Z1694" s="5">
        <v>5.0958899999999998</v>
      </c>
      <c r="AA1694" s="5">
        <v>10</v>
      </c>
      <c r="AB1694" s="5">
        <v>50.9589</v>
      </c>
      <c r="AC1694" s="5" t="str">
        <f t="shared" si="82"/>
        <v>Bonos</v>
      </c>
      <c r="AD1694" s="5" t="s">
        <v>43</v>
      </c>
      <c r="AE1694" s="5">
        <f t="shared" si="83"/>
        <v>5</v>
      </c>
      <c r="AF1694" s="5">
        <f t="shared" si="84"/>
        <v>2021</v>
      </c>
    </row>
    <row r="1695" s="5" customFormat="1" ht="13">
      <c r="A1695" s="5" t="s">
        <v>44</v>
      </c>
      <c r="B1695" s="5" t="s">
        <v>44</v>
      </c>
      <c r="C1695" s="5" t="s">
        <v>164</v>
      </c>
      <c r="D1695" s="5" t="s">
        <v>21</v>
      </c>
      <c r="E1695" s="5" t="s">
        <v>44</v>
      </c>
      <c r="F1695" s="5" t="s">
        <v>68</v>
      </c>
      <c r="G1695" s="5" t="s">
        <v>91</v>
      </c>
      <c r="H1695" s="9" t="s">
        <v>166</v>
      </c>
      <c r="I1695" s="10"/>
      <c r="J1695" s="10">
        <v>44347</v>
      </c>
      <c r="K1695" s="5" t="s">
        <v>124</v>
      </c>
      <c r="L1695" s="5" t="s">
        <v>58</v>
      </c>
      <c r="M1695" s="11">
        <v>0.092499999999999999</v>
      </c>
      <c r="N1695" s="5" t="e">
        <f>IF(AND(M1695&gt;#REF!,Cartera!O1695="Guaraníes"),"Rendimiento significativo",IF(AND(M1695&gt;#REF!,Cartera!O1695="Dólares americanos"),"Rendimiento significativo","Rendimiento no significativo"))</f>
        <v>#REF!</v>
      </c>
      <c r="O1695" s="5" t="s">
        <v>41</v>
      </c>
      <c r="P1695" s="12">
        <v>1178424.6576</v>
      </c>
      <c r="Q1695" s="12">
        <f>IF(O1695="Guaraníes",P1695,P1695*#REF!)</f>
        <v>1178424.6576</v>
      </c>
      <c r="R1695" s="12" t="e">
        <f>IF(O1695="Guaraníes",P1695/#REF!,P1695)</f>
        <v>#REF!</v>
      </c>
      <c r="S1695" s="5" t="s">
        <v>52</v>
      </c>
      <c r="T1695" s="5">
        <v>3253</v>
      </c>
      <c r="W1695" s="5" t="s">
        <v>65</v>
      </c>
      <c r="X1695" s="5">
        <v>0</v>
      </c>
      <c r="Y1695" s="5">
        <v>0</v>
      </c>
      <c r="Z1695" s="5">
        <v>7856.1643839999997</v>
      </c>
      <c r="AA1695" s="5">
        <v>150</v>
      </c>
      <c r="AB1695" s="5">
        <v>1178424.6576</v>
      </c>
      <c r="AC1695" s="5" t="str">
        <f t="shared" si="82"/>
        <v>Bonos</v>
      </c>
      <c r="AD1695" s="5" t="s">
        <v>43</v>
      </c>
      <c r="AE1695" s="5">
        <f t="shared" si="83"/>
        <v>5</v>
      </c>
      <c r="AF1695" s="5">
        <f t="shared" si="84"/>
        <v>2021</v>
      </c>
    </row>
    <row r="1696" s="5" customFormat="1" ht="13">
      <c r="A1696" s="5" t="s">
        <v>44</v>
      </c>
      <c r="B1696" s="5" t="s">
        <v>44</v>
      </c>
      <c r="C1696" s="5" t="s">
        <v>143</v>
      </c>
      <c r="D1696" s="5" t="s">
        <v>21</v>
      </c>
      <c r="E1696" s="5" t="s">
        <v>44</v>
      </c>
      <c r="F1696" s="5" t="s">
        <v>144</v>
      </c>
      <c r="G1696" s="5" t="s">
        <v>91</v>
      </c>
      <c r="H1696" s="9" t="s">
        <v>380</v>
      </c>
      <c r="I1696" s="10"/>
      <c r="J1696" s="10">
        <v>44377</v>
      </c>
      <c r="K1696" s="5" t="s">
        <v>49</v>
      </c>
      <c r="L1696" s="5" t="s">
        <v>106</v>
      </c>
      <c r="M1696" s="11">
        <v>0.059999999999999998</v>
      </c>
      <c r="N1696" s="5" t="e">
        <f>IF(AND(M1696&gt;#REF!,Cartera!O1696="Guaraníes"),"Rendimiento significativo",IF(AND(M1696&gt;#REF!,Cartera!O1696="Dólares americanos"),"Rendimiento significativo","Rendimiento no significativo"))</f>
        <v>#REF!</v>
      </c>
      <c r="O1696" s="5" t="s">
        <v>51</v>
      </c>
      <c r="P1696" s="13">
        <v>49.315069999999999</v>
      </c>
      <c r="Q1696" s="12" t="e">
        <f>IF(O1696="Guaraníes",P1696,P1696*#REF!)</f>
        <v>#REF!</v>
      </c>
      <c r="R1696" s="12">
        <f>IF(O1696="Guaraníes",P1696/#REF!,P1696)</f>
        <v>49.315069999999999</v>
      </c>
      <c r="S1696" s="5" t="s">
        <v>52</v>
      </c>
      <c r="T1696" s="5">
        <v>3253</v>
      </c>
      <c r="W1696" s="5" t="s">
        <v>65</v>
      </c>
      <c r="X1696" s="5">
        <v>0</v>
      </c>
      <c r="Y1696" s="5">
        <v>0</v>
      </c>
      <c r="Z1696" s="5">
        <v>4.9315069999999999</v>
      </c>
      <c r="AA1696" s="5">
        <v>10</v>
      </c>
      <c r="AB1696" s="5">
        <v>49.315069999999999</v>
      </c>
      <c r="AC1696" s="5" t="str">
        <f t="shared" si="82"/>
        <v>Bonos</v>
      </c>
      <c r="AD1696" s="5" t="s">
        <v>43</v>
      </c>
      <c r="AE1696" s="5">
        <f t="shared" si="83"/>
        <v>6</v>
      </c>
      <c r="AF1696" s="5">
        <f t="shared" si="84"/>
        <v>2021</v>
      </c>
    </row>
    <row r="1697" s="5" customFormat="1" ht="13">
      <c r="A1697" s="5" t="s">
        <v>44</v>
      </c>
      <c r="B1697" s="5" t="s">
        <v>44</v>
      </c>
      <c r="C1697" s="5" t="s">
        <v>164</v>
      </c>
      <c r="D1697" s="5" t="s">
        <v>21</v>
      </c>
      <c r="E1697" s="5" t="s">
        <v>44</v>
      </c>
      <c r="F1697" s="5" t="s">
        <v>68</v>
      </c>
      <c r="G1697" s="5" t="s">
        <v>91</v>
      </c>
      <c r="H1697" s="9" t="s">
        <v>166</v>
      </c>
      <c r="I1697" s="10"/>
      <c r="J1697" s="10">
        <v>44377</v>
      </c>
      <c r="K1697" s="5" t="s">
        <v>124</v>
      </c>
      <c r="L1697" s="5" t="s">
        <v>58</v>
      </c>
      <c r="M1697" s="11">
        <v>0.092499999999999999</v>
      </c>
      <c r="N1697" s="5" t="e">
        <f>IF(AND(M1697&gt;#REF!,Cartera!O1697="Guaraníes"),"Rendimiento significativo",IF(AND(M1697&gt;#REF!,Cartera!O1697="Dólares americanos"),"Rendimiento significativo","Rendimiento no significativo"))</f>
        <v>#REF!</v>
      </c>
      <c r="O1697" s="5" t="s">
        <v>41</v>
      </c>
      <c r="P1697" s="12">
        <v>1140410.9589</v>
      </c>
      <c r="Q1697" s="12">
        <f>IF(O1697="Guaraníes",P1697,P1697*#REF!)</f>
        <v>1140410.9589</v>
      </c>
      <c r="R1697" s="12" t="e">
        <f>IF(O1697="Guaraníes",P1697/#REF!,P1697)</f>
        <v>#REF!</v>
      </c>
      <c r="S1697" s="5" t="s">
        <v>52</v>
      </c>
      <c r="T1697" s="5">
        <v>3253</v>
      </c>
      <c r="W1697" s="5" t="s">
        <v>65</v>
      </c>
      <c r="X1697" s="5">
        <v>0</v>
      </c>
      <c r="Y1697" s="5">
        <v>0</v>
      </c>
      <c r="Z1697" s="5">
        <v>7602.7397259999998</v>
      </c>
      <c r="AA1697" s="5">
        <v>150</v>
      </c>
      <c r="AB1697" s="5">
        <v>1140410.9589</v>
      </c>
      <c r="AC1697" s="5" t="str">
        <f t="shared" si="82"/>
        <v>Bonos</v>
      </c>
      <c r="AD1697" s="5" t="s">
        <v>43</v>
      </c>
      <c r="AE1697" s="5">
        <f t="shared" si="83"/>
        <v>6</v>
      </c>
      <c r="AF1697" s="5">
        <f t="shared" si="84"/>
        <v>2021</v>
      </c>
    </row>
    <row r="1698" s="5" customFormat="1" ht="13">
      <c r="A1698" s="5" t="s">
        <v>44</v>
      </c>
      <c r="B1698" s="5" t="s">
        <v>44</v>
      </c>
      <c r="C1698" s="5" t="s">
        <v>67</v>
      </c>
      <c r="D1698" s="5" t="s">
        <v>21</v>
      </c>
      <c r="E1698" s="5" t="s">
        <v>44</v>
      </c>
      <c r="F1698" s="5" t="s">
        <v>68</v>
      </c>
      <c r="G1698" s="5" t="s">
        <v>91</v>
      </c>
      <c r="H1698" s="9" t="s">
        <v>110</v>
      </c>
      <c r="I1698" s="10"/>
      <c r="J1698" s="10">
        <v>44397</v>
      </c>
      <c r="K1698" s="5" t="s">
        <v>71</v>
      </c>
      <c r="L1698" s="5" t="s">
        <v>58</v>
      </c>
      <c r="M1698" s="11">
        <v>0.089999999999999997</v>
      </c>
      <c r="N1698" s="5" t="e">
        <f>IF(AND(M1698&gt;#REF!,Cartera!O1698="Guaraníes"),"Rendimiento significativo",IF(AND(M1698&gt;#REF!,Cartera!O1698="Dólares americanos"),"Rendimiento significativo","Rendimiento no significativo"))</f>
        <v>#REF!</v>
      </c>
      <c r="O1698" s="5" t="s">
        <v>51</v>
      </c>
      <c r="P1698" s="13">
        <v>252.43150499999999</v>
      </c>
      <c r="Q1698" s="12" t="e">
        <f>IF(O1698="Guaraníes",P1698,P1698*#REF!)</f>
        <v>#REF!</v>
      </c>
      <c r="R1698" s="12">
        <f>IF(O1698="Guaraníes",P1698/#REF!,P1698)</f>
        <v>252.43150499999999</v>
      </c>
      <c r="S1698" s="5" t="s">
        <v>52</v>
      </c>
      <c r="T1698" s="5">
        <v>3253</v>
      </c>
      <c r="W1698" s="5" t="s">
        <v>65</v>
      </c>
      <c r="X1698" s="5">
        <v>0</v>
      </c>
      <c r="Y1698" s="5">
        <v>0</v>
      </c>
      <c r="Z1698" s="5">
        <v>16.828766999999999</v>
      </c>
      <c r="AA1698" s="5">
        <v>15</v>
      </c>
      <c r="AB1698" s="5">
        <v>252.43150499999999</v>
      </c>
      <c r="AC1698" s="5" t="str">
        <f t="shared" si="82"/>
        <v>Bonos</v>
      </c>
      <c r="AD1698" s="5" t="s">
        <v>43</v>
      </c>
      <c r="AE1698" s="5">
        <f t="shared" si="83"/>
        <v>7</v>
      </c>
      <c r="AF1698" s="5">
        <f t="shared" si="84"/>
        <v>2021</v>
      </c>
    </row>
    <row r="1699" s="5" customFormat="1" ht="13">
      <c r="A1699" s="5" t="s">
        <v>44</v>
      </c>
      <c r="B1699" s="5" t="s">
        <v>44</v>
      </c>
      <c r="C1699" s="5" t="s">
        <v>45</v>
      </c>
      <c r="D1699" s="5" t="s">
        <v>21</v>
      </c>
      <c r="E1699" s="5" t="s">
        <v>44</v>
      </c>
      <c r="F1699" s="5" t="s">
        <v>46</v>
      </c>
      <c r="G1699" s="5" t="s">
        <v>91</v>
      </c>
      <c r="H1699" s="9" t="s">
        <v>365</v>
      </c>
      <c r="I1699" s="10"/>
      <c r="J1699" s="10">
        <v>44399</v>
      </c>
      <c r="K1699" s="5" t="s">
        <v>49</v>
      </c>
      <c r="L1699" s="5" t="s">
        <v>58</v>
      </c>
      <c r="M1699" s="11">
        <v>0.059999999999999998</v>
      </c>
      <c r="N1699" s="5" t="e">
        <f>IF(AND(M1699&gt;#REF!,Cartera!O1699="Guaraníes"),"Rendimiento significativo",IF(AND(M1699&gt;#REF!,Cartera!O1699="Dólares americanos"),"Rendimiento significativo","Rendimiento no significativo"))</f>
        <v>#REF!</v>
      </c>
      <c r="O1699" s="5" t="s">
        <v>51</v>
      </c>
      <c r="P1699" s="13">
        <v>458.11643500000002</v>
      </c>
      <c r="Q1699" s="12" t="e">
        <f>IF(O1699="Guaraníes",P1699,P1699*#REF!)</f>
        <v>#REF!</v>
      </c>
      <c r="R1699" s="12">
        <f>IF(O1699="Guaraníes",P1699/#REF!,P1699)</f>
        <v>458.11643500000002</v>
      </c>
      <c r="S1699" s="5" t="s">
        <v>52</v>
      </c>
      <c r="T1699" s="5">
        <v>3253</v>
      </c>
      <c r="W1699" s="5" t="s">
        <v>65</v>
      </c>
      <c r="X1699" s="5">
        <v>0</v>
      </c>
      <c r="Y1699" s="5">
        <v>0</v>
      </c>
      <c r="Z1699" s="5">
        <v>13.089041</v>
      </c>
      <c r="AA1699" s="5">
        <v>35</v>
      </c>
      <c r="AB1699" s="5">
        <v>458.11643500000002</v>
      </c>
      <c r="AC1699" s="5" t="str">
        <f t="shared" si="82"/>
        <v>Bonos</v>
      </c>
      <c r="AD1699" s="5" t="s">
        <v>43</v>
      </c>
      <c r="AE1699" s="5">
        <f t="shared" si="83"/>
        <v>7</v>
      </c>
      <c r="AF1699" s="5">
        <f t="shared" si="84"/>
        <v>2021</v>
      </c>
    </row>
    <row r="1700" s="5" customFormat="1" ht="13">
      <c r="A1700" s="5" t="s">
        <v>44</v>
      </c>
      <c r="B1700" s="5" t="s">
        <v>44</v>
      </c>
      <c r="C1700" s="5" t="s">
        <v>89</v>
      </c>
      <c r="D1700" s="5" t="s">
        <v>21</v>
      </c>
      <c r="E1700" s="5" t="s">
        <v>44</v>
      </c>
      <c r="F1700" s="5" t="s">
        <v>90</v>
      </c>
      <c r="G1700" s="5" t="s">
        <v>91</v>
      </c>
      <c r="H1700" s="9" t="s">
        <v>92</v>
      </c>
      <c r="I1700" s="10"/>
      <c r="J1700" s="10">
        <v>44490</v>
      </c>
      <c r="K1700" s="5" t="s">
        <v>93</v>
      </c>
      <c r="L1700" s="5" t="s">
        <v>58</v>
      </c>
      <c r="M1700" s="11">
        <v>0.080000000000000002</v>
      </c>
      <c r="N1700" s="5" t="e">
        <f>IF(AND(M1700&gt;#REF!,Cartera!O1700="Guaraníes"),"Rendimiento significativo",IF(AND(M1700&gt;#REF!,Cartera!O1700="Dólares americanos"),"Rendimiento significativo","Rendimiento no significativo"))</f>
        <v>#REF!</v>
      </c>
      <c r="O1700" s="5" t="s">
        <v>51</v>
      </c>
      <c r="P1700" s="13">
        <v>299.17807500000004</v>
      </c>
      <c r="Q1700" s="12" t="e">
        <f>IF(O1700="Guaraníes",P1700,P1700*#REF!)</f>
        <v>#REF!</v>
      </c>
      <c r="R1700" s="12">
        <f>IF(O1700="Guaraníes",P1700/#REF!,P1700)</f>
        <v>299.17807500000004</v>
      </c>
      <c r="S1700" s="5" t="s">
        <v>52</v>
      </c>
      <c r="T1700" s="5">
        <v>3253</v>
      </c>
      <c r="W1700" s="5" t="s">
        <v>65</v>
      </c>
      <c r="X1700" s="5">
        <v>0</v>
      </c>
      <c r="Y1700" s="5">
        <v>0</v>
      </c>
      <c r="Z1700" s="5">
        <v>19.945205000000001</v>
      </c>
      <c r="AA1700" s="5">
        <v>15</v>
      </c>
      <c r="AB1700" s="5">
        <v>299.17807499999998</v>
      </c>
      <c r="AC1700" s="5" t="str">
        <f t="shared" si="82"/>
        <v>Bonos</v>
      </c>
      <c r="AD1700" s="5" t="s">
        <v>43</v>
      </c>
      <c r="AE1700" s="5">
        <f t="shared" si="83"/>
        <v>10</v>
      </c>
      <c r="AF1700" s="5">
        <f t="shared" si="84"/>
        <v>2021</v>
      </c>
    </row>
    <row r="1701" s="5" customFormat="1" ht="13">
      <c r="A1701" s="5" t="s">
        <v>44</v>
      </c>
      <c r="B1701" s="5" t="s">
        <v>44</v>
      </c>
      <c r="C1701" s="5" t="s">
        <v>143</v>
      </c>
      <c r="D1701" s="5" t="s">
        <v>21</v>
      </c>
      <c r="E1701" s="5" t="s">
        <v>44</v>
      </c>
      <c r="F1701" s="5" t="s">
        <v>144</v>
      </c>
      <c r="G1701" s="5" t="s">
        <v>91</v>
      </c>
      <c r="H1701" s="9" t="s">
        <v>380</v>
      </c>
      <c r="I1701" s="10"/>
      <c r="J1701" s="10">
        <v>44407</v>
      </c>
      <c r="K1701" s="5" t="s">
        <v>49</v>
      </c>
      <c r="L1701" s="5" t="s">
        <v>106</v>
      </c>
      <c r="M1701" s="11">
        <v>0.059999999999999998</v>
      </c>
      <c r="N1701" s="5" t="e">
        <f>IF(AND(M1701&gt;#REF!,Cartera!O1701="Guaraníes"),"Rendimiento significativo",IF(AND(M1701&gt;#REF!,Cartera!O1701="Dólares americanos"),"Rendimiento significativo","Rendimiento no significativo"))</f>
        <v>#REF!</v>
      </c>
      <c r="O1701" s="5" t="s">
        <v>51</v>
      </c>
      <c r="P1701" s="13">
        <v>49.315069999999999</v>
      </c>
      <c r="Q1701" s="12" t="e">
        <f>IF(O1701="Guaraníes",P1701,P1701*#REF!)</f>
        <v>#REF!</v>
      </c>
      <c r="R1701" s="12">
        <f>IF(O1701="Guaraníes",P1701/#REF!,P1701)</f>
        <v>49.315069999999999</v>
      </c>
      <c r="S1701" s="5" t="s">
        <v>52</v>
      </c>
      <c r="T1701" s="5">
        <v>3253</v>
      </c>
      <c r="W1701" s="5" t="s">
        <v>65</v>
      </c>
      <c r="X1701" s="5">
        <v>0</v>
      </c>
      <c r="Y1701" s="5">
        <v>0</v>
      </c>
      <c r="Z1701" s="5">
        <v>4.9315069999999999</v>
      </c>
      <c r="AA1701" s="5">
        <v>10</v>
      </c>
      <c r="AB1701" s="5">
        <v>49.315069999999999</v>
      </c>
      <c r="AC1701" s="5" t="str">
        <f t="shared" si="82"/>
        <v>Bonos</v>
      </c>
      <c r="AD1701" s="5" t="s">
        <v>43</v>
      </c>
      <c r="AE1701" s="5">
        <f t="shared" si="83"/>
        <v>7</v>
      </c>
      <c r="AF1701" s="5">
        <f t="shared" si="84"/>
        <v>2021</v>
      </c>
    </row>
    <row r="1702" s="5" customFormat="1" ht="13">
      <c r="A1702" s="5" t="s">
        <v>44</v>
      </c>
      <c r="B1702" s="5" t="s">
        <v>44</v>
      </c>
      <c r="C1702" s="5" t="s">
        <v>164</v>
      </c>
      <c r="D1702" s="5" t="s">
        <v>21</v>
      </c>
      <c r="E1702" s="5" t="s">
        <v>44</v>
      </c>
      <c r="F1702" s="5" t="s">
        <v>68</v>
      </c>
      <c r="G1702" s="5" t="s">
        <v>91</v>
      </c>
      <c r="H1702" s="9" t="s">
        <v>166</v>
      </c>
      <c r="I1702" s="10"/>
      <c r="J1702" s="10">
        <v>44407</v>
      </c>
      <c r="K1702" s="5" t="s">
        <v>124</v>
      </c>
      <c r="L1702" s="5" t="s">
        <v>58</v>
      </c>
      <c r="M1702" s="11">
        <v>0.092499999999999999</v>
      </c>
      <c r="N1702" s="5" t="e">
        <f>IF(AND(M1702&gt;#REF!,Cartera!O1702="Guaraníes"),"Rendimiento significativo",IF(AND(M1702&gt;#REF!,Cartera!O1702="Dólares americanos"),"Rendimiento significativo","Rendimiento no significativo"))</f>
        <v>#REF!</v>
      </c>
      <c r="O1702" s="5" t="s">
        <v>41</v>
      </c>
      <c r="P1702" s="12">
        <v>1140410.9589</v>
      </c>
      <c r="Q1702" s="12">
        <f>IF(O1702="Guaraníes",P1702,P1702*#REF!)</f>
        <v>1140410.9589</v>
      </c>
      <c r="R1702" s="12" t="e">
        <f>IF(O1702="Guaraníes",P1702/#REF!,P1702)</f>
        <v>#REF!</v>
      </c>
      <c r="S1702" s="5" t="s">
        <v>52</v>
      </c>
      <c r="T1702" s="5">
        <v>3253</v>
      </c>
      <c r="W1702" s="5" t="s">
        <v>65</v>
      </c>
      <c r="X1702" s="5">
        <v>0</v>
      </c>
      <c r="Y1702" s="5">
        <v>0</v>
      </c>
      <c r="Z1702" s="5">
        <v>7602.7397259999998</v>
      </c>
      <c r="AA1702" s="5">
        <v>150</v>
      </c>
      <c r="AB1702" s="5">
        <v>1140410.9589</v>
      </c>
      <c r="AC1702" s="5" t="str">
        <f t="shared" si="82"/>
        <v>Bonos</v>
      </c>
      <c r="AD1702" s="5" t="s">
        <v>43</v>
      </c>
      <c r="AE1702" s="5">
        <f t="shared" si="83"/>
        <v>7</v>
      </c>
      <c r="AF1702" s="5">
        <f t="shared" si="84"/>
        <v>2021</v>
      </c>
    </row>
    <row r="1703" s="5" customFormat="1" ht="13">
      <c r="A1703" s="5" t="s">
        <v>44</v>
      </c>
      <c r="B1703" s="5" t="s">
        <v>44</v>
      </c>
      <c r="C1703" s="5" t="s">
        <v>67</v>
      </c>
      <c r="D1703" s="5" t="s">
        <v>21</v>
      </c>
      <c r="E1703" s="5" t="s">
        <v>44</v>
      </c>
      <c r="F1703" s="5" t="s">
        <v>68</v>
      </c>
      <c r="G1703" s="5" t="s">
        <v>91</v>
      </c>
      <c r="H1703" s="9" t="s">
        <v>376</v>
      </c>
      <c r="I1703" s="10"/>
      <c r="J1703" s="10">
        <v>44433</v>
      </c>
      <c r="K1703" s="5" t="s">
        <v>71</v>
      </c>
      <c r="L1703" s="5" t="s">
        <v>58</v>
      </c>
      <c r="M1703" s="11">
        <v>0.089999999999999997</v>
      </c>
      <c r="N1703" s="5" t="e">
        <f>IF(AND(M1703&gt;#REF!,Cartera!O1703="Guaraníes"),"Rendimiento significativo",IF(AND(M1703&gt;#REF!,Cartera!O1703="Dólares americanos"),"Rendimiento significativo","Rendimiento no significativo"))</f>
        <v>#REF!</v>
      </c>
      <c r="O1703" s="5" t="s">
        <v>41</v>
      </c>
      <c r="P1703" s="12">
        <v>1346301.3698999998</v>
      </c>
      <c r="Q1703" s="12">
        <f>IF(O1703="Guaraníes",P1703,P1703*#REF!)</f>
        <v>1346301.3698999998</v>
      </c>
      <c r="R1703" s="12" t="e">
        <f>IF(O1703="Guaraníes",P1703/#REF!,P1703)</f>
        <v>#REF!</v>
      </c>
      <c r="S1703" s="5" t="s">
        <v>52</v>
      </c>
      <c r="T1703" s="5">
        <v>3253</v>
      </c>
      <c r="W1703" s="5" t="s">
        <v>65</v>
      </c>
      <c r="X1703" s="5">
        <v>0</v>
      </c>
      <c r="Y1703" s="5">
        <v>0</v>
      </c>
      <c r="Z1703" s="5">
        <v>13463.013698999999</v>
      </c>
      <c r="AA1703" s="5">
        <v>100</v>
      </c>
      <c r="AB1703" s="5">
        <v>1346301.3699</v>
      </c>
      <c r="AC1703" s="5" t="str">
        <f t="shared" si="82"/>
        <v>Bonos</v>
      </c>
      <c r="AD1703" s="5" t="s">
        <v>43</v>
      </c>
      <c r="AE1703" s="5">
        <f t="shared" si="83"/>
        <v>8</v>
      </c>
      <c r="AF1703" s="5">
        <f t="shared" si="84"/>
        <v>2021</v>
      </c>
    </row>
    <row r="1704" s="5" customFormat="1" ht="13">
      <c r="A1704" s="5" t="s">
        <v>44</v>
      </c>
      <c r="B1704" s="5" t="s">
        <v>44</v>
      </c>
      <c r="C1704" s="5" t="s">
        <v>176</v>
      </c>
      <c r="D1704" s="5" t="s">
        <v>21</v>
      </c>
      <c r="E1704" s="5" t="s">
        <v>44</v>
      </c>
      <c r="F1704" s="5" t="s">
        <v>68</v>
      </c>
      <c r="G1704" s="5" t="s">
        <v>91</v>
      </c>
      <c r="H1704" s="9" t="s">
        <v>177</v>
      </c>
      <c r="I1704" s="10"/>
      <c r="J1704" s="10">
        <v>44433</v>
      </c>
      <c r="K1704" s="5" t="s">
        <v>178</v>
      </c>
      <c r="L1704" s="5" t="s">
        <v>58</v>
      </c>
      <c r="M1704" s="11">
        <v>0.085000000000000006</v>
      </c>
      <c r="N1704" s="5" t="e">
        <f>IF(AND(M1704&gt;#REF!,Cartera!O1704="Guaraníes"),"Rendimiento significativo",IF(AND(M1704&gt;#REF!,Cartera!O1704="Dólares americanos"),"Rendimiento significativo","Rendimiento no significativo"))</f>
        <v>#REF!</v>
      </c>
      <c r="O1704" s="5" t="s">
        <v>51</v>
      </c>
      <c r="P1704" s="13">
        <v>560.95890000000009</v>
      </c>
      <c r="Q1704" s="12" t="e">
        <f>IF(O1704="Guaraníes",P1704,P1704*#REF!)</f>
        <v>#REF!</v>
      </c>
      <c r="R1704" s="12">
        <f>IF(O1704="Guaraníes",P1704/#REF!,P1704)</f>
        <v>560.95890000000009</v>
      </c>
      <c r="S1704" s="5" t="s">
        <v>52</v>
      </c>
      <c r="T1704" s="5">
        <v>3253</v>
      </c>
      <c r="W1704" s="5" t="s">
        <v>65</v>
      </c>
      <c r="X1704" s="5">
        <v>0</v>
      </c>
      <c r="Y1704" s="5">
        <v>0</v>
      </c>
      <c r="Z1704" s="5">
        <v>18.698630000000001</v>
      </c>
      <c r="AA1704" s="5">
        <v>30</v>
      </c>
      <c r="AB1704" s="5">
        <v>560.95889999999997</v>
      </c>
      <c r="AC1704" s="5" t="str">
        <f t="shared" si="82"/>
        <v>Bonos</v>
      </c>
      <c r="AD1704" s="5" t="s">
        <v>43</v>
      </c>
      <c r="AE1704" s="5">
        <f t="shared" si="83"/>
        <v>8</v>
      </c>
      <c r="AF1704" s="5">
        <f t="shared" si="84"/>
        <v>2021</v>
      </c>
    </row>
    <row r="1705" s="5" customFormat="1" ht="13">
      <c r="A1705" s="5" t="s">
        <v>44</v>
      </c>
      <c r="B1705" s="5" t="s">
        <v>44</v>
      </c>
      <c r="C1705" s="5" t="s">
        <v>143</v>
      </c>
      <c r="D1705" s="5" t="s">
        <v>21</v>
      </c>
      <c r="E1705" s="5" t="s">
        <v>44</v>
      </c>
      <c r="F1705" s="5" t="s">
        <v>144</v>
      </c>
      <c r="G1705" s="5" t="s">
        <v>91</v>
      </c>
      <c r="H1705" s="9" t="s">
        <v>380</v>
      </c>
      <c r="I1705" s="10"/>
      <c r="J1705" s="10">
        <v>44439</v>
      </c>
      <c r="K1705" s="5" t="s">
        <v>49</v>
      </c>
      <c r="L1705" s="5" t="s">
        <v>106</v>
      </c>
      <c r="M1705" s="11">
        <v>0.059999999999999998</v>
      </c>
      <c r="N1705" s="5" t="e">
        <f>IF(AND(M1705&gt;#REF!,Cartera!O1705="Guaraníes"),"Rendimiento significativo",IF(AND(M1705&gt;#REF!,Cartera!O1705="Dólares americanos"),"Rendimiento significativo","Rendimiento no significativo"))</f>
        <v>#REF!</v>
      </c>
      <c r="O1705" s="5" t="s">
        <v>51</v>
      </c>
      <c r="P1705" s="13">
        <v>52.602739999999997</v>
      </c>
      <c r="Q1705" s="12" t="e">
        <f>IF(O1705="Guaraníes",P1705,P1705*#REF!)</f>
        <v>#REF!</v>
      </c>
      <c r="R1705" s="12">
        <f>IF(O1705="Guaraníes",P1705/#REF!,P1705)</f>
        <v>52.602739999999997</v>
      </c>
      <c r="S1705" s="5" t="s">
        <v>52</v>
      </c>
      <c r="T1705" s="5">
        <v>3253</v>
      </c>
      <c r="W1705" s="5" t="s">
        <v>65</v>
      </c>
      <c r="X1705" s="5">
        <v>0</v>
      </c>
      <c r="Y1705" s="5">
        <v>0</v>
      </c>
      <c r="Z1705" s="5">
        <v>5.2602739999999999</v>
      </c>
      <c r="AA1705" s="5">
        <v>10</v>
      </c>
      <c r="AB1705" s="5">
        <v>52.602739999999997</v>
      </c>
      <c r="AC1705" s="5" t="str">
        <f t="shared" si="82"/>
        <v>Bonos</v>
      </c>
      <c r="AD1705" s="5" t="s">
        <v>43</v>
      </c>
      <c r="AE1705" s="5">
        <f t="shared" si="83"/>
        <v>8</v>
      </c>
      <c r="AF1705" s="5">
        <f t="shared" si="84"/>
        <v>2021</v>
      </c>
    </row>
    <row r="1706" s="5" customFormat="1" ht="13">
      <c r="A1706" s="5" t="s">
        <v>44</v>
      </c>
      <c r="B1706" s="5" t="s">
        <v>44</v>
      </c>
      <c r="C1706" s="5" t="s">
        <v>164</v>
      </c>
      <c r="D1706" s="5" t="s">
        <v>21</v>
      </c>
      <c r="E1706" s="5" t="s">
        <v>44</v>
      </c>
      <c r="F1706" s="5" t="s">
        <v>68</v>
      </c>
      <c r="G1706" s="5" t="s">
        <v>91</v>
      </c>
      <c r="H1706" s="9" t="s">
        <v>166</v>
      </c>
      <c r="I1706" s="10"/>
      <c r="J1706" s="10">
        <v>44439</v>
      </c>
      <c r="K1706" s="5" t="s">
        <v>124</v>
      </c>
      <c r="L1706" s="5" t="s">
        <v>58</v>
      </c>
      <c r="M1706" s="11">
        <v>0.092499999999999999</v>
      </c>
      <c r="N1706" s="5" t="e">
        <f>IF(AND(M1706&gt;#REF!,Cartera!O1706="Guaraníes"),"Rendimiento significativo",IF(AND(M1706&gt;#REF!,Cartera!O1706="Dólares americanos"),"Rendimiento significativo","Rendimiento no significativo"))</f>
        <v>#REF!</v>
      </c>
      <c r="O1706" s="5" t="s">
        <v>41</v>
      </c>
      <c r="P1706" s="12">
        <v>1216438.3561500001</v>
      </c>
      <c r="Q1706" s="12">
        <f>IF(O1706="Guaraníes",P1706,P1706*#REF!)</f>
        <v>1216438.3561500001</v>
      </c>
      <c r="R1706" s="12" t="e">
        <f>IF(O1706="Guaraníes",P1706/#REF!,P1706)</f>
        <v>#REF!</v>
      </c>
      <c r="S1706" s="5" t="s">
        <v>52</v>
      </c>
      <c r="T1706" s="5">
        <v>3253</v>
      </c>
      <c r="W1706" s="5" t="s">
        <v>65</v>
      </c>
      <c r="X1706" s="5">
        <v>0</v>
      </c>
      <c r="Y1706" s="5">
        <v>0</v>
      </c>
      <c r="Z1706" s="5">
        <v>8109.5890410000002</v>
      </c>
      <c r="AA1706" s="5">
        <v>150</v>
      </c>
      <c r="AB1706" s="5">
        <v>1216438.3561499999</v>
      </c>
      <c r="AC1706" s="5" t="str">
        <f t="shared" si="82"/>
        <v>Bonos</v>
      </c>
      <c r="AD1706" s="5" t="s">
        <v>43</v>
      </c>
      <c r="AE1706" s="5">
        <f t="shared" si="83"/>
        <v>8</v>
      </c>
      <c r="AF1706" s="5">
        <f t="shared" si="84"/>
        <v>2021</v>
      </c>
    </row>
    <row r="1707" s="5" customFormat="1" ht="13">
      <c r="A1707" s="5" t="s">
        <v>44</v>
      </c>
      <c r="B1707" s="5" t="s">
        <v>44</v>
      </c>
      <c r="C1707" s="5" t="s">
        <v>143</v>
      </c>
      <c r="D1707" s="5" t="s">
        <v>21</v>
      </c>
      <c r="E1707" s="5" t="s">
        <v>44</v>
      </c>
      <c r="F1707" s="5" t="s">
        <v>144</v>
      </c>
      <c r="G1707" s="5" t="s">
        <v>91</v>
      </c>
      <c r="H1707" s="9" t="s">
        <v>380</v>
      </c>
      <c r="I1707" s="10"/>
      <c r="J1707" s="10">
        <v>44469</v>
      </c>
      <c r="K1707" s="5" t="s">
        <v>49</v>
      </c>
      <c r="L1707" s="5" t="s">
        <v>106</v>
      </c>
      <c r="M1707" s="11">
        <v>0.059999999999999998</v>
      </c>
      <c r="N1707" s="5" t="e">
        <f>IF(AND(M1707&gt;#REF!,Cartera!O1707="Guaraníes"),"Rendimiento significativo",IF(AND(M1707&gt;#REF!,Cartera!O1707="Dólares americanos"),"Rendimiento significativo","Rendimiento no significativo"))</f>
        <v>#REF!</v>
      </c>
      <c r="O1707" s="5" t="s">
        <v>51</v>
      </c>
      <c r="P1707" s="13">
        <v>49.315069999999999</v>
      </c>
      <c r="Q1707" s="12" t="e">
        <f>IF(O1707="Guaraníes",P1707,P1707*#REF!)</f>
        <v>#REF!</v>
      </c>
      <c r="R1707" s="12">
        <f>IF(O1707="Guaraníes",P1707/#REF!,P1707)</f>
        <v>49.315069999999999</v>
      </c>
      <c r="S1707" s="5" t="s">
        <v>52</v>
      </c>
      <c r="T1707" s="5">
        <v>3253</v>
      </c>
      <c r="W1707" s="5" t="s">
        <v>65</v>
      </c>
      <c r="X1707" s="5">
        <v>0</v>
      </c>
      <c r="Y1707" s="5">
        <v>0</v>
      </c>
      <c r="Z1707" s="5">
        <v>4.9315069999999999</v>
      </c>
      <c r="AA1707" s="5">
        <v>10</v>
      </c>
      <c r="AB1707" s="5">
        <v>49.315069999999999</v>
      </c>
      <c r="AC1707" s="5" t="str">
        <f t="shared" si="82"/>
        <v>Bonos</v>
      </c>
      <c r="AD1707" s="5" t="s">
        <v>43</v>
      </c>
      <c r="AE1707" s="5">
        <f t="shared" si="83"/>
        <v>9</v>
      </c>
      <c r="AF1707" s="5">
        <f t="shared" si="84"/>
        <v>2021</v>
      </c>
    </row>
    <row r="1708" s="5" customFormat="1" ht="13">
      <c r="A1708" s="5" t="s">
        <v>44</v>
      </c>
      <c r="B1708" s="5" t="s">
        <v>44</v>
      </c>
      <c r="C1708" s="5" t="s">
        <v>164</v>
      </c>
      <c r="D1708" s="5" t="s">
        <v>21</v>
      </c>
      <c r="E1708" s="5" t="s">
        <v>44</v>
      </c>
      <c r="F1708" s="5" t="s">
        <v>68</v>
      </c>
      <c r="G1708" s="5" t="s">
        <v>91</v>
      </c>
      <c r="H1708" s="9" t="s">
        <v>166</v>
      </c>
      <c r="I1708" s="10"/>
      <c r="J1708" s="10">
        <v>44469</v>
      </c>
      <c r="K1708" s="5" t="s">
        <v>124</v>
      </c>
      <c r="L1708" s="5" t="s">
        <v>58</v>
      </c>
      <c r="M1708" s="11">
        <v>0.092499999999999999</v>
      </c>
      <c r="N1708" s="5" t="e">
        <f>IF(AND(M1708&gt;#REF!,Cartera!O1708="Guaraníes"),"Rendimiento significativo",IF(AND(M1708&gt;#REF!,Cartera!O1708="Dólares americanos"),"Rendimiento significativo","Rendimiento no significativo"))</f>
        <v>#REF!</v>
      </c>
      <c r="O1708" s="5" t="s">
        <v>41</v>
      </c>
      <c r="P1708" s="12">
        <v>1140410.9589</v>
      </c>
      <c r="Q1708" s="12">
        <f>IF(O1708="Guaraníes",P1708,P1708*#REF!)</f>
        <v>1140410.9589</v>
      </c>
      <c r="R1708" s="12" t="e">
        <f>IF(O1708="Guaraníes",P1708/#REF!,P1708)</f>
        <v>#REF!</v>
      </c>
      <c r="S1708" s="5" t="s">
        <v>52</v>
      </c>
      <c r="T1708" s="5">
        <v>3253</v>
      </c>
      <c r="W1708" s="5" t="s">
        <v>65</v>
      </c>
      <c r="X1708" s="5">
        <v>0</v>
      </c>
      <c r="Y1708" s="5">
        <v>0</v>
      </c>
      <c r="Z1708" s="5">
        <v>7602.7397259999998</v>
      </c>
      <c r="AA1708" s="5">
        <v>150</v>
      </c>
      <c r="AB1708" s="5">
        <v>1140410.9589</v>
      </c>
      <c r="AC1708" s="5" t="str">
        <f t="shared" si="82"/>
        <v>Bonos</v>
      </c>
      <c r="AD1708" s="5" t="s">
        <v>43</v>
      </c>
      <c r="AE1708" s="5">
        <f t="shared" si="83"/>
        <v>9</v>
      </c>
      <c r="AF1708" s="5">
        <f t="shared" si="84"/>
        <v>2021</v>
      </c>
    </row>
    <row r="1709" s="5" customFormat="1" ht="13">
      <c r="A1709" s="5" t="s">
        <v>44</v>
      </c>
      <c r="B1709" s="5" t="s">
        <v>44</v>
      </c>
      <c r="C1709" s="5" t="s">
        <v>67</v>
      </c>
      <c r="D1709" s="5" t="s">
        <v>21</v>
      </c>
      <c r="E1709" s="5" t="s">
        <v>44</v>
      </c>
      <c r="F1709" s="5" t="s">
        <v>68</v>
      </c>
      <c r="G1709" s="5" t="s">
        <v>91</v>
      </c>
      <c r="H1709" s="9" t="s">
        <v>110</v>
      </c>
      <c r="I1709" s="10"/>
      <c r="J1709" s="10">
        <v>44488</v>
      </c>
      <c r="K1709" s="5" t="s">
        <v>71</v>
      </c>
      <c r="L1709" s="5" t="s">
        <v>58</v>
      </c>
      <c r="M1709" s="11">
        <v>0.089999999999999997</v>
      </c>
      <c r="N1709" s="5" t="e">
        <f>IF(AND(M1709&gt;#REF!,Cartera!O1709="Guaraníes"),"Rendimiento significativo",IF(AND(M1709&gt;#REF!,Cartera!O1709="Dólares americanos"),"Rendimiento significativo","Rendimiento no significativo"))</f>
        <v>#REF!</v>
      </c>
      <c r="O1709" s="5" t="s">
        <v>51</v>
      </c>
      <c r="P1709" s="13">
        <v>252.43150499999999</v>
      </c>
      <c r="Q1709" s="12" t="e">
        <f>IF(O1709="Guaraníes",P1709,P1709*#REF!)</f>
        <v>#REF!</v>
      </c>
      <c r="R1709" s="12">
        <f>IF(O1709="Guaraníes",P1709/#REF!,P1709)</f>
        <v>252.43150499999999</v>
      </c>
      <c r="S1709" s="5" t="s">
        <v>52</v>
      </c>
      <c r="T1709" s="5">
        <v>3253</v>
      </c>
      <c r="W1709" s="5" t="s">
        <v>65</v>
      </c>
      <c r="X1709" s="5">
        <v>0</v>
      </c>
      <c r="Y1709" s="5">
        <v>0</v>
      </c>
      <c r="Z1709" s="5">
        <v>16.828766999999999</v>
      </c>
      <c r="AA1709" s="5">
        <v>15</v>
      </c>
      <c r="AB1709" s="5">
        <v>252.43150499999999</v>
      </c>
      <c r="AC1709" s="5" t="str">
        <f t="shared" si="82"/>
        <v>Bonos</v>
      </c>
      <c r="AD1709" s="5" t="s">
        <v>43</v>
      </c>
      <c r="AE1709" s="5">
        <f t="shared" si="83"/>
        <v>10</v>
      </c>
      <c r="AF1709" s="5">
        <f t="shared" si="84"/>
        <v>2021</v>
      </c>
    </row>
    <row r="1710" s="5" customFormat="1" ht="13">
      <c r="A1710" s="5" t="s">
        <v>44</v>
      </c>
      <c r="B1710" s="5" t="s">
        <v>44</v>
      </c>
      <c r="C1710" s="5" t="s">
        <v>45</v>
      </c>
      <c r="D1710" s="5" t="s">
        <v>21</v>
      </c>
      <c r="E1710" s="5" t="s">
        <v>44</v>
      </c>
      <c r="F1710" s="5" t="s">
        <v>46</v>
      </c>
      <c r="G1710" s="5" t="s">
        <v>91</v>
      </c>
      <c r="H1710" s="9" t="s">
        <v>365</v>
      </c>
      <c r="I1710" s="10"/>
      <c r="J1710" s="10">
        <v>44490</v>
      </c>
      <c r="K1710" s="5" t="s">
        <v>49</v>
      </c>
      <c r="L1710" s="5" t="s">
        <v>58</v>
      </c>
      <c r="M1710" s="11">
        <v>0.059999999999999998</v>
      </c>
      <c r="N1710" s="5" t="e">
        <f>IF(AND(M1710&gt;#REF!,Cartera!O1710="Guaraníes"),"Rendimiento significativo",IF(AND(M1710&gt;#REF!,Cartera!O1710="Dólares americanos"),"Rendimiento significativo","Rendimiento no significativo"))</f>
        <v>#REF!</v>
      </c>
      <c r="O1710" s="5" t="s">
        <v>51</v>
      </c>
      <c r="P1710" s="13">
        <v>458.11643500000002</v>
      </c>
      <c r="Q1710" s="12" t="e">
        <f>IF(O1710="Guaraníes",P1710,P1710*#REF!)</f>
        <v>#REF!</v>
      </c>
      <c r="R1710" s="12">
        <f>IF(O1710="Guaraníes",P1710/#REF!,P1710)</f>
        <v>458.11643500000002</v>
      </c>
      <c r="S1710" s="5" t="s">
        <v>52</v>
      </c>
      <c r="T1710" s="5">
        <v>3253</v>
      </c>
      <c r="W1710" s="5" t="s">
        <v>65</v>
      </c>
      <c r="X1710" s="5">
        <v>0</v>
      </c>
      <c r="Y1710" s="5">
        <v>0</v>
      </c>
      <c r="Z1710" s="5">
        <v>13.089041</v>
      </c>
      <c r="AA1710" s="5">
        <v>35</v>
      </c>
      <c r="AB1710" s="5">
        <v>458.11643500000002</v>
      </c>
      <c r="AC1710" s="5" t="str">
        <f t="shared" si="82"/>
        <v>Bonos</v>
      </c>
      <c r="AD1710" s="5" t="s">
        <v>43</v>
      </c>
      <c r="AE1710" s="5">
        <f t="shared" si="83"/>
        <v>10</v>
      </c>
      <c r="AF1710" s="5">
        <f t="shared" si="84"/>
        <v>2021</v>
      </c>
    </row>
    <row r="1711" s="5" customFormat="1" ht="13">
      <c r="A1711" s="5" t="s">
        <v>44</v>
      </c>
      <c r="B1711" s="5" t="s">
        <v>44</v>
      </c>
      <c r="C1711" s="5" t="s">
        <v>89</v>
      </c>
      <c r="D1711" s="5" t="s">
        <v>21</v>
      </c>
      <c r="E1711" s="5" t="s">
        <v>44</v>
      </c>
      <c r="F1711" s="5" t="s">
        <v>90</v>
      </c>
      <c r="G1711" s="5" t="s">
        <v>91</v>
      </c>
      <c r="H1711" s="9" t="s">
        <v>92</v>
      </c>
      <c r="I1711" s="10"/>
      <c r="J1711" s="10">
        <v>44490</v>
      </c>
      <c r="K1711" s="5" t="s">
        <v>93</v>
      </c>
      <c r="L1711" s="5" t="s">
        <v>58</v>
      </c>
      <c r="M1711" s="11">
        <v>0.080000000000000002</v>
      </c>
      <c r="N1711" s="5" t="e">
        <f>IF(AND(M1711&gt;#REF!,Cartera!O1711="Guaraníes"),"Rendimiento significativo",IF(AND(M1711&gt;#REF!,Cartera!O1711="Dólares americanos"),"Rendimiento significativo","Rendimiento no significativo"))</f>
        <v>#REF!</v>
      </c>
      <c r="O1711" s="5" t="s">
        <v>51</v>
      </c>
      <c r="P1711" s="13">
        <v>299.17807500000004</v>
      </c>
      <c r="Q1711" s="12" t="e">
        <f>IF(O1711="Guaraníes",P1711,P1711*#REF!)</f>
        <v>#REF!</v>
      </c>
      <c r="R1711" s="12">
        <f>IF(O1711="Guaraníes",P1711/#REF!,P1711)</f>
        <v>299.17807500000004</v>
      </c>
      <c r="S1711" s="5" t="s">
        <v>52</v>
      </c>
      <c r="T1711" s="5">
        <v>3253</v>
      </c>
      <c r="W1711" s="5" t="s">
        <v>65</v>
      </c>
      <c r="X1711" s="5">
        <v>0</v>
      </c>
      <c r="Y1711" s="5">
        <v>0</v>
      </c>
      <c r="Z1711" s="5">
        <v>19.945205000000001</v>
      </c>
      <c r="AA1711" s="5">
        <v>15</v>
      </c>
      <c r="AB1711" s="5">
        <v>299.17807499999998</v>
      </c>
      <c r="AC1711" s="5" t="str">
        <f t="shared" si="82"/>
        <v>Bonos</v>
      </c>
      <c r="AD1711" s="5" t="s">
        <v>43</v>
      </c>
      <c r="AE1711" s="5">
        <f t="shared" si="83"/>
        <v>10</v>
      </c>
      <c r="AF1711" s="5">
        <f t="shared" si="84"/>
        <v>2021</v>
      </c>
    </row>
    <row r="1712" s="5" customFormat="1" ht="13">
      <c r="A1712" s="5" t="s">
        <v>44</v>
      </c>
      <c r="B1712" s="5" t="s">
        <v>44</v>
      </c>
      <c r="C1712" s="5" t="s">
        <v>122</v>
      </c>
      <c r="D1712" s="5" t="s">
        <v>21</v>
      </c>
      <c r="E1712" s="5" t="s">
        <v>44</v>
      </c>
      <c r="F1712" s="5" t="s">
        <v>61</v>
      </c>
      <c r="G1712" s="5" t="s">
        <v>91</v>
      </c>
      <c r="H1712" s="9" t="s">
        <v>132</v>
      </c>
      <c r="I1712" s="10"/>
      <c r="J1712" s="10">
        <v>44496</v>
      </c>
      <c r="K1712" s="5" t="s">
        <v>124</v>
      </c>
      <c r="L1712" s="5" t="s">
        <v>50</v>
      </c>
      <c r="M1712" s="11">
        <v>0.059999999999999998</v>
      </c>
      <c r="N1712" s="5" t="e">
        <f>IF(AND(M1712&gt;#REF!,Cartera!O1712="Guaraníes"),"Rendimiento significativo",IF(AND(M1712&gt;#REF!,Cartera!O1712="Dólares americanos"),"Rendimiento significativo","Rendimiento no significativo"))</f>
        <v>#REF!</v>
      </c>
      <c r="O1712" s="5" t="s">
        <v>51</v>
      </c>
      <c r="P1712" s="13">
        <v>299.17808000000002</v>
      </c>
      <c r="Q1712" s="12" t="e">
        <f>IF(O1712="Guaraníes",P1712,P1712*#REF!)</f>
        <v>#REF!</v>
      </c>
      <c r="R1712" s="12">
        <f>IF(O1712="Guaraníes",P1712/#REF!,P1712)</f>
        <v>299.17808000000002</v>
      </c>
      <c r="S1712" s="5" t="s">
        <v>52</v>
      </c>
      <c r="T1712" s="5">
        <v>3253</v>
      </c>
      <c r="W1712" s="5" t="s">
        <v>65</v>
      </c>
      <c r="X1712" s="5">
        <v>0</v>
      </c>
      <c r="Y1712" s="5">
        <v>0</v>
      </c>
      <c r="Z1712" s="5">
        <v>29.917808000000001</v>
      </c>
      <c r="AA1712" s="5">
        <v>10</v>
      </c>
      <c r="AB1712" s="5">
        <v>299.17808000000002</v>
      </c>
      <c r="AC1712" s="5" t="str">
        <f t="shared" si="82"/>
        <v>Bonos</v>
      </c>
      <c r="AD1712" s="5" t="s">
        <v>43</v>
      </c>
      <c r="AE1712" s="5">
        <f t="shared" si="83"/>
        <v>10</v>
      </c>
      <c r="AF1712" s="5">
        <f t="shared" si="84"/>
        <v>2021</v>
      </c>
    </row>
    <row r="1713" s="5" customFormat="1" ht="13">
      <c r="A1713" s="5" t="s">
        <v>44</v>
      </c>
      <c r="B1713" s="5" t="s">
        <v>44</v>
      </c>
      <c r="C1713" s="5" t="s">
        <v>143</v>
      </c>
      <c r="D1713" s="5" t="s">
        <v>21</v>
      </c>
      <c r="E1713" s="5" t="s">
        <v>44</v>
      </c>
      <c r="F1713" s="5" t="s">
        <v>144</v>
      </c>
      <c r="G1713" s="5" t="s">
        <v>91</v>
      </c>
      <c r="H1713" s="9" t="s">
        <v>380</v>
      </c>
      <c r="I1713" s="10"/>
      <c r="J1713" s="10">
        <v>44498</v>
      </c>
      <c r="K1713" s="5" t="s">
        <v>49</v>
      </c>
      <c r="L1713" s="5" t="s">
        <v>106</v>
      </c>
      <c r="M1713" s="11">
        <v>0.059999999999999998</v>
      </c>
      <c r="N1713" s="5" t="e">
        <f>IF(AND(M1713&gt;#REF!,Cartera!O1713="Guaraníes"),"Rendimiento significativo",IF(AND(M1713&gt;#REF!,Cartera!O1713="Dólares americanos"),"Rendimiento significativo","Rendimiento no significativo"))</f>
        <v>#REF!</v>
      </c>
      <c r="O1713" s="5" t="s">
        <v>51</v>
      </c>
      <c r="P1713" s="13">
        <v>47.671229999999994</v>
      </c>
      <c r="Q1713" s="12" t="e">
        <f>IF(O1713="Guaraníes",P1713,P1713*#REF!)</f>
        <v>#REF!</v>
      </c>
      <c r="R1713" s="12">
        <f>IF(O1713="Guaraníes",P1713/#REF!,P1713)</f>
        <v>47.671229999999994</v>
      </c>
      <c r="S1713" s="5" t="s">
        <v>52</v>
      </c>
      <c r="T1713" s="5">
        <v>3253</v>
      </c>
      <c r="W1713" s="5" t="s">
        <v>65</v>
      </c>
      <c r="X1713" s="5">
        <v>0</v>
      </c>
      <c r="Y1713" s="5">
        <v>0</v>
      </c>
      <c r="Z1713" s="5">
        <v>4.7671229999999998</v>
      </c>
      <c r="AA1713" s="5">
        <v>10</v>
      </c>
      <c r="AB1713" s="5">
        <v>47.671230000000001</v>
      </c>
      <c r="AC1713" s="5" t="str">
        <f t="shared" si="82"/>
        <v>Bonos</v>
      </c>
      <c r="AD1713" s="5" t="s">
        <v>43</v>
      </c>
      <c r="AE1713" s="5">
        <f t="shared" si="83"/>
        <v>10</v>
      </c>
      <c r="AF1713" s="5">
        <f t="shared" si="84"/>
        <v>2021</v>
      </c>
    </row>
    <row r="1714" s="5" customFormat="1" ht="13">
      <c r="A1714" s="5" t="s">
        <v>44</v>
      </c>
      <c r="B1714" s="5" t="s">
        <v>44</v>
      </c>
      <c r="C1714" s="5" t="s">
        <v>164</v>
      </c>
      <c r="D1714" s="5" t="s">
        <v>21</v>
      </c>
      <c r="E1714" s="5" t="s">
        <v>44</v>
      </c>
      <c r="F1714" s="5" t="s">
        <v>68</v>
      </c>
      <c r="G1714" s="5" t="s">
        <v>91</v>
      </c>
      <c r="H1714" s="9" t="s">
        <v>166</v>
      </c>
      <c r="I1714" s="10"/>
      <c r="J1714" s="10">
        <v>44498</v>
      </c>
      <c r="K1714" s="5" t="s">
        <v>124</v>
      </c>
      <c r="L1714" s="5" t="s">
        <v>58</v>
      </c>
      <c r="M1714" s="11">
        <v>0.092499999999999999</v>
      </c>
      <c r="N1714" s="5" t="e">
        <f>IF(AND(M1714&gt;#REF!,Cartera!O1714="Guaraníes"),"Rendimiento significativo",IF(AND(M1714&gt;#REF!,Cartera!O1714="Dólares americanos"),"Rendimiento significativo","Rendimiento no significativo"))</f>
        <v>#REF!</v>
      </c>
      <c r="O1714" s="5" t="s">
        <v>41</v>
      </c>
      <c r="P1714" s="12">
        <v>1102397.2601999999</v>
      </c>
      <c r="Q1714" s="12">
        <f>IF(O1714="Guaraníes",P1714,P1714*#REF!)</f>
        <v>1102397.2601999999</v>
      </c>
      <c r="R1714" s="12" t="e">
        <f>IF(O1714="Guaraníes",P1714/#REF!,P1714)</f>
        <v>#REF!</v>
      </c>
      <c r="S1714" s="5" t="s">
        <v>52</v>
      </c>
      <c r="T1714" s="5">
        <v>3253</v>
      </c>
      <c r="W1714" s="5" t="s">
        <v>65</v>
      </c>
      <c r="X1714" s="5">
        <v>0</v>
      </c>
      <c r="Y1714" s="5">
        <v>0</v>
      </c>
      <c r="Z1714" s="5">
        <v>7349.3150679999999</v>
      </c>
      <c r="AA1714" s="5">
        <v>150</v>
      </c>
      <c r="AB1714" s="5">
        <v>1102397.2601999999</v>
      </c>
      <c r="AC1714" s="5" t="str">
        <f t="shared" si="82"/>
        <v>Bonos</v>
      </c>
      <c r="AD1714" s="5" t="s">
        <v>43</v>
      </c>
      <c r="AE1714" s="5">
        <f t="shared" si="83"/>
        <v>10</v>
      </c>
      <c r="AF1714" s="5">
        <f t="shared" si="84"/>
        <v>2021</v>
      </c>
    </row>
    <row r="1715" s="5" customFormat="1" ht="13">
      <c r="A1715" s="5" t="s">
        <v>44</v>
      </c>
      <c r="B1715" s="5" t="s">
        <v>44</v>
      </c>
      <c r="C1715" s="5" t="s">
        <v>33</v>
      </c>
      <c r="D1715" s="5" t="s">
        <v>21</v>
      </c>
      <c r="E1715" s="5" t="s">
        <v>44</v>
      </c>
      <c r="F1715" s="5" t="s">
        <v>35</v>
      </c>
      <c r="G1715" s="5" t="s">
        <v>91</v>
      </c>
      <c r="H1715" s="9" t="s">
        <v>375</v>
      </c>
      <c r="I1715" s="10"/>
      <c r="J1715" s="10">
        <v>44523</v>
      </c>
      <c r="K1715" s="5" t="s">
        <v>39</v>
      </c>
      <c r="L1715" s="5" t="s">
        <v>50</v>
      </c>
      <c r="M1715" s="11">
        <v>0.0625</v>
      </c>
      <c r="N1715" s="5" t="e">
        <f>IF(AND(M1715&gt;#REF!,Cartera!O1715="Guaraníes"),"Rendimiento significativo",IF(AND(M1715&gt;#REF!,Cartera!O1715="Dólares americanos"),"Rendimiento significativo","Rendimiento no significativo"))</f>
        <v>#REF!</v>
      </c>
      <c r="O1715" s="5" t="s">
        <v>51</v>
      </c>
      <c r="P1715" s="13">
        <v>1047.1233000000002</v>
      </c>
      <c r="Q1715" s="12" t="e">
        <f>IF(O1715="Guaraníes",P1715,P1715*#REF!)</f>
        <v>#REF!</v>
      </c>
      <c r="R1715" s="12">
        <f>IF(O1715="Guaraníes",P1715/#REF!,P1715)</f>
        <v>1047.1233000000002</v>
      </c>
      <c r="S1715" s="5" t="s">
        <v>52</v>
      </c>
      <c r="T1715" s="5">
        <v>3253</v>
      </c>
      <c r="W1715" s="5" t="s">
        <v>65</v>
      </c>
      <c r="X1715" s="5">
        <v>0</v>
      </c>
      <c r="Y1715" s="5">
        <v>0</v>
      </c>
      <c r="Z1715" s="5">
        <v>34.904110000000003</v>
      </c>
      <c r="AA1715" s="5">
        <v>30</v>
      </c>
      <c r="AB1715" s="5">
        <v>1047.1233</v>
      </c>
      <c r="AC1715" s="5" t="str">
        <f t="shared" si="82"/>
        <v>Bonos</v>
      </c>
      <c r="AD1715" s="5" t="s">
        <v>43</v>
      </c>
      <c r="AE1715" s="5">
        <f t="shared" si="83"/>
        <v>11</v>
      </c>
      <c r="AF1715" s="5">
        <f t="shared" si="84"/>
        <v>2021</v>
      </c>
    </row>
    <row r="1716" s="5" customFormat="1" ht="13">
      <c r="A1716" s="5" t="s">
        <v>44</v>
      </c>
      <c r="B1716" s="5" t="s">
        <v>44</v>
      </c>
      <c r="C1716" s="5" t="s">
        <v>67</v>
      </c>
      <c r="D1716" s="5" t="s">
        <v>21</v>
      </c>
      <c r="E1716" s="5" t="s">
        <v>44</v>
      </c>
      <c r="F1716" s="5" t="s">
        <v>68</v>
      </c>
      <c r="G1716" s="5" t="s">
        <v>91</v>
      </c>
      <c r="H1716" s="9" t="s">
        <v>376</v>
      </c>
      <c r="I1716" s="10"/>
      <c r="J1716" s="10">
        <v>44524</v>
      </c>
      <c r="K1716" s="5" t="s">
        <v>71</v>
      </c>
      <c r="L1716" s="5" t="s">
        <v>58</v>
      </c>
      <c r="M1716" s="11">
        <v>0.089999999999999997</v>
      </c>
      <c r="N1716" s="5" t="e">
        <f>IF(AND(M1716&gt;#REF!,Cartera!O1716="Guaraníes"),"Rendimiento significativo",IF(AND(M1716&gt;#REF!,Cartera!O1716="Dólares americanos"),"Rendimiento significativo","Rendimiento no significativo"))</f>
        <v>#REF!</v>
      </c>
      <c r="O1716" s="5" t="s">
        <v>41</v>
      </c>
      <c r="P1716" s="12">
        <v>1346301.3698999998</v>
      </c>
      <c r="Q1716" s="12">
        <f>IF(O1716="Guaraníes",P1716,P1716*#REF!)</f>
        <v>1346301.3698999998</v>
      </c>
      <c r="R1716" s="12" t="e">
        <f>IF(O1716="Guaraníes",P1716/#REF!,P1716)</f>
        <v>#REF!</v>
      </c>
      <c r="S1716" s="5" t="s">
        <v>52</v>
      </c>
      <c r="T1716" s="5">
        <v>3253</v>
      </c>
      <c r="W1716" s="5" t="s">
        <v>65</v>
      </c>
      <c r="X1716" s="5">
        <v>0</v>
      </c>
      <c r="Y1716" s="5">
        <v>0</v>
      </c>
      <c r="Z1716" s="5">
        <v>13463.013698999999</v>
      </c>
      <c r="AA1716" s="5">
        <v>100</v>
      </c>
      <c r="AB1716" s="5">
        <v>1346301.3699</v>
      </c>
      <c r="AC1716" s="5" t="str">
        <f t="shared" si="82"/>
        <v>Bonos</v>
      </c>
      <c r="AD1716" s="5" t="s">
        <v>43</v>
      </c>
      <c r="AE1716" s="5">
        <f t="shared" si="83"/>
        <v>11</v>
      </c>
      <c r="AF1716" s="5">
        <f t="shared" si="84"/>
        <v>2021</v>
      </c>
    </row>
    <row r="1717" s="5" customFormat="1" ht="13">
      <c r="A1717" s="5" t="s">
        <v>44</v>
      </c>
      <c r="B1717" s="5" t="s">
        <v>44</v>
      </c>
      <c r="C1717" s="5" t="s">
        <v>176</v>
      </c>
      <c r="D1717" s="5" t="s">
        <v>21</v>
      </c>
      <c r="E1717" s="5" t="s">
        <v>44</v>
      </c>
      <c r="F1717" s="5" t="s">
        <v>68</v>
      </c>
      <c r="G1717" s="5" t="s">
        <v>91</v>
      </c>
      <c r="H1717" s="9" t="s">
        <v>177</v>
      </c>
      <c r="I1717" s="10"/>
      <c r="J1717" s="10">
        <v>44524</v>
      </c>
      <c r="K1717" s="5" t="s">
        <v>178</v>
      </c>
      <c r="L1717" s="5" t="s">
        <v>58</v>
      </c>
      <c r="M1717" s="11">
        <v>0.085000000000000006</v>
      </c>
      <c r="N1717" s="5" t="e">
        <f>IF(AND(M1717&gt;#REF!,Cartera!O1717="Guaraníes"),"Rendimiento significativo",IF(AND(M1717&gt;#REF!,Cartera!O1717="Dólares americanos"),"Rendimiento significativo","Rendimiento no significativo"))</f>
        <v>#REF!</v>
      </c>
      <c r="O1717" s="5" t="s">
        <v>51</v>
      </c>
      <c r="P1717" s="13">
        <v>560.95890000000009</v>
      </c>
      <c r="Q1717" s="12" t="e">
        <f>IF(O1717="Guaraníes",P1717,P1717*#REF!)</f>
        <v>#REF!</v>
      </c>
      <c r="R1717" s="12">
        <f>IF(O1717="Guaraníes",P1717/#REF!,P1717)</f>
        <v>560.95890000000009</v>
      </c>
      <c r="S1717" s="5" t="s">
        <v>52</v>
      </c>
      <c r="T1717" s="5">
        <v>3253</v>
      </c>
      <c r="W1717" s="5" t="s">
        <v>65</v>
      </c>
      <c r="X1717" s="5">
        <v>0</v>
      </c>
      <c r="Y1717" s="5">
        <v>0</v>
      </c>
      <c r="Z1717" s="5">
        <v>18.698630000000001</v>
      </c>
      <c r="AA1717" s="5">
        <v>30</v>
      </c>
      <c r="AB1717" s="5">
        <v>560.95889999999997</v>
      </c>
      <c r="AC1717" s="5" t="str">
        <f t="shared" si="82"/>
        <v>Bonos</v>
      </c>
      <c r="AD1717" s="5" t="s">
        <v>43</v>
      </c>
      <c r="AE1717" s="5">
        <f t="shared" si="83"/>
        <v>11</v>
      </c>
      <c r="AF1717" s="5">
        <f t="shared" si="84"/>
        <v>2021</v>
      </c>
    </row>
    <row r="1718" s="5" customFormat="1" ht="13">
      <c r="A1718" s="5" t="s">
        <v>44</v>
      </c>
      <c r="B1718" s="5" t="s">
        <v>44</v>
      </c>
      <c r="C1718" s="5" t="s">
        <v>222</v>
      </c>
      <c r="D1718" s="5" t="s">
        <v>21</v>
      </c>
      <c r="E1718" s="5" t="s">
        <v>44</v>
      </c>
      <c r="F1718" s="5" t="s">
        <v>68</v>
      </c>
      <c r="G1718" s="5" t="s">
        <v>91</v>
      </c>
      <c r="H1718" s="9" t="s">
        <v>223</v>
      </c>
      <c r="I1718" s="10"/>
      <c r="J1718" s="10">
        <v>44525</v>
      </c>
      <c r="K1718" s="5" t="s">
        <v>127</v>
      </c>
      <c r="L1718" s="5" t="s">
        <v>50</v>
      </c>
      <c r="M1718" s="11">
        <v>0.070000000000000007</v>
      </c>
      <c r="N1718" s="5" t="e">
        <f>IF(AND(M1718&gt;#REF!,Cartera!O1718="Guaraníes"),"Rendimiento significativo",IF(AND(M1718&gt;#REF!,Cartera!O1718="Dólares americanos"),"Rendimiento significativo","Rendimiento no significativo"))</f>
        <v>#REF!</v>
      </c>
      <c r="O1718" s="5" t="s">
        <v>51</v>
      </c>
      <c r="P1718" s="13">
        <v>1745.2055</v>
      </c>
      <c r="Q1718" s="12" t="e">
        <f>IF(O1718="Guaraníes",P1718,P1718*#REF!)</f>
        <v>#REF!</v>
      </c>
      <c r="R1718" s="12">
        <f>IF(O1718="Guaraníes",P1718/#REF!,P1718)</f>
        <v>1745.2055</v>
      </c>
      <c r="S1718" s="5" t="s">
        <v>52</v>
      </c>
      <c r="T1718" s="5">
        <v>3253</v>
      </c>
      <c r="W1718" s="5" t="s">
        <v>65</v>
      </c>
      <c r="X1718" s="5">
        <v>0</v>
      </c>
      <c r="Y1718" s="5">
        <v>0</v>
      </c>
      <c r="Z1718" s="5">
        <v>34.904110000000003</v>
      </c>
      <c r="AA1718" s="5">
        <v>50</v>
      </c>
      <c r="AB1718" s="5">
        <v>1745.2055</v>
      </c>
      <c r="AC1718" s="5" t="str">
        <f t="shared" si="82"/>
        <v>Bonos</v>
      </c>
      <c r="AD1718" s="5" t="s">
        <v>43</v>
      </c>
      <c r="AE1718" s="5">
        <f t="shared" si="83"/>
        <v>11</v>
      </c>
      <c r="AF1718" s="5">
        <f t="shared" si="84"/>
        <v>2021</v>
      </c>
    </row>
    <row r="1719" s="5" customFormat="1" ht="13">
      <c r="A1719" s="5" t="s">
        <v>44</v>
      </c>
      <c r="B1719" s="5" t="s">
        <v>44</v>
      </c>
      <c r="C1719" s="5" t="s">
        <v>143</v>
      </c>
      <c r="D1719" s="5" t="s">
        <v>21</v>
      </c>
      <c r="E1719" s="5" t="s">
        <v>44</v>
      </c>
      <c r="F1719" s="5" t="s">
        <v>144</v>
      </c>
      <c r="G1719" s="5" t="s">
        <v>91</v>
      </c>
      <c r="H1719" s="9" t="s">
        <v>380</v>
      </c>
      <c r="I1719" s="10"/>
      <c r="J1719" s="10">
        <v>44530</v>
      </c>
      <c r="K1719" s="5" t="s">
        <v>49</v>
      </c>
      <c r="L1719" s="5" t="s">
        <v>106</v>
      </c>
      <c r="M1719" s="11">
        <v>0.059999999999999998</v>
      </c>
      <c r="N1719" s="5" t="e">
        <f>IF(AND(M1719&gt;#REF!,Cartera!O1719="Guaraníes"),"Rendimiento significativo",IF(AND(M1719&gt;#REF!,Cartera!O1719="Dólares americanos"),"Rendimiento significativo","Rendimiento no significativo"))</f>
        <v>#REF!</v>
      </c>
      <c r="O1719" s="5" t="s">
        <v>51</v>
      </c>
      <c r="P1719" s="13">
        <v>52.602739999999997</v>
      </c>
      <c r="Q1719" s="12" t="e">
        <f>IF(O1719="Guaraníes",P1719,P1719*#REF!)</f>
        <v>#REF!</v>
      </c>
      <c r="R1719" s="12">
        <f>IF(O1719="Guaraníes",P1719/#REF!,P1719)</f>
        <v>52.602739999999997</v>
      </c>
      <c r="S1719" s="5" t="s">
        <v>52</v>
      </c>
      <c r="T1719" s="5">
        <v>3253</v>
      </c>
      <c r="W1719" s="5" t="s">
        <v>65</v>
      </c>
      <c r="X1719" s="5">
        <v>0</v>
      </c>
      <c r="Y1719" s="5">
        <v>0</v>
      </c>
      <c r="Z1719" s="5">
        <v>5.2602739999999999</v>
      </c>
      <c r="AA1719" s="5">
        <v>10</v>
      </c>
      <c r="AB1719" s="5">
        <v>52.602739999999997</v>
      </c>
      <c r="AC1719" s="5" t="str">
        <f t="shared" ref="AC1719:AC1782" si="85">IF(ISNUMBER(SEARCH("Acciones",L1719)),"Acciones",IF(ISNUMBER(SEARCH("Bono",L1719)),"Bonos",IF(ISNUMBER(SEARCH("CDA",L1719)),"CDA",IF(ISNUMBER(SEARCH("Fondo",L1719)),"Fondo",0))))</f>
        <v>Bonos</v>
      </c>
      <c r="AD1719" s="5" t="s">
        <v>43</v>
      </c>
      <c r="AE1719" s="5">
        <f t="shared" si="83"/>
        <v>11</v>
      </c>
      <c r="AF1719" s="5">
        <f t="shared" si="84"/>
        <v>2021</v>
      </c>
    </row>
    <row r="1720" s="5" customFormat="1" ht="13">
      <c r="A1720" s="5" t="s">
        <v>44</v>
      </c>
      <c r="B1720" s="5" t="s">
        <v>44</v>
      </c>
      <c r="C1720" s="5" t="s">
        <v>164</v>
      </c>
      <c r="D1720" s="5" t="s">
        <v>21</v>
      </c>
      <c r="E1720" s="5" t="s">
        <v>44</v>
      </c>
      <c r="F1720" s="5" t="s">
        <v>68</v>
      </c>
      <c r="G1720" s="5" t="s">
        <v>91</v>
      </c>
      <c r="H1720" s="9" t="s">
        <v>166</v>
      </c>
      <c r="I1720" s="10"/>
      <c r="J1720" s="10">
        <v>44530</v>
      </c>
      <c r="K1720" s="5" t="s">
        <v>124</v>
      </c>
      <c r="L1720" s="5" t="s">
        <v>58</v>
      </c>
      <c r="M1720" s="11">
        <v>0.092499999999999999</v>
      </c>
      <c r="N1720" s="5" t="e">
        <f>IF(AND(M1720&gt;#REF!,Cartera!O1720="Guaraníes"),"Rendimiento significativo",IF(AND(M1720&gt;#REF!,Cartera!O1720="Dólares americanos"),"Rendimiento significativo","Rendimiento no significativo"))</f>
        <v>#REF!</v>
      </c>
      <c r="O1720" s="5" t="s">
        <v>41</v>
      </c>
      <c r="P1720" s="12">
        <v>1216438.3561500001</v>
      </c>
      <c r="Q1720" s="12">
        <f>IF(O1720="Guaraníes",P1720,P1720*#REF!)</f>
        <v>1216438.3561500001</v>
      </c>
      <c r="R1720" s="12" t="e">
        <f>IF(O1720="Guaraníes",P1720/#REF!,P1720)</f>
        <v>#REF!</v>
      </c>
      <c r="S1720" s="5" t="s">
        <v>52</v>
      </c>
      <c r="T1720" s="5">
        <v>3253</v>
      </c>
      <c r="W1720" s="5" t="s">
        <v>65</v>
      </c>
      <c r="X1720" s="5">
        <v>0</v>
      </c>
      <c r="Y1720" s="5">
        <v>0</v>
      </c>
      <c r="Z1720" s="5">
        <v>8109.5890410000002</v>
      </c>
      <c r="AA1720" s="5">
        <v>150</v>
      </c>
      <c r="AB1720" s="5">
        <v>1216438.3561499999</v>
      </c>
      <c r="AC1720" s="5" t="str">
        <f t="shared" si="85"/>
        <v>Bonos</v>
      </c>
      <c r="AD1720" s="5" t="s">
        <v>43</v>
      </c>
      <c r="AE1720" s="5">
        <f t="shared" si="83"/>
        <v>11</v>
      </c>
      <c r="AF1720" s="5">
        <f t="shared" si="84"/>
        <v>2021</v>
      </c>
    </row>
    <row r="1721" s="5" customFormat="1" ht="13">
      <c r="A1721" s="5" t="s">
        <v>44</v>
      </c>
      <c r="B1721" s="5" t="s">
        <v>44</v>
      </c>
      <c r="C1721" s="5" t="s">
        <v>67</v>
      </c>
      <c r="D1721" s="5" t="s">
        <v>21</v>
      </c>
      <c r="E1721" s="5" t="s">
        <v>44</v>
      </c>
      <c r="F1721" s="5" t="s">
        <v>68</v>
      </c>
      <c r="G1721" s="5" t="s">
        <v>91</v>
      </c>
      <c r="H1721" s="9" t="s">
        <v>376</v>
      </c>
      <c r="I1721" s="10"/>
      <c r="J1721" s="10">
        <v>44554</v>
      </c>
      <c r="K1721" s="5" t="s">
        <v>71</v>
      </c>
      <c r="L1721" s="5" t="s">
        <v>58</v>
      </c>
      <c r="M1721" s="11">
        <v>0.089999999999999997</v>
      </c>
      <c r="N1721" s="5" t="e">
        <f>IF(AND(M1721&gt;#REF!,Cartera!O1721="Guaraníes"),"Rendimiento significativo",IF(AND(M1721&gt;#REF!,Cartera!O1721="Dólares americanos"),"Rendimiento significativo","Rendimiento no significativo"))</f>
        <v>#REF!</v>
      </c>
      <c r="O1721" s="5" t="s">
        <v>41</v>
      </c>
      <c r="P1721" s="12">
        <v>10443835.6164</v>
      </c>
      <c r="Q1721" s="12">
        <f>IF(O1721="Guaraníes",P1721,P1721*#REF!)</f>
        <v>10443835.6164</v>
      </c>
      <c r="R1721" s="12" t="e">
        <f>IF(O1721="Guaraníes",P1721/#REF!,P1721)</f>
        <v>#REF!</v>
      </c>
      <c r="S1721" s="5" t="s">
        <v>52</v>
      </c>
      <c r="T1721" s="5">
        <v>3253</v>
      </c>
      <c r="W1721" s="5" t="s">
        <v>65</v>
      </c>
      <c r="X1721" s="5">
        <v>10</v>
      </c>
      <c r="Y1721" s="5">
        <v>100000</v>
      </c>
      <c r="Z1721" s="5">
        <v>104438.356164</v>
      </c>
      <c r="AA1721" s="5">
        <v>100</v>
      </c>
      <c r="AB1721" s="5">
        <v>10443835.6164</v>
      </c>
      <c r="AC1721" s="5" t="str">
        <f t="shared" si="85"/>
        <v>Bonos</v>
      </c>
      <c r="AD1721" s="5" t="s">
        <v>43</v>
      </c>
      <c r="AE1721" s="5">
        <f t="shared" si="83"/>
        <v>12</v>
      </c>
      <c r="AF1721" s="5">
        <f t="shared" si="84"/>
        <v>2021</v>
      </c>
    </row>
    <row r="1722" s="5" customFormat="1" ht="13">
      <c r="A1722" s="5" t="s">
        <v>44</v>
      </c>
      <c r="B1722" s="5" t="s">
        <v>44</v>
      </c>
      <c r="C1722" s="5" t="s">
        <v>143</v>
      </c>
      <c r="D1722" s="5" t="s">
        <v>21</v>
      </c>
      <c r="E1722" s="5" t="s">
        <v>44</v>
      </c>
      <c r="F1722" s="5" t="s">
        <v>144</v>
      </c>
      <c r="G1722" s="5" t="s">
        <v>91</v>
      </c>
      <c r="H1722" s="9" t="s">
        <v>380</v>
      </c>
      <c r="I1722" s="10"/>
      <c r="J1722" s="10">
        <v>44560</v>
      </c>
      <c r="K1722" s="5" t="s">
        <v>49</v>
      </c>
      <c r="L1722" s="5" t="s">
        <v>106</v>
      </c>
      <c r="M1722" s="11">
        <v>0.059999999999999998</v>
      </c>
      <c r="N1722" s="5" t="e">
        <f>IF(AND(M1722&gt;#REF!,Cartera!O1722="Guaraníes"),"Rendimiento significativo",IF(AND(M1722&gt;#REF!,Cartera!O1722="Dólares americanos"),"Rendimiento significativo","Rendimiento no significativo"))</f>
        <v>#REF!</v>
      </c>
      <c r="O1722" s="5" t="s">
        <v>51</v>
      </c>
      <c r="P1722" s="13">
        <v>49.315069999999999</v>
      </c>
      <c r="Q1722" s="12" t="e">
        <f>IF(O1722="Guaraníes",P1722,P1722*#REF!)</f>
        <v>#REF!</v>
      </c>
      <c r="R1722" s="12">
        <f>IF(O1722="Guaraníes",P1722/#REF!,P1722)</f>
        <v>49.315069999999999</v>
      </c>
      <c r="S1722" s="5" t="s">
        <v>52</v>
      </c>
      <c r="T1722" s="5">
        <v>3253</v>
      </c>
      <c r="W1722" s="5" t="s">
        <v>65</v>
      </c>
      <c r="X1722" s="5">
        <v>0</v>
      </c>
      <c r="Y1722" s="5">
        <v>0</v>
      </c>
      <c r="Z1722" s="5">
        <v>4.9315069999999999</v>
      </c>
      <c r="AA1722" s="5">
        <v>10</v>
      </c>
      <c r="AB1722" s="5">
        <v>49.315069999999999</v>
      </c>
      <c r="AC1722" s="5" t="str">
        <f t="shared" si="85"/>
        <v>Bonos</v>
      </c>
      <c r="AD1722" s="5" t="s">
        <v>43</v>
      </c>
      <c r="AE1722" s="5">
        <f t="shared" si="83"/>
        <v>12</v>
      </c>
      <c r="AF1722" s="5">
        <f t="shared" si="84"/>
        <v>2021</v>
      </c>
    </row>
    <row r="1723" s="5" customFormat="1" ht="13">
      <c r="A1723" s="5" t="s">
        <v>44</v>
      </c>
      <c r="B1723" s="5" t="s">
        <v>44</v>
      </c>
      <c r="C1723" s="5" t="s">
        <v>164</v>
      </c>
      <c r="D1723" s="5" t="s">
        <v>21</v>
      </c>
      <c r="E1723" s="5" t="s">
        <v>44</v>
      </c>
      <c r="F1723" s="5" t="s">
        <v>68</v>
      </c>
      <c r="G1723" s="5" t="s">
        <v>91</v>
      </c>
      <c r="H1723" s="9" t="s">
        <v>166</v>
      </c>
      <c r="I1723" s="10"/>
      <c r="J1723" s="10">
        <v>44560</v>
      </c>
      <c r="K1723" s="5" t="s">
        <v>124</v>
      </c>
      <c r="L1723" s="5" t="s">
        <v>58</v>
      </c>
      <c r="M1723" s="11">
        <v>0.092499999999999999</v>
      </c>
      <c r="N1723" s="5" t="e">
        <f>IF(AND(M1723&gt;#REF!,Cartera!O1723="Guaraníes"),"Rendimiento significativo",IF(AND(M1723&gt;#REF!,Cartera!O1723="Dólares americanos"),"Rendimiento significativo","Rendimiento no significativo"))</f>
        <v>#REF!</v>
      </c>
      <c r="O1723" s="5" t="s">
        <v>41</v>
      </c>
      <c r="P1723" s="12">
        <v>1140410.9589</v>
      </c>
      <c r="Q1723" s="12">
        <f>IF(O1723="Guaraníes",P1723,P1723*#REF!)</f>
        <v>1140410.9589</v>
      </c>
      <c r="R1723" s="12" t="e">
        <f>IF(O1723="Guaraníes",P1723/#REF!,P1723)</f>
        <v>#REF!</v>
      </c>
      <c r="S1723" s="5" t="s">
        <v>52</v>
      </c>
      <c r="T1723" s="5">
        <v>3253</v>
      </c>
      <c r="W1723" s="5" t="s">
        <v>65</v>
      </c>
      <c r="X1723" s="5">
        <v>0</v>
      </c>
      <c r="Y1723" s="5">
        <v>0</v>
      </c>
      <c r="Z1723" s="5">
        <v>7602.7397259999998</v>
      </c>
      <c r="AA1723" s="5">
        <v>150</v>
      </c>
      <c r="AB1723" s="5">
        <v>1140410.9589</v>
      </c>
      <c r="AC1723" s="5" t="str">
        <f t="shared" si="85"/>
        <v>Bonos</v>
      </c>
      <c r="AD1723" s="5" t="s">
        <v>43</v>
      </c>
      <c r="AE1723" s="5">
        <f t="shared" si="83"/>
        <v>12</v>
      </c>
      <c r="AF1723" s="5">
        <f t="shared" si="84"/>
        <v>2021</v>
      </c>
    </row>
    <row r="1724" s="5" customFormat="1" ht="13">
      <c r="A1724" s="5" t="s">
        <v>44</v>
      </c>
      <c r="B1724" s="5" t="s">
        <v>44</v>
      </c>
      <c r="C1724" s="5" t="s">
        <v>67</v>
      </c>
      <c r="D1724" s="5" t="s">
        <v>21</v>
      </c>
      <c r="E1724" s="5" t="s">
        <v>44</v>
      </c>
      <c r="F1724" s="5" t="s">
        <v>68</v>
      </c>
      <c r="G1724" s="5" t="s">
        <v>91</v>
      </c>
      <c r="H1724" s="9" t="s">
        <v>110</v>
      </c>
      <c r="I1724" s="10"/>
      <c r="J1724" s="10">
        <v>44579</v>
      </c>
      <c r="K1724" s="5" t="s">
        <v>71</v>
      </c>
      <c r="L1724" s="5" t="s">
        <v>58</v>
      </c>
      <c r="M1724" s="11">
        <v>0.089999999999999997</v>
      </c>
      <c r="N1724" s="5" t="e">
        <f>IF(AND(M1724&gt;#REF!,Cartera!O1724="Guaraníes"),"Rendimiento significativo",IF(AND(M1724&gt;#REF!,Cartera!O1724="Dólares americanos"),"Rendimiento significativo","Rendimiento no significativo"))</f>
        <v>#REF!</v>
      </c>
      <c r="O1724" s="5" t="s">
        <v>51</v>
      </c>
      <c r="P1724" s="13">
        <v>252.43150499999999</v>
      </c>
      <c r="Q1724" s="12" t="e">
        <f>IF(O1724="Guaraníes",P1724,P1724*#REF!)</f>
        <v>#REF!</v>
      </c>
      <c r="R1724" s="12">
        <f>IF(O1724="Guaraníes",P1724/#REF!,P1724)</f>
        <v>252.43150499999999</v>
      </c>
      <c r="S1724" s="5" t="s">
        <v>52</v>
      </c>
      <c r="T1724" s="5">
        <v>3253</v>
      </c>
      <c r="W1724" s="5" t="s">
        <v>65</v>
      </c>
      <c r="X1724" s="5">
        <v>0</v>
      </c>
      <c r="Y1724" s="5">
        <v>0</v>
      </c>
      <c r="Z1724" s="5">
        <v>16.828766999999999</v>
      </c>
      <c r="AA1724" s="5">
        <v>15</v>
      </c>
      <c r="AB1724" s="5">
        <v>252.43150499999999</v>
      </c>
      <c r="AC1724" s="5" t="str">
        <f t="shared" si="85"/>
        <v>Bonos</v>
      </c>
      <c r="AD1724" s="5" t="s">
        <v>43</v>
      </c>
      <c r="AE1724" s="5">
        <f t="shared" si="83"/>
        <v>1</v>
      </c>
      <c r="AF1724" s="5">
        <f t="shared" si="84"/>
        <v>2022</v>
      </c>
    </row>
    <row r="1725" s="5" customFormat="1" ht="13">
      <c r="A1725" s="5" t="s">
        <v>44</v>
      </c>
      <c r="B1725" s="5" t="s">
        <v>44</v>
      </c>
      <c r="C1725" s="5" t="s">
        <v>45</v>
      </c>
      <c r="D1725" s="5" t="s">
        <v>21</v>
      </c>
      <c r="E1725" s="5" t="s">
        <v>44</v>
      </c>
      <c r="F1725" s="5" t="s">
        <v>46</v>
      </c>
      <c r="G1725" s="5" t="s">
        <v>91</v>
      </c>
      <c r="H1725" s="9" t="s">
        <v>365</v>
      </c>
      <c r="I1725" s="10"/>
      <c r="J1725" s="10">
        <v>44581</v>
      </c>
      <c r="K1725" s="5" t="s">
        <v>49</v>
      </c>
      <c r="L1725" s="5" t="s">
        <v>58</v>
      </c>
      <c r="M1725" s="11">
        <v>0.059999999999999998</v>
      </c>
      <c r="N1725" s="5" t="e">
        <f>IF(AND(M1725&gt;#REF!,Cartera!O1725="Guaraníes"),"Rendimiento significativo",IF(AND(M1725&gt;#REF!,Cartera!O1725="Dólares americanos"),"Rendimiento significativo","Rendimiento no significativo"))</f>
        <v>#REF!</v>
      </c>
      <c r="O1725" s="5" t="s">
        <v>51</v>
      </c>
      <c r="P1725" s="13">
        <v>458.11643500000002</v>
      </c>
      <c r="Q1725" s="12" t="e">
        <f>IF(O1725="Guaraníes",P1725,P1725*#REF!)</f>
        <v>#REF!</v>
      </c>
      <c r="R1725" s="12">
        <f>IF(O1725="Guaraníes",P1725/#REF!,P1725)</f>
        <v>458.11643500000002</v>
      </c>
      <c r="S1725" s="5" t="s">
        <v>52</v>
      </c>
      <c r="T1725" s="5">
        <v>3253</v>
      </c>
      <c r="W1725" s="5" t="s">
        <v>65</v>
      </c>
      <c r="X1725" s="5">
        <v>0</v>
      </c>
      <c r="Y1725" s="5">
        <v>0</v>
      </c>
      <c r="Z1725" s="5">
        <v>13.089041</v>
      </c>
      <c r="AA1725" s="5">
        <v>35</v>
      </c>
      <c r="AB1725" s="5">
        <v>458.11643500000002</v>
      </c>
      <c r="AC1725" s="5" t="str">
        <f t="shared" si="85"/>
        <v>Bonos</v>
      </c>
      <c r="AD1725" s="5" t="s">
        <v>43</v>
      </c>
      <c r="AE1725" s="5">
        <f t="shared" si="83"/>
        <v>1</v>
      </c>
      <c r="AF1725" s="5">
        <f t="shared" si="84"/>
        <v>2022</v>
      </c>
    </row>
    <row r="1726" s="5" customFormat="1" ht="13">
      <c r="A1726" s="5" t="s">
        <v>44</v>
      </c>
      <c r="B1726" s="5" t="s">
        <v>44</v>
      </c>
      <c r="C1726" s="5" t="s">
        <v>89</v>
      </c>
      <c r="D1726" s="5" t="s">
        <v>21</v>
      </c>
      <c r="E1726" s="5" t="s">
        <v>44</v>
      </c>
      <c r="F1726" s="5" t="s">
        <v>90</v>
      </c>
      <c r="G1726" s="5" t="s">
        <v>91</v>
      </c>
      <c r="H1726" s="9" t="s">
        <v>92</v>
      </c>
      <c r="I1726" s="10"/>
      <c r="J1726" s="10">
        <v>44581</v>
      </c>
      <c r="K1726" s="5" t="s">
        <v>93</v>
      </c>
      <c r="L1726" s="5" t="s">
        <v>58</v>
      </c>
      <c r="M1726" s="11">
        <v>0.080000000000000002</v>
      </c>
      <c r="N1726" s="5" t="e">
        <f>IF(AND(M1726&gt;#REF!,Cartera!O1726="Guaraníes"),"Rendimiento significativo",IF(AND(M1726&gt;#REF!,Cartera!O1726="Dólares americanos"),"Rendimiento significativo","Rendimiento no significativo"))</f>
        <v>#REF!</v>
      </c>
      <c r="O1726" s="5" t="s">
        <v>51</v>
      </c>
      <c r="P1726" s="13">
        <v>299.17807500000004</v>
      </c>
      <c r="Q1726" s="12" t="e">
        <f>IF(O1726="Guaraníes",P1726,P1726*#REF!)</f>
        <v>#REF!</v>
      </c>
      <c r="R1726" s="12">
        <f>IF(O1726="Guaraníes",P1726/#REF!,P1726)</f>
        <v>299.17807500000004</v>
      </c>
      <c r="S1726" s="5" t="s">
        <v>52</v>
      </c>
      <c r="T1726" s="5">
        <v>3253</v>
      </c>
      <c r="W1726" s="5" t="s">
        <v>65</v>
      </c>
      <c r="X1726" s="5">
        <v>0</v>
      </c>
      <c r="Y1726" s="5">
        <v>0</v>
      </c>
      <c r="Z1726" s="5">
        <v>19.945205000000001</v>
      </c>
      <c r="AA1726" s="5">
        <v>15</v>
      </c>
      <c r="AB1726" s="5">
        <v>299.17807499999998</v>
      </c>
      <c r="AC1726" s="5" t="str">
        <f t="shared" si="85"/>
        <v>Bonos</v>
      </c>
      <c r="AD1726" s="5" t="s">
        <v>43</v>
      </c>
      <c r="AE1726" s="5">
        <f t="shared" si="83"/>
        <v>1</v>
      </c>
      <c r="AF1726" s="5">
        <f t="shared" si="84"/>
        <v>2022</v>
      </c>
    </row>
    <row r="1727" s="5" customFormat="1" ht="13">
      <c r="A1727" s="5" t="s">
        <v>44</v>
      </c>
      <c r="B1727" s="5" t="s">
        <v>44</v>
      </c>
      <c r="C1727" s="5" t="s">
        <v>67</v>
      </c>
      <c r="D1727" s="5" t="s">
        <v>21</v>
      </c>
      <c r="E1727" s="5" t="s">
        <v>44</v>
      </c>
      <c r="F1727" s="5" t="s">
        <v>68</v>
      </c>
      <c r="G1727" s="5" t="s">
        <v>91</v>
      </c>
      <c r="H1727" s="9" t="s">
        <v>376</v>
      </c>
      <c r="I1727" s="10"/>
      <c r="J1727" s="10">
        <v>44586</v>
      </c>
      <c r="K1727" s="5" t="s">
        <v>71</v>
      </c>
      <c r="L1727" s="5" t="s">
        <v>58</v>
      </c>
      <c r="M1727" s="11">
        <v>0.089999999999999997</v>
      </c>
      <c r="N1727" s="5" t="e">
        <f>IF(AND(M1727&gt;#REF!,Cartera!O1727="Guaraníes"),"Rendimiento significativo",IF(AND(M1727&gt;#REF!,Cartera!O1727="Dólares americanos"),"Rendimiento significativo","Rendimiento no significativo"))</f>
        <v>#REF!</v>
      </c>
      <c r="O1727" s="5" t="s">
        <v>41</v>
      </c>
      <c r="P1727" s="12">
        <v>10394520.547899999</v>
      </c>
      <c r="Q1727" s="12">
        <f>IF(O1727="Guaraníes",P1727,P1727*#REF!)</f>
        <v>10394520.547899999</v>
      </c>
      <c r="R1727" s="12" t="e">
        <f>IF(O1727="Guaraníes",P1727/#REF!,P1727)</f>
        <v>#REF!</v>
      </c>
      <c r="S1727" s="5" t="s">
        <v>52</v>
      </c>
      <c r="T1727" s="5">
        <v>3253</v>
      </c>
      <c r="W1727" s="5" t="s">
        <v>65</v>
      </c>
      <c r="X1727" s="5">
        <v>10</v>
      </c>
      <c r="Y1727" s="5">
        <v>100000</v>
      </c>
      <c r="Z1727" s="5">
        <v>103945.205479</v>
      </c>
      <c r="AA1727" s="5">
        <v>100</v>
      </c>
      <c r="AB1727" s="5">
        <v>10394520.547900001</v>
      </c>
      <c r="AC1727" s="5" t="str">
        <f t="shared" si="85"/>
        <v>Bonos</v>
      </c>
      <c r="AD1727" s="5" t="s">
        <v>43</v>
      </c>
      <c r="AE1727" s="5">
        <f t="shared" si="83"/>
        <v>1</v>
      </c>
      <c r="AF1727" s="5">
        <f t="shared" si="84"/>
        <v>2022</v>
      </c>
    </row>
    <row r="1728" s="5" customFormat="1" ht="13">
      <c r="A1728" s="5" t="s">
        <v>44</v>
      </c>
      <c r="B1728" s="5" t="s">
        <v>44</v>
      </c>
      <c r="C1728" s="5" t="s">
        <v>143</v>
      </c>
      <c r="D1728" s="5" t="s">
        <v>21</v>
      </c>
      <c r="E1728" s="5" t="s">
        <v>44</v>
      </c>
      <c r="F1728" s="5" t="s">
        <v>144</v>
      </c>
      <c r="G1728" s="5" t="s">
        <v>91</v>
      </c>
      <c r="H1728" s="9" t="s">
        <v>380</v>
      </c>
      <c r="I1728" s="10"/>
      <c r="J1728" s="10">
        <v>44592</v>
      </c>
      <c r="K1728" s="5" t="s">
        <v>49</v>
      </c>
      <c r="L1728" s="5" t="s">
        <v>106</v>
      </c>
      <c r="M1728" s="11">
        <v>0.059999999999999998</v>
      </c>
      <c r="N1728" s="5" t="e">
        <f>IF(AND(M1728&gt;#REF!,Cartera!O1728="Guaraníes"),"Rendimiento significativo",IF(AND(M1728&gt;#REF!,Cartera!O1728="Dólares americanos"),"Rendimiento significativo","Rendimiento no significativo"))</f>
        <v>#REF!</v>
      </c>
      <c r="O1728" s="5" t="s">
        <v>51</v>
      </c>
      <c r="P1728" s="13">
        <v>52.602739999999997</v>
      </c>
      <c r="Q1728" s="12" t="e">
        <f>IF(O1728="Guaraníes",P1728,P1728*#REF!)</f>
        <v>#REF!</v>
      </c>
      <c r="R1728" s="12">
        <f>IF(O1728="Guaraníes",P1728/#REF!,P1728)</f>
        <v>52.602739999999997</v>
      </c>
      <c r="S1728" s="5" t="s">
        <v>52</v>
      </c>
      <c r="T1728" s="5">
        <v>3253</v>
      </c>
      <c r="W1728" s="5" t="s">
        <v>65</v>
      </c>
      <c r="X1728" s="5">
        <v>0</v>
      </c>
      <c r="Y1728" s="5">
        <v>0</v>
      </c>
      <c r="Z1728" s="5">
        <v>5.2602739999999999</v>
      </c>
      <c r="AA1728" s="5">
        <v>10</v>
      </c>
      <c r="AB1728" s="5">
        <v>52.602739999999997</v>
      </c>
      <c r="AC1728" s="5" t="str">
        <f t="shared" si="85"/>
        <v>Bonos</v>
      </c>
      <c r="AD1728" s="5" t="s">
        <v>43</v>
      </c>
      <c r="AE1728" s="5">
        <f t="shared" si="83"/>
        <v>1</v>
      </c>
      <c r="AF1728" s="5">
        <f t="shared" si="84"/>
        <v>2022</v>
      </c>
    </row>
    <row r="1729" s="5" customFormat="1" ht="13">
      <c r="A1729" s="5" t="s">
        <v>44</v>
      </c>
      <c r="B1729" s="5" t="s">
        <v>44</v>
      </c>
      <c r="C1729" s="5" t="s">
        <v>164</v>
      </c>
      <c r="D1729" s="5" t="s">
        <v>21</v>
      </c>
      <c r="E1729" s="5" t="s">
        <v>44</v>
      </c>
      <c r="F1729" s="5" t="s">
        <v>68</v>
      </c>
      <c r="G1729" s="5" t="s">
        <v>91</v>
      </c>
      <c r="H1729" s="9" t="s">
        <v>166</v>
      </c>
      <c r="I1729" s="10"/>
      <c r="J1729" s="10">
        <v>44592</v>
      </c>
      <c r="K1729" s="5" t="s">
        <v>124</v>
      </c>
      <c r="L1729" s="5" t="s">
        <v>58</v>
      </c>
      <c r="M1729" s="11">
        <v>0.092499999999999999</v>
      </c>
      <c r="N1729" s="5" t="e">
        <f>IF(AND(M1729&gt;#REF!,Cartera!O1729="Guaraníes"),"Rendimiento significativo",IF(AND(M1729&gt;#REF!,Cartera!O1729="Dólares americanos"),"Rendimiento significativo","Rendimiento no significativo"))</f>
        <v>#REF!</v>
      </c>
      <c r="O1729" s="5" t="s">
        <v>41</v>
      </c>
      <c r="P1729" s="12">
        <v>1216438.3561500001</v>
      </c>
      <c r="Q1729" s="12">
        <f>IF(O1729="Guaraníes",P1729,P1729*#REF!)</f>
        <v>1216438.3561500001</v>
      </c>
      <c r="R1729" s="12" t="e">
        <f>IF(O1729="Guaraníes",P1729/#REF!,P1729)</f>
        <v>#REF!</v>
      </c>
      <c r="S1729" s="5" t="s">
        <v>52</v>
      </c>
      <c r="T1729" s="5">
        <v>3253</v>
      </c>
      <c r="W1729" s="5" t="s">
        <v>65</v>
      </c>
      <c r="X1729" s="5">
        <v>0</v>
      </c>
      <c r="Y1729" s="5">
        <v>0</v>
      </c>
      <c r="Z1729" s="5">
        <v>8109.5890410000002</v>
      </c>
      <c r="AA1729" s="5">
        <v>150</v>
      </c>
      <c r="AB1729" s="5">
        <v>1216438.3561499999</v>
      </c>
      <c r="AC1729" s="5" t="str">
        <f t="shared" si="85"/>
        <v>Bonos</v>
      </c>
      <c r="AD1729" s="5" t="s">
        <v>43</v>
      </c>
      <c r="AE1729" s="5">
        <f t="shared" si="83"/>
        <v>1</v>
      </c>
      <c r="AF1729" s="5">
        <f t="shared" si="84"/>
        <v>2022</v>
      </c>
    </row>
    <row r="1730" s="5" customFormat="1" ht="13">
      <c r="A1730" s="5" t="s">
        <v>44</v>
      </c>
      <c r="B1730" s="5" t="s">
        <v>44</v>
      </c>
      <c r="C1730" s="5" t="s">
        <v>176</v>
      </c>
      <c r="D1730" s="5" t="s">
        <v>21</v>
      </c>
      <c r="E1730" s="5" t="s">
        <v>44</v>
      </c>
      <c r="F1730" s="5" t="s">
        <v>68</v>
      </c>
      <c r="G1730" s="5" t="s">
        <v>91</v>
      </c>
      <c r="H1730" s="9" t="s">
        <v>177</v>
      </c>
      <c r="I1730" s="10"/>
      <c r="J1730" s="10">
        <v>44615</v>
      </c>
      <c r="K1730" s="5" t="s">
        <v>178</v>
      </c>
      <c r="L1730" s="5" t="s">
        <v>58</v>
      </c>
      <c r="M1730" s="11">
        <v>0.085000000000000006</v>
      </c>
      <c r="N1730" s="5" t="e">
        <f>IF(AND(M1730&gt;#REF!,Cartera!O1730="Guaraníes"),"Rendimiento significativo",IF(AND(M1730&gt;#REF!,Cartera!O1730="Dólares americanos"),"Rendimiento significativo","Rendimiento no significativo"))</f>
        <v>#REF!</v>
      </c>
      <c r="O1730" s="5" t="s">
        <v>51</v>
      </c>
      <c r="P1730" s="13">
        <v>560.95890000000009</v>
      </c>
      <c r="Q1730" s="12" t="e">
        <f>IF(O1730="Guaraníes",P1730,P1730*#REF!)</f>
        <v>#REF!</v>
      </c>
      <c r="R1730" s="12">
        <f>IF(O1730="Guaraníes",P1730/#REF!,P1730)</f>
        <v>560.95890000000009</v>
      </c>
      <c r="S1730" s="5" t="s">
        <v>52</v>
      </c>
      <c r="T1730" s="5">
        <v>3253</v>
      </c>
      <c r="W1730" s="5" t="s">
        <v>65</v>
      </c>
      <c r="X1730" s="5">
        <v>0</v>
      </c>
      <c r="Y1730" s="5">
        <v>0</v>
      </c>
      <c r="Z1730" s="5">
        <v>18.698630000000001</v>
      </c>
      <c r="AA1730" s="5">
        <v>30</v>
      </c>
      <c r="AB1730" s="5">
        <v>560.95889999999997</v>
      </c>
      <c r="AC1730" s="5" t="str">
        <f t="shared" si="85"/>
        <v>Bonos</v>
      </c>
      <c r="AD1730" s="5" t="s">
        <v>43</v>
      </c>
      <c r="AE1730" s="5">
        <f t="shared" si="83"/>
        <v>2</v>
      </c>
      <c r="AF1730" s="5">
        <f t="shared" si="84"/>
        <v>2022</v>
      </c>
    </row>
    <row r="1731" s="5" customFormat="1" ht="13">
      <c r="A1731" s="5" t="s">
        <v>44</v>
      </c>
      <c r="B1731" s="5" t="s">
        <v>44</v>
      </c>
      <c r="C1731" s="5" t="s">
        <v>67</v>
      </c>
      <c r="D1731" s="5" t="s">
        <v>21</v>
      </c>
      <c r="E1731" s="5" t="s">
        <v>44</v>
      </c>
      <c r="F1731" s="5" t="s">
        <v>68</v>
      </c>
      <c r="G1731" s="5" t="s">
        <v>91</v>
      </c>
      <c r="H1731" s="9" t="s">
        <v>376</v>
      </c>
      <c r="I1731" s="10"/>
      <c r="J1731" s="10">
        <v>44616</v>
      </c>
      <c r="K1731" s="5" t="s">
        <v>71</v>
      </c>
      <c r="L1731" s="5" t="s">
        <v>58</v>
      </c>
      <c r="M1731" s="11">
        <v>0.089999999999999997</v>
      </c>
      <c r="N1731" s="5" t="e">
        <f>IF(AND(M1731&gt;#REF!,Cartera!O1731="Guaraníes"),"Rendimiento significativo",IF(AND(M1731&gt;#REF!,Cartera!O1731="Dólares americanos"),"Rendimiento significativo","Rendimiento no significativo"))</f>
        <v>#REF!</v>
      </c>
      <c r="O1731" s="5" t="s">
        <v>41</v>
      </c>
      <c r="P1731" s="12">
        <v>10295890.411</v>
      </c>
      <c r="Q1731" s="12">
        <f>IF(O1731="Guaraníes",P1731,P1731*#REF!)</f>
        <v>10295890.411</v>
      </c>
      <c r="R1731" s="12" t="e">
        <f>IF(O1731="Guaraníes",P1731/#REF!,P1731)</f>
        <v>#REF!</v>
      </c>
      <c r="S1731" s="5" t="s">
        <v>52</v>
      </c>
      <c r="T1731" s="5">
        <v>3253</v>
      </c>
      <c r="W1731" s="5" t="s">
        <v>65</v>
      </c>
      <c r="X1731" s="5">
        <v>10</v>
      </c>
      <c r="Y1731" s="5">
        <v>100000</v>
      </c>
      <c r="Z1731" s="5">
        <v>102958.90411</v>
      </c>
      <c r="AA1731" s="5">
        <v>100</v>
      </c>
      <c r="AB1731" s="5">
        <v>10295890.411</v>
      </c>
      <c r="AC1731" s="5" t="str">
        <f t="shared" si="85"/>
        <v>Bonos</v>
      </c>
      <c r="AD1731" s="5" t="s">
        <v>43</v>
      </c>
      <c r="AE1731" s="5">
        <f t="shared" si="83"/>
        <v>2</v>
      </c>
      <c r="AF1731" s="5">
        <f t="shared" si="84"/>
        <v>2022</v>
      </c>
    </row>
    <row r="1732" s="5" customFormat="1" ht="13">
      <c r="A1732" s="5" t="s">
        <v>44</v>
      </c>
      <c r="B1732" s="5" t="s">
        <v>44</v>
      </c>
      <c r="C1732" s="5" t="s">
        <v>143</v>
      </c>
      <c r="D1732" s="5" t="s">
        <v>21</v>
      </c>
      <c r="E1732" s="5" t="s">
        <v>44</v>
      </c>
      <c r="F1732" s="5" t="s">
        <v>144</v>
      </c>
      <c r="G1732" s="5" t="s">
        <v>91</v>
      </c>
      <c r="H1732" s="9" t="s">
        <v>380</v>
      </c>
      <c r="I1732" s="10"/>
      <c r="J1732" s="10">
        <v>44620</v>
      </c>
      <c r="K1732" s="5" t="s">
        <v>49</v>
      </c>
      <c r="L1732" s="5" t="s">
        <v>106</v>
      </c>
      <c r="M1732" s="11">
        <v>0.059999999999999998</v>
      </c>
      <c r="N1732" s="5" t="e">
        <f>IF(AND(M1732&gt;#REF!,Cartera!O1732="Guaraníes"),"Rendimiento significativo",IF(AND(M1732&gt;#REF!,Cartera!O1732="Dólares americanos"),"Rendimiento significativo","Rendimiento no significativo"))</f>
        <v>#REF!</v>
      </c>
      <c r="O1732" s="5" t="s">
        <v>51</v>
      </c>
      <c r="P1732" s="13">
        <v>46.0274</v>
      </c>
      <c r="Q1732" s="12" t="e">
        <f>IF(O1732="Guaraníes",P1732,P1732*#REF!)</f>
        <v>#REF!</v>
      </c>
      <c r="R1732" s="12">
        <f>IF(O1732="Guaraníes",P1732/#REF!,P1732)</f>
        <v>46.0274</v>
      </c>
      <c r="S1732" s="5" t="s">
        <v>52</v>
      </c>
      <c r="T1732" s="5">
        <v>3253</v>
      </c>
      <c r="W1732" s="5" t="s">
        <v>65</v>
      </c>
      <c r="X1732" s="5">
        <v>0</v>
      </c>
      <c r="Y1732" s="5">
        <v>0</v>
      </c>
      <c r="Z1732" s="5">
        <v>4.6027399999999998</v>
      </c>
      <c r="AA1732" s="5">
        <v>10</v>
      </c>
      <c r="AB1732" s="5">
        <v>46.0274</v>
      </c>
      <c r="AC1732" s="5" t="str">
        <f t="shared" si="85"/>
        <v>Bonos</v>
      </c>
      <c r="AD1732" s="5" t="s">
        <v>43</v>
      </c>
      <c r="AE1732" s="5">
        <f t="shared" si="83"/>
        <v>2</v>
      </c>
      <c r="AF1732" s="5">
        <f t="shared" si="84"/>
        <v>2022</v>
      </c>
    </row>
    <row r="1733" s="5" customFormat="1" ht="13">
      <c r="A1733" s="5" t="s">
        <v>44</v>
      </c>
      <c r="B1733" s="5" t="s">
        <v>44</v>
      </c>
      <c r="C1733" s="5" t="s">
        <v>164</v>
      </c>
      <c r="D1733" s="5" t="s">
        <v>21</v>
      </c>
      <c r="E1733" s="5" t="s">
        <v>44</v>
      </c>
      <c r="F1733" s="5" t="s">
        <v>68</v>
      </c>
      <c r="G1733" s="5" t="s">
        <v>91</v>
      </c>
      <c r="H1733" s="9" t="s">
        <v>166</v>
      </c>
      <c r="I1733" s="10"/>
      <c r="J1733" s="10">
        <v>44620</v>
      </c>
      <c r="K1733" s="5" t="s">
        <v>124</v>
      </c>
      <c r="L1733" s="5" t="s">
        <v>58</v>
      </c>
      <c r="M1733" s="11">
        <v>0.092499999999999999</v>
      </c>
      <c r="N1733" s="5" t="e">
        <f>IF(AND(M1733&gt;#REF!,Cartera!O1733="Guaraníes"),"Rendimiento significativo",IF(AND(M1733&gt;#REF!,Cartera!O1733="Dólares americanos"),"Rendimiento significativo","Rendimiento no significativo"))</f>
        <v>#REF!</v>
      </c>
      <c r="O1733" s="5" t="s">
        <v>41</v>
      </c>
      <c r="P1733" s="12">
        <v>1064383.56165</v>
      </c>
      <c r="Q1733" s="12">
        <f>IF(O1733="Guaraníes",P1733,P1733*#REF!)</f>
        <v>1064383.56165</v>
      </c>
      <c r="R1733" s="12" t="e">
        <f>IF(O1733="Guaraníes",P1733/#REF!,P1733)</f>
        <v>#REF!</v>
      </c>
      <c r="S1733" s="5" t="s">
        <v>52</v>
      </c>
      <c r="T1733" s="5">
        <v>3253</v>
      </c>
      <c r="W1733" s="5" t="s">
        <v>65</v>
      </c>
      <c r="X1733" s="5">
        <v>0</v>
      </c>
      <c r="Y1733" s="5">
        <v>0</v>
      </c>
      <c r="Z1733" s="5">
        <v>7095.8904110000003</v>
      </c>
      <c r="AA1733" s="5">
        <v>150</v>
      </c>
      <c r="AB1733" s="5">
        <v>1064383.56165</v>
      </c>
      <c r="AC1733" s="5" t="str">
        <f t="shared" si="85"/>
        <v>Bonos</v>
      </c>
      <c r="AD1733" s="5" t="s">
        <v>43</v>
      </c>
      <c r="AE1733" s="5">
        <f t="shared" si="83"/>
        <v>2</v>
      </c>
      <c r="AF1733" s="5">
        <f t="shared" si="84"/>
        <v>2022</v>
      </c>
    </row>
    <row r="1734" s="5" customFormat="1" ht="13">
      <c r="A1734" s="5" t="s">
        <v>44</v>
      </c>
      <c r="B1734" s="5" t="s">
        <v>44</v>
      </c>
      <c r="C1734" s="5" t="s">
        <v>67</v>
      </c>
      <c r="D1734" s="5" t="s">
        <v>21</v>
      </c>
      <c r="E1734" s="5" t="s">
        <v>44</v>
      </c>
      <c r="F1734" s="5" t="s">
        <v>68</v>
      </c>
      <c r="G1734" s="5" t="s">
        <v>91</v>
      </c>
      <c r="H1734" s="9" t="s">
        <v>376</v>
      </c>
      <c r="I1734" s="10"/>
      <c r="J1734" s="10">
        <v>44648</v>
      </c>
      <c r="K1734" s="5" t="s">
        <v>71</v>
      </c>
      <c r="L1734" s="5" t="s">
        <v>58</v>
      </c>
      <c r="M1734" s="11">
        <v>0.089999999999999997</v>
      </c>
      <c r="N1734" s="5" t="e">
        <f>IF(AND(M1734&gt;#REF!,Cartera!O1734="Guaraníes"),"Rendimiento significativo",IF(AND(M1734&gt;#REF!,Cartera!O1734="Dólares americanos"),"Rendimiento significativo","Rendimiento no significativo"))</f>
        <v>#REF!</v>
      </c>
      <c r="O1734" s="5" t="s">
        <v>41</v>
      </c>
      <c r="P1734" s="12">
        <v>10000000</v>
      </c>
      <c r="Q1734" s="12">
        <f>IF(O1734="Guaraníes",P1734,P1734*#REF!)</f>
        <v>10000000</v>
      </c>
      <c r="R1734" s="12" t="e">
        <f>IF(O1734="Guaraníes",P1734/#REF!,P1734)</f>
        <v>#REF!</v>
      </c>
      <c r="S1734" s="5" t="s">
        <v>52</v>
      </c>
      <c r="T1734" s="5">
        <v>3253</v>
      </c>
      <c r="W1734" s="5" t="s">
        <v>65</v>
      </c>
      <c r="X1734" s="5">
        <v>10</v>
      </c>
      <c r="Y1734" s="5">
        <v>100000</v>
      </c>
      <c r="Z1734" s="5">
        <v>100000</v>
      </c>
      <c r="AA1734" s="5">
        <v>100</v>
      </c>
      <c r="AB1734" s="5">
        <v>10000000</v>
      </c>
      <c r="AC1734" s="5" t="str">
        <f t="shared" si="85"/>
        <v>Bonos</v>
      </c>
      <c r="AD1734" s="5" t="s">
        <v>43</v>
      </c>
      <c r="AE1734" s="5">
        <f t="shared" si="83"/>
        <v>3</v>
      </c>
      <c r="AF1734" s="5">
        <f t="shared" si="84"/>
        <v>2022</v>
      </c>
    </row>
    <row r="1735" s="5" customFormat="1" ht="13">
      <c r="A1735" s="5" t="s">
        <v>44</v>
      </c>
      <c r="B1735" s="5" t="s">
        <v>44</v>
      </c>
      <c r="C1735" s="5" t="s">
        <v>143</v>
      </c>
      <c r="D1735" s="5" t="s">
        <v>21</v>
      </c>
      <c r="E1735" s="5" t="s">
        <v>44</v>
      </c>
      <c r="F1735" s="5" t="s">
        <v>144</v>
      </c>
      <c r="G1735" s="5" t="s">
        <v>91</v>
      </c>
      <c r="H1735" s="9" t="s">
        <v>380</v>
      </c>
      <c r="I1735" s="10"/>
      <c r="J1735" s="10">
        <v>44651</v>
      </c>
      <c r="K1735" s="5" t="s">
        <v>49</v>
      </c>
      <c r="L1735" s="5" t="s">
        <v>106</v>
      </c>
      <c r="M1735" s="11">
        <v>0.059999999999999998</v>
      </c>
      <c r="N1735" s="5" t="e">
        <f>IF(AND(M1735&gt;#REF!,Cartera!O1735="Guaraníes"),"Rendimiento significativo",IF(AND(M1735&gt;#REF!,Cartera!O1735="Dólares americanos"),"Rendimiento significativo","Rendimiento no significativo"))</f>
        <v>#REF!</v>
      </c>
      <c r="O1735" s="5" t="s">
        <v>51</v>
      </c>
      <c r="P1735" s="13">
        <v>50.9589</v>
      </c>
      <c r="Q1735" s="12" t="e">
        <f>IF(O1735="Guaraníes",P1735,P1735*#REF!)</f>
        <v>#REF!</v>
      </c>
      <c r="R1735" s="12">
        <f>IF(O1735="Guaraníes",P1735/#REF!,P1735)</f>
        <v>50.9589</v>
      </c>
      <c r="S1735" s="5" t="s">
        <v>52</v>
      </c>
      <c r="T1735" s="5">
        <v>3253</v>
      </c>
      <c r="W1735" s="5" t="s">
        <v>65</v>
      </c>
      <c r="X1735" s="5">
        <v>0</v>
      </c>
      <c r="Y1735" s="5">
        <v>0</v>
      </c>
      <c r="Z1735" s="5">
        <v>5.0958899999999998</v>
      </c>
      <c r="AA1735" s="5">
        <v>10</v>
      </c>
      <c r="AB1735" s="5">
        <v>50.9589</v>
      </c>
      <c r="AC1735" s="5" t="str">
        <f t="shared" si="85"/>
        <v>Bonos</v>
      </c>
      <c r="AD1735" s="5" t="s">
        <v>43</v>
      </c>
      <c r="AE1735" s="5">
        <f t="shared" si="83"/>
        <v>3</v>
      </c>
      <c r="AF1735" s="5">
        <f t="shared" si="84"/>
        <v>2022</v>
      </c>
    </row>
    <row r="1736" s="5" customFormat="1" ht="13">
      <c r="A1736" s="5" t="s">
        <v>44</v>
      </c>
      <c r="B1736" s="5" t="s">
        <v>44</v>
      </c>
      <c r="C1736" s="5" t="s">
        <v>164</v>
      </c>
      <c r="D1736" s="5" t="s">
        <v>21</v>
      </c>
      <c r="E1736" s="5" t="s">
        <v>44</v>
      </c>
      <c r="F1736" s="5" t="s">
        <v>68</v>
      </c>
      <c r="G1736" s="5" t="s">
        <v>91</v>
      </c>
      <c r="H1736" s="9" t="s">
        <v>166</v>
      </c>
      <c r="I1736" s="10"/>
      <c r="J1736" s="10">
        <v>44651</v>
      </c>
      <c r="K1736" s="5" t="s">
        <v>124</v>
      </c>
      <c r="L1736" s="5" t="s">
        <v>58</v>
      </c>
      <c r="M1736" s="11">
        <v>0.092499999999999999</v>
      </c>
      <c r="N1736" s="5" t="e">
        <f>IF(AND(M1736&gt;#REF!,Cartera!O1736="Guaraníes"),"Rendimiento significativo",IF(AND(M1736&gt;#REF!,Cartera!O1736="Dólares americanos"),"Rendimiento significativo","Rendimiento no significativo"))</f>
        <v>#REF!</v>
      </c>
      <c r="O1736" s="5" t="s">
        <v>41</v>
      </c>
      <c r="P1736" s="12">
        <v>1178424.6576</v>
      </c>
      <c r="Q1736" s="12">
        <f>IF(O1736="Guaraníes",P1736,P1736*#REF!)</f>
        <v>1178424.6576</v>
      </c>
      <c r="R1736" s="12" t="e">
        <f>IF(O1736="Guaraníes",P1736/#REF!,P1736)</f>
        <v>#REF!</v>
      </c>
      <c r="S1736" s="5" t="s">
        <v>52</v>
      </c>
      <c r="T1736" s="5">
        <v>3253</v>
      </c>
      <c r="W1736" s="5" t="s">
        <v>65</v>
      </c>
      <c r="X1736" s="5">
        <v>0</v>
      </c>
      <c r="Y1736" s="5">
        <v>0</v>
      </c>
      <c r="Z1736" s="5">
        <v>7856.1643839999997</v>
      </c>
      <c r="AA1736" s="5">
        <v>150</v>
      </c>
      <c r="AB1736" s="5">
        <v>1178424.6576</v>
      </c>
      <c r="AC1736" s="5" t="str">
        <f t="shared" si="85"/>
        <v>Bonos</v>
      </c>
      <c r="AD1736" s="5" t="s">
        <v>43</v>
      </c>
      <c r="AE1736" s="5">
        <f t="shared" si="83"/>
        <v>3</v>
      </c>
      <c r="AF1736" s="5">
        <f t="shared" si="84"/>
        <v>2022</v>
      </c>
    </row>
    <row r="1737" s="5" customFormat="1" ht="13">
      <c r="A1737" s="5" t="s">
        <v>44</v>
      </c>
      <c r="B1737" s="5" t="s">
        <v>44</v>
      </c>
      <c r="C1737" s="5" t="s">
        <v>67</v>
      </c>
      <c r="D1737" s="5" t="s">
        <v>21</v>
      </c>
      <c r="E1737" s="5" t="s">
        <v>44</v>
      </c>
      <c r="F1737" s="5" t="s">
        <v>68</v>
      </c>
      <c r="G1737" s="5" t="s">
        <v>91</v>
      </c>
      <c r="H1737" s="9" t="s">
        <v>110</v>
      </c>
      <c r="I1737" s="10"/>
      <c r="J1737" s="10">
        <v>44670</v>
      </c>
      <c r="K1737" s="5" t="s">
        <v>71</v>
      </c>
      <c r="L1737" s="5" t="s">
        <v>58</v>
      </c>
      <c r="M1737" s="11">
        <v>0.089999999999999997</v>
      </c>
      <c r="N1737" s="5" t="e">
        <f>IF(AND(M1737&gt;#REF!,Cartera!O1737="Guaraníes"),"Rendimiento significativo",IF(AND(M1737&gt;#REF!,Cartera!O1737="Dólares americanos"),"Rendimiento significativo","Rendimiento no significativo"))</f>
        <v>#REF!</v>
      </c>
      <c r="O1737" s="5" t="s">
        <v>51</v>
      </c>
      <c r="P1737" s="13">
        <v>252.43150499999999</v>
      </c>
      <c r="Q1737" s="12" t="e">
        <f>IF(O1737="Guaraníes",P1737,P1737*#REF!)</f>
        <v>#REF!</v>
      </c>
      <c r="R1737" s="12">
        <f>IF(O1737="Guaraníes",P1737/#REF!,P1737)</f>
        <v>252.43150499999999</v>
      </c>
      <c r="S1737" s="5" t="s">
        <v>52</v>
      </c>
      <c r="T1737" s="5">
        <v>3253</v>
      </c>
      <c r="W1737" s="5" t="s">
        <v>65</v>
      </c>
      <c r="X1737" s="5">
        <v>0</v>
      </c>
      <c r="Y1737" s="5">
        <v>0</v>
      </c>
      <c r="Z1737" s="5">
        <v>16.828766999999999</v>
      </c>
      <c r="AA1737" s="5">
        <v>15</v>
      </c>
      <c r="AB1737" s="5">
        <v>252.43150499999999</v>
      </c>
      <c r="AC1737" s="5" t="str">
        <f t="shared" si="85"/>
        <v>Bonos</v>
      </c>
      <c r="AD1737" s="5" t="s">
        <v>43</v>
      </c>
      <c r="AE1737" s="5">
        <f t="shared" si="83"/>
        <v>4</v>
      </c>
      <c r="AF1737" s="5">
        <f t="shared" si="84"/>
        <v>2022</v>
      </c>
    </row>
    <row r="1738" s="5" customFormat="1" ht="13">
      <c r="A1738" s="5" t="s">
        <v>44</v>
      </c>
      <c r="B1738" s="5" t="s">
        <v>44</v>
      </c>
      <c r="C1738" s="5" t="s">
        <v>45</v>
      </c>
      <c r="D1738" s="5" t="s">
        <v>21</v>
      </c>
      <c r="E1738" s="5" t="s">
        <v>44</v>
      </c>
      <c r="F1738" s="5" t="s">
        <v>46</v>
      </c>
      <c r="G1738" s="5" t="s">
        <v>91</v>
      </c>
      <c r="H1738" s="9" t="s">
        <v>365</v>
      </c>
      <c r="I1738" s="10"/>
      <c r="J1738" s="10">
        <v>44672</v>
      </c>
      <c r="K1738" s="5" t="s">
        <v>49</v>
      </c>
      <c r="L1738" s="5" t="s">
        <v>58</v>
      </c>
      <c r="M1738" s="11">
        <v>0.059999999999999998</v>
      </c>
      <c r="N1738" s="5" t="e">
        <f>IF(AND(M1738&gt;#REF!,Cartera!O1738="Guaraníes"),"Rendimiento significativo",IF(AND(M1738&gt;#REF!,Cartera!O1738="Dólares americanos"),"Rendimiento significativo","Rendimiento no significativo"))</f>
        <v>#REF!</v>
      </c>
      <c r="O1738" s="5" t="s">
        <v>51</v>
      </c>
      <c r="P1738" s="13">
        <v>458.11643500000002</v>
      </c>
      <c r="Q1738" s="12" t="e">
        <f>IF(O1738="Guaraníes",P1738,P1738*#REF!)</f>
        <v>#REF!</v>
      </c>
      <c r="R1738" s="12">
        <f>IF(O1738="Guaraníes",P1738/#REF!,P1738)</f>
        <v>458.11643500000002</v>
      </c>
      <c r="S1738" s="5" t="s">
        <v>52</v>
      </c>
      <c r="T1738" s="5">
        <v>3253</v>
      </c>
      <c r="W1738" s="5" t="s">
        <v>65</v>
      </c>
      <c r="X1738" s="5">
        <v>0</v>
      </c>
      <c r="Y1738" s="5">
        <v>0</v>
      </c>
      <c r="Z1738" s="5">
        <v>13.089041</v>
      </c>
      <c r="AA1738" s="5">
        <v>35</v>
      </c>
      <c r="AB1738" s="5">
        <v>458.11643500000002</v>
      </c>
      <c r="AC1738" s="5" t="str">
        <f t="shared" si="85"/>
        <v>Bonos</v>
      </c>
      <c r="AD1738" s="5" t="s">
        <v>43</v>
      </c>
      <c r="AE1738" s="5">
        <f t="shared" si="83"/>
        <v>4</v>
      </c>
      <c r="AF1738" s="5">
        <f t="shared" si="84"/>
        <v>2022</v>
      </c>
    </row>
    <row r="1739" s="5" customFormat="1" ht="13">
      <c r="A1739" s="5" t="s">
        <v>44</v>
      </c>
      <c r="B1739" s="5" t="s">
        <v>44</v>
      </c>
      <c r="C1739" s="5" t="s">
        <v>89</v>
      </c>
      <c r="D1739" s="5" t="s">
        <v>21</v>
      </c>
      <c r="E1739" s="5" t="s">
        <v>44</v>
      </c>
      <c r="F1739" s="5" t="s">
        <v>90</v>
      </c>
      <c r="G1739" s="5" t="s">
        <v>91</v>
      </c>
      <c r="H1739" s="9" t="s">
        <v>92</v>
      </c>
      <c r="I1739" s="10"/>
      <c r="J1739" s="10">
        <v>44672</v>
      </c>
      <c r="K1739" s="5" t="s">
        <v>93</v>
      </c>
      <c r="L1739" s="5" t="s">
        <v>58</v>
      </c>
      <c r="M1739" s="11">
        <v>0.080000000000000002</v>
      </c>
      <c r="N1739" s="5" t="e">
        <f>IF(AND(M1739&gt;#REF!,Cartera!O1739="Guaraníes"),"Rendimiento significativo",IF(AND(M1739&gt;#REF!,Cartera!O1739="Dólares americanos"),"Rendimiento significativo","Rendimiento no significativo"))</f>
        <v>#REF!</v>
      </c>
      <c r="O1739" s="5" t="s">
        <v>51</v>
      </c>
      <c r="P1739" s="13">
        <v>299.17807500000004</v>
      </c>
      <c r="Q1739" s="12" t="e">
        <f>IF(O1739="Guaraníes",P1739,P1739*#REF!)</f>
        <v>#REF!</v>
      </c>
      <c r="R1739" s="12">
        <f>IF(O1739="Guaraníes",P1739/#REF!,P1739)</f>
        <v>299.17807500000004</v>
      </c>
      <c r="S1739" s="5" t="s">
        <v>52</v>
      </c>
      <c r="T1739" s="5">
        <v>3253</v>
      </c>
      <c r="W1739" s="5" t="s">
        <v>65</v>
      </c>
      <c r="X1739" s="5">
        <v>0</v>
      </c>
      <c r="Y1739" s="5">
        <v>0</v>
      </c>
      <c r="Z1739" s="5">
        <v>19.945205000000001</v>
      </c>
      <c r="AA1739" s="5">
        <v>15</v>
      </c>
      <c r="AB1739" s="5">
        <v>299.17807499999998</v>
      </c>
      <c r="AC1739" s="5" t="str">
        <f t="shared" si="85"/>
        <v>Bonos</v>
      </c>
      <c r="AD1739" s="5" t="s">
        <v>43</v>
      </c>
      <c r="AE1739" s="5">
        <f t="shared" si="83"/>
        <v>4</v>
      </c>
      <c r="AF1739" s="5">
        <f t="shared" si="84"/>
        <v>2022</v>
      </c>
    </row>
    <row r="1740" s="5" customFormat="1" ht="13">
      <c r="A1740" s="5" t="s">
        <v>44</v>
      </c>
      <c r="B1740" s="5" t="s">
        <v>44</v>
      </c>
      <c r="C1740" s="5" t="s">
        <v>122</v>
      </c>
      <c r="D1740" s="5" t="s">
        <v>21</v>
      </c>
      <c r="E1740" s="5" t="s">
        <v>44</v>
      </c>
      <c r="F1740" s="5" t="s">
        <v>61</v>
      </c>
      <c r="G1740" s="5" t="s">
        <v>91</v>
      </c>
      <c r="H1740" s="9" t="s">
        <v>132</v>
      </c>
      <c r="I1740" s="10"/>
      <c r="J1740" s="10">
        <v>44678</v>
      </c>
      <c r="K1740" s="5" t="s">
        <v>124</v>
      </c>
      <c r="L1740" s="5" t="s">
        <v>50</v>
      </c>
      <c r="M1740" s="11">
        <v>0.059999999999999998</v>
      </c>
      <c r="N1740" s="5" t="e">
        <f>IF(AND(M1740&gt;#REF!,Cartera!O1740="Guaraníes"),"Rendimiento significativo",IF(AND(M1740&gt;#REF!,Cartera!O1740="Dólares americanos"),"Rendimiento significativo","Rendimiento no significativo"))</f>
        <v>#REF!</v>
      </c>
      <c r="O1740" s="5" t="s">
        <v>51</v>
      </c>
      <c r="P1740" s="13">
        <v>299.17808000000002</v>
      </c>
      <c r="Q1740" s="12" t="e">
        <f>IF(O1740="Guaraníes",P1740,P1740*#REF!)</f>
        <v>#REF!</v>
      </c>
      <c r="R1740" s="12">
        <f>IF(O1740="Guaraníes",P1740/#REF!,P1740)</f>
        <v>299.17808000000002</v>
      </c>
      <c r="S1740" s="5" t="s">
        <v>52</v>
      </c>
      <c r="T1740" s="5">
        <v>3253</v>
      </c>
      <c r="W1740" s="5" t="s">
        <v>65</v>
      </c>
      <c r="X1740" s="5">
        <v>0</v>
      </c>
      <c r="Y1740" s="5">
        <v>0</v>
      </c>
      <c r="Z1740" s="5">
        <v>29.917808000000001</v>
      </c>
      <c r="AA1740" s="5">
        <v>10</v>
      </c>
      <c r="AB1740" s="5">
        <v>299.17808000000002</v>
      </c>
      <c r="AC1740" s="5" t="str">
        <f t="shared" si="85"/>
        <v>Bonos</v>
      </c>
      <c r="AD1740" s="5" t="s">
        <v>43</v>
      </c>
      <c r="AE1740" s="5">
        <f t="shared" si="83"/>
        <v>4</v>
      </c>
      <c r="AF1740" s="5">
        <f t="shared" si="84"/>
        <v>2022</v>
      </c>
    </row>
    <row r="1741" s="5" customFormat="1" ht="13">
      <c r="A1741" s="5" t="s">
        <v>44</v>
      </c>
      <c r="B1741" s="5" t="s">
        <v>44</v>
      </c>
      <c r="C1741" s="5" t="s">
        <v>67</v>
      </c>
      <c r="D1741" s="5" t="s">
        <v>21</v>
      </c>
      <c r="E1741" s="5" t="s">
        <v>44</v>
      </c>
      <c r="F1741" s="5" t="s">
        <v>68</v>
      </c>
      <c r="G1741" s="5" t="s">
        <v>91</v>
      </c>
      <c r="H1741" s="9" t="s">
        <v>376</v>
      </c>
      <c r="I1741" s="10"/>
      <c r="J1741" s="10">
        <v>44678</v>
      </c>
      <c r="K1741" s="5" t="s">
        <v>71</v>
      </c>
      <c r="L1741" s="5" t="s">
        <v>58</v>
      </c>
      <c r="M1741" s="11">
        <v>0.089999999999999997</v>
      </c>
      <c r="N1741" s="5" t="e">
        <f>IF(AND(M1741&gt;#REF!,Cartera!O1741="Guaraníes"),"Rendimiento significativo",IF(AND(M1741&gt;#REF!,Cartera!O1741="Dólares americanos"),"Rendimiento significativo","Rendimiento no significativo"))</f>
        <v>#REF!</v>
      </c>
      <c r="O1741" s="5" t="s">
        <v>41</v>
      </c>
      <c r="P1741" s="12">
        <v>10000000</v>
      </c>
      <c r="Q1741" s="12">
        <f>IF(O1741="Guaraníes",P1741,P1741*#REF!)</f>
        <v>10000000</v>
      </c>
      <c r="R1741" s="12" t="e">
        <f>IF(O1741="Guaraníes",P1741/#REF!,P1741)</f>
        <v>#REF!</v>
      </c>
      <c r="S1741" s="5" t="s">
        <v>52</v>
      </c>
      <c r="T1741" s="5">
        <v>3253</v>
      </c>
      <c r="W1741" s="5" t="s">
        <v>65</v>
      </c>
      <c r="X1741" s="5">
        <v>10</v>
      </c>
      <c r="Y1741" s="5">
        <v>100000</v>
      </c>
      <c r="Z1741" s="5">
        <v>100000</v>
      </c>
      <c r="AA1741" s="5">
        <v>100</v>
      </c>
      <c r="AB1741" s="5">
        <v>10000000</v>
      </c>
      <c r="AC1741" s="5" t="str">
        <f t="shared" si="85"/>
        <v>Bonos</v>
      </c>
      <c r="AD1741" s="5" t="s">
        <v>43</v>
      </c>
      <c r="AE1741" s="5">
        <f t="shared" si="83"/>
        <v>4</v>
      </c>
      <c r="AF1741" s="5">
        <f t="shared" si="84"/>
        <v>2022</v>
      </c>
    </row>
    <row r="1742" s="5" customFormat="1" ht="13">
      <c r="A1742" s="5" t="s">
        <v>44</v>
      </c>
      <c r="B1742" s="5" t="s">
        <v>44</v>
      </c>
      <c r="C1742" s="5" t="s">
        <v>143</v>
      </c>
      <c r="D1742" s="5" t="s">
        <v>21</v>
      </c>
      <c r="E1742" s="5" t="s">
        <v>44</v>
      </c>
      <c r="F1742" s="5" t="s">
        <v>144</v>
      </c>
      <c r="G1742" s="5" t="s">
        <v>91</v>
      </c>
      <c r="H1742" s="9" t="s">
        <v>380</v>
      </c>
      <c r="I1742" s="10"/>
      <c r="J1742" s="10">
        <v>44680</v>
      </c>
      <c r="K1742" s="5" t="s">
        <v>49</v>
      </c>
      <c r="L1742" s="5" t="s">
        <v>106</v>
      </c>
      <c r="M1742" s="11">
        <v>0.059999999999999998</v>
      </c>
      <c r="N1742" s="5" t="e">
        <f>IF(AND(M1742&gt;#REF!,Cartera!O1742="Guaraníes"),"Rendimiento significativo",IF(AND(M1742&gt;#REF!,Cartera!O1742="Dólares americanos"),"Rendimiento significativo","Rendimiento no significativo"))</f>
        <v>#REF!</v>
      </c>
      <c r="O1742" s="5" t="s">
        <v>51</v>
      </c>
      <c r="P1742" s="13">
        <v>47.671229999999994</v>
      </c>
      <c r="Q1742" s="12" t="e">
        <f>IF(O1742="Guaraníes",P1742,P1742*#REF!)</f>
        <v>#REF!</v>
      </c>
      <c r="R1742" s="12">
        <f>IF(O1742="Guaraníes",P1742/#REF!,P1742)</f>
        <v>47.671229999999994</v>
      </c>
      <c r="S1742" s="5" t="s">
        <v>52</v>
      </c>
      <c r="T1742" s="5">
        <v>3253</v>
      </c>
      <c r="W1742" s="5" t="s">
        <v>65</v>
      </c>
      <c r="X1742" s="5">
        <v>0</v>
      </c>
      <c r="Y1742" s="5">
        <v>0</v>
      </c>
      <c r="Z1742" s="5">
        <v>4.7671229999999998</v>
      </c>
      <c r="AA1742" s="5">
        <v>10</v>
      </c>
      <c r="AB1742" s="5">
        <v>47.671230000000001</v>
      </c>
      <c r="AC1742" s="5" t="str">
        <f t="shared" si="85"/>
        <v>Bonos</v>
      </c>
      <c r="AD1742" s="5" t="s">
        <v>43</v>
      </c>
      <c r="AE1742" s="5">
        <f t="shared" si="83"/>
        <v>4</v>
      </c>
      <c r="AF1742" s="5">
        <f t="shared" si="84"/>
        <v>2022</v>
      </c>
    </row>
    <row r="1743" s="5" customFormat="1" ht="13">
      <c r="A1743" s="5" t="s">
        <v>44</v>
      </c>
      <c r="B1743" s="5" t="s">
        <v>44</v>
      </c>
      <c r="C1743" s="5" t="s">
        <v>164</v>
      </c>
      <c r="D1743" s="5" t="s">
        <v>21</v>
      </c>
      <c r="E1743" s="5" t="s">
        <v>44</v>
      </c>
      <c r="F1743" s="5" t="s">
        <v>68</v>
      </c>
      <c r="G1743" s="5" t="s">
        <v>91</v>
      </c>
      <c r="H1743" s="9" t="s">
        <v>166</v>
      </c>
      <c r="I1743" s="10"/>
      <c r="J1743" s="10">
        <v>44680</v>
      </c>
      <c r="K1743" s="5" t="s">
        <v>124</v>
      </c>
      <c r="L1743" s="5" t="s">
        <v>58</v>
      </c>
      <c r="M1743" s="11">
        <v>0.092499999999999999</v>
      </c>
      <c r="N1743" s="5" t="e">
        <f>IF(AND(M1743&gt;#REF!,Cartera!O1743="Guaraníes"),"Rendimiento significativo",IF(AND(M1743&gt;#REF!,Cartera!O1743="Dólares americanos"),"Rendimiento significativo","Rendimiento no significativo"))</f>
        <v>#REF!</v>
      </c>
      <c r="O1743" s="5" t="s">
        <v>41</v>
      </c>
      <c r="P1743" s="12">
        <v>1102397.2601999999</v>
      </c>
      <c r="Q1743" s="12">
        <f>IF(O1743="Guaraníes",P1743,P1743*#REF!)</f>
        <v>1102397.2601999999</v>
      </c>
      <c r="R1743" s="12" t="e">
        <f>IF(O1743="Guaraníes",P1743/#REF!,P1743)</f>
        <v>#REF!</v>
      </c>
      <c r="S1743" s="5" t="s">
        <v>52</v>
      </c>
      <c r="T1743" s="5">
        <v>3253</v>
      </c>
      <c r="W1743" s="5" t="s">
        <v>65</v>
      </c>
      <c r="X1743" s="5">
        <v>0</v>
      </c>
      <c r="Y1743" s="5">
        <v>0</v>
      </c>
      <c r="Z1743" s="5">
        <v>7349.3150679999999</v>
      </c>
      <c r="AA1743" s="5">
        <v>150</v>
      </c>
      <c r="AB1743" s="5">
        <v>1102397.2601999999</v>
      </c>
      <c r="AC1743" s="5" t="str">
        <f t="shared" si="85"/>
        <v>Bonos</v>
      </c>
      <c r="AD1743" s="5" t="s">
        <v>43</v>
      </c>
      <c r="AE1743" s="5">
        <f t="shared" si="83"/>
        <v>4</v>
      </c>
      <c r="AF1743" s="5">
        <f t="shared" si="84"/>
        <v>2022</v>
      </c>
    </row>
    <row r="1744" s="5" customFormat="1" ht="13">
      <c r="A1744" s="5" t="s">
        <v>44</v>
      </c>
      <c r="B1744" s="5" t="s">
        <v>44</v>
      </c>
      <c r="C1744" s="5" t="s">
        <v>67</v>
      </c>
      <c r="D1744" s="5" t="s">
        <v>20</v>
      </c>
      <c r="E1744" s="5" t="s">
        <v>44</v>
      </c>
      <c r="F1744" s="5" t="s">
        <v>68</v>
      </c>
      <c r="G1744" s="5" t="s">
        <v>91</v>
      </c>
      <c r="H1744" s="9" t="s">
        <v>376</v>
      </c>
      <c r="I1744" s="10">
        <v>43082</v>
      </c>
      <c r="J1744" s="10">
        <v>44701</v>
      </c>
      <c r="K1744" s="5" t="s">
        <v>71</v>
      </c>
      <c r="L1744" s="5" t="s">
        <v>58</v>
      </c>
      <c r="M1744" s="11">
        <v>0.089999999999999997</v>
      </c>
      <c r="N1744" s="5" t="e">
        <f>IF(AND(M1744&gt;#REF!,Cartera!O1744="Guaraníes"),"Rendimiento significativo",IF(AND(M1744&gt;#REF!,Cartera!O1744="Dólares americanos"),"Rendimiento significativo","Rendimiento no significativo"))</f>
        <v>#REF!</v>
      </c>
      <c r="O1744" s="5" t="s">
        <v>41</v>
      </c>
      <c r="P1744" s="12">
        <v>10441369.8631</v>
      </c>
      <c r="Q1744" s="12">
        <f>IF(O1744="Guaraníes",P1744,P1744*#REF!)</f>
        <v>10441369.8631</v>
      </c>
      <c r="R1744" s="12" t="e">
        <f>IF(O1744="Guaraníes",P1744/#REF!,P1744)</f>
        <v>#REF!</v>
      </c>
      <c r="S1744" s="5" t="s">
        <v>52</v>
      </c>
      <c r="T1744" s="5">
        <v>3253</v>
      </c>
      <c r="U1744" s="5">
        <v>20000000</v>
      </c>
      <c r="V1744" s="5">
        <v>2723548.3562249988</v>
      </c>
      <c r="W1744" s="5" t="s">
        <v>65</v>
      </c>
      <c r="X1744" s="5">
        <v>10</v>
      </c>
      <c r="Y1744" s="5">
        <v>100000</v>
      </c>
      <c r="Z1744" s="5">
        <v>104413.69863100001</v>
      </c>
      <c r="AA1744" s="5">
        <v>100</v>
      </c>
      <c r="AB1744" s="5">
        <v>10441369.8631</v>
      </c>
      <c r="AC1744" s="5" t="str">
        <f t="shared" si="85"/>
        <v>Bonos</v>
      </c>
      <c r="AD1744" s="5" t="s">
        <v>43</v>
      </c>
      <c r="AE1744" s="5">
        <f t="shared" si="83"/>
        <v>5</v>
      </c>
      <c r="AF1744" s="5">
        <f t="shared" si="84"/>
        <v>2022</v>
      </c>
    </row>
    <row r="1745" s="5" customFormat="1" ht="13">
      <c r="A1745" s="5" t="s">
        <v>44</v>
      </c>
      <c r="B1745" s="5" t="s">
        <v>44</v>
      </c>
      <c r="C1745" s="5" t="s">
        <v>33</v>
      </c>
      <c r="D1745" s="5" t="s">
        <v>21</v>
      </c>
      <c r="E1745" s="5" t="s">
        <v>44</v>
      </c>
      <c r="F1745" s="5" t="s">
        <v>35</v>
      </c>
      <c r="G1745" s="5" t="s">
        <v>91</v>
      </c>
      <c r="H1745" s="9" t="s">
        <v>375</v>
      </c>
      <c r="I1745" s="10"/>
      <c r="J1745" s="10">
        <v>44706</v>
      </c>
      <c r="K1745" s="5" t="s">
        <v>39</v>
      </c>
      <c r="L1745" s="5" t="s">
        <v>50</v>
      </c>
      <c r="M1745" s="11">
        <v>0.0625</v>
      </c>
      <c r="N1745" s="5" t="e">
        <f>IF(AND(M1745&gt;#REF!,Cartera!O1745="Guaraníes"),"Rendimiento significativo",IF(AND(M1745&gt;#REF!,Cartera!O1745="Dólares americanos"),"Rendimiento significativo","Rendimiento no significativo"))</f>
        <v>#REF!</v>
      </c>
      <c r="O1745" s="5" t="s">
        <v>51</v>
      </c>
      <c r="P1745" s="13">
        <v>1052.8766999999998</v>
      </c>
      <c r="Q1745" s="12" t="e">
        <f>IF(O1745="Guaraníes",P1745,P1745*#REF!)</f>
        <v>#REF!</v>
      </c>
      <c r="R1745" s="12">
        <f>IF(O1745="Guaraníes",P1745/#REF!,P1745)</f>
        <v>1052.8766999999998</v>
      </c>
      <c r="S1745" s="5" t="s">
        <v>52</v>
      </c>
      <c r="T1745" s="5">
        <v>3253</v>
      </c>
      <c r="W1745" s="5" t="s">
        <v>65</v>
      </c>
      <c r="X1745" s="5">
        <v>0</v>
      </c>
      <c r="Y1745" s="5">
        <v>0</v>
      </c>
      <c r="Z1745" s="5">
        <v>35.095889999999997</v>
      </c>
      <c r="AA1745" s="5">
        <v>30</v>
      </c>
      <c r="AB1745" s="5">
        <v>1052.8767</v>
      </c>
      <c r="AC1745" s="5" t="str">
        <f t="shared" si="85"/>
        <v>Bonos</v>
      </c>
      <c r="AD1745" s="5" t="s">
        <v>43</v>
      </c>
      <c r="AE1745" s="5">
        <f t="shared" si="83"/>
        <v>5</v>
      </c>
      <c r="AF1745" s="5">
        <f t="shared" si="84"/>
        <v>2022</v>
      </c>
    </row>
    <row r="1746" s="5" customFormat="1" ht="13">
      <c r="A1746" s="5" t="s">
        <v>44</v>
      </c>
      <c r="B1746" s="5" t="s">
        <v>44</v>
      </c>
      <c r="C1746" s="5" t="s">
        <v>176</v>
      </c>
      <c r="D1746" s="5" t="s">
        <v>21</v>
      </c>
      <c r="E1746" s="5" t="s">
        <v>44</v>
      </c>
      <c r="F1746" s="5" t="s">
        <v>68</v>
      </c>
      <c r="G1746" s="5" t="s">
        <v>91</v>
      </c>
      <c r="H1746" s="9" t="s">
        <v>177</v>
      </c>
      <c r="I1746" s="10"/>
      <c r="J1746" s="10">
        <v>44706</v>
      </c>
      <c r="K1746" s="5" t="s">
        <v>178</v>
      </c>
      <c r="L1746" s="5" t="s">
        <v>58</v>
      </c>
      <c r="M1746" s="11">
        <v>0.085000000000000006</v>
      </c>
      <c r="N1746" s="5" t="e">
        <f>IF(AND(M1746&gt;#REF!,Cartera!O1746="Guaraníes"),"Rendimiento significativo",IF(AND(M1746&gt;#REF!,Cartera!O1746="Dólares americanos"),"Rendimiento significativo","Rendimiento no significativo"))</f>
        <v>#REF!</v>
      </c>
      <c r="O1746" s="5" t="s">
        <v>51</v>
      </c>
      <c r="P1746" s="13">
        <v>560.95890000000009</v>
      </c>
      <c r="Q1746" s="12" t="e">
        <f>IF(O1746="Guaraníes",P1746,P1746*#REF!)</f>
        <v>#REF!</v>
      </c>
      <c r="R1746" s="12">
        <f>IF(O1746="Guaraníes",P1746/#REF!,P1746)</f>
        <v>560.95890000000009</v>
      </c>
      <c r="S1746" s="5" t="s">
        <v>52</v>
      </c>
      <c r="T1746" s="5">
        <v>3253</v>
      </c>
      <c r="W1746" s="5" t="s">
        <v>65</v>
      </c>
      <c r="X1746" s="5">
        <v>0</v>
      </c>
      <c r="Y1746" s="5">
        <v>0</v>
      </c>
      <c r="Z1746" s="5">
        <v>18.698630000000001</v>
      </c>
      <c r="AA1746" s="5">
        <v>30</v>
      </c>
      <c r="AB1746" s="5">
        <v>560.95889999999997</v>
      </c>
      <c r="AC1746" s="5" t="str">
        <f t="shared" si="85"/>
        <v>Bonos</v>
      </c>
      <c r="AD1746" s="5" t="s">
        <v>43</v>
      </c>
      <c r="AE1746" s="5">
        <f t="shared" ref="AE1746:AE1809" si="86">IFERROR((MONTH(J1746)),0)</f>
        <v>5</v>
      </c>
      <c r="AF1746" s="5">
        <f t="shared" ref="AF1746:AF1809" si="87">IFERROR((YEAR(J1746)),0)</f>
        <v>2022</v>
      </c>
    </row>
    <row r="1747" s="5" customFormat="1" ht="13">
      <c r="A1747" s="5" t="s">
        <v>44</v>
      </c>
      <c r="B1747" s="5" t="s">
        <v>44</v>
      </c>
      <c r="C1747" s="5" t="s">
        <v>222</v>
      </c>
      <c r="D1747" s="5" t="s">
        <v>21</v>
      </c>
      <c r="E1747" s="5" t="s">
        <v>44</v>
      </c>
      <c r="F1747" s="5" t="s">
        <v>68</v>
      </c>
      <c r="G1747" s="5" t="s">
        <v>91</v>
      </c>
      <c r="H1747" s="9" t="s">
        <v>223</v>
      </c>
      <c r="I1747" s="10"/>
      <c r="J1747" s="10">
        <v>44707</v>
      </c>
      <c r="K1747" s="5" t="s">
        <v>127</v>
      </c>
      <c r="L1747" s="5" t="s">
        <v>50</v>
      </c>
      <c r="M1747" s="11">
        <v>0.070000000000000007</v>
      </c>
      <c r="N1747" s="5" t="e">
        <f>IF(AND(M1747&gt;#REF!,Cartera!O1747="Guaraníes"),"Rendimiento significativo",IF(AND(M1747&gt;#REF!,Cartera!O1747="Dólares americanos"),"Rendimiento significativo","Rendimiento no significativo"))</f>
        <v>#REF!</v>
      </c>
      <c r="O1747" s="5" t="s">
        <v>51</v>
      </c>
      <c r="P1747" s="13">
        <v>1745.2055</v>
      </c>
      <c r="Q1747" s="12" t="e">
        <f>IF(O1747="Guaraníes",P1747,P1747*#REF!)</f>
        <v>#REF!</v>
      </c>
      <c r="R1747" s="12">
        <f>IF(O1747="Guaraníes",P1747/#REF!,P1747)</f>
        <v>1745.2055</v>
      </c>
      <c r="S1747" s="5" t="s">
        <v>52</v>
      </c>
      <c r="T1747" s="5">
        <v>3253</v>
      </c>
      <c r="W1747" s="5" t="s">
        <v>65</v>
      </c>
      <c r="X1747" s="5">
        <v>0</v>
      </c>
      <c r="Y1747" s="5">
        <v>0</v>
      </c>
      <c r="Z1747" s="5">
        <v>34.904110000000003</v>
      </c>
      <c r="AA1747" s="5">
        <v>50</v>
      </c>
      <c r="AB1747" s="5">
        <v>1745.2055</v>
      </c>
      <c r="AC1747" s="5" t="str">
        <f t="shared" si="85"/>
        <v>Bonos</v>
      </c>
      <c r="AD1747" s="5" t="s">
        <v>43</v>
      </c>
      <c r="AE1747" s="5">
        <f t="shared" si="86"/>
        <v>5</v>
      </c>
      <c r="AF1747" s="5">
        <f t="shared" si="87"/>
        <v>2022</v>
      </c>
    </row>
    <row r="1748" s="5" customFormat="1" ht="13">
      <c r="A1748" s="5" t="s">
        <v>44</v>
      </c>
      <c r="B1748" s="5" t="s">
        <v>44</v>
      </c>
      <c r="C1748" s="5" t="s">
        <v>143</v>
      </c>
      <c r="D1748" s="5" t="s">
        <v>21</v>
      </c>
      <c r="E1748" s="5" t="s">
        <v>44</v>
      </c>
      <c r="F1748" s="5" t="s">
        <v>144</v>
      </c>
      <c r="G1748" s="5" t="s">
        <v>91</v>
      </c>
      <c r="H1748" s="9" t="s">
        <v>380</v>
      </c>
      <c r="I1748" s="10"/>
      <c r="J1748" s="10">
        <v>44712</v>
      </c>
      <c r="K1748" s="5" t="s">
        <v>49</v>
      </c>
      <c r="L1748" s="5" t="s">
        <v>106</v>
      </c>
      <c r="M1748" s="11">
        <v>0.059999999999999998</v>
      </c>
      <c r="N1748" s="5" t="e">
        <f>IF(AND(M1748&gt;#REF!,Cartera!O1748="Guaraníes"),"Rendimiento significativo",IF(AND(M1748&gt;#REF!,Cartera!O1748="Dólares americanos"),"Rendimiento significativo","Rendimiento no significativo"))</f>
        <v>#REF!</v>
      </c>
      <c r="O1748" s="5" t="s">
        <v>51</v>
      </c>
      <c r="P1748" s="13">
        <v>52.602739999999997</v>
      </c>
      <c r="Q1748" s="12" t="e">
        <f>IF(O1748="Guaraníes",P1748,P1748*#REF!)</f>
        <v>#REF!</v>
      </c>
      <c r="R1748" s="12">
        <f>IF(O1748="Guaraníes",P1748/#REF!,P1748)</f>
        <v>52.602739999999997</v>
      </c>
      <c r="S1748" s="5" t="s">
        <v>52</v>
      </c>
      <c r="T1748" s="5">
        <v>3253</v>
      </c>
      <c r="W1748" s="5" t="s">
        <v>65</v>
      </c>
      <c r="X1748" s="5">
        <v>0</v>
      </c>
      <c r="Y1748" s="5">
        <v>0</v>
      </c>
      <c r="Z1748" s="5">
        <v>5.2602739999999999</v>
      </c>
      <c r="AA1748" s="5">
        <v>10</v>
      </c>
      <c r="AB1748" s="5">
        <v>52.602739999999997</v>
      </c>
      <c r="AC1748" s="5" t="str">
        <f t="shared" si="85"/>
        <v>Bonos</v>
      </c>
      <c r="AD1748" s="5" t="s">
        <v>43</v>
      </c>
      <c r="AE1748" s="5">
        <f t="shared" si="86"/>
        <v>5</v>
      </c>
      <c r="AF1748" s="5">
        <f t="shared" si="87"/>
        <v>2022</v>
      </c>
    </row>
    <row r="1749" s="5" customFormat="1" ht="13">
      <c r="A1749" s="5" t="s">
        <v>44</v>
      </c>
      <c r="B1749" s="5" t="s">
        <v>44</v>
      </c>
      <c r="C1749" s="5" t="s">
        <v>164</v>
      </c>
      <c r="D1749" s="5" t="s">
        <v>21</v>
      </c>
      <c r="E1749" s="5" t="s">
        <v>44</v>
      </c>
      <c r="F1749" s="5" t="s">
        <v>68</v>
      </c>
      <c r="G1749" s="5" t="s">
        <v>91</v>
      </c>
      <c r="H1749" s="9" t="s">
        <v>166</v>
      </c>
      <c r="I1749" s="10"/>
      <c r="J1749" s="10">
        <v>44712</v>
      </c>
      <c r="K1749" s="5" t="s">
        <v>124</v>
      </c>
      <c r="L1749" s="5" t="s">
        <v>58</v>
      </c>
      <c r="M1749" s="11">
        <v>0.092499999999999999</v>
      </c>
      <c r="N1749" s="5" t="e">
        <f>IF(AND(M1749&gt;#REF!,Cartera!O1749="Guaraníes"),"Rendimiento significativo",IF(AND(M1749&gt;#REF!,Cartera!O1749="Dólares americanos"),"Rendimiento significativo","Rendimiento no significativo"))</f>
        <v>#REF!</v>
      </c>
      <c r="O1749" s="5" t="s">
        <v>41</v>
      </c>
      <c r="P1749" s="12">
        <v>1216438.3561500001</v>
      </c>
      <c r="Q1749" s="12">
        <f>IF(O1749="Guaraníes",P1749,P1749*#REF!)</f>
        <v>1216438.3561500001</v>
      </c>
      <c r="R1749" s="12" t="e">
        <f>IF(O1749="Guaraníes",P1749/#REF!,P1749)</f>
        <v>#REF!</v>
      </c>
      <c r="S1749" s="5" t="s">
        <v>52</v>
      </c>
      <c r="T1749" s="5">
        <v>3253</v>
      </c>
      <c r="W1749" s="5" t="s">
        <v>65</v>
      </c>
      <c r="X1749" s="5">
        <v>0</v>
      </c>
      <c r="Y1749" s="5">
        <v>0</v>
      </c>
      <c r="Z1749" s="5">
        <v>8109.5890410000002</v>
      </c>
      <c r="AA1749" s="5">
        <v>150</v>
      </c>
      <c r="AB1749" s="5">
        <v>1216438.3561499999</v>
      </c>
      <c r="AC1749" s="5" t="str">
        <f t="shared" si="85"/>
        <v>Bonos</v>
      </c>
      <c r="AD1749" s="5" t="s">
        <v>43</v>
      </c>
      <c r="AE1749" s="5">
        <f t="shared" si="86"/>
        <v>5</v>
      </c>
      <c r="AF1749" s="5">
        <f t="shared" si="87"/>
        <v>2022</v>
      </c>
    </row>
    <row r="1750" s="5" customFormat="1" ht="13">
      <c r="A1750" s="5" t="s">
        <v>44</v>
      </c>
      <c r="B1750" s="5" t="s">
        <v>44</v>
      </c>
      <c r="C1750" s="5" t="s">
        <v>143</v>
      </c>
      <c r="D1750" s="5" t="s">
        <v>21</v>
      </c>
      <c r="E1750" s="5" t="s">
        <v>44</v>
      </c>
      <c r="F1750" s="5" t="s">
        <v>144</v>
      </c>
      <c r="G1750" s="5" t="s">
        <v>91</v>
      </c>
      <c r="H1750" s="9" t="s">
        <v>380</v>
      </c>
      <c r="I1750" s="10"/>
      <c r="J1750" s="10">
        <v>44742</v>
      </c>
      <c r="K1750" s="5" t="s">
        <v>49</v>
      </c>
      <c r="L1750" s="5" t="s">
        <v>106</v>
      </c>
      <c r="M1750" s="11">
        <v>0.059999999999999998</v>
      </c>
      <c r="N1750" s="5" t="e">
        <f>IF(AND(M1750&gt;#REF!,Cartera!O1750="Guaraníes"),"Rendimiento significativo",IF(AND(M1750&gt;#REF!,Cartera!O1750="Dólares americanos"),"Rendimiento significativo","Rendimiento no significativo"))</f>
        <v>#REF!</v>
      </c>
      <c r="O1750" s="5" t="s">
        <v>51</v>
      </c>
      <c r="P1750" s="13">
        <v>49.315069999999999</v>
      </c>
      <c r="Q1750" s="12" t="e">
        <f>IF(O1750="Guaraníes",P1750,P1750*#REF!)</f>
        <v>#REF!</v>
      </c>
      <c r="R1750" s="12">
        <f>IF(O1750="Guaraníes",P1750/#REF!,P1750)</f>
        <v>49.315069999999999</v>
      </c>
      <c r="S1750" s="5" t="s">
        <v>52</v>
      </c>
      <c r="T1750" s="5">
        <v>3253</v>
      </c>
      <c r="W1750" s="5" t="s">
        <v>65</v>
      </c>
      <c r="X1750" s="5">
        <v>0</v>
      </c>
      <c r="Y1750" s="5">
        <v>0</v>
      </c>
      <c r="Z1750" s="5">
        <v>4.9315069999999999</v>
      </c>
      <c r="AA1750" s="5">
        <v>10</v>
      </c>
      <c r="AB1750" s="5">
        <v>49.315069999999999</v>
      </c>
      <c r="AC1750" s="5" t="str">
        <f t="shared" si="85"/>
        <v>Bonos</v>
      </c>
      <c r="AD1750" s="5" t="s">
        <v>43</v>
      </c>
      <c r="AE1750" s="5">
        <f t="shared" si="86"/>
        <v>6</v>
      </c>
      <c r="AF1750" s="5">
        <f t="shared" si="87"/>
        <v>2022</v>
      </c>
    </row>
    <row r="1751" s="5" customFormat="1" ht="13">
      <c r="A1751" s="5" t="s">
        <v>44</v>
      </c>
      <c r="B1751" s="5" t="s">
        <v>44</v>
      </c>
      <c r="C1751" s="5" t="s">
        <v>164</v>
      </c>
      <c r="D1751" s="5" t="s">
        <v>21</v>
      </c>
      <c r="E1751" s="5" t="s">
        <v>44</v>
      </c>
      <c r="F1751" s="5" t="s">
        <v>68</v>
      </c>
      <c r="G1751" s="5" t="s">
        <v>91</v>
      </c>
      <c r="H1751" s="9" t="s">
        <v>166</v>
      </c>
      <c r="I1751" s="10"/>
      <c r="J1751" s="10">
        <v>44742</v>
      </c>
      <c r="K1751" s="5" t="s">
        <v>124</v>
      </c>
      <c r="L1751" s="5" t="s">
        <v>58</v>
      </c>
      <c r="M1751" s="11">
        <v>0.092499999999999999</v>
      </c>
      <c r="N1751" s="5" t="e">
        <f>IF(AND(M1751&gt;#REF!,Cartera!O1751="Guaraníes"),"Rendimiento significativo",IF(AND(M1751&gt;#REF!,Cartera!O1751="Dólares americanos"),"Rendimiento significativo","Rendimiento no significativo"))</f>
        <v>#REF!</v>
      </c>
      <c r="O1751" s="5" t="s">
        <v>41</v>
      </c>
      <c r="P1751" s="12">
        <v>1140410.9589</v>
      </c>
      <c r="Q1751" s="12">
        <f>IF(O1751="Guaraníes",P1751,P1751*#REF!)</f>
        <v>1140410.9589</v>
      </c>
      <c r="R1751" s="12" t="e">
        <f>IF(O1751="Guaraníes",P1751/#REF!,P1751)</f>
        <v>#REF!</v>
      </c>
      <c r="S1751" s="5" t="s">
        <v>52</v>
      </c>
      <c r="T1751" s="5">
        <v>3253</v>
      </c>
      <c r="W1751" s="5" t="s">
        <v>65</v>
      </c>
      <c r="X1751" s="5">
        <v>0</v>
      </c>
      <c r="Y1751" s="5">
        <v>0</v>
      </c>
      <c r="Z1751" s="5">
        <v>7602.7397259999998</v>
      </c>
      <c r="AA1751" s="5">
        <v>150</v>
      </c>
      <c r="AB1751" s="5">
        <v>1140410.9589</v>
      </c>
      <c r="AC1751" s="5" t="str">
        <f t="shared" si="85"/>
        <v>Bonos</v>
      </c>
      <c r="AD1751" s="5" t="s">
        <v>43</v>
      </c>
      <c r="AE1751" s="5">
        <f t="shared" si="86"/>
        <v>6</v>
      </c>
      <c r="AF1751" s="5">
        <f t="shared" si="87"/>
        <v>2022</v>
      </c>
    </row>
    <row r="1752" s="5" customFormat="1" ht="13">
      <c r="A1752" s="5" t="s">
        <v>44</v>
      </c>
      <c r="B1752" s="5" t="s">
        <v>44</v>
      </c>
      <c r="C1752" s="5" t="s">
        <v>143</v>
      </c>
      <c r="D1752" s="5" t="s">
        <v>21</v>
      </c>
      <c r="E1752" s="5" t="s">
        <v>44</v>
      </c>
      <c r="F1752" s="5" t="s">
        <v>144</v>
      </c>
      <c r="G1752" s="5" t="s">
        <v>91</v>
      </c>
      <c r="H1752" s="9" t="s">
        <v>380</v>
      </c>
      <c r="I1752" s="10"/>
      <c r="J1752" s="10">
        <v>44771</v>
      </c>
      <c r="K1752" s="5" t="s">
        <v>49</v>
      </c>
      <c r="L1752" s="5" t="s">
        <v>106</v>
      </c>
      <c r="M1752" s="11">
        <v>0.059999999999999998</v>
      </c>
      <c r="N1752" s="5" t="e">
        <f>IF(AND(M1752&gt;#REF!,Cartera!O1752="Guaraníes"),"Rendimiento significativo",IF(AND(M1752&gt;#REF!,Cartera!O1752="Dólares americanos"),"Rendimiento significativo","Rendimiento no significativo"))</f>
        <v>#REF!</v>
      </c>
      <c r="O1752" s="5" t="s">
        <v>51</v>
      </c>
      <c r="P1752" s="13">
        <v>47.671229999999994</v>
      </c>
      <c r="Q1752" s="12" t="e">
        <f>IF(O1752="Guaraníes",P1752,P1752*#REF!)</f>
        <v>#REF!</v>
      </c>
      <c r="R1752" s="12">
        <f>IF(O1752="Guaraníes",P1752/#REF!,P1752)</f>
        <v>47.671229999999994</v>
      </c>
      <c r="S1752" s="5" t="s">
        <v>52</v>
      </c>
      <c r="T1752" s="5">
        <v>3253</v>
      </c>
      <c r="W1752" s="5" t="s">
        <v>65</v>
      </c>
      <c r="X1752" s="5">
        <v>0</v>
      </c>
      <c r="Y1752" s="5">
        <v>0</v>
      </c>
      <c r="Z1752" s="5">
        <v>4.7671229999999998</v>
      </c>
      <c r="AA1752" s="5">
        <v>10</v>
      </c>
      <c r="AB1752" s="5">
        <v>47.671230000000001</v>
      </c>
      <c r="AC1752" s="5" t="str">
        <f t="shared" si="85"/>
        <v>Bonos</v>
      </c>
      <c r="AD1752" s="5" t="s">
        <v>43</v>
      </c>
      <c r="AE1752" s="5">
        <f t="shared" si="86"/>
        <v>7</v>
      </c>
      <c r="AF1752" s="5">
        <f t="shared" si="87"/>
        <v>2022</v>
      </c>
    </row>
    <row r="1753" s="5" customFormat="1" ht="13">
      <c r="A1753" s="5" t="s">
        <v>44</v>
      </c>
      <c r="B1753" s="5" t="s">
        <v>44</v>
      </c>
      <c r="C1753" s="5" t="s">
        <v>164</v>
      </c>
      <c r="D1753" s="5" t="s">
        <v>21</v>
      </c>
      <c r="E1753" s="5" t="s">
        <v>44</v>
      </c>
      <c r="F1753" s="5" t="s">
        <v>68</v>
      </c>
      <c r="G1753" s="5" t="s">
        <v>91</v>
      </c>
      <c r="H1753" s="9" t="s">
        <v>166</v>
      </c>
      <c r="I1753" s="10"/>
      <c r="J1753" s="10">
        <v>44771</v>
      </c>
      <c r="K1753" s="5" t="s">
        <v>124</v>
      </c>
      <c r="L1753" s="5" t="s">
        <v>58</v>
      </c>
      <c r="M1753" s="11">
        <v>0.092499999999999999</v>
      </c>
      <c r="N1753" s="5" t="e">
        <f>IF(AND(M1753&gt;#REF!,Cartera!O1753="Guaraníes"),"Rendimiento significativo",IF(AND(M1753&gt;#REF!,Cartera!O1753="Dólares americanos"),"Rendimiento significativo","Rendimiento no significativo"))</f>
        <v>#REF!</v>
      </c>
      <c r="O1753" s="5" t="s">
        <v>41</v>
      </c>
      <c r="P1753" s="12">
        <v>1102397.2601999999</v>
      </c>
      <c r="Q1753" s="12">
        <f>IF(O1753="Guaraníes",P1753,P1753*#REF!)</f>
        <v>1102397.2601999999</v>
      </c>
      <c r="R1753" s="12" t="e">
        <f>IF(O1753="Guaraníes",P1753/#REF!,P1753)</f>
        <v>#REF!</v>
      </c>
      <c r="S1753" s="5" t="s">
        <v>52</v>
      </c>
      <c r="T1753" s="5">
        <v>3253</v>
      </c>
      <c r="W1753" s="5" t="s">
        <v>65</v>
      </c>
      <c r="X1753" s="5">
        <v>0</v>
      </c>
      <c r="Y1753" s="5">
        <v>0</v>
      </c>
      <c r="Z1753" s="5">
        <v>7349.3150679999999</v>
      </c>
      <c r="AA1753" s="5">
        <v>150</v>
      </c>
      <c r="AB1753" s="5">
        <v>1102397.2601999999</v>
      </c>
      <c r="AC1753" s="5" t="str">
        <f t="shared" si="85"/>
        <v>Bonos</v>
      </c>
      <c r="AD1753" s="5" t="s">
        <v>43</v>
      </c>
      <c r="AE1753" s="5">
        <f t="shared" si="86"/>
        <v>7</v>
      </c>
      <c r="AF1753" s="5">
        <f t="shared" si="87"/>
        <v>2022</v>
      </c>
    </row>
    <row r="1754" s="5" customFormat="1" ht="13">
      <c r="A1754" s="5" t="s">
        <v>44</v>
      </c>
      <c r="B1754" s="5" t="s">
        <v>44</v>
      </c>
      <c r="C1754" s="5" t="s">
        <v>381</v>
      </c>
      <c r="D1754" s="5" t="s">
        <v>21</v>
      </c>
      <c r="E1754" s="5" t="s">
        <v>44</v>
      </c>
      <c r="F1754" s="5" t="s">
        <v>68</v>
      </c>
      <c r="G1754" s="5" t="s">
        <v>141</v>
      </c>
      <c r="H1754" s="9" t="s">
        <v>382</v>
      </c>
      <c r="I1754" s="10"/>
      <c r="J1754" s="10">
        <v>44756</v>
      </c>
      <c r="K1754" s="5" t="s">
        <v>383</v>
      </c>
      <c r="L1754" s="5" t="s">
        <v>58</v>
      </c>
      <c r="M1754" s="11">
        <v>0.1225</v>
      </c>
      <c r="N1754" s="5" t="e">
        <f>IF(AND(M1754&gt;#REF!,Cartera!O1754="Guaraníes"),"Rendimiento significativo",IF(AND(M1754&gt;#REF!,Cartera!O1754="Dólares americanos"),"Rendimiento significativo","Rendimiento no significativo"))</f>
        <v>#REF!</v>
      </c>
      <c r="O1754" s="5" t="s">
        <v>41</v>
      </c>
      <c r="P1754" s="12">
        <v>1527054.7945000001</v>
      </c>
      <c r="Q1754" s="12">
        <f>IF(O1754="Guaraníes",P1754,P1754*#REF!)</f>
        <v>1527054.7945000001</v>
      </c>
      <c r="R1754" s="12" t="e">
        <f>IF(O1754="Guaraníes",P1754/#REF!,P1754)</f>
        <v>#REF!</v>
      </c>
      <c r="S1754" s="5" t="s">
        <v>52</v>
      </c>
      <c r="T1754" s="5">
        <v>9243</v>
      </c>
      <c r="W1754" s="5" t="s">
        <v>65</v>
      </c>
      <c r="X1754" s="5">
        <v>0</v>
      </c>
      <c r="Y1754" s="5">
        <v>0</v>
      </c>
      <c r="Z1754" s="5">
        <v>30541.095890000001</v>
      </c>
      <c r="AA1754" s="5">
        <v>50</v>
      </c>
      <c r="AB1754" s="5">
        <v>1527054.7945000001</v>
      </c>
      <c r="AC1754" s="5" t="str">
        <f t="shared" si="85"/>
        <v>Bonos</v>
      </c>
      <c r="AD1754" s="5" t="s">
        <v>43</v>
      </c>
      <c r="AE1754" s="5">
        <f t="shared" si="86"/>
        <v>7</v>
      </c>
      <c r="AF1754" s="5">
        <f t="shared" si="87"/>
        <v>2022</v>
      </c>
    </row>
    <row r="1755" s="5" customFormat="1" ht="13">
      <c r="A1755" s="5" t="s">
        <v>44</v>
      </c>
      <c r="B1755" s="5" t="s">
        <v>44</v>
      </c>
      <c r="C1755" s="5" t="s">
        <v>164</v>
      </c>
      <c r="D1755" s="5" t="s">
        <v>21</v>
      </c>
      <c r="E1755" s="5" t="s">
        <v>44</v>
      </c>
      <c r="F1755" s="5" t="s">
        <v>68</v>
      </c>
      <c r="G1755" s="5" t="s">
        <v>141</v>
      </c>
      <c r="H1755" s="9" t="s">
        <v>165</v>
      </c>
      <c r="I1755" s="10"/>
      <c r="J1755" s="10">
        <v>44771</v>
      </c>
      <c r="K1755" s="5" t="s">
        <v>124</v>
      </c>
      <c r="L1755" s="5" t="s">
        <v>58</v>
      </c>
      <c r="M1755" s="11">
        <v>0.10000000000000001</v>
      </c>
      <c r="N1755" s="5" t="e">
        <f>IF(AND(M1755&gt;#REF!,Cartera!O1755="Guaraníes"),"Rendimiento significativo",IF(AND(M1755&gt;#REF!,Cartera!O1755="Dólares americanos"),"Rendimiento significativo","Rendimiento no significativo"))</f>
        <v>#REF!</v>
      </c>
      <c r="O1755" s="5" t="s">
        <v>41</v>
      </c>
      <c r="P1755" s="12">
        <v>794520.54790000001</v>
      </c>
      <c r="Q1755" s="12">
        <f>IF(O1755="Guaraníes",P1755,P1755*#REF!)</f>
        <v>794520.54790000001</v>
      </c>
      <c r="R1755" s="12" t="e">
        <f>IF(O1755="Guaraníes",P1755/#REF!,P1755)</f>
        <v>#REF!</v>
      </c>
      <c r="S1755" s="5" t="s">
        <v>52</v>
      </c>
      <c r="T1755" s="5">
        <v>9243</v>
      </c>
      <c r="W1755" s="5" t="s">
        <v>65</v>
      </c>
      <c r="X1755" s="5">
        <v>0</v>
      </c>
      <c r="Y1755" s="5">
        <v>0</v>
      </c>
      <c r="Z1755" s="5">
        <v>7945.2054790000002</v>
      </c>
      <c r="AA1755" s="5">
        <v>100</v>
      </c>
      <c r="AB1755" s="5">
        <v>794520.54790000001</v>
      </c>
      <c r="AC1755" s="5" t="str">
        <f t="shared" si="85"/>
        <v>Bonos</v>
      </c>
      <c r="AD1755" s="5" t="s">
        <v>43</v>
      </c>
      <c r="AE1755" s="5">
        <f t="shared" si="86"/>
        <v>7</v>
      </c>
      <c r="AF1755" s="5">
        <f t="shared" si="87"/>
        <v>2022</v>
      </c>
    </row>
    <row r="1756" s="5" customFormat="1" ht="13">
      <c r="A1756" s="5" t="s">
        <v>44</v>
      </c>
      <c r="B1756" s="5" t="s">
        <v>44</v>
      </c>
      <c r="C1756" s="5" t="s">
        <v>164</v>
      </c>
      <c r="D1756" s="5" t="s">
        <v>21</v>
      </c>
      <c r="E1756" s="5" t="s">
        <v>44</v>
      </c>
      <c r="F1756" s="5" t="s">
        <v>68</v>
      </c>
      <c r="G1756" s="5" t="s">
        <v>141</v>
      </c>
      <c r="H1756" s="9" t="s">
        <v>167</v>
      </c>
      <c r="I1756" s="10"/>
      <c r="J1756" s="10">
        <v>44771</v>
      </c>
      <c r="K1756" s="5" t="s">
        <v>124</v>
      </c>
      <c r="L1756" s="5" t="s">
        <v>58</v>
      </c>
      <c r="M1756" s="11">
        <v>0.092499999999999999</v>
      </c>
      <c r="N1756" s="5" t="e">
        <f>IF(AND(M1756&gt;#REF!,Cartera!O1756="Guaraníes"),"Rendimiento significativo",IF(AND(M1756&gt;#REF!,Cartera!O1756="Dólares americanos"),"Rendimiento significativo","Rendimiento no significativo"))</f>
        <v>#REF!</v>
      </c>
      <c r="O1756" s="5" t="s">
        <v>41</v>
      </c>
      <c r="P1756" s="12">
        <v>734931.50679999997</v>
      </c>
      <c r="Q1756" s="12">
        <f>IF(O1756="Guaraníes",P1756,P1756*#REF!)</f>
        <v>734931.50679999997</v>
      </c>
      <c r="R1756" s="12" t="e">
        <f>IF(O1756="Guaraníes",P1756/#REF!,P1756)</f>
        <v>#REF!</v>
      </c>
      <c r="S1756" s="5" t="s">
        <v>52</v>
      </c>
      <c r="T1756" s="5">
        <v>9243</v>
      </c>
      <c r="W1756" s="5" t="s">
        <v>65</v>
      </c>
      <c r="X1756" s="5">
        <v>0</v>
      </c>
      <c r="Y1756" s="5">
        <v>0</v>
      </c>
      <c r="Z1756" s="5">
        <v>7349.3150679999999</v>
      </c>
      <c r="AA1756" s="5">
        <v>100</v>
      </c>
      <c r="AB1756" s="5">
        <v>734931.50679999997</v>
      </c>
      <c r="AC1756" s="5" t="str">
        <f t="shared" si="85"/>
        <v>Bonos</v>
      </c>
      <c r="AD1756" s="5" t="s">
        <v>43</v>
      </c>
      <c r="AE1756" s="5">
        <f t="shared" si="86"/>
        <v>7</v>
      </c>
      <c r="AF1756" s="5">
        <f t="shared" si="87"/>
        <v>2022</v>
      </c>
    </row>
    <row r="1757" s="5" customFormat="1" ht="13">
      <c r="A1757" s="5" t="s">
        <v>44</v>
      </c>
      <c r="B1757" s="5" t="s">
        <v>44</v>
      </c>
      <c r="C1757" s="5" t="s">
        <v>176</v>
      </c>
      <c r="D1757" s="5" t="s">
        <v>21</v>
      </c>
      <c r="E1757" s="5" t="s">
        <v>44</v>
      </c>
      <c r="F1757" s="5" t="s">
        <v>68</v>
      </c>
      <c r="G1757" s="5" t="s">
        <v>91</v>
      </c>
      <c r="H1757" s="9" t="s">
        <v>177</v>
      </c>
      <c r="I1757" s="10"/>
      <c r="J1757" s="10">
        <v>44797</v>
      </c>
      <c r="K1757" s="5" t="s">
        <v>178</v>
      </c>
      <c r="L1757" s="5" t="s">
        <v>58</v>
      </c>
      <c r="M1757" s="11">
        <v>0.085000000000000006</v>
      </c>
      <c r="N1757" s="5" t="e">
        <f>IF(AND(M1757&gt;#REF!,Cartera!O1757="Guaraníes"),"Rendimiento significativo",IF(AND(M1757&gt;#REF!,Cartera!O1757="Dólares americanos"),"Rendimiento significativo","Rendimiento no significativo"))</f>
        <v>#REF!</v>
      </c>
      <c r="O1757" s="5" t="s">
        <v>51</v>
      </c>
      <c r="P1757" s="13">
        <v>560.95890000000009</v>
      </c>
      <c r="Q1757" s="12" t="e">
        <f>IF(O1757="Guaraníes",P1757,P1757*#REF!)</f>
        <v>#REF!</v>
      </c>
      <c r="R1757" s="12">
        <f>IF(O1757="Guaraníes",P1757/#REF!,P1757)</f>
        <v>560.95890000000009</v>
      </c>
      <c r="S1757" s="5" t="s">
        <v>52</v>
      </c>
      <c r="T1757" s="5">
        <v>3253</v>
      </c>
      <c r="W1757" s="5" t="s">
        <v>65</v>
      </c>
      <c r="X1757" s="5">
        <v>0</v>
      </c>
      <c r="Y1757" s="5">
        <v>0</v>
      </c>
      <c r="Z1757" s="5">
        <v>18.698630000000001</v>
      </c>
      <c r="AA1757" s="5">
        <v>30</v>
      </c>
      <c r="AB1757" s="5">
        <v>560.95889999999997</v>
      </c>
      <c r="AC1757" s="5" t="str">
        <f t="shared" si="85"/>
        <v>Bonos</v>
      </c>
      <c r="AD1757" s="5" t="s">
        <v>43</v>
      </c>
      <c r="AE1757" s="5">
        <f t="shared" si="86"/>
        <v>8</v>
      </c>
      <c r="AF1757" s="5">
        <f t="shared" si="87"/>
        <v>2022</v>
      </c>
    </row>
    <row r="1758" s="5" customFormat="1" ht="13">
      <c r="A1758" s="5" t="s">
        <v>44</v>
      </c>
      <c r="B1758" s="5" t="s">
        <v>44</v>
      </c>
      <c r="C1758" s="5" t="s">
        <v>143</v>
      </c>
      <c r="D1758" s="5" t="s">
        <v>21</v>
      </c>
      <c r="E1758" s="5" t="s">
        <v>44</v>
      </c>
      <c r="F1758" s="5" t="s">
        <v>144</v>
      </c>
      <c r="G1758" s="5" t="s">
        <v>91</v>
      </c>
      <c r="H1758" s="9" t="s">
        <v>380</v>
      </c>
      <c r="I1758" s="10"/>
      <c r="J1758" s="10">
        <v>44804</v>
      </c>
      <c r="K1758" s="5" t="s">
        <v>49</v>
      </c>
      <c r="L1758" s="5" t="s">
        <v>106</v>
      </c>
      <c r="M1758" s="11">
        <v>0.059999999999999998</v>
      </c>
      <c r="N1758" s="5" t="e">
        <f>IF(AND(M1758&gt;#REF!,Cartera!O1758="Guaraníes"),"Rendimiento significativo",IF(AND(M1758&gt;#REF!,Cartera!O1758="Dólares americanos"),"Rendimiento significativo","Rendimiento no significativo"))</f>
        <v>#REF!</v>
      </c>
      <c r="O1758" s="5" t="s">
        <v>51</v>
      </c>
      <c r="P1758" s="13">
        <v>54.246580000000002</v>
      </c>
      <c r="Q1758" s="12" t="e">
        <f>IF(O1758="Guaraníes",P1758,P1758*#REF!)</f>
        <v>#REF!</v>
      </c>
      <c r="R1758" s="12">
        <f>IF(O1758="Guaraníes",P1758/#REF!,P1758)</f>
        <v>54.246580000000002</v>
      </c>
      <c r="S1758" s="5" t="s">
        <v>52</v>
      </c>
      <c r="T1758" s="5">
        <v>3253</v>
      </c>
      <c r="W1758" s="5" t="s">
        <v>65</v>
      </c>
      <c r="X1758" s="5">
        <v>0</v>
      </c>
      <c r="Y1758" s="5">
        <v>0</v>
      </c>
      <c r="Z1758" s="5">
        <v>5.424658</v>
      </c>
      <c r="AA1758" s="5">
        <v>10</v>
      </c>
      <c r="AB1758" s="5">
        <v>54.246580000000002</v>
      </c>
      <c r="AC1758" s="5" t="str">
        <f t="shared" si="85"/>
        <v>Bonos</v>
      </c>
      <c r="AD1758" s="5" t="s">
        <v>43</v>
      </c>
      <c r="AE1758" s="5">
        <f t="shared" si="86"/>
        <v>8</v>
      </c>
      <c r="AF1758" s="5">
        <f t="shared" si="87"/>
        <v>2022</v>
      </c>
    </row>
    <row r="1759" s="5" customFormat="1" ht="13">
      <c r="A1759" s="5" t="s">
        <v>44</v>
      </c>
      <c r="B1759" s="5" t="s">
        <v>44</v>
      </c>
      <c r="C1759" s="5" t="s">
        <v>164</v>
      </c>
      <c r="D1759" s="5" t="s">
        <v>21</v>
      </c>
      <c r="E1759" s="5" t="s">
        <v>44</v>
      </c>
      <c r="F1759" s="5" t="s">
        <v>68</v>
      </c>
      <c r="G1759" s="5" t="s">
        <v>91</v>
      </c>
      <c r="H1759" s="9" t="s">
        <v>166</v>
      </c>
      <c r="I1759" s="10"/>
      <c r="J1759" s="10">
        <v>44804</v>
      </c>
      <c r="K1759" s="5" t="s">
        <v>124</v>
      </c>
      <c r="L1759" s="5" t="s">
        <v>58</v>
      </c>
      <c r="M1759" s="11">
        <v>0.092499999999999999</v>
      </c>
      <c r="N1759" s="5" t="e">
        <f>IF(AND(M1759&gt;#REF!,Cartera!O1759="Guaraníes"),"Rendimiento significativo",IF(AND(M1759&gt;#REF!,Cartera!O1759="Dólares americanos"),"Rendimiento significativo","Rendimiento no significativo"))</f>
        <v>#REF!</v>
      </c>
      <c r="O1759" s="5" t="s">
        <v>41</v>
      </c>
      <c r="P1759" s="12">
        <v>1254452.05485</v>
      </c>
      <c r="Q1759" s="12">
        <f>IF(O1759="Guaraníes",P1759,P1759*#REF!)</f>
        <v>1254452.05485</v>
      </c>
      <c r="R1759" s="12" t="e">
        <f>IF(O1759="Guaraníes",P1759/#REF!,P1759)</f>
        <v>#REF!</v>
      </c>
      <c r="S1759" s="5" t="s">
        <v>52</v>
      </c>
      <c r="T1759" s="5">
        <v>3253</v>
      </c>
      <c r="W1759" s="5" t="s">
        <v>65</v>
      </c>
      <c r="X1759" s="5">
        <v>0</v>
      </c>
      <c r="Y1759" s="5">
        <v>0</v>
      </c>
      <c r="Z1759" s="5">
        <v>8363.0136989999992</v>
      </c>
      <c r="AA1759" s="5">
        <v>150</v>
      </c>
      <c r="AB1759" s="5">
        <v>1254452.05485</v>
      </c>
      <c r="AC1759" s="5" t="str">
        <f t="shared" si="85"/>
        <v>Bonos</v>
      </c>
      <c r="AD1759" s="5" t="s">
        <v>43</v>
      </c>
      <c r="AE1759" s="5">
        <f t="shared" si="86"/>
        <v>8</v>
      </c>
      <c r="AF1759" s="5">
        <f t="shared" si="87"/>
        <v>2022</v>
      </c>
    </row>
    <row r="1760" s="5" customFormat="1" ht="13">
      <c r="A1760" s="5" t="s">
        <v>44</v>
      </c>
      <c r="B1760" s="5" t="s">
        <v>44</v>
      </c>
      <c r="C1760" s="5" t="s">
        <v>143</v>
      </c>
      <c r="D1760" s="5" t="s">
        <v>21</v>
      </c>
      <c r="E1760" s="5" t="s">
        <v>44</v>
      </c>
      <c r="F1760" s="5" t="s">
        <v>144</v>
      </c>
      <c r="G1760" s="5" t="s">
        <v>91</v>
      </c>
      <c r="H1760" s="9" t="s">
        <v>380</v>
      </c>
      <c r="I1760" s="10"/>
      <c r="J1760" s="10">
        <v>44834</v>
      </c>
      <c r="K1760" s="5" t="s">
        <v>49</v>
      </c>
      <c r="L1760" s="5" t="s">
        <v>106</v>
      </c>
      <c r="M1760" s="11">
        <v>0.059999999999999998</v>
      </c>
      <c r="N1760" s="5" t="e">
        <f>IF(AND(M1760&gt;#REF!,Cartera!O1760="Guaraníes"),"Rendimiento significativo",IF(AND(M1760&gt;#REF!,Cartera!O1760="Dólares americanos"),"Rendimiento significativo","Rendimiento no significativo"))</f>
        <v>#REF!</v>
      </c>
      <c r="O1760" s="5" t="s">
        <v>51</v>
      </c>
      <c r="P1760" s="13">
        <v>49.315069999999999</v>
      </c>
      <c r="Q1760" s="12" t="e">
        <f>IF(O1760="Guaraníes",P1760,P1760*#REF!)</f>
        <v>#REF!</v>
      </c>
      <c r="R1760" s="12">
        <f>IF(O1760="Guaraníes",P1760/#REF!,P1760)</f>
        <v>49.315069999999999</v>
      </c>
      <c r="S1760" s="5" t="s">
        <v>52</v>
      </c>
      <c r="T1760" s="5">
        <v>3253</v>
      </c>
      <c r="W1760" s="5" t="s">
        <v>65</v>
      </c>
      <c r="X1760" s="5">
        <v>0</v>
      </c>
      <c r="Y1760" s="5">
        <v>0</v>
      </c>
      <c r="Z1760" s="5">
        <v>4.9315069999999999</v>
      </c>
      <c r="AA1760" s="5">
        <v>10</v>
      </c>
      <c r="AB1760" s="5">
        <v>49.315069999999999</v>
      </c>
      <c r="AC1760" s="5" t="str">
        <f t="shared" si="85"/>
        <v>Bonos</v>
      </c>
      <c r="AD1760" s="5" t="s">
        <v>43</v>
      </c>
      <c r="AE1760" s="5">
        <f t="shared" si="86"/>
        <v>9</v>
      </c>
      <c r="AF1760" s="5">
        <f t="shared" si="87"/>
        <v>2022</v>
      </c>
    </row>
    <row r="1761" s="5" customFormat="1" ht="13">
      <c r="A1761" s="5" t="s">
        <v>44</v>
      </c>
      <c r="B1761" s="5" t="s">
        <v>44</v>
      </c>
      <c r="C1761" s="5" t="s">
        <v>164</v>
      </c>
      <c r="D1761" s="5" t="s">
        <v>21</v>
      </c>
      <c r="E1761" s="5" t="s">
        <v>44</v>
      </c>
      <c r="F1761" s="5" t="s">
        <v>68</v>
      </c>
      <c r="G1761" s="5" t="s">
        <v>91</v>
      </c>
      <c r="H1761" s="9" t="s">
        <v>166</v>
      </c>
      <c r="I1761" s="10"/>
      <c r="J1761" s="10">
        <v>44834</v>
      </c>
      <c r="K1761" s="5" t="s">
        <v>124</v>
      </c>
      <c r="L1761" s="5" t="s">
        <v>58</v>
      </c>
      <c r="M1761" s="11">
        <v>0.092499999999999999</v>
      </c>
      <c r="N1761" s="5" t="e">
        <f>IF(AND(M1761&gt;#REF!,Cartera!O1761="Guaraníes"),"Rendimiento significativo",IF(AND(M1761&gt;#REF!,Cartera!O1761="Dólares americanos"),"Rendimiento significativo","Rendimiento no significativo"))</f>
        <v>#REF!</v>
      </c>
      <c r="O1761" s="5" t="s">
        <v>41</v>
      </c>
      <c r="P1761" s="12">
        <v>1140410.9589</v>
      </c>
      <c r="Q1761" s="12">
        <f>IF(O1761="Guaraníes",P1761,P1761*#REF!)</f>
        <v>1140410.9589</v>
      </c>
      <c r="R1761" s="12" t="e">
        <f>IF(O1761="Guaraníes",P1761/#REF!,P1761)</f>
        <v>#REF!</v>
      </c>
      <c r="S1761" s="5" t="s">
        <v>52</v>
      </c>
      <c r="T1761" s="5">
        <v>3253</v>
      </c>
      <c r="W1761" s="5" t="s">
        <v>65</v>
      </c>
      <c r="X1761" s="5">
        <v>0</v>
      </c>
      <c r="Y1761" s="5">
        <v>0</v>
      </c>
      <c r="Z1761" s="5">
        <v>7602.7397259999998</v>
      </c>
      <c r="AA1761" s="5">
        <v>150</v>
      </c>
      <c r="AB1761" s="5">
        <v>1140410.9589</v>
      </c>
      <c r="AC1761" s="5" t="str">
        <f t="shared" si="85"/>
        <v>Bonos</v>
      </c>
      <c r="AD1761" s="5" t="s">
        <v>43</v>
      </c>
      <c r="AE1761" s="5">
        <f t="shared" si="86"/>
        <v>9</v>
      </c>
      <c r="AF1761" s="5">
        <f t="shared" si="87"/>
        <v>2022</v>
      </c>
    </row>
    <row r="1762" s="5" customFormat="1" ht="13">
      <c r="A1762" s="5" t="s">
        <v>44</v>
      </c>
      <c r="B1762" s="5" t="s">
        <v>44</v>
      </c>
      <c r="C1762" s="5" t="s">
        <v>67</v>
      </c>
      <c r="D1762" s="5" t="s">
        <v>21</v>
      </c>
      <c r="E1762" s="5" t="s">
        <v>44</v>
      </c>
      <c r="F1762" s="5" t="s">
        <v>68</v>
      </c>
      <c r="G1762" s="5" t="s">
        <v>91</v>
      </c>
      <c r="H1762" s="9" t="s">
        <v>110</v>
      </c>
      <c r="I1762" s="10"/>
      <c r="J1762" s="10">
        <v>44852</v>
      </c>
      <c r="K1762" s="5" t="s">
        <v>71</v>
      </c>
      <c r="L1762" s="5" t="s">
        <v>58</v>
      </c>
      <c r="M1762" s="11">
        <v>0.089999999999999997</v>
      </c>
      <c r="N1762" s="5" t="e">
        <f>IF(AND(M1762&gt;#REF!,Cartera!O1762="Guaraníes"),"Rendimiento significativo",IF(AND(M1762&gt;#REF!,Cartera!O1762="Dólares americanos"),"Rendimiento significativo","Rendimiento no significativo"))</f>
        <v>#REF!</v>
      </c>
      <c r="O1762" s="5" t="s">
        <v>51</v>
      </c>
      <c r="P1762" s="13">
        <v>252.43150499999999</v>
      </c>
      <c r="Q1762" s="12" t="e">
        <f>IF(O1762="Guaraníes",P1762,P1762*#REF!)</f>
        <v>#REF!</v>
      </c>
      <c r="R1762" s="12">
        <f>IF(O1762="Guaraníes",P1762/#REF!,P1762)</f>
        <v>252.43150499999999</v>
      </c>
      <c r="S1762" s="5" t="s">
        <v>52</v>
      </c>
      <c r="T1762" s="5">
        <v>3253</v>
      </c>
      <c r="W1762" s="5" t="s">
        <v>65</v>
      </c>
      <c r="X1762" s="5">
        <v>0</v>
      </c>
      <c r="Y1762" s="5">
        <v>0</v>
      </c>
      <c r="Z1762" s="5">
        <v>16.828766999999999</v>
      </c>
      <c r="AA1762" s="5">
        <v>15</v>
      </c>
      <c r="AB1762" s="5">
        <v>252.43150499999999</v>
      </c>
      <c r="AC1762" s="5" t="str">
        <f t="shared" si="85"/>
        <v>Bonos</v>
      </c>
      <c r="AD1762" s="5" t="s">
        <v>43</v>
      </c>
      <c r="AE1762" s="5">
        <f t="shared" si="86"/>
        <v>10</v>
      </c>
      <c r="AF1762" s="5">
        <f t="shared" si="87"/>
        <v>2022</v>
      </c>
    </row>
    <row r="1763" s="5" customFormat="1" ht="13">
      <c r="A1763" s="5" t="s">
        <v>44</v>
      </c>
      <c r="B1763" s="5" t="s">
        <v>44</v>
      </c>
      <c r="C1763" s="5" t="s">
        <v>45</v>
      </c>
      <c r="D1763" s="5" t="s">
        <v>21</v>
      </c>
      <c r="E1763" s="5" t="s">
        <v>44</v>
      </c>
      <c r="F1763" s="5" t="s">
        <v>46</v>
      </c>
      <c r="G1763" s="5" t="s">
        <v>91</v>
      </c>
      <c r="H1763" s="9" t="s">
        <v>365</v>
      </c>
      <c r="I1763" s="10"/>
      <c r="J1763" s="10">
        <v>44854</v>
      </c>
      <c r="K1763" s="5" t="s">
        <v>49</v>
      </c>
      <c r="L1763" s="5" t="s">
        <v>58</v>
      </c>
      <c r="M1763" s="11">
        <v>0.059999999999999998</v>
      </c>
      <c r="N1763" s="5" t="e">
        <f>IF(AND(M1763&gt;#REF!,Cartera!O1763="Guaraníes"),"Rendimiento significativo",IF(AND(M1763&gt;#REF!,Cartera!O1763="Dólares americanos"),"Rendimiento significativo","Rendimiento no significativo"))</f>
        <v>#REF!</v>
      </c>
      <c r="O1763" s="5" t="s">
        <v>51</v>
      </c>
      <c r="P1763" s="13">
        <v>458.11643500000002</v>
      </c>
      <c r="Q1763" s="12" t="e">
        <f>IF(O1763="Guaraníes",P1763,P1763*#REF!)</f>
        <v>#REF!</v>
      </c>
      <c r="R1763" s="12">
        <f>IF(O1763="Guaraníes",P1763/#REF!,P1763)</f>
        <v>458.11643500000002</v>
      </c>
      <c r="S1763" s="5" t="s">
        <v>52</v>
      </c>
      <c r="T1763" s="5">
        <v>3253</v>
      </c>
      <c r="W1763" s="5" t="s">
        <v>65</v>
      </c>
      <c r="X1763" s="5">
        <v>0</v>
      </c>
      <c r="Y1763" s="5">
        <v>0</v>
      </c>
      <c r="Z1763" s="5">
        <v>13.089041</v>
      </c>
      <c r="AA1763" s="5">
        <v>35</v>
      </c>
      <c r="AB1763" s="5">
        <v>458.11643500000002</v>
      </c>
      <c r="AC1763" s="5" t="str">
        <f t="shared" si="85"/>
        <v>Bonos</v>
      </c>
      <c r="AD1763" s="5" t="s">
        <v>43</v>
      </c>
      <c r="AE1763" s="5">
        <f t="shared" si="86"/>
        <v>10</v>
      </c>
      <c r="AF1763" s="5">
        <f t="shared" si="87"/>
        <v>2022</v>
      </c>
    </row>
    <row r="1764" s="5" customFormat="1" ht="13">
      <c r="A1764" s="5" t="s">
        <v>44</v>
      </c>
      <c r="B1764" s="5" t="s">
        <v>44</v>
      </c>
      <c r="C1764" s="5" t="s">
        <v>89</v>
      </c>
      <c r="D1764" s="5" t="s">
        <v>21</v>
      </c>
      <c r="E1764" s="5" t="s">
        <v>44</v>
      </c>
      <c r="F1764" s="5" t="s">
        <v>90</v>
      </c>
      <c r="G1764" s="5" t="s">
        <v>91</v>
      </c>
      <c r="H1764" s="9" t="s">
        <v>92</v>
      </c>
      <c r="I1764" s="10"/>
      <c r="J1764" s="10">
        <v>44854</v>
      </c>
      <c r="K1764" s="5" t="s">
        <v>93</v>
      </c>
      <c r="L1764" s="5" t="s">
        <v>58</v>
      </c>
      <c r="M1764" s="11">
        <v>0.080000000000000002</v>
      </c>
      <c r="N1764" s="5" t="e">
        <f>IF(AND(M1764&gt;#REF!,Cartera!O1764="Guaraníes"),"Rendimiento significativo",IF(AND(M1764&gt;#REF!,Cartera!O1764="Dólares americanos"),"Rendimiento significativo","Rendimiento no significativo"))</f>
        <v>#REF!</v>
      </c>
      <c r="O1764" s="5" t="s">
        <v>51</v>
      </c>
      <c r="P1764" s="13">
        <v>299.17807500000004</v>
      </c>
      <c r="Q1764" s="12" t="e">
        <f>IF(O1764="Guaraníes",P1764,P1764*#REF!)</f>
        <v>#REF!</v>
      </c>
      <c r="R1764" s="12">
        <f>IF(O1764="Guaraníes",P1764/#REF!,P1764)</f>
        <v>299.17807500000004</v>
      </c>
      <c r="S1764" s="5" t="s">
        <v>52</v>
      </c>
      <c r="T1764" s="5">
        <v>3253</v>
      </c>
      <c r="W1764" s="5" t="s">
        <v>65</v>
      </c>
      <c r="X1764" s="5">
        <v>0</v>
      </c>
      <c r="Y1764" s="5">
        <v>0</v>
      </c>
      <c r="Z1764" s="5">
        <v>19.945205000000001</v>
      </c>
      <c r="AA1764" s="5">
        <v>15</v>
      </c>
      <c r="AB1764" s="5">
        <v>299.17807499999998</v>
      </c>
      <c r="AC1764" s="5" t="str">
        <f t="shared" si="85"/>
        <v>Bonos</v>
      </c>
      <c r="AD1764" s="5" t="s">
        <v>43</v>
      </c>
      <c r="AE1764" s="5">
        <f t="shared" si="86"/>
        <v>10</v>
      </c>
      <c r="AF1764" s="5">
        <f t="shared" si="87"/>
        <v>2022</v>
      </c>
    </row>
    <row r="1765" s="5" customFormat="1" ht="13">
      <c r="A1765" s="5" t="s">
        <v>44</v>
      </c>
      <c r="B1765" s="5" t="s">
        <v>44</v>
      </c>
      <c r="C1765" s="5" t="s">
        <v>122</v>
      </c>
      <c r="D1765" s="5" t="s">
        <v>21</v>
      </c>
      <c r="E1765" s="5" t="s">
        <v>44</v>
      </c>
      <c r="F1765" s="5" t="s">
        <v>61</v>
      </c>
      <c r="G1765" s="5" t="s">
        <v>91</v>
      </c>
      <c r="H1765" s="9" t="s">
        <v>132</v>
      </c>
      <c r="I1765" s="10"/>
      <c r="J1765" s="10">
        <v>44860</v>
      </c>
      <c r="K1765" s="5" t="s">
        <v>124</v>
      </c>
      <c r="L1765" s="5" t="s">
        <v>50</v>
      </c>
      <c r="M1765" s="11">
        <v>0.059999999999999998</v>
      </c>
      <c r="N1765" s="5" t="e">
        <f>IF(AND(M1765&gt;#REF!,Cartera!O1765="Guaraníes"),"Rendimiento significativo",IF(AND(M1765&gt;#REF!,Cartera!O1765="Dólares americanos"),"Rendimiento significativo","Rendimiento no significativo"))</f>
        <v>#REF!</v>
      </c>
      <c r="O1765" s="5" t="s">
        <v>51</v>
      </c>
      <c r="P1765" s="13">
        <v>299.17808000000002</v>
      </c>
      <c r="Q1765" s="12" t="e">
        <f>IF(O1765="Guaraníes",P1765,P1765*#REF!)</f>
        <v>#REF!</v>
      </c>
      <c r="R1765" s="12">
        <f>IF(O1765="Guaraníes",P1765/#REF!,P1765)</f>
        <v>299.17808000000002</v>
      </c>
      <c r="S1765" s="5" t="s">
        <v>52</v>
      </c>
      <c r="T1765" s="5">
        <v>3253</v>
      </c>
      <c r="W1765" s="5" t="s">
        <v>65</v>
      </c>
      <c r="X1765" s="5">
        <v>0</v>
      </c>
      <c r="Y1765" s="5">
        <v>0</v>
      </c>
      <c r="Z1765" s="5">
        <v>29.917808000000001</v>
      </c>
      <c r="AA1765" s="5">
        <v>10</v>
      </c>
      <c r="AB1765" s="5">
        <v>299.17808000000002</v>
      </c>
      <c r="AC1765" s="5" t="str">
        <f t="shared" si="85"/>
        <v>Bonos</v>
      </c>
      <c r="AD1765" s="5" t="s">
        <v>43</v>
      </c>
      <c r="AE1765" s="5">
        <f t="shared" si="86"/>
        <v>10</v>
      </c>
      <c r="AF1765" s="5">
        <f t="shared" si="87"/>
        <v>2022</v>
      </c>
    </row>
    <row r="1766" s="5" customFormat="1" ht="13">
      <c r="A1766" s="5" t="s">
        <v>44</v>
      </c>
      <c r="B1766" s="5" t="s">
        <v>44</v>
      </c>
      <c r="C1766" s="5" t="s">
        <v>143</v>
      </c>
      <c r="D1766" s="5" t="s">
        <v>21</v>
      </c>
      <c r="E1766" s="5" t="s">
        <v>44</v>
      </c>
      <c r="F1766" s="5" t="s">
        <v>144</v>
      </c>
      <c r="G1766" s="5" t="s">
        <v>91</v>
      </c>
      <c r="H1766" s="9" t="s">
        <v>380</v>
      </c>
      <c r="I1766" s="10"/>
      <c r="J1766" s="10">
        <v>44865</v>
      </c>
      <c r="K1766" s="5" t="s">
        <v>49</v>
      </c>
      <c r="L1766" s="5" t="s">
        <v>106</v>
      </c>
      <c r="M1766" s="11">
        <v>0.059999999999999998</v>
      </c>
      <c r="N1766" s="5" t="e">
        <f>IF(AND(M1766&gt;#REF!,Cartera!O1766="Guaraníes"),"Rendimiento significativo",IF(AND(M1766&gt;#REF!,Cartera!O1766="Dólares americanos"),"Rendimiento significativo","Rendimiento no significativo"))</f>
        <v>#REF!</v>
      </c>
      <c r="O1766" s="5" t="s">
        <v>51</v>
      </c>
      <c r="P1766" s="13">
        <v>50.9589</v>
      </c>
      <c r="Q1766" s="12" t="e">
        <f>IF(O1766="Guaraníes",P1766,P1766*#REF!)</f>
        <v>#REF!</v>
      </c>
      <c r="R1766" s="12">
        <f>IF(O1766="Guaraníes",P1766/#REF!,P1766)</f>
        <v>50.9589</v>
      </c>
      <c r="S1766" s="5" t="s">
        <v>52</v>
      </c>
      <c r="T1766" s="5">
        <v>3253</v>
      </c>
      <c r="W1766" s="5" t="s">
        <v>65</v>
      </c>
      <c r="X1766" s="5">
        <v>0</v>
      </c>
      <c r="Y1766" s="5">
        <v>0</v>
      </c>
      <c r="Z1766" s="5">
        <v>5.0958899999999998</v>
      </c>
      <c r="AA1766" s="5">
        <v>10</v>
      </c>
      <c r="AB1766" s="5">
        <v>50.9589</v>
      </c>
      <c r="AC1766" s="5" t="str">
        <f t="shared" si="85"/>
        <v>Bonos</v>
      </c>
      <c r="AD1766" s="5" t="s">
        <v>43</v>
      </c>
      <c r="AE1766" s="5">
        <f t="shared" si="86"/>
        <v>10</v>
      </c>
      <c r="AF1766" s="5">
        <f t="shared" si="87"/>
        <v>2022</v>
      </c>
    </row>
    <row r="1767" s="5" customFormat="1" ht="13">
      <c r="A1767" s="5" t="s">
        <v>44</v>
      </c>
      <c r="B1767" s="5" t="s">
        <v>44</v>
      </c>
      <c r="C1767" s="5" t="s">
        <v>164</v>
      </c>
      <c r="D1767" s="5" t="s">
        <v>21</v>
      </c>
      <c r="E1767" s="5" t="s">
        <v>44</v>
      </c>
      <c r="F1767" s="5" t="s">
        <v>68</v>
      </c>
      <c r="G1767" s="5" t="s">
        <v>91</v>
      </c>
      <c r="H1767" s="9" t="s">
        <v>166</v>
      </c>
      <c r="I1767" s="10"/>
      <c r="J1767" s="10">
        <v>44865</v>
      </c>
      <c r="K1767" s="5" t="s">
        <v>124</v>
      </c>
      <c r="L1767" s="5" t="s">
        <v>58</v>
      </c>
      <c r="M1767" s="11">
        <v>0.092499999999999999</v>
      </c>
      <c r="N1767" s="5" t="e">
        <f>IF(AND(M1767&gt;#REF!,Cartera!O1767="Guaraníes"),"Rendimiento significativo",IF(AND(M1767&gt;#REF!,Cartera!O1767="Dólares americanos"),"Rendimiento significativo","Rendimiento no significativo"))</f>
        <v>#REF!</v>
      </c>
      <c r="O1767" s="5" t="s">
        <v>41</v>
      </c>
      <c r="P1767" s="12">
        <v>1178424.6576</v>
      </c>
      <c r="Q1767" s="12">
        <f>IF(O1767="Guaraníes",P1767,P1767*#REF!)</f>
        <v>1178424.6576</v>
      </c>
      <c r="R1767" s="12" t="e">
        <f>IF(O1767="Guaraníes",P1767/#REF!,P1767)</f>
        <v>#REF!</v>
      </c>
      <c r="S1767" s="5" t="s">
        <v>52</v>
      </c>
      <c r="T1767" s="5">
        <v>3253</v>
      </c>
      <c r="W1767" s="5" t="s">
        <v>65</v>
      </c>
      <c r="X1767" s="5">
        <v>0</v>
      </c>
      <c r="Y1767" s="5">
        <v>0</v>
      </c>
      <c r="Z1767" s="5">
        <v>7856.1643839999997</v>
      </c>
      <c r="AA1767" s="5">
        <v>150</v>
      </c>
      <c r="AB1767" s="5">
        <v>1178424.6576</v>
      </c>
      <c r="AC1767" s="5" t="str">
        <f t="shared" si="85"/>
        <v>Bonos</v>
      </c>
      <c r="AD1767" s="5" t="s">
        <v>43</v>
      </c>
      <c r="AE1767" s="5">
        <f t="shared" si="86"/>
        <v>10</v>
      </c>
      <c r="AF1767" s="5">
        <f t="shared" si="87"/>
        <v>2022</v>
      </c>
    </row>
    <row r="1768" s="5" customFormat="1" ht="13">
      <c r="A1768" s="5" t="s">
        <v>44</v>
      </c>
      <c r="B1768" s="5" t="s">
        <v>44</v>
      </c>
      <c r="C1768" s="5" t="s">
        <v>33</v>
      </c>
      <c r="D1768" s="5" t="s">
        <v>21</v>
      </c>
      <c r="E1768" s="5" t="s">
        <v>44</v>
      </c>
      <c r="F1768" s="5" t="s">
        <v>35</v>
      </c>
      <c r="G1768" s="5" t="s">
        <v>91</v>
      </c>
      <c r="H1768" s="9" t="s">
        <v>375</v>
      </c>
      <c r="I1768" s="10"/>
      <c r="J1768" s="10">
        <v>44888</v>
      </c>
      <c r="K1768" s="5" t="s">
        <v>39</v>
      </c>
      <c r="L1768" s="5" t="s">
        <v>50</v>
      </c>
      <c r="M1768" s="11">
        <v>0.0625</v>
      </c>
      <c r="N1768" s="5" t="e">
        <f>IF(AND(M1768&gt;#REF!,Cartera!O1768="Guaraníes"),"Rendimiento significativo",IF(AND(M1768&gt;#REF!,Cartera!O1768="Dólares americanos"),"Rendimiento significativo","Rendimiento no significativo"))</f>
        <v>#REF!</v>
      </c>
      <c r="O1768" s="5" t="s">
        <v>51</v>
      </c>
      <c r="P1768" s="13">
        <v>1047.1233000000002</v>
      </c>
      <c r="Q1768" s="12" t="e">
        <f>IF(O1768="Guaraníes",P1768,P1768*#REF!)</f>
        <v>#REF!</v>
      </c>
      <c r="R1768" s="12">
        <f>IF(O1768="Guaraníes",P1768/#REF!,P1768)</f>
        <v>1047.1233000000002</v>
      </c>
      <c r="S1768" s="5" t="s">
        <v>52</v>
      </c>
      <c r="T1768" s="5">
        <v>3253</v>
      </c>
      <c r="W1768" s="5" t="s">
        <v>65</v>
      </c>
      <c r="X1768" s="5">
        <v>0</v>
      </c>
      <c r="Y1768" s="5">
        <v>0</v>
      </c>
      <c r="Z1768" s="5">
        <v>34.904110000000003</v>
      </c>
      <c r="AA1768" s="5">
        <v>30</v>
      </c>
      <c r="AB1768" s="5">
        <v>1047.1233</v>
      </c>
      <c r="AC1768" s="5" t="str">
        <f t="shared" si="85"/>
        <v>Bonos</v>
      </c>
      <c r="AD1768" s="5" t="s">
        <v>43</v>
      </c>
      <c r="AE1768" s="5">
        <f t="shared" si="86"/>
        <v>11</v>
      </c>
      <c r="AF1768" s="5">
        <f t="shared" si="87"/>
        <v>2022</v>
      </c>
    </row>
    <row r="1769" s="5" customFormat="1" ht="13">
      <c r="A1769" s="5" t="s">
        <v>44</v>
      </c>
      <c r="B1769" s="5" t="s">
        <v>44</v>
      </c>
      <c r="C1769" s="5" t="s">
        <v>176</v>
      </c>
      <c r="D1769" s="5" t="s">
        <v>21</v>
      </c>
      <c r="E1769" s="5" t="s">
        <v>44</v>
      </c>
      <c r="F1769" s="5" t="s">
        <v>68</v>
      </c>
      <c r="G1769" s="5" t="s">
        <v>91</v>
      </c>
      <c r="H1769" s="9" t="s">
        <v>177</v>
      </c>
      <c r="I1769" s="10"/>
      <c r="J1769" s="10">
        <v>44888</v>
      </c>
      <c r="K1769" s="5" t="s">
        <v>178</v>
      </c>
      <c r="L1769" s="5" t="s">
        <v>58</v>
      </c>
      <c r="M1769" s="11">
        <v>0.085000000000000006</v>
      </c>
      <c r="N1769" s="5" t="e">
        <f>IF(AND(M1769&gt;#REF!,Cartera!O1769="Guaraníes"),"Rendimiento significativo",IF(AND(M1769&gt;#REF!,Cartera!O1769="Dólares americanos"),"Rendimiento significativo","Rendimiento no significativo"))</f>
        <v>#REF!</v>
      </c>
      <c r="O1769" s="5" t="s">
        <v>51</v>
      </c>
      <c r="P1769" s="13">
        <v>560.95890000000009</v>
      </c>
      <c r="Q1769" s="12" t="e">
        <f>IF(O1769="Guaraníes",P1769,P1769*#REF!)</f>
        <v>#REF!</v>
      </c>
      <c r="R1769" s="12">
        <f>IF(O1769="Guaraníes",P1769/#REF!,P1769)</f>
        <v>560.95890000000009</v>
      </c>
      <c r="S1769" s="5" t="s">
        <v>52</v>
      </c>
      <c r="T1769" s="5">
        <v>3253</v>
      </c>
      <c r="W1769" s="5" t="s">
        <v>65</v>
      </c>
      <c r="X1769" s="5">
        <v>0</v>
      </c>
      <c r="Y1769" s="5">
        <v>0</v>
      </c>
      <c r="Z1769" s="5">
        <v>18.698630000000001</v>
      </c>
      <c r="AA1769" s="5">
        <v>30</v>
      </c>
      <c r="AB1769" s="5">
        <v>560.95889999999997</v>
      </c>
      <c r="AC1769" s="5" t="str">
        <f t="shared" si="85"/>
        <v>Bonos</v>
      </c>
      <c r="AD1769" s="5" t="s">
        <v>43</v>
      </c>
      <c r="AE1769" s="5">
        <f t="shared" si="86"/>
        <v>11</v>
      </c>
      <c r="AF1769" s="5">
        <f t="shared" si="87"/>
        <v>2022</v>
      </c>
    </row>
    <row r="1770" s="5" customFormat="1" ht="13">
      <c r="A1770" s="5" t="s">
        <v>44</v>
      </c>
      <c r="B1770" s="5" t="s">
        <v>44</v>
      </c>
      <c r="C1770" s="5" t="s">
        <v>222</v>
      </c>
      <c r="D1770" s="5" t="s">
        <v>21</v>
      </c>
      <c r="E1770" s="5" t="s">
        <v>44</v>
      </c>
      <c r="F1770" s="5" t="s">
        <v>68</v>
      </c>
      <c r="G1770" s="5" t="s">
        <v>91</v>
      </c>
      <c r="H1770" s="9" t="s">
        <v>223</v>
      </c>
      <c r="I1770" s="10"/>
      <c r="J1770" s="10">
        <v>44889</v>
      </c>
      <c r="K1770" s="5" t="s">
        <v>127</v>
      </c>
      <c r="L1770" s="5" t="s">
        <v>50</v>
      </c>
      <c r="M1770" s="11">
        <v>0.070000000000000007</v>
      </c>
      <c r="N1770" s="5" t="e">
        <f>IF(AND(M1770&gt;#REF!,Cartera!O1770="Guaraníes"),"Rendimiento significativo",IF(AND(M1770&gt;#REF!,Cartera!O1770="Dólares americanos"),"Rendimiento significativo","Rendimiento no significativo"))</f>
        <v>#REF!</v>
      </c>
      <c r="O1770" s="5" t="s">
        <v>51</v>
      </c>
      <c r="P1770" s="13">
        <v>1745.2055</v>
      </c>
      <c r="Q1770" s="12" t="e">
        <f>IF(O1770="Guaraníes",P1770,P1770*#REF!)</f>
        <v>#REF!</v>
      </c>
      <c r="R1770" s="12">
        <f>IF(O1770="Guaraníes",P1770/#REF!,P1770)</f>
        <v>1745.2055</v>
      </c>
      <c r="S1770" s="5" t="s">
        <v>52</v>
      </c>
      <c r="T1770" s="5">
        <v>3253</v>
      </c>
      <c r="W1770" s="5" t="s">
        <v>65</v>
      </c>
      <c r="X1770" s="5">
        <v>0</v>
      </c>
      <c r="Y1770" s="5">
        <v>0</v>
      </c>
      <c r="Z1770" s="5">
        <v>34.904110000000003</v>
      </c>
      <c r="AA1770" s="5">
        <v>50</v>
      </c>
      <c r="AB1770" s="5">
        <v>1745.2055</v>
      </c>
      <c r="AC1770" s="5" t="str">
        <f t="shared" si="85"/>
        <v>Bonos</v>
      </c>
      <c r="AD1770" s="5" t="s">
        <v>43</v>
      </c>
      <c r="AE1770" s="5">
        <f t="shared" si="86"/>
        <v>11</v>
      </c>
      <c r="AF1770" s="5">
        <f t="shared" si="87"/>
        <v>2022</v>
      </c>
    </row>
    <row r="1771" s="5" customFormat="1" ht="13">
      <c r="A1771" s="5" t="s">
        <v>44</v>
      </c>
      <c r="B1771" s="5" t="s">
        <v>44</v>
      </c>
      <c r="C1771" s="5" t="s">
        <v>143</v>
      </c>
      <c r="D1771" s="5" t="s">
        <v>21</v>
      </c>
      <c r="E1771" s="5" t="s">
        <v>44</v>
      </c>
      <c r="F1771" s="5" t="s">
        <v>144</v>
      </c>
      <c r="G1771" s="5" t="s">
        <v>91</v>
      </c>
      <c r="H1771" s="9" t="s">
        <v>380</v>
      </c>
      <c r="I1771" s="10"/>
      <c r="J1771" s="10">
        <v>44895</v>
      </c>
      <c r="K1771" s="5" t="s">
        <v>49</v>
      </c>
      <c r="L1771" s="5" t="s">
        <v>106</v>
      </c>
      <c r="M1771" s="11">
        <v>0.059999999999999998</v>
      </c>
      <c r="N1771" s="5" t="e">
        <f>IF(AND(M1771&gt;#REF!,Cartera!O1771="Guaraníes"),"Rendimiento significativo",IF(AND(M1771&gt;#REF!,Cartera!O1771="Dólares americanos"),"Rendimiento significativo","Rendimiento no significativo"))</f>
        <v>#REF!</v>
      </c>
      <c r="O1771" s="5" t="s">
        <v>51</v>
      </c>
      <c r="P1771" s="13">
        <v>49.315069999999999</v>
      </c>
      <c r="Q1771" s="12" t="e">
        <f>IF(O1771="Guaraníes",P1771,P1771*#REF!)</f>
        <v>#REF!</v>
      </c>
      <c r="R1771" s="12">
        <f>IF(O1771="Guaraníes",P1771/#REF!,P1771)</f>
        <v>49.315069999999999</v>
      </c>
      <c r="S1771" s="5" t="s">
        <v>52</v>
      </c>
      <c r="T1771" s="5">
        <v>3253</v>
      </c>
      <c r="W1771" s="5" t="s">
        <v>65</v>
      </c>
      <c r="X1771" s="5">
        <v>0</v>
      </c>
      <c r="Y1771" s="5">
        <v>0</v>
      </c>
      <c r="Z1771" s="5">
        <v>4.9315069999999999</v>
      </c>
      <c r="AA1771" s="5">
        <v>10</v>
      </c>
      <c r="AB1771" s="5">
        <v>49.315069999999999</v>
      </c>
      <c r="AC1771" s="5" t="str">
        <f t="shared" si="85"/>
        <v>Bonos</v>
      </c>
      <c r="AD1771" s="5" t="s">
        <v>43</v>
      </c>
      <c r="AE1771" s="5">
        <f t="shared" si="86"/>
        <v>11</v>
      </c>
      <c r="AF1771" s="5">
        <f t="shared" si="87"/>
        <v>2022</v>
      </c>
    </row>
    <row r="1772" s="5" customFormat="1" ht="13">
      <c r="A1772" s="5" t="s">
        <v>44</v>
      </c>
      <c r="B1772" s="5" t="s">
        <v>44</v>
      </c>
      <c r="C1772" s="5" t="s">
        <v>164</v>
      </c>
      <c r="D1772" s="5" t="s">
        <v>21</v>
      </c>
      <c r="E1772" s="5" t="s">
        <v>44</v>
      </c>
      <c r="F1772" s="5" t="s">
        <v>68</v>
      </c>
      <c r="G1772" s="5" t="s">
        <v>91</v>
      </c>
      <c r="H1772" s="9" t="s">
        <v>166</v>
      </c>
      <c r="I1772" s="10"/>
      <c r="J1772" s="10">
        <v>44895</v>
      </c>
      <c r="K1772" s="5" t="s">
        <v>124</v>
      </c>
      <c r="L1772" s="5" t="s">
        <v>58</v>
      </c>
      <c r="M1772" s="11">
        <v>0.092499999999999999</v>
      </c>
      <c r="N1772" s="5" t="e">
        <f>IF(AND(M1772&gt;#REF!,Cartera!O1772="Guaraníes"),"Rendimiento significativo",IF(AND(M1772&gt;#REF!,Cartera!O1772="Dólares americanos"),"Rendimiento significativo","Rendimiento no significativo"))</f>
        <v>#REF!</v>
      </c>
      <c r="O1772" s="5" t="s">
        <v>41</v>
      </c>
      <c r="P1772" s="12">
        <v>1140410.9589</v>
      </c>
      <c r="Q1772" s="12">
        <f>IF(O1772="Guaraníes",P1772,P1772*#REF!)</f>
        <v>1140410.9589</v>
      </c>
      <c r="R1772" s="12" t="e">
        <f>IF(O1772="Guaraníes",P1772/#REF!,P1772)</f>
        <v>#REF!</v>
      </c>
      <c r="S1772" s="5" t="s">
        <v>52</v>
      </c>
      <c r="T1772" s="5">
        <v>3253</v>
      </c>
      <c r="W1772" s="5" t="s">
        <v>65</v>
      </c>
      <c r="X1772" s="5">
        <v>0</v>
      </c>
      <c r="Y1772" s="5">
        <v>0</v>
      </c>
      <c r="Z1772" s="5">
        <v>7602.7397259999998</v>
      </c>
      <c r="AA1772" s="5">
        <v>150</v>
      </c>
      <c r="AB1772" s="5">
        <v>1140410.9589</v>
      </c>
      <c r="AC1772" s="5" t="str">
        <f t="shared" si="85"/>
        <v>Bonos</v>
      </c>
      <c r="AD1772" s="5" t="s">
        <v>43</v>
      </c>
      <c r="AE1772" s="5">
        <f t="shared" si="86"/>
        <v>11</v>
      </c>
      <c r="AF1772" s="5">
        <f t="shared" si="87"/>
        <v>2022</v>
      </c>
    </row>
    <row r="1773" s="5" customFormat="1" ht="13">
      <c r="A1773" s="5" t="s">
        <v>44</v>
      </c>
      <c r="B1773" s="5" t="s">
        <v>44</v>
      </c>
      <c r="C1773" s="5" t="s">
        <v>143</v>
      </c>
      <c r="D1773" s="5" t="s">
        <v>21</v>
      </c>
      <c r="E1773" s="5" t="s">
        <v>44</v>
      </c>
      <c r="F1773" s="5" t="s">
        <v>144</v>
      </c>
      <c r="G1773" s="5" t="s">
        <v>91</v>
      </c>
      <c r="H1773" s="9" t="s">
        <v>380</v>
      </c>
      <c r="I1773" s="10"/>
      <c r="J1773" s="10">
        <v>44925</v>
      </c>
      <c r="K1773" s="5" t="s">
        <v>49</v>
      </c>
      <c r="L1773" s="5" t="s">
        <v>106</v>
      </c>
      <c r="M1773" s="11">
        <v>0.059999999999999998</v>
      </c>
      <c r="N1773" s="5" t="e">
        <f>IF(AND(M1773&gt;#REF!,Cartera!O1773="Guaraníes"),"Rendimiento significativo",IF(AND(M1773&gt;#REF!,Cartera!O1773="Dólares americanos"),"Rendimiento significativo","Rendimiento no significativo"))</f>
        <v>#REF!</v>
      </c>
      <c r="O1773" s="5" t="s">
        <v>51</v>
      </c>
      <c r="P1773" s="13">
        <v>49.315069999999999</v>
      </c>
      <c r="Q1773" s="12" t="e">
        <f>IF(O1773="Guaraníes",P1773,P1773*#REF!)</f>
        <v>#REF!</v>
      </c>
      <c r="R1773" s="12">
        <f>IF(O1773="Guaraníes",P1773/#REF!,P1773)</f>
        <v>49.315069999999999</v>
      </c>
      <c r="S1773" s="5" t="s">
        <v>52</v>
      </c>
      <c r="T1773" s="5">
        <v>3253</v>
      </c>
      <c r="W1773" s="5" t="s">
        <v>65</v>
      </c>
      <c r="X1773" s="5">
        <v>0</v>
      </c>
      <c r="Y1773" s="5">
        <v>0</v>
      </c>
      <c r="Z1773" s="5">
        <v>4.9315069999999999</v>
      </c>
      <c r="AA1773" s="5">
        <v>10</v>
      </c>
      <c r="AB1773" s="5">
        <v>49.315069999999999</v>
      </c>
      <c r="AC1773" s="5" t="str">
        <f t="shared" si="85"/>
        <v>Bonos</v>
      </c>
      <c r="AD1773" s="5" t="s">
        <v>43</v>
      </c>
      <c r="AE1773" s="5">
        <f t="shared" si="86"/>
        <v>12</v>
      </c>
      <c r="AF1773" s="5">
        <f t="shared" si="87"/>
        <v>2022</v>
      </c>
    </row>
    <row r="1774" s="5" customFormat="1" ht="13">
      <c r="A1774" s="5" t="s">
        <v>44</v>
      </c>
      <c r="B1774" s="5" t="s">
        <v>44</v>
      </c>
      <c r="C1774" s="5" t="s">
        <v>164</v>
      </c>
      <c r="D1774" s="5" t="s">
        <v>21</v>
      </c>
      <c r="E1774" s="5" t="s">
        <v>44</v>
      </c>
      <c r="F1774" s="5" t="s">
        <v>68</v>
      </c>
      <c r="G1774" s="5" t="s">
        <v>91</v>
      </c>
      <c r="H1774" s="9" t="s">
        <v>166</v>
      </c>
      <c r="I1774" s="10"/>
      <c r="J1774" s="10">
        <v>44925</v>
      </c>
      <c r="K1774" s="5" t="s">
        <v>124</v>
      </c>
      <c r="L1774" s="5" t="s">
        <v>58</v>
      </c>
      <c r="M1774" s="11">
        <v>0.092499999999999999</v>
      </c>
      <c r="N1774" s="5" t="e">
        <f>IF(AND(M1774&gt;#REF!,Cartera!O1774="Guaraníes"),"Rendimiento significativo",IF(AND(M1774&gt;#REF!,Cartera!O1774="Dólares americanos"),"Rendimiento significativo","Rendimiento no significativo"))</f>
        <v>#REF!</v>
      </c>
      <c r="O1774" s="5" t="s">
        <v>41</v>
      </c>
      <c r="P1774" s="12">
        <v>1140410.9589</v>
      </c>
      <c r="Q1774" s="12">
        <f>IF(O1774="Guaraníes",P1774,P1774*#REF!)</f>
        <v>1140410.9589</v>
      </c>
      <c r="R1774" s="12" t="e">
        <f>IF(O1774="Guaraníes",P1774/#REF!,P1774)</f>
        <v>#REF!</v>
      </c>
      <c r="S1774" s="5" t="s">
        <v>52</v>
      </c>
      <c r="T1774" s="5">
        <v>3253</v>
      </c>
      <c r="W1774" s="5" t="s">
        <v>65</v>
      </c>
      <c r="X1774" s="5">
        <v>0</v>
      </c>
      <c r="Y1774" s="5">
        <v>0</v>
      </c>
      <c r="Z1774" s="5">
        <v>7602.7397259999998</v>
      </c>
      <c r="AA1774" s="5">
        <v>150</v>
      </c>
      <c r="AB1774" s="5">
        <v>1140410.9589</v>
      </c>
      <c r="AC1774" s="5" t="str">
        <f t="shared" si="85"/>
        <v>Bonos</v>
      </c>
      <c r="AD1774" s="5" t="s">
        <v>43</v>
      </c>
      <c r="AE1774" s="5">
        <f t="shared" si="86"/>
        <v>12</v>
      </c>
      <c r="AF1774" s="5">
        <f t="shared" si="87"/>
        <v>2022</v>
      </c>
    </row>
    <row r="1775" s="5" customFormat="1" ht="13">
      <c r="A1775" s="5" t="s">
        <v>44</v>
      </c>
      <c r="B1775" s="5" t="s">
        <v>44</v>
      </c>
      <c r="C1775" s="5" t="s">
        <v>67</v>
      </c>
      <c r="D1775" s="5" t="s">
        <v>21</v>
      </c>
      <c r="E1775" s="5" t="s">
        <v>44</v>
      </c>
      <c r="F1775" s="5" t="s">
        <v>68</v>
      </c>
      <c r="G1775" s="5" t="s">
        <v>91</v>
      </c>
      <c r="H1775" s="9" t="s">
        <v>110</v>
      </c>
      <c r="I1775" s="10"/>
      <c r="J1775" s="10">
        <v>44943</v>
      </c>
      <c r="K1775" s="5" t="s">
        <v>71</v>
      </c>
      <c r="L1775" s="5" t="s">
        <v>58</v>
      </c>
      <c r="M1775" s="11">
        <v>0.089999999999999997</v>
      </c>
      <c r="N1775" s="5" t="e">
        <f>IF(AND(M1775&gt;#REF!,Cartera!O1775="Guaraníes"),"Rendimiento significativo",IF(AND(M1775&gt;#REF!,Cartera!O1775="Dólares americanos"),"Rendimiento significativo","Rendimiento no significativo"))</f>
        <v>#REF!</v>
      </c>
      <c r="O1775" s="5" t="s">
        <v>51</v>
      </c>
      <c r="P1775" s="13">
        <v>252.43150499999999</v>
      </c>
      <c r="Q1775" s="12" t="e">
        <f>IF(O1775="Guaraníes",P1775,P1775*#REF!)</f>
        <v>#REF!</v>
      </c>
      <c r="R1775" s="12">
        <f>IF(O1775="Guaraníes",P1775/#REF!,P1775)</f>
        <v>252.43150499999999</v>
      </c>
      <c r="S1775" s="5" t="s">
        <v>52</v>
      </c>
      <c r="T1775" s="5">
        <v>3253</v>
      </c>
      <c r="W1775" s="5" t="s">
        <v>65</v>
      </c>
      <c r="X1775" s="5">
        <v>0</v>
      </c>
      <c r="Y1775" s="5">
        <v>0</v>
      </c>
      <c r="Z1775" s="5">
        <v>16.828766999999999</v>
      </c>
      <c r="AA1775" s="5">
        <v>15</v>
      </c>
      <c r="AB1775" s="5">
        <v>252.43150499999999</v>
      </c>
      <c r="AC1775" s="5" t="str">
        <f t="shared" si="85"/>
        <v>Bonos</v>
      </c>
      <c r="AD1775" s="5" t="s">
        <v>43</v>
      </c>
      <c r="AE1775" s="5">
        <f t="shared" si="86"/>
        <v>1</v>
      </c>
      <c r="AF1775" s="5">
        <f t="shared" si="87"/>
        <v>2023</v>
      </c>
    </row>
    <row r="1776" s="5" customFormat="1" ht="13">
      <c r="A1776" s="5" t="s">
        <v>44</v>
      </c>
      <c r="B1776" s="5" t="s">
        <v>44</v>
      </c>
      <c r="C1776" s="5" t="s">
        <v>45</v>
      </c>
      <c r="D1776" s="5" t="s">
        <v>21</v>
      </c>
      <c r="E1776" s="5" t="s">
        <v>44</v>
      </c>
      <c r="F1776" s="5" t="s">
        <v>46</v>
      </c>
      <c r="G1776" s="5" t="s">
        <v>91</v>
      </c>
      <c r="H1776" s="9" t="s">
        <v>365</v>
      </c>
      <c r="I1776" s="10"/>
      <c r="J1776" s="10">
        <v>44945</v>
      </c>
      <c r="K1776" s="5" t="s">
        <v>49</v>
      </c>
      <c r="L1776" s="5" t="s">
        <v>58</v>
      </c>
      <c r="M1776" s="11">
        <v>0.059999999999999998</v>
      </c>
      <c r="N1776" s="5" t="e">
        <f>IF(AND(M1776&gt;#REF!,Cartera!O1776="Guaraníes"),"Rendimiento significativo",IF(AND(M1776&gt;#REF!,Cartera!O1776="Dólares americanos"),"Rendimiento significativo","Rendimiento no significativo"))</f>
        <v>#REF!</v>
      </c>
      <c r="O1776" s="5" t="s">
        <v>51</v>
      </c>
      <c r="P1776" s="13">
        <v>458.11643500000002</v>
      </c>
      <c r="Q1776" s="12" t="e">
        <f>IF(O1776="Guaraníes",P1776,P1776*#REF!)</f>
        <v>#REF!</v>
      </c>
      <c r="R1776" s="12">
        <f>IF(O1776="Guaraníes",P1776/#REF!,P1776)</f>
        <v>458.11643500000002</v>
      </c>
      <c r="S1776" s="5" t="s">
        <v>52</v>
      </c>
      <c r="T1776" s="5">
        <v>3253</v>
      </c>
      <c r="W1776" s="5" t="s">
        <v>65</v>
      </c>
      <c r="X1776" s="5">
        <v>0</v>
      </c>
      <c r="Y1776" s="5">
        <v>0</v>
      </c>
      <c r="Z1776" s="5">
        <v>13.089041</v>
      </c>
      <c r="AA1776" s="5">
        <v>35</v>
      </c>
      <c r="AB1776" s="5">
        <v>458.11643500000002</v>
      </c>
      <c r="AC1776" s="5" t="str">
        <f t="shared" si="85"/>
        <v>Bonos</v>
      </c>
      <c r="AD1776" s="5" t="s">
        <v>43</v>
      </c>
      <c r="AE1776" s="5">
        <f t="shared" si="86"/>
        <v>1</v>
      </c>
      <c r="AF1776" s="5">
        <f t="shared" si="87"/>
        <v>2023</v>
      </c>
    </row>
    <row r="1777" s="5" customFormat="1" ht="13">
      <c r="A1777" s="5" t="s">
        <v>44</v>
      </c>
      <c r="B1777" s="5" t="s">
        <v>44</v>
      </c>
      <c r="C1777" s="5" t="s">
        <v>89</v>
      </c>
      <c r="D1777" s="5" t="s">
        <v>21</v>
      </c>
      <c r="E1777" s="5" t="s">
        <v>44</v>
      </c>
      <c r="F1777" s="5" t="s">
        <v>90</v>
      </c>
      <c r="G1777" s="5" t="s">
        <v>91</v>
      </c>
      <c r="H1777" s="9" t="s">
        <v>92</v>
      </c>
      <c r="I1777" s="10"/>
      <c r="J1777" s="10">
        <v>44945</v>
      </c>
      <c r="K1777" s="5" t="s">
        <v>93</v>
      </c>
      <c r="L1777" s="5" t="s">
        <v>58</v>
      </c>
      <c r="M1777" s="11">
        <v>0.080000000000000002</v>
      </c>
      <c r="N1777" s="5" t="e">
        <f>IF(AND(M1777&gt;#REF!,Cartera!O1777="Guaraníes"),"Rendimiento significativo",IF(AND(M1777&gt;#REF!,Cartera!O1777="Dólares americanos"),"Rendimiento significativo","Rendimiento no significativo"))</f>
        <v>#REF!</v>
      </c>
      <c r="O1777" s="5" t="s">
        <v>51</v>
      </c>
      <c r="P1777" s="13">
        <v>299.17807500000004</v>
      </c>
      <c r="Q1777" s="12" t="e">
        <f>IF(O1777="Guaraníes",P1777,P1777*#REF!)</f>
        <v>#REF!</v>
      </c>
      <c r="R1777" s="12">
        <f>IF(O1777="Guaraníes",P1777/#REF!,P1777)</f>
        <v>299.17807500000004</v>
      </c>
      <c r="S1777" s="5" t="s">
        <v>52</v>
      </c>
      <c r="T1777" s="5">
        <v>3253</v>
      </c>
      <c r="W1777" s="5" t="s">
        <v>65</v>
      </c>
      <c r="X1777" s="5">
        <v>0</v>
      </c>
      <c r="Y1777" s="5">
        <v>0</v>
      </c>
      <c r="Z1777" s="5">
        <v>19.945205000000001</v>
      </c>
      <c r="AA1777" s="5">
        <v>15</v>
      </c>
      <c r="AB1777" s="5">
        <v>299.17807499999998</v>
      </c>
      <c r="AC1777" s="5" t="str">
        <f t="shared" si="85"/>
        <v>Bonos</v>
      </c>
      <c r="AD1777" s="5" t="s">
        <v>43</v>
      </c>
      <c r="AE1777" s="5">
        <f t="shared" si="86"/>
        <v>1</v>
      </c>
      <c r="AF1777" s="5">
        <f t="shared" si="87"/>
        <v>2023</v>
      </c>
    </row>
    <row r="1778" s="5" customFormat="1" ht="13">
      <c r="A1778" s="5" t="s">
        <v>44</v>
      </c>
      <c r="B1778" s="5" t="s">
        <v>44</v>
      </c>
      <c r="C1778" s="5" t="s">
        <v>143</v>
      </c>
      <c r="D1778" s="5" t="s">
        <v>21</v>
      </c>
      <c r="E1778" s="5" t="s">
        <v>44</v>
      </c>
      <c r="F1778" s="5" t="s">
        <v>144</v>
      </c>
      <c r="G1778" s="5" t="s">
        <v>91</v>
      </c>
      <c r="H1778" s="9" t="s">
        <v>380</v>
      </c>
      <c r="I1778" s="10"/>
      <c r="J1778" s="10">
        <v>44957</v>
      </c>
      <c r="K1778" s="5" t="s">
        <v>49</v>
      </c>
      <c r="L1778" s="5" t="s">
        <v>106</v>
      </c>
      <c r="M1778" s="11">
        <v>0.059999999999999998</v>
      </c>
      <c r="N1778" s="5" t="e">
        <f>IF(AND(M1778&gt;#REF!,Cartera!O1778="Guaraníes"),"Rendimiento significativo",IF(AND(M1778&gt;#REF!,Cartera!O1778="Dólares americanos"),"Rendimiento significativo","Rendimiento no significativo"))</f>
        <v>#REF!</v>
      </c>
      <c r="O1778" s="5" t="s">
        <v>51</v>
      </c>
      <c r="P1778" s="13">
        <v>52.602739999999997</v>
      </c>
      <c r="Q1778" s="12" t="e">
        <f>IF(O1778="Guaraníes",P1778,P1778*#REF!)</f>
        <v>#REF!</v>
      </c>
      <c r="R1778" s="12">
        <f>IF(O1778="Guaraníes",P1778/#REF!,P1778)</f>
        <v>52.602739999999997</v>
      </c>
      <c r="S1778" s="5" t="s">
        <v>52</v>
      </c>
      <c r="T1778" s="5">
        <v>3253</v>
      </c>
      <c r="W1778" s="5" t="s">
        <v>65</v>
      </c>
      <c r="X1778" s="5">
        <v>0</v>
      </c>
      <c r="Y1778" s="5">
        <v>0</v>
      </c>
      <c r="Z1778" s="5">
        <v>5.2602739999999999</v>
      </c>
      <c r="AA1778" s="5">
        <v>10</v>
      </c>
      <c r="AB1778" s="5">
        <v>52.602739999999997</v>
      </c>
      <c r="AC1778" s="5" t="str">
        <f t="shared" si="85"/>
        <v>Bonos</v>
      </c>
      <c r="AD1778" s="5" t="s">
        <v>43</v>
      </c>
      <c r="AE1778" s="5">
        <f t="shared" si="86"/>
        <v>1</v>
      </c>
      <c r="AF1778" s="5">
        <f t="shared" si="87"/>
        <v>2023</v>
      </c>
    </row>
    <row r="1779" s="5" customFormat="1" ht="13">
      <c r="A1779" s="5" t="s">
        <v>44</v>
      </c>
      <c r="B1779" s="5" t="s">
        <v>44</v>
      </c>
      <c r="C1779" s="5" t="s">
        <v>164</v>
      </c>
      <c r="D1779" s="5" t="s">
        <v>21</v>
      </c>
      <c r="E1779" s="5" t="s">
        <v>44</v>
      </c>
      <c r="F1779" s="5" t="s">
        <v>68</v>
      </c>
      <c r="G1779" s="5" t="s">
        <v>91</v>
      </c>
      <c r="H1779" s="9" t="s">
        <v>166</v>
      </c>
      <c r="I1779" s="10"/>
      <c r="J1779" s="10">
        <v>44957</v>
      </c>
      <c r="K1779" s="5" t="s">
        <v>124</v>
      </c>
      <c r="L1779" s="5" t="s">
        <v>58</v>
      </c>
      <c r="M1779" s="11">
        <v>0.092499999999999999</v>
      </c>
      <c r="N1779" s="5" t="e">
        <f>IF(AND(M1779&gt;#REF!,Cartera!O1779="Guaraníes"),"Rendimiento significativo",IF(AND(M1779&gt;#REF!,Cartera!O1779="Dólares americanos"),"Rendimiento significativo","Rendimiento no significativo"))</f>
        <v>#REF!</v>
      </c>
      <c r="O1779" s="5" t="s">
        <v>41</v>
      </c>
      <c r="P1779" s="12">
        <v>1216438.3561500001</v>
      </c>
      <c r="Q1779" s="12">
        <f>IF(O1779="Guaraníes",P1779,P1779*#REF!)</f>
        <v>1216438.3561500001</v>
      </c>
      <c r="R1779" s="12" t="e">
        <f>IF(O1779="Guaraníes",P1779/#REF!,P1779)</f>
        <v>#REF!</v>
      </c>
      <c r="S1779" s="5" t="s">
        <v>52</v>
      </c>
      <c r="T1779" s="5">
        <v>3253</v>
      </c>
      <c r="W1779" s="5" t="s">
        <v>65</v>
      </c>
      <c r="X1779" s="5">
        <v>0</v>
      </c>
      <c r="Y1779" s="5">
        <v>0</v>
      </c>
      <c r="Z1779" s="5">
        <v>8109.5890410000002</v>
      </c>
      <c r="AA1779" s="5">
        <v>150</v>
      </c>
      <c r="AB1779" s="5">
        <v>1216438.3561499999</v>
      </c>
      <c r="AC1779" s="5" t="str">
        <f t="shared" si="85"/>
        <v>Bonos</v>
      </c>
      <c r="AD1779" s="5" t="s">
        <v>43</v>
      </c>
      <c r="AE1779" s="5">
        <f t="shared" si="86"/>
        <v>1</v>
      </c>
      <c r="AF1779" s="5">
        <f t="shared" si="87"/>
        <v>2023</v>
      </c>
    </row>
    <row r="1780" s="5" customFormat="1" ht="13">
      <c r="A1780" s="5" t="s">
        <v>44</v>
      </c>
      <c r="B1780" s="5" t="s">
        <v>44</v>
      </c>
      <c r="C1780" s="5" t="s">
        <v>176</v>
      </c>
      <c r="D1780" s="5" t="s">
        <v>21</v>
      </c>
      <c r="E1780" s="5" t="s">
        <v>44</v>
      </c>
      <c r="F1780" s="5" t="s">
        <v>68</v>
      </c>
      <c r="G1780" s="5" t="s">
        <v>91</v>
      </c>
      <c r="H1780" s="9" t="s">
        <v>177</v>
      </c>
      <c r="I1780" s="10"/>
      <c r="J1780" s="10">
        <v>44979</v>
      </c>
      <c r="K1780" s="5" t="s">
        <v>178</v>
      </c>
      <c r="L1780" s="5" t="s">
        <v>58</v>
      </c>
      <c r="M1780" s="11">
        <v>0.085000000000000006</v>
      </c>
      <c r="N1780" s="5" t="e">
        <f>IF(AND(M1780&gt;#REF!,Cartera!O1780="Guaraníes"),"Rendimiento significativo",IF(AND(M1780&gt;#REF!,Cartera!O1780="Dólares americanos"),"Rendimiento significativo","Rendimiento no significativo"))</f>
        <v>#REF!</v>
      </c>
      <c r="O1780" s="5" t="s">
        <v>51</v>
      </c>
      <c r="P1780" s="13">
        <v>560.95890000000009</v>
      </c>
      <c r="Q1780" s="12" t="e">
        <f>IF(O1780="Guaraníes",P1780,P1780*#REF!)</f>
        <v>#REF!</v>
      </c>
      <c r="R1780" s="12">
        <f>IF(O1780="Guaraníes",P1780/#REF!,P1780)</f>
        <v>560.95890000000009</v>
      </c>
      <c r="S1780" s="5" t="s">
        <v>52</v>
      </c>
      <c r="T1780" s="5">
        <v>3253</v>
      </c>
      <c r="W1780" s="5" t="s">
        <v>65</v>
      </c>
      <c r="X1780" s="5">
        <v>0</v>
      </c>
      <c r="Y1780" s="5">
        <v>0</v>
      </c>
      <c r="Z1780" s="5">
        <v>18.698630000000001</v>
      </c>
      <c r="AA1780" s="5">
        <v>30</v>
      </c>
      <c r="AB1780" s="5">
        <v>560.95889999999997</v>
      </c>
      <c r="AC1780" s="5" t="str">
        <f t="shared" si="85"/>
        <v>Bonos</v>
      </c>
      <c r="AD1780" s="5" t="s">
        <v>43</v>
      </c>
      <c r="AE1780" s="5">
        <f t="shared" si="86"/>
        <v>2</v>
      </c>
      <c r="AF1780" s="5">
        <f t="shared" si="87"/>
        <v>2023</v>
      </c>
    </row>
    <row r="1781" s="5" customFormat="1" ht="13">
      <c r="A1781" s="5" t="s">
        <v>44</v>
      </c>
      <c r="B1781" s="5" t="s">
        <v>44</v>
      </c>
      <c r="C1781" s="5" t="s">
        <v>143</v>
      </c>
      <c r="D1781" s="5" t="s">
        <v>21</v>
      </c>
      <c r="E1781" s="5" t="s">
        <v>44</v>
      </c>
      <c r="F1781" s="5" t="s">
        <v>144</v>
      </c>
      <c r="G1781" s="5" t="s">
        <v>91</v>
      </c>
      <c r="H1781" s="9" t="s">
        <v>380</v>
      </c>
      <c r="I1781" s="10"/>
      <c r="J1781" s="10">
        <v>44985</v>
      </c>
      <c r="K1781" s="5" t="s">
        <v>49</v>
      </c>
      <c r="L1781" s="5" t="s">
        <v>106</v>
      </c>
      <c r="M1781" s="11">
        <v>0.059999999999999998</v>
      </c>
      <c r="N1781" s="5" t="e">
        <f>IF(AND(M1781&gt;#REF!,Cartera!O1781="Guaraníes"),"Rendimiento significativo",IF(AND(M1781&gt;#REF!,Cartera!O1781="Dólares americanos"),"Rendimiento significativo","Rendimiento no significativo"))</f>
        <v>#REF!</v>
      </c>
      <c r="O1781" s="5" t="s">
        <v>51</v>
      </c>
      <c r="P1781" s="13">
        <v>46.0274</v>
      </c>
      <c r="Q1781" s="12" t="e">
        <f>IF(O1781="Guaraníes",P1781,P1781*#REF!)</f>
        <v>#REF!</v>
      </c>
      <c r="R1781" s="12">
        <f>IF(O1781="Guaraníes",P1781/#REF!,P1781)</f>
        <v>46.0274</v>
      </c>
      <c r="S1781" s="5" t="s">
        <v>52</v>
      </c>
      <c r="T1781" s="5">
        <v>3253</v>
      </c>
      <c r="W1781" s="5" t="s">
        <v>65</v>
      </c>
      <c r="X1781" s="5">
        <v>0</v>
      </c>
      <c r="Y1781" s="5">
        <v>0</v>
      </c>
      <c r="Z1781" s="5">
        <v>4.6027399999999998</v>
      </c>
      <c r="AA1781" s="5">
        <v>10</v>
      </c>
      <c r="AB1781" s="5">
        <v>46.0274</v>
      </c>
      <c r="AC1781" s="5" t="str">
        <f t="shared" si="85"/>
        <v>Bonos</v>
      </c>
      <c r="AD1781" s="5" t="s">
        <v>43</v>
      </c>
      <c r="AE1781" s="5">
        <f t="shared" si="86"/>
        <v>2</v>
      </c>
      <c r="AF1781" s="5">
        <f t="shared" si="87"/>
        <v>2023</v>
      </c>
    </row>
    <row r="1782" s="5" customFormat="1" ht="13">
      <c r="A1782" s="5" t="s">
        <v>44</v>
      </c>
      <c r="B1782" s="5" t="s">
        <v>44</v>
      </c>
      <c r="C1782" s="5" t="s">
        <v>164</v>
      </c>
      <c r="D1782" s="5" t="s">
        <v>21</v>
      </c>
      <c r="E1782" s="5" t="s">
        <v>44</v>
      </c>
      <c r="F1782" s="5" t="s">
        <v>68</v>
      </c>
      <c r="G1782" s="5" t="s">
        <v>91</v>
      </c>
      <c r="H1782" s="9" t="s">
        <v>166</v>
      </c>
      <c r="I1782" s="10"/>
      <c r="J1782" s="10">
        <v>44985</v>
      </c>
      <c r="K1782" s="5" t="s">
        <v>124</v>
      </c>
      <c r="L1782" s="5" t="s">
        <v>58</v>
      </c>
      <c r="M1782" s="11">
        <v>0.092499999999999999</v>
      </c>
      <c r="N1782" s="5" t="e">
        <f>IF(AND(M1782&gt;#REF!,Cartera!O1782="Guaraníes"),"Rendimiento significativo",IF(AND(M1782&gt;#REF!,Cartera!O1782="Dólares americanos"),"Rendimiento significativo","Rendimiento no significativo"))</f>
        <v>#REF!</v>
      </c>
      <c r="O1782" s="5" t="s">
        <v>41</v>
      </c>
      <c r="P1782" s="12">
        <v>1064383.56165</v>
      </c>
      <c r="Q1782" s="12">
        <f>IF(O1782="Guaraníes",P1782,P1782*#REF!)</f>
        <v>1064383.56165</v>
      </c>
      <c r="R1782" s="12" t="e">
        <f>IF(O1782="Guaraníes",P1782/#REF!,P1782)</f>
        <v>#REF!</v>
      </c>
      <c r="S1782" s="5" t="s">
        <v>52</v>
      </c>
      <c r="T1782" s="5">
        <v>3253</v>
      </c>
      <c r="W1782" s="5" t="s">
        <v>65</v>
      </c>
      <c r="X1782" s="5">
        <v>0</v>
      </c>
      <c r="Y1782" s="5">
        <v>0</v>
      </c>
      <c r="Z1782" s="5">
        <v>7095.8904110000003</v>
      </c>
      <c r="AA1782" s="5">
        <v>150</v>
      </c>
      <c r="AB1782" s="5">
        <v>1064383.56165</v>
      </c>
      <c r="AC1782" s="5" t="str">
        <f t="shared" si="85"/>
        <v>Bonos</v>
      </c>
      <c r="AD1782" s="5" t="s">
        <v>43</v>
      </c>
      <c r="AE1782" s="5">
        <f t="shared" si="86"/>
        <v>2</v>
      </c>
      <c r="AF1782" s="5">
        <f t="shared" si="87"/>
        <v>2023</v>
      </c>
    </row>
    <row r="1783" s="5" customFormat="1" ht="13">
      <c r="A1783" s="5" t="s">
        <v>44</v>
      </c>
      <c r="B1783" s="5" t="s">
        <v>44</v>
      </c>
      <c r="C1783" s="5" t="s">
        <v>143</v>
      </c>
      <c r="D1783" s="5" t="s">
        <v>21</v>
      </c>
      <c r="E1783" s="5" t="s">
        <v>44</v>
      </c>
      <c r="F1783" s="5" t="s">
        <v>144</v>
      </c>
      <c r="G1783" s="5" t="s">
        <v>91</v>
      </c>
      <c r="H1783" s="9" t="s">
        <v>380</v>
      </c>
      <c r="I1783" s="10"/>
      <c r="J1783" s="10">
        <v>45016</v>
      </c>
      <c r="K1783" s="5" t="s">
        <v>49</v>
      </c>
      <c r="L1783" s="5" t="s">
        <v>106</v>
      </c>
      <c r="M1783" s="11">
        <v>0.059999999999999998</v>
      </c>
      <c r="N1783" s="5" t="e">
        <f>IF(AND(M1783&gt;#REF!,Cartera!O1783="Guaraníes"),"Rendimiento significativo",IF(AND(M1783&gt;#REF!,Cartera!O1783="Dólares americanos"),"Rendimiento significativo","Rendimiento no significativo"))</f>
        <v>#REF!</v>
      </c>
      <c r="O1783" s="5" t="s">
        <v>51</v>
      </c>
      <c r="P1783" s="13">
        <v>50.9589</v>
      </c>
      <c r="Q1783" s="12" t="e">
        <f>IF(O1783="Guaraníes",P1783,P1783*#REF!)</f>
        <v>#REF!</v>
      </c>
      <c r="R1783" s="12">
        <f>IF(O1783="Guaraníes",P1783/#REF!,P1783)</f>
        <v>50.9589</v>
      </c>
      <c r="S1783" s="5" t="s">
        <v>52</v>
      </c>
      <c r="T1783" s="5">
        <v>3253</v>
      </c>
      <c r="W1783" s="5" t="s">
        <v>65</v>
      </c>
      <c r="X1783" s="5">
        <v>0</v>
      </c>
      <c r="Y1783" s="5">
        <v>0</v>
      </c>
      <c r="Z1783" s="5">
        <v>5.0958899999999998</v>
      </c>
      <c r="AA1783" s="5">
        <v>10</v>
      </c>
      <c r="AB1783" s="5">
        <v>50.9589</v>
      </c>
      <c r="AC1783" s="5" t="str">
        <f t="shared" ref="AC1783:AC1846" si="88">IF(ISNUMBER(SEARCH("Acciones",L1783)),"Acciones",IF(ISNUMBER(SEARCH("Bono",L1783)),"Bonos",IF(ISNUMBER(SEARCH("CDA",L1783)),"CDA",IF(ISNUMBER(SEARCH("Fondo",L1783)),"Fondo",0))))</f>
        <v>Bonos</v>
      </c>
      <c r="AD1783" s="5" t="s">
        <v>43</v>
      </c>
      <c r="AE1783" s="5">
        <f t="shared" si="86"/>
        <v>3</v>
      </c>
      <c r="AF1783" s="5">
        <f t="shared" si="87"/>
        <v>2023</v>
      </c>
    </row>
    <row r="1784" s="5" customFormat="1" ht="13">
      <c r="A1784" s="5" t="s">
        <v>44</v>
      </c>
      <c r="B1784" s="5" t="s">
        <v>44</v>
      </c>
      <c r="C1784" s="5" t="s">
        <v>164</v>
      </c>
      <c r="D1784" s="5" t="s">
        <v>21</v>
      </c>
      <c r="E1784" s="5" t="s">
        <v>44</v>
      </c>
      <c r="F1784" s="5" t="s">
        <v>68</v>
      </c>
      <c r="G1784" s="5" t="s">
        <v>91</v>
      </c>
      <c r="H1784" s="9" t="s">
        <v>166</v>
      </c>
      <c r="I1784" s="10"/>
      <c r="J1784" s="10">
        <v>45016</v>
      </c>
      <c r="K1784" s="5" t="s">
        <v>124</v>
      </c>
      <c r="L1784" s="5" t="s">
        <v>58</v>
      </c>
      <c r="M1784" s="11">
        <v>0.092499999999999999</v>
      </c>
      <c r="N1784" s="5" t="e">
        <f>IF(AND(M1784&gt;#REF!,Cartera!O1784="Guaraníes"),"Rendimiento significativo",IF(AND(M1784&gt;#REF!,Cartera!O1784="Dólares americanos"),"Rendimiento significativo","Rendimiento no significativo"))</f>
        <v>#REF!</v>
      </c>
      <c r="O1784" s="5" t="s">
        <v>41</v>
      </c>
      <c r="P1784" s="12">
        <v>1178424.6576</v>
      </c>
      <c r="Q1784" s="12">
        <f>IF(O1784="Guaraníes",P1784,P1784*#REF!)</f>
        <v>1178424.6576</v>
      </c>
      <c r="R1784" s="12" t="e">
        <f>IF(O1784="Guaraníes",P1784/#REF!,P1784)</f>
        <v>#REF!</v>
      </c>
      <c r="S1784" s="5" t="s">
        <v>52</v>
      </c>
      <c r="T1784" s="5">
        <v>3253</v>
      </c>
      <c r="W1784" s="5" t="s">
        <v>65</v>
      </c>
      <c r="X1784" s="5">
        <v>0</v>
      </c>
      <c r="Y1784" s="5">
        <v>0</v>
      </c>
      <c r="Z1784" s="5">
        <v>7856.1643839999997</v>
      </c>
      <c r="AA1784" s="5">
        <v>150</v>
      </c>
      <c r="AB1784" s="5">
        <v>1178424.6576</v>
      </c>
      <c r="AC1784" s="5" t="str">
        <f t="shared" si="88"/>
        <v>Bonos</v>
      </c>
      <c r="AD1784" s="5" t="s">
        <v>43</v>
      </c>
      <c r="AE1784" s="5">
        <f t="shared" si="86"/>
        <v>3</v>
      </c>
      <c r="AF1784" s="5">
        <f t="shared" si="87"/>
        <v>2023</v>
      </c>
    </row>
    <row r="1785" s="5" customFormat="1" ht="13">
      <c r="A1785" s="5" t="s">
        <v>44</v>
      </c>
      <c r="B1785" s="5" t="s">
        <v>44</v>
      </c>
      <c r="C1785" s="5" t="s">
        <v>67</v>
      </c>
      <c r="D1785" s="5" t="s">
        <v>21</v>
      </c>
      <c r="E1785" s="5" t="s">
        <v>44</v>
      </c>
      <c r="F1785" s="5" t="s">
        <v>68</v>
      </c>
      <c r="G1785" s="5" t="s">
        <v>91</v>
      </c>
      <c r="H1785" s="9" t="s">
        <v>110</v>
      </c>
      <c r="I1785" s="10"/>
      <c r="J1785" s="10">
        <v>45034</v>
      </c>
      <c r="K1785" s="5" t="s">
        <v>71</v>
      </c>
      <c r="L1785" s="5" t="s">
        <v>58</v>
      </c>
      <c r="M1785" s="11">
        <v>0.089999999999999997</v>
      </c>
      <c r="N1785" s="5" t="e">
        <f>IF(AND(M1785&gt;#REF!,Cartera!O1785="Guaraníes"),"Rendimiento significativo",IF(AND(M1785&gt;#REF!,Cartera!O1785="Dólares americanos"),"Rendimiento significativo","Rendimiento no significativo"))</f>
        <v>#REF!</v>
      </c>
      <c r="O1785" s="5" t="s">
        <v>51</v>
      </c>
      <c r="P1785" s="13">
        <v>252.43150499999999</v>
      </c>
      <c r="Q1785" s="12" t="e">
        <f>IF(O1785="Guaraníes",P1785,P1785*#REF!)</f>
        <v>#REF!</v>
      </c>
      <c r="R1785" s="12">
        <f>IF(O1785="Guaraníes",P1785/#REF!,P1785)</f>
        <v>252.43150499999999</v>
      </c>
      <c r="S1785" s="5" t="s">
        <v>52</v>
      </c>
      <c r="T1785" s="5">
        <v>3253</v>
      </c>
      <c r="W1785" s="5" t="s">
        <v>65</v>
      </c>
      <c r="X1785" s="5">
        <v>0</v>
      </c>
      <c r="Y1785" s="5">
        <v>0</v>
      </c>
      <c r="Z1785" s="5">
        <v>16.828766999999999</v>
      </c>
      <c r="AA1785" s="5">
        <v>15</v>
      </c>
      <c r="AB1785" s="5">
        <v>252.43150499999999</v>
      </c>
      <c r="AC1785" s="5" t="str">
        <f t="shared" si="88"/>
        <v>Bonos</v>
      </c>
      <c r="AD1785" s="5" t="s">
        <v>43</v>
      </c>
      <c r="AE1785" s="5">
        <f t="shared" si="86"/>
        <v>4</v>
      </c>
      <c r="AF1785" s="5">
        <f t="shared" si="87"/>
        <v>2023</v>
      </c>
    </row>
    <row r="1786" s="5" customFormat="1" ht="13">
      <c r="A1786" s="5" t="s">
        <v>44</v>
      </c>
      <c r="B1786" s="5" t="s">
        <v>44</v>
      </c>
      <c r="C1786" s="5" t="s">
        <v>45</v>
      </c>
      <c r="D1786" s="5" t="s">
        <v>20</v>
      </c>
      <c r="E1786" s="5" t="s">
        <v>44</v>
      </c>
      <c r="F1786" s="5" t="s">
        <v>46</v>
      </c>
      <c r="G1786" s="5" t="s">
        <v>91</v>
      </c>
      <c r="H1786" s="9" t="s">
        <v>365</v>
      </c>
      <c r="I1786" s="10">
        <v>43217</v>
      </c>
      <c r="J1786" s="10">
        <v>45036</v>
      </c>
      <c r="K1786" s="5" t="s">
        <v>49</v>
      </c>
      <c r="L1786" s="5" t="s">
        <v>106</v>
      </c>
      <c r="M1786" s="11">
        <v>0.059999999999999998</v>
      </c>
      <c r="N1786" s="5" t="e">
        <f>IF(AND(M1786&gt;#REF!,Cartera!O1786="Guaraníes"),"Rendimiento significativo",IF(AND(M1786&gt;#REF!,Cartera!O1786="Dólares americanos"),"Rendimiento significativo","Rendimiento no significativo"))</f>
        <v>#REF!</v>
      </c>
      <c r="O1786" s="5" t="s">
        <v>51</v>
      </c>
      <c r="P1786" s="13">
        <v>35000</v>
      </c>
      <c r="Q1786" s="12" t="e">
        <f>IF(O1786="Guaraníes",P1786,P1786*#REF!)</f>
        <v>#REF!</v>
      </c>
      <c r="R1786" s="12">
        <f>IF(O1786="Guaraníes",P1786/#REF!,P1786)</f>
        <v>35000</v>
      </c>
      <c r="S1786" s="5" t="s">
        <v>52</v>
      </c>
      <c r="T1786" s="5">
        <v>3253</v>
      </c>
      <c r="AC1786" s="5" t="str">
        <f t="shared" si="88"/>
        <v>Bonos</v>
      </c>
      <c r="AD1786" s="5" t="s">
        <v>43</v>
      </c>
      <c r="AE1786" s="5">
        <f t="shared" si="86"/>
        <v>4</v>
      </c>
      <c r="AF1786" s="5">
        <f t="shared" si="87"/>
        <v>2023</v>
      </c>
    </row>
    <row r="1787" s="5" customFormat="1" ht="13">
      <c r="A1787" s="5" t="s">
        <v>44</v>
      </c>
      <c r="B1787" s="5" t="s">
        <v>44</v>
      </c>
      <c r="C1787" s="5" t="s">
        <v>89</v>
      </c>
      <c r="D1787" s="5" t="s">
        <v>21</v>
      </c>
      <c r="E1787" s="5" t="s">
        <v>44</v>
      </c>
      <c r="F1787" s="5" t="s">
        <v>90</v>
      </c>
      <c r="G1787" s="5" t="s">
        <v>91</v>
      </c>
      <c r="H1787" s="9" t="s">
        <v>92</v>
      </c>
      <c r="I1787" s="10"/>
      <c r="J1787" s="10">
        <v>45036</v>
      </c>
      <c r="K1787" s="5" t="s">
        <v>93</v>
      </c>
      <c r="L1787" s="5" t="s">
        <v>58</v>
      </c>
      <c r="M1787" s="11">
        <v>0.080000000000000002</v>
      </c>
      <c r="N1787" s="5" t="e">
        <f>IF(AND(M1787&gt;#REF!,Cartera!O1787="Guaraníes"),"Rendimiento significativo",IF(AND(M1787&gt;#REF!,Cartera!O1787="Dólares americanos"),"Rendimiento significativo","Rendimiento no significativo"))</f>
        <v>#REF!</v>
      </c>
      <c r="O1787" s="5" t="s">
        <v>51</v>
      </c>
      <c r="P1787" s="13">
        <v>299.17807500000004</v>
      </c>
      <c r="Q1787" s="12" t="e">
        <f>IF(O1787="Guaraníes",P1787,P1787*#REF!)</f>
        <v>#REF!</v>
      </c>
      <c r="R1787" s="12">
        <f>IF(O1787="Guaraníes",P1787/#REF!,P1787)</f>
        <v>299.17807500000004</v>
      </c>
      <c r="S1787" s="5" t="s">
        <v>52</v>
      </c>
      <c r="T1787" s="5">
        <v>3253</v>
      </c>
      <c r="W1787" s="5" t="s">
        <v>65</v>
      </c>
      <c r="X1787" s="5">
        <v>0</v>
      </c>
      <c r="Y1787" s="5">
        <v>0</v>
      </c>
      <c r="Z1787" s="5">
        <v>19.945205000000001</v>
      </c>
      <c r="AA1787" s="5">
        <v>15</v>
      </c>
      <c r="AB1787" s="5">
        <v>299.17807499999998</v>
      </c>
      <c r="AC1787" s="5" t="str">
        <f t="shared" si="88"/>
        <v>Bonos</v>
      </c>
      <c r="AD1787" s="5" t="s">
        <v>43</v>
      </c>
      <c r="AE1787" s="5">
        <f t="shared" si="86"/>
        <v>4</v>
      </c>
      <c r="AF1787" s="5">
        <f t="shared" si="87"/>
        <v>2023</v>
      </c>
    </row>
    <row r="1788" s="5" customFormat="1" ht="13">
      <c r="A1788" s="5" t="s">
        <v>44</v>
      </c>
      <c r="B1788" s="5" t="s">
        <v>44</v>
      </c>
      <c r="C1788" s="5" t="s">
        <v>122</v>
      </c>
      <c r="D1788" s="5" t="s">
        <v>21</v>
      </c>
      <c r="E1788" s="5" t="s">
        <v>44</v>
      </c>
      <c r="F1788" s="5" t="s">
        <v>61</v>
      </c>
      <c r="G1788" s="5" t="s">
        <v>91</v>
      </c>
      <c r="H1788" s="9" t="s">
        <v>132</v>
      </c>
      <c r="I1788" s="10"/>
      <c r="J1788" s="10">
        <v>45042</v>
      </c>
      <c r="K1788" s="5" t="s">
        <v>124</v>
      </c>
      <c r="L1788" s="5" t="s">
        <v>50</v>
      </c>
      <c r="M1788" s="11">
        <v>0.059999999999999998</v>
      </c>
      <c r="N1788" s="5" t="e">
        <f>IF(AND(M1788&gt;#REF!,Cartera!O1788="Guaraníes"),"Rendimiento significativo",IF(AND(M1788&gt;#REF!,Cartera!O1788="Dólares americanos"),"Rendimiento significativo","Rendimiento no significativo"))</f>
        <v>#REF!</v>
      </c>
      <c r="O1788" s="5" t="s">
        <v>51</v>
      </c>
      <c r="P1788" s="13">
        <v>299.17808000000002</v>
      </c>
      <c r="Q1788" s="12" t="e">
        <f>IF(O1788="Guaraníes",P1788,P1788*#REF!)</f>
        <v>#REF!</v>
      </c>
      <c r="R1788" s="12">
        <f>IF(O1788="Guaraníes",P1788/#REF!,P1788)</f>
        <v>299.17808000000002</v>
      </c>
      <c r="S1788" s="5" t="s">
        <v>52</v>
      </c>
      <c r="T1788" s="5">
        <v>3253</v>
      </c>
      <c r="W1788" s="5" t="s">
        <v>65</v>
      </c>
      <c r="X1788" s="5">
        <v>0</v>
      </c>
      <c r="Y1788" s="5">
        <v>0</v>
      </c>
      <c r="Z1788" s="5">
        <v>29.917808000000001</v>
      </c>
      <c r="AA1788" s="5">
        <v>10</v>
      </c>
      <c r="AB1788" s="5">
        <v>299.17808000000002</v>
      </c>
      <c r="AC1788" s="5" t="str">
        <f t="shared" si="88"/>
        <v>Bonos</v>
      </c>
      <c r="AD1788" s="5" t="s">
        <v>43</v>
      </c>
      <c r="AE1788" s="5">
        <f t="shared" si="86"/>
        <v>4</v>
      </c>
      <c r="AF1788" s="5">
        <f t="shared" si="87"/>
        <v>2023</v>
      </c>
    </row>
    <row r="1789" s="5" customFormat="1" ht="13">
      <c r="A1789" s="5" t="s">
        <v>44</v>
      </c>
      <c r="B1789" s="5" t="s">
        <v>44</v>
      </c>
      <c r="C1789" s="5" t="s">
        <v>143</v>
      </c>
      <c r="D1789" s="5" t="s">
        <v>21</v>
      </c>
      <c r="E1789" s="5" t="s">
        <v>44</v>
      </c>
      <c r="F1789" s="5" t="s">
        <v>144</v>
      </c>
      <c r="G1789" s="5" t="s">
        <v>91</v>
      </c>
      <c r="H1789" s="9" t="s">
        <v>380</v>
      </c>
      <c r="I1789" s="10"/>
      <c r="J1789" s="10">
        <v>45044</v>
      </c>
      <c r="K1789" s="5" t="s">
        <v>49</v>
      </c>
      <c r="L1789" s="5" t="s">
        <v>106</v>
      </c>
      <c r="M1789" s="11">
        <v>0.059999999999999998</v>
      </c>
      <c r="N1789" s="5" t="e">
        <f>IF(AND(M1789&gt;#REF!,Cartera!O1789="Guaraníes"),"Rendimiento significativo",IF(AND(M1789&gt;#REF!,Cartera!O1789="Dólares americanos"),"Rendimiento significativo","Rendimiento no significativo"))</f>
        <v>#REF!</v>
      </c>
      <c r="O1789" s="5" t="s">
        <v>51</v>
      </c>
      <c r="P1789" s="13">
        <v>46.0274</v>
      </c>
      <c r="Q1789" s="12" t="e">
        <f>IF(O1789="Guaraníes",P1789,P1789*#REF!)</f>
        <v>#REF!</v>
      </c>
      <c r="R1789" s="12">
        <f>IF(O1789="Guaraníes",P1789/#REF!,P1789)</f>
        <v>46.0274</v>
      </c>
      <c r="S1789" s="5" t="s">
        <v>52</v>
      </c>
      <c r="T1789" s="5">
        <v>3253</v>
      </c>
      <c r="W1789" s="5" t="s">
        <v>65</v>
      </c>
      <c r="X1789" s="5">
        <v>0</v>
      </c>
      <c r="Y1789" s="5">
        <v>0</v>
      </c>
      <c r="Z1789" s="5">
        <v>4.6027399999999998</v>
      </c>
      <c r="AA1789" s="5">
        <v>10</v>
      </c>
      <c r="AB1789" s="5">
        <v>46.0274</v>
      </c>
      <c r="AC1789" s="5" t="str">
        <f t="shared" si="88"/>
        <v>Bonos</v>
      </c>
      <c r="AD1789" s="5" t="s">
        <v>43</v>
      </c>
      <c r="AE1789" s="5">
        <f t="shared" si="86"/>
        <v>4</v>
      </c>
      <c r="AF1789" s="5">
        <f t="shared" si="87"/>
        <v>2023</v>
      </c>
    </row>
    <row r="1790" s="5" customFormat="1" ht="13">
      <c r="A1790" s="5" t="s">
        <v>44</v>
      </c>
      <c r="B1790" s="5" t="s">
        <v>44</v>
      </c>
      <c r="C1790" s="5" t="s">
        <v>164</v>
      </c>
      <c r="D1790" s="5" t="s">
        <v>21</v>
      </c>
      <c r="E1790" s="5" t="s">
        <v>44</v>
      </c>
      <c r="F1790" s="5" t="s">
        <v>68</v>
      </c>
      <c r="G1790" s="5" t="s">
        <v>91</v>
      </c>
      <c r="H1790" s="9" t="s">
        <v>166</v>
      </c>
      <c r="I1790" s="10"/>
      <c r="J1790" s="10">
        <v>45044</v>
      </c>
      <c r="K1790" s="5" t="s">
        <v>124</v>
      </c>
      <c r="L1790" s="5" t="s">
        <v>58</v>
      </c>
      <c r="M1790" s="11">
        <v>0.092499999999999999</v>
      </c>
      <c r="N1790" s="5" t="e">
        <f>IF(AND(M1790&gt;#REF!,Cartera!O1790="Guaraníes"),"Rendimiento significativo",IF(AND(M1790&gt;#REF!,Cartera!O1790="Dólares americanos"),"Rendimiento significativo","Rendimiento no significativo"))</f>
        <v>#REF!</v>
      </c>
      <c r="O1790" s="5" t="s">
        <v>41</v>
      </c>
      <c r="P1790" s="12">
        <v>1064383.56165</v>
      </c>
      <c r="Q1790" s="12">
        <f>IF(O1790="Guaraníes",P1790,P1790*#REF!)</f>
        <v>1064383.56165</v>
      </c>
      <c r="R1790" s="12" t="e">
        <f>IF(O1790="Guaraníes",P1790/#REF!,P1790)</f>
        <v>#REF!</v>
      </c>
      <c r="S1790" s="5" t="s">
        <v>52</v>
      </c>
      <c r="T1790" s="5">
        <v>3253</v>
      </c>
      <c r="W1790" s="5" t="s">
        <v>65</v>
      </c>
      <c r="X1790" s="5">
        <v>0</v>
      </c>
      <c r="Y1790" s="5">
        <v>0</v>
      </c>
      <c r="Z1790" s="5">
        <v>7095.8904110000003</v>
      </c>
      <c r="AA1790" s="5">
        <v>150</v>
      </c>
      <c r="AB1790" s="5">
        <v>1064383.56165</v>
      </c>
      <c r="AC1790" s="5" t="str">
        <f t="shared" si="88"/>
        <v>Bonos</v>
      </c>
      <c r="AD1790" s="5" t="s">
        <v>43</v>
      </c>
      <c r="AE1790" s="5">
        <f t="shared" si="86"/>
        <v>4</v>
      </c>
      <c r="AF1790" s="5">
        <f t="shared" si="87"/>
        <v>2023</v>
      </c>
    </row>
    <row r="1791" s="5" customFormat="1" ht="13">
      <c r="A1791" s="5" t="s">
        <v>44</v>
      </c>
      <c r="B1791" s="5" t="s">
        <v>44</v>
      </c>
      <c r="C1791" s="5" t="s">
        <v>176</v>
      </c>
      <c r="D1791" s="5" t="s">
        <v>21</v>
      </c>
      <c r="E1791" s="5" t="s">
        <v>44</v>
      </c>
      <c r="F1791" s="5" t="s">
        <v>68</v>
      </c>
      <c r="G1791" s="5" t="s">
        <v>91</v>
      </c>
      <c r="H1791" s="9" t="s">
        <v>177</v>
      </c>
      <c r="I1791" s="10"/>
      <c r="J1791" s="10">
        <v>45070</v>
      </c>
      <c r="K1791" s="5" t="s">
        <v>178</v>
      </c>
      <c r="L1791" s="5" t="s">
        <v>58</v>
      </c>
      <c r="M1791" s="11">
        <v>0.085000000000000006</v>
      </c>
      <c r="N1791" s="5" t="e">
        <f>IF(AND(M1791&gt;#REF!,Cartera!O1791="Guaraníes"),"Rendimiento significativo",IF(AND(M1791&gt;#REF!,Cartera!O1791="Dólares americanos"),"Rendimiento significativo","Rendimiento no significativo"))</f>
        <v>#REF!</v>
      </c>
      <c r="O1791" s="5" t="s">
        <v>51</v>
      </c>
      <c r="P1791" s="13">
        <v>560.95890000000009</v>
      </c>
      <c r="Q1791" s="12" t="e">
        <f>IF(O1791="Guaraníes",P1791,P1791*#REF!)</f>
        <v>#REF!</v>
      </c>
      <c r="R1791" s="12">
        <f>IF(O1791="Guaraníes",P1791/#REF!,P1791)</f>
        <v>560.95890000000009</v>
      </c>
      <c r="S1791" s="5" t="s">
        <v>52</v>
      </c>
      <c r="T1791" s="5">
        <v>3253</v>
      </c>
      <c r="W1791" s="5" t="s">
        <v>65</v>
      </c>
      <c r="X1791" s="5">
        <v>0</v>
      </c>
      <c r="Y1791" s="5">
        <v>0</v>
      </c>
      <c r="Z1791" s="5">
        <v>18.698630000000001</v>
      </c>
      <c r="AA1791" s="5">
        <v>30</v>
      </c>
      <c r="AB1791" s="5">
        <v>560.95889999999997</v>
      </c>
      <c r="AC1791" s="5" t="str">
        <f t="shared" si="88"/>
        <v>Bonos</v>
      </c>
      <c r="AD1791" s="5" t="s">
        <v>43</v>
      </c>
      <c r="AE1791" s="5">
        <f t="shared" si="86"/>
        <v>5</v>
      </c>
      <c r="AF1791" s="5">
        <f t="shared" si="87"/>
        <v>2023</v>
      </c>
    </row>
    <row r="1792" s="5" customFormat="1" ht="13">
      <c r="A1792" s="5" t="s">
        <v>44</v>
      </c>
      <c r="B1792" s="5" t="s">
        <v>44</v>
      </c>
      <c r="C1792" s="5" t="s">
        <v>33</v>
      </c>
      <c r="D1792" s="5" t="s">
        <v>21</v>
      </c>
      <c r="E1792" s="5" t="s">
        <v>44</v>
      </c>
      <c r="F1792" s="5" t="s">
        <v>35</v>
      </c>
      <c r="G1792" s="5" t="s">
        <v>91</v>
      </c>
      <c r="H1792" s="9" t="s">
        <v>375</v>
      </c>
      <c r="I1792" s="10"/>
      <c r="J1792" s="10">
        <v>45071</v>
      </c>
      <c r="K1792" s="5" t="s">
        <v>39</v>
      </c>
      <c r="L1792" s="5" t="s">
        <v>50</v>
      </c>
      <c r="M1792" s="11">
        <v>0.0625</v>
      </c>
      <c r="N1792" s="5" t="e">
        <f>IF(AND(M1792&gt;#REF!,Cartera!O1792="Guaraníes"),"Rendimiento significativo",IF(AND(M1792&gt;#REF!,Cartera!O1792="Dólares americanos"),"Rendimiento significativo","Rendimiento no significativo"))</f>
        <v>#REF!</v>
      </c>
      <c r="O1792" s="5" t="s">
        <v>51</v>
      </c>
      <c r="P1792" s="13">
        <v>1052.8800000000001</v>
      </c>
      <c r="Q1792" s="12" t="e">
        <f>IF(O1792="Guaraníes",P1792,P1792*#REF!)</f>
        <v>#REF!</v>
      </c>
      <c r="R1792" s="12">
        <f>IF(O1792="Guaraníes",P1792/#REF!,P1792)</f>
        <v>1052.8800000000001</v>
      </c>
      <c r="S1792" s="5" t="s">
        <v>52</v>
      </c>
      <c r="T1792" s="5">
        <v>3253</v>
      </c>
      <c r="U1792" s="5">
        <v>30000</v>
      </c>
      <c r="V1792" s="5">
        <v>1066342.6027299999</v>
      </c>
      <c r="W1792" s="5" t="s">
        <v>65</v>
      </c>
      <c r="X1792" s="5">
        <v>100</v>
      </c>
      <c r="Y1792" s="5">
        <v>1000</v>
      </c>
      <c r="Z1792" s="5">
        <v>1035.0958900000001</v>
      </c>
      <c r="AA1792" s="5">
        <v>30</v>
      </c>
      <c r="AB1792" s="5">
        <v>31052.876700000001</v>
      </c>
      <c r="AC1792" s="5" t="str">
        <f t="shared" si="88"/>
        <v>Bonos</v>
      </c>
      <c r="AD1792" s="5" t="s">
        <v>43</v>
      </c>
      <c r="AE1792" s="5">
        <f t="shared" si="86"/>
        <v>5</v>
      </c>
      <c r="AF1792" s="5">
        <f t="shared" si="87"/>
        <v>2023</v>
      </c>
    </row>
    <row r="1793" s="5" customFormat="1" ht="13">
      <c r="A1793" s="5" t="s">
        <v>44</v>
      </c>
      <c r="B1793" s="5" t="s">
        <v>44</v>
      </c>
      <c r="C1793" s="5" t="s">
        <v>222</v>
      </c>
      <c r="D1793" s="5" t="s">
        <v>21</v>
      </c>
      <c r="E1793" s="5" t="s">
        <v>44</v>
      </c>
      <c r="F1793" s="5" t="s">
        <v>68</v>
      </c>
      <c r="G1793" s="5" t="s">
        <v>91</v>
      </c>
      <c r="H1793" s="9" t="s">
        <v>223</v>
      </c>
      <c r="I1793" s="10"/>
      <c r="J1793" s="10">
        <v>45071</v>
      </c>
      <c r="K1793" s="5" t="s">
        <v>127</v>
      </c>
      <c r="L1793" s="5" t="s">
        <v>50</v>
      </c>
      <c r="M1793" s="11">
        <v>0.070000000000000007</v>
      </c>
      <c r="N1793" s="5" t="e">
        <f>IF(AND(M1793&gt;#REF!,Cartera!O1793="Guaraníes"),"Rendimiento significativo",IF(AND(M1793&gt;#REF!,Cartera!O1793="Dólares americanos"),"Rendimiento significativo","Rendimiento no significativo"))</f>
        <v>#REF!</v>
      </c>
      <c r="O1793" s="5" t="s">
        <v>51</v>
      </c>
      <c r="P1793" s="13">
        <v>1745.2055</v>
      </c>
      <c r="Q1793" s="12" t="e">
        <f>IF(O1793="Guaraníes",P1793,P1793*#REF!)</f>
        <v>#REF!</v>
      </c>
      <c r="R1793" s="12">
        <f>IF(O1793="Guaraníes",P1793/#REF!,P1793)</f>
        <v>1745.2055</v>
      </c>
      <c r="S1793" s="5" t="s">
        <v>52</v>
      </c>
      <c r="T1793" s="5">
        <v>3253</v>
      </c>
      <c r="W1793" s="5" t="s">
        <v>65</v>
      </c>
      <c r="X1793" s="5">
        <v>0</v>
      </c>
      <c r="Y1793" s="5">
        <v>0</v>
      </c>
      <c r="Z1793" s="5">
        <v>34.904110000000003</v>
      </c>
      <c r="AA1793" s="5">
        <v>50</v>
      </c>
      <c r="AB1793" s="5">
        <v>1745.2055</v>
      </c>
      <c r="AC1793" s="5" t="str">
        <f t="shared" si="88"/>
        <v>Bonos</v>
      </c>
      <c r="AD1793" s="5" t="s">
        <v>43</v>
      </c>
      <c r="AE1793" s="5">
        <f t="shared" si="86"/>
        <v>5</v>
      </c>
      <c r="AF1793" s="5">
        <f t="shared" si="87"/>
        <v>2023</v>
      </c>
    </row>
    <row r="1794" s="5" customFormat="1" ht="13">
      <c r="A1794" s="5" t="s">
        <v>44</v>
      </c>
      <c r="B1794" s="5" t="s">
        <v>44</v>
      </c>
      <c r="C1794" s="5" t="s">
        <v>33</v>
      </c>
      <c r="D1794" s="5" t="s">
        <v>20</v>
      </c>
      <c r="E1794" s="5" t="s">
        <v>44</v>
      </c>
      <c r="F1794" s="5" t="s">
        <v>35</v>
      </c>
      <c r="G1794" s="5" t="s">
        <v>91</v>
      </c>
      <c r="H1794" s="9" t="s">
        <v>375</v>
      </c>
      <c r="I1794" s="10">
        <v>42520</v>
      </c>
      <c r="J1794" s="10">
        <v>45071</v>
      </c>
      <c r="K1794" s="5" t="s">
        <v>39</v>
      </c>
      <c r="L1794" s="5" t="s">
        <v>50</v>
      </c>
      <c r="M1794" s="11">
        <v>0.0625</v>
      </c>
      <c r="N1794" s="5" t="e">
        <f>IF(AND(M1794&gt;#REF!,Cartera!O1794="Guaraníes"),"Rendimiento significativo",IF(AND(M1794&gt;#REF!,Cartera!O1794="Dólares americanos"),"Rendimiento significativo","Rendimiento no significativo"))</f>
        <v>#REF!</v>
      </c>
      <c r="O1794" s="5" t="s">
        <v>51</v>
      </c>
      <c r="P1794" s="13">
        <v>30000</v>
      </c>
      <c r="Q1794" s="12" t="e">
        <f>IF(O1794="Guaraníes",P1794,P1794*#REF!)</f>
        <v>#REF!</v>
      </c>
      <c r="R1794" s="12">
        <f>IF(O1794="Guaraníes",P1794/#REF!,P1794)</f>
        <v>30000</v>
      </c>
      <c r="S1794" s="5" t="s">
        <v>52</v>
      </c>
      <c r="AC1794" s="5" t="str">
        <f t="shared" si="88"/>
        <v>Bonos</v>
      </c>
      <c r="AD1794" s="5" t="s">
        <v>43</v>
      </c>
      <c r="AE1794" s="5">
        <f t="shared" si="86"/>
        <v>5</v>
      </c>
      <c r="AF1794" s="5">
        <f t="shared" si="87"/>
        <v>2023</v>
      </c>
    </row>
    <row r="1795" s="5" customFormat="1" ht="13">
      <c r="A1795" s="5" t="s">
        <v>44</v>
      </c>
      <c r="B1795" s="5" t="s">
        <v>44</v>
      </c>
      <c r="C1795" s="5" t="s">
        <v>143</v>
      </c>
      <c r="D1795" s="5" t="s">
        <v>21</v>
      </c>
      <c r="E1795" s="5" t="s">
        <v>44</v>
      </c>
      <c r="F1795" s="5" t="s">
        <v>144</v>
      </c>
      <c r="G1795" s="5" t="s">
        <v>91</v>
      </c>
      <c r="H1795" s="9" t="s">
        <v>380</v>
      </c>
      <c r="I1795" s="10"/>
      <c r="J1795" s="10">
        <v>45077</v>
      </c>
      <c r="K1795" s="5" t="s">
        <v>49</v>
      </c>
      <c r="L1795" s="5" t="s">
        <v>106</v>
      </c>
      <c r="M1795" s="11">
        <v>0.059999999999999998</v>
      </c>
      <c r="N1795" s="5" t="e">
        <f>IF(AND(M1795&gt;#REF!,Cartera!O1795="Guaraníes"),"Rendimiento significativo",IF(AND(M1795&gt;#REF!,Cartera!O1795="Dólares americanos"),"Rendimiento significativo","Rendimiento no significativo"))</f>
        <v>#REF!</v>
      </c>
      <c r="O1795" s="5" t="s">
        <v>51</v>
      </c>
      <c r="P1795" s="13">
        <v>54.246580000000002</v>
      </c>
      <c r="Q1795" s="12" t="e">
        <f>IF(O1795="Guaraníes",P1795,P1795*#REF!)</f>
        <v>#REF!</v>
      </c>
      <c r="R1795" s="12">
        <f>IF(O1795="Guaraníes",P1795/#REF!,P1795)</f>
        <v>54.246580000000002</v>
      </c>
      <c r="S1795" s="5" t="s">
        <v>52</v>
      </c>
      <c r="T1795" s="5">
        <v>3253</v>
      </c>
      <c r="W1795" s="5" t="s">
        <v>65</v>
      </c>
      <c r="X1795" s="5">
        <v>0</v>
      </c>
      <c r="Y1795" s="5">
        <v>0</v>
      </c>
      <c r="Z1795" s="5">
        <v>5.424658</v>
      </c>
      <c r="AA1795" s="5">
        <v>10</v>
      </c>
      <c r="AB1795" s="5">
        <v>54.246580000000002</v>
      </c>
      <c r="AC1795" s="5" t="str">
        <f t="shared" si="88"/>
        <v>Bonos</v>
      </c>
      <c r="AD1795" s="5" t="s">
        <v>43</v>
      </c>
      <c r="AE1795" s="5">
        <f t="shared" si="86"/>
        <v>5</v>
      </c>
      <c r="AF1795" s="5">
        <f t="shared" si="87"/>
        <v>2023</v>
      </c>
    </row>
    <row r="1796" s="5" customFormat="1" ht="13">
      <c r="A1796" s="5" t="s">
        <v>44</v>
      </c>
      <c r="B1796" s="5" t="s">
        <v>44</v>
      </c>
      <c r="C1796" s="5" t="s">
        <v>164</v>
      </c>
      <c r="D1796" s="5" t="s">
        <v>21</v>
      </c>
      <c r="E1796" s="5" t="s">
        <v>44</v>
      </c>
      <c r="F1796" s="5" t="s">
        <v>68</v>
      </c>
      <c r="G1796" s="5" t="s">
        <v>91</v>
      </c>
      <c r="H1796" s="9" t="s">
        <v>166</v>
      </c>
      <c r="I1796" s="10"/>
      <c r="J1796" s="10">
        <v>45077</v>
      </c>
      <c r="K1796" s="5" t="s">
        <v>124</v>
      </c>
      <c r="L1796" s="5" t="s">
        <v>58</v>
      </c>
      <c r="M1796" s="11">
        <v>0.092499999999999999</v>
      </c>
      <c r="N1796" s="5" t="e">
        <f>IF(AND(M1796&gt;#REF!,Cartera!O1796="Guaraníes"),"Rendimiento significativo",IF(AND(M1796&gt;#REF!,Cartera!O1796="Dólares americanos"),"Rendimiento significativo","Rendimiento no significativo"))</f>
        <v>#REF!</v>
      </c>
      <c r="O1796" s="5" t="s">
        <v>41</v>
      </c>
      <c r="P1796" s="12">
        <v>1254452.05485</v>
      </c>
      <c r="Q1796" s="12">
        <f>IF(O1796="Guaraníes",P1796,P1796*#REF!)</f>
        <v>1254452.05485</v>
      </c>
      <c r="R1796" s="12" t="e">
        <f>IF(O1796="Guaraníes",P1796/#REF!,P1796)</f>
        <v>#REF!</v>
      </c>
      <c r="S1796" s="5" t="s">
        <v>52</v>
      </c>
      <c r="T1796" s="5">
        <v>3253</v>
      </c>
      <c r="W1796" s="5" t="s">
        <v>65</v>
      </c>
      <c r="X1796" s="5">
        <v>0</v>
      </c>
      <c r="Y1796" s="5">
        <v>0</v>
      </c>
      <c r="Z1796" s="5">
        <v>8363.0136989999992</v>
      </c>
      <c r="AA1796" s="5">
        <v>150</v>
      </c>
      <c r="AB1796" s="5">
        <v>1254452.05485</v>
      </c>
      <c r="AC1796" s="5" t="str">
        <f t="shared" si="88"/>
        <v>Bonos</v>
      </c>
      <c r="AD1796" s="5" t="s">
        <v>43</v>
      </c>
      <c r="AE1796" s="5">
        <f t="shared" si="86"/>
        <v>5</v>
      </c>
      <c r="AF1796" s="5">
        <f t="shared" si="87"/>
        <v>2023</v>
      </c>
    </row>
    <row r="1797" s="5" customFormat="1" ht="13">
      <c r="A1797" s="5" t="s">
        <v>44</v>
      </c>
      <c r="B1797" s="5" t="s">
        <v>44</v>
      </c>
      <c r="C1797" s="5" t="s">
        <v>143</v>
      </c>
      <c r="D1797" s="5" t="s">
        <v>21</v>
      </c>
      <c r="E1797" s="5" t="s">
        <v>44</v>
      </c>
      <c r="F1797" s="5" t="s">
        <v>144</v>
      </c>
      <c r="G1797" s="5" t="s">
        <v>91</v>
      </c>
      <c r="H1797" s="9" t="s">
        <v>380</v>
      </c>
      <c r="I1797" s="10"/>
      <c r="J1797" s="10">
        <v>45107</v>
      </c>
      <c r="K1797" s="5" t="s">
        <v>49</v>
      </c>
      <c r="L1797" s="5" t="s">
        <v>106</v>
      </c>
      <c r="M1797" s="11">
        <v>0.059999999999999998</v>
      </c>
      <c r="N1797" s="5" t="e">
        <f>IF(AND(M1797&gt;#REF!,Cartera!O1797="Guaraníes"),"Rendimiento significativo",IF(AND(M1797&gt;#REF!,Cartera!O1797="Dólares americanos"),"Rendimiento significativo","Rendimiento no significativo"))</f>
        <v>#REF!</v>
      </c>
      <c r="O1797" s="5" t="s">
        <v>51</v>
      </c>
      <c r="P1797" s="13">
        <v>49.315069999999999</v>
      </c>
      <c r="Q1797" s="12" t="e">
        <f>IF(O1797="Guaraníes",P1797,P1797*#REF!)</f>
        <v>#REF!</v>
      </c>
      <c r="R1797" s="12">
        <f>IF(O1797="Guaraníes",P1797/#REF!,P1797)</f>
        <v>49.315069999999999</v>
      </c>
      <c r="S1797" s="5" t="s">
        <v>52</v>
      </c>
      <c r="T1797" s="5">
        <v>3253</v>
      </c>
      <c r="W1797" s="5" t="s">
        <v>65</v>
      </c>
      <c r="X1797" s="5">
        <v>0</v>
      </c>
      <c r="Y1797" s="5">
        <v>0</v>
      </c>
      <c r="Z1797" s="5">
        <v>4.9315069999999999</v>
      </c>
      <c r="AA1797" s="5">
        <v>10</v>
      </c>
      <c r="AB1797" s="5">
        <v>49.315069999999999</v>
      </c>
      <c r="AC1797" s="5" t="str">
        <f t="shared" si="88"/>
        <v>Bonos</v>
      </c>
      <c r="AD1797" s="5" t="s">
        <v>43</v>
      </c>
      <c r="AE1797" s="5">
        <f t="shared" si="86"/>
        <v>6</v>
      </c>
      <c r="AF1797" s="5">
        <f t="shared" si="87"/>
        <v>2023</v>
      </c>
    </row>
    <row r="1798" s="5" customFormat="1" ht="13">
      <c r="A1798" s="5" t="s">
        <v>44</v>
      </c>
      <c r="B1798" s="5" t="s">
        <v>44</v>
      </c>
      <c r="C1798" s="5" t="s">
        <v>164</v>
      </c>
      <c r="D1798" s="5" t="s">
        <v>21</v>
      </c>
      <c r="E1798" s="5" t="s">
        <v>44</v>
      </c>
      <c r="F1798" s="5" t="s">
        <v>68</v>
      </c>
      <c r="G1798" s="5" t="s">
        <v>91</v>
      </c>
      <c r="H1798" s="9" t="s">
        <v>166</v>
      </c>
      <c r="I1798" s="10"/>
      <c r="J1798" s="10">
        <v>45107</v>
      </c>
      <c r="K1798" s="5" t="s">
        <v>124</v>
      </c>
      <c r="L1798" s="5" t="s">
        <v>58</v>
      </c>
      <c r="M1798" s="11">
        <v>0.092499999999999999</v>
      </c>
      <c r="N1798" s="5" t="e">
        <f>IF(AND(M1798&gt;#REF!,Cartera!O1798="Guaraníes"),"Rendimiento significativo",IF(AND(M1798&gt;#REF!,Cartera!O1798="Dólares americanos"),"Rendimiento significativo","Rendimiento no significativo"))</f>
        <v>#REF!</v>
      </c>
      <c r="O1798" s="5" t="s">
        <v>41</v>
      </c>
      <c r="P1798" s="12">
        <v>1140410.9589</v>
      </c>
      <c r="Q1798" s="12">
        <f>IF(O1798="Guaraníes",P1798,P1798*#REF!)</f>
        <v>1140410.9589</v>
      </c>
      <c r="R1798" s="12" t="e">
        <f>IF(O1798="Guaraníes",P1798/#REF!,P1798)</f>
        <v>#REF!</v>
      </c>
      <c r="S1798" s="5" t="s">
        <v>52</v>
      </c>
      <c r="T1798" s="5">
        <v>3253</v>
      </c>
      <c r="W1798" s="5" t="s">
        <v>65</v>
      </c>
      <c r="X1798" s="5">
        <v>0</v>
      </c>
      <c r="Y1798" s="5">
        <v>0</v>
      </c>
      <c r="Z1798" s="5">
        <v>7602.7397259999998</v>
      </c>
      <c r="AA1798" s="5">
        <v>150</v>
      </c>
      <c r="AB1798" s="5">
        <v>1140410.9589</v>
      </c>
      <c r="AC1798" s="5" t="str">
        <f t="shared" si="88"/>
        <v>Bonos</v>
      </c>
      <c r="AD1798" s="5" t="s">
        <v>43</v>
      </c>
      <c r="AE1798" s="5">
        <f t="shared" si="86"/>
        <v>6</v>
      </c>
      <c r="AF1798" s="5">
        <f t="shared" si="87"/>
        <v>2023</v>
      </c>
    </row>
    <row r="1799" s="5" customFormat="1" ht="13">
      <c r="A1799" s="5" t="s">
        <v>44</v>
      </c>
      <c r="B1799" s="5" t="s">
        <v>44</v>
      </c>
      <c r="C1799" s="5" t="s">
        <v>67</v>
      </c>
      <c r="D1799" s="5" t="s">
        <v>21</v>
      </c>
      <c r="E1799" s="5" t="s">
        <v>44</v>
      </c>
      <c r="F1799" s="5" t="s">
        <v>68</v>
      </c>
      <c r="G1799" s="5" t="s">
        <v>91</v>
      </c>
      <c r="H1799" s="9" t="s">
        <v>110</v>
      </c>
      <c r="I1799" s="10"/>
      <c r="J1799" s="10">
        <v>45125</v>
      </c>
      <c r="K1799" s="5" t="s">
        <v>71</v>
      </c>
      <c r="L1799" s="5" t="s">
        <v>58</v>
      </c>
      <c r="M1799" s="11">
        <v>0.089999999999999997</v>
      </c>
      <c r="N1799" s="5" t="e">
        <f>IF(AND(M1799&gt;#REF!,Cartera!O1799="Guaraníes"),"Rendimiento significativo",IF(AND(M1799&gt;#REF!,Cartera!O1799="Dólares americanos"),"Rendimiento significativo","Rendimiento no significativo"))</f>
        <v>#REF!</v>
      </c>
      <c r="O1799" s="5" t="s">
        <v>51</v>
      </c>
      <c r="P1799" s="13">
        <v>252.43150499999999</v>
      </c>
      <c r="Q1799" s="12" t="e">
        <f>IF(O1799="Guaraníes",P1799,P1799*#REF!)</f>
        <v>#REF!</v>
      </c>
      <c r="R1799" s="12">
        <f>IF(O1799="Guaraníes",P1799/#REF!,P1799)</f>
        <v>252.43150499999999</v>
      </c>
      <c r="S1799" s="5" t="s">
        <v>52</v>
      </c>
      <c r="T1799" s="5">
        <v>3253</v>
      </c>
      <c r="W1799" s="5" t="s">
        <v>65</v>
      </c>
      <c r="X1799" s="5">
        <v>0</v>
      </c>
      <c r="Y1799" s="5">
        <v>0</v>
      </c>
      <c r="Z1799" s="5">
        <v>16.828766999999999</v>
      </c>
      <c r="AA1799" s="5">
        <v>15</v>
      </c>
      <c r="AB1799" s="5">
        <v>252.43150499999999</v>
      </c>
      <c r="AC1799" s="5" t="str">
        <f t="shared" si="88"/>
        <v>Bonos</v>
      </c>
      <c r="AD1799" s="5" t="s">
        <v>43</v>
      </c>
      <c r="AE1799" s="5">
        <f t="shared" si="86"/>
        <v>7</v>
      </c>
      <c r="AF1799" s="5">
        <f t="shared" si="87"/>
        <v>2023</v>
      </c>
    </row>
    <row r="1800" s="5" customFormat="1" ht="13">
      <c r="A1800" s="5" t="s">
        <v>44</v>
      </c>
      <c r="B1800" s="5" t="s">
        <v>44</v>
      </c>
      <c r="C1800" s="5" t="s">
        <v>89</v>
      </c>
      <c r="D1800" s="5" t="s">
        <v>21</v>
      </c>
      <c r="E1800" s="5" t="s">
        <v>44</v>
      </c>
      <c r="F1800" s="5" t="s">
        <v>90</v>
      </c>
      <c r="G1800" s="5" t="s">
        <v>91</v>
      </c>
      <c r="H1800" s="9" t="s">
        <v>92</v>
      </c>
      <c r="I1800" s="10"/>
      <c r="J1800" s="10">
        <v>45127</v>
      </c>
      <c r="K1800" s="5" t="s">
        <v>93</v>
      </c>
      <c r="L1800" s="5" t="s">
        <v>58</v>
      </c>
      <c r="M1800" s="11">
        <v>0.080000000000000002</v>
      </c>
      <c r="N1800" s="5" t="e">
        <f>IF(AND(M1800&gt;#REF!,Cartera!O1800="Guaraníes"),"Rendimiento significativo",IF(AND(M1800&gt;#REF!,Cartera!O1800="Dólares americanos"),"Rendimiento significativo","Rendimiento no significativo"))</f>
        <v>#REF!</v>
      </c>
      <c r="O1800" s="5" t="s">
        <v>51</v>
      </c>
      <c r="P1800" s="13">
        <v>299.17807500000004</v>
      </c>
      <c r="Q1800" s="12" t="e">
        <f>IF(O1800="Guaraníes",P1800,P1800*#REF!)</f>
        <v>#REF!</v>
      </c>
      <c r="R1800" s="12">
        <f>IF(O1800="Guaraníes",P1800/#REF!,P1800)</f>
        <v>299.17807500000004</v>
      </c>
      <c r="S1800" s="5" t="s">
        <v>52</v>
      </c>
      <c r="T1800" s="5">
        <v>3253</v>
      </c>
      <c r="W1800" s="5" t="s">
        <v>65</v>
      </c>
      <c r="X1800" s="5">
        <v>0</v>
      </c>
      <c r="Y1800" s="5">
        <v>0</v>
      </c>
      <c r="Z1800" s="5">
        <v>19.945205000000001</v>
      </c>
      <c r="AA1800" s="5">
        <v>15</v>
      </c>
      <c r="AB1800" s="5">
        <v>299.17807499999998</v>
      </c>
      <c r="AC1800" s="5" t="str">
        <f t="shared" si="88"/>
        <v>Bonos</v>
      </c>
      <c r="AD1800" s="5" t="s">
        <v>43</v>
      </c>
      <c r="AE1800" s="5">
        <f t="shared" si="86"/>
        <v>7</v>
      </c>
      <c r="AF1800" s="5">
        <f t="shared" si="87"/>
        <v>2023</v>
      </c>
    </row>
    <row r="1801" s="5" customFormat="1" ht="13">
      <c r="A1801" s="5" t="s">
        <v>44</v>
      </c>
      <c r="B1801" s="5" t="s">
        <v>44</v>
      </c>
      <c r="C1801" s="5" t="s">
        <v>143</v>
      </c>
      <c r="D1801" s="5" t="s">
        <v>21</v>
      </c>
      <c r="E1801" s="5" t="s">
        <v>44</v>
      </c>
      <c r="F1801" s="5" t="s">
        <v>144</v>
      </c>
      <c r="G1801" s="5" t="s">
        <v>91</v>
      </c>
      <c r="H1801" s="9" t="s">
        <v>380</v>
      </c>
      <c r="I1801" s="10"/>
      <c r="J1801" s="10">
        <v>45138</v>
      </c>
      <c r="K1801" s="5" t="s">
        <v>49</v>
      </c>
      <c r="L1801" s="5" t="s">
        <v>106</v>
      </c>
      <c r="M1801" s="11">
        <v>0.059999999999999998</v>
      </c>
      <c r="N1801" s="5" t="e">
        <f>IF(AND(M1801&gt;#REF!,Cartera!O1801="Guaraníes"),"Rendimiento significativo",IF(AND(M1801&gt;#REF!,Cartera!O1801="Dólares americanos"),"Rendimiento significativo","Rendimiento no significativo"))</f>
        <v>#REF!</v>
      </c>
      <c r="O1801" s="5" t="s">
        <v>51</v>
      </c>
      <c r="P1801" s="13">
        <v>50.9589</v>
      </c>
      <c r="Q1801" s="12" t="e">
        <f>IF(O1801="Guaraníes",P1801,P1801*#REF!)</f>
        <v>#REF!</v>
      </c>
      <c r="R1801" s="12">
        <f>IF(O1801="Guaraníes",P1801/#REF!,P1801)</f>
        <v>50.9589</v>
      </c>
      <c r="S1801" s="5" t="s">
        <v>52</v>
      </c>
      <c r="T1801" s="5">
        <v>3253</v>
      </c>
      <c r="W1801" s="5" t="s">
        <v>65</v>
      </c>
      <c r="X1801" s="5">
        <v>0</v>
      </c>
      <c r="Y1801" s="5">
        <v>0</v>
      </c>
      <c r="Z1801" s="5">
        <v>5.0958899999999998</v>
      </c>
      <c r="AA1801" s="5">
        <v>10</v>
      </c>
      <c r="AB1801" s="5">
        <v>50.9589</v>
      </c>
      <c r="AC1801" s="5" t="str">
        <f t="shared" si="88"/>
        <v>Bonos</v>
      </c>
      <c r="AD1801" s="5" t="s">
        <v>43</v>
      </c>
      <c r="AE1801" s="5">
        <f t="shared" si="86"/>
        <v>7</v>
      </c>
      <c r="AF1801" s="5">
        <f t="shared" si="87"/>
        <v>2023</v>
      </c>
    </row>
    <row r="1802" s="5" customFormat="1" ht="13">
      <c r="A1802" s="5" t="s">
        <v>44</v>
      </c>
      <c r="B1802" s="5" t="s">
        <v>44</v>
      </c>
      <c r="C1802" s="5" t="s">
        <v>164</v>
      </c>
      <c r="D1802" s="5" t="s">
        <v>21</v>
      </c>
      <c r="E1802" s="5" t="s">
        <v>44</v>
      </c>
      <c r="F1802" s="5" t="s">
        <v>68</v>
      </c>
      <c r="G1802" s="5" t="s">
        <v>91</v>
      </c>
      <c r="H1802" s="9" t="s">
        <v>166</v>
      </c>
      <c r="I1802" s="10"/>
      <c r="J1802" s="10">
        <v>45138</v>
      </c>
      <c r="K1802" s="5" t="s">
        <v>124</v>
      </c>
      <c r="L1802" s="5" t="s">
        <v>58</v>
      </c>
      <c r="M1802" s="11">
        <v>0.092499999999999999</v>
      </c>
      <c r="N1802" s="5" t="e">
        <f>IF(AND(M1802&gt;#REF!,Cartera!O1802="Guaraníes"),"Rendimiento significativo",IF(AND(M1802&gt;#REF!,Cartera!O1802="Dólares americanos"),"Rendimiento significativo","Rendimiento no significativo"))</f>
        <v>#REF!</v>
      </c>
      <c r="O1802" s="5" t="s">
        <v>41</v>
      </c>
      <c r="P1802" s="12">
        <v>1178424.6576</v>
      </c>
      <c r="Q1802" s="12">
        <f>IF(O1802="Guaraníes",P1802,P1802*#REF!)</f>
        <v>1178424.6576</v>
      </c>
      <c r="R1802" s="12" t="e">
        <f>IF(O1802="Guaraníes",P1802/#REF!,P1802)</f>
        <v>#REF!</v>
      </c>
      <c r="S1802" s="5" t="s">
        <v>52</v>
      </c>
      <c r="T1802" s="5">
        <v>3253</v>
      </c>
      <c r="W1802" s="5" t="s">
        <v>65</v>
      </c>
      <c r="X1802" s="5">
        <v>0</v>
      </c>
      <c r="Y1802" s="5">
        <v>0</v>
      </c>
      <c r="Z1802" s="5">
        <v>7856.1643839999997</v>
      </c>
      <c r="AA1802" s="5">
        <v>150</v>
      </c>
      <c r="AB1802" s="5">
        <v>1178424.6576</v>
      </c>
      <c r="AC1802" s="5" t="str">
        <f t="shared" si="88"/>
        <v>Bonos</v>
      </c>
      <c r="AD1802" s="5" t="s">
        <v>43</v>
      </c>
      <c r="AE1802" s="5">
        <f t="shared" si="86"/>
        <v>7</v>
      </c>
      <c r="AF1802" s="5">
        <f t="shared" si="87"/>
        <v>2023</v>
      </c>
    </row>
    <row r="1803" s="5" customFormat="1" ht="13">
      <c r="A1803" s="5" t="s">
        <v>44</v>
      </c>
      <c r="B1803" s="5" t="s">
        <v>44</v>
      </c>
      <c r="C1803" s="5" t="s">
        <v>176</v>
      </c>
      <c r="D1803" s="5" t="s">
        <v>21</v>
      </c>
      <c r="E1803" s="5" t="s">
        <v>44</v>
      </c>
      <c r="F1803" s="5" t="s">
        <v>68</v>
      </c>
      <c r="G1803" s="5" t="s">
        <v>91</v>
      </c>
      <c r="H1803" s="9" t="s">
        <v>177</v>
      </c>
      <c r="I1803" s="10"/>
      <c r="J1803" s="10">
        <v>45161</v>
      </c>
      <c r="K1803" s="5" t="s">
        <v>178</v>
      </c>
      <c r="L1803" s="5" t="s">
        <v>58</v>
      </c>
      <c r="M1803" s="11">
        <v>0.085000000000000006</v>
      </c>
      <c r="N1803" s="5" t="e">
        <f>IF(AND(M1803&gt;#REF!,Cartera!O1803="Guaraníes"),"Rendimiento significativo",IF(AND(M1803&gt;#REF!,Cartera!O1803="Dólares americanos"),"Rendimiento significativo","Rendimiento no significativo"))</f>
        <v>#REF!</v>
      </c>
      <c r="O1803" s="5" t="s">
        <v>51</v>
      </c>
      <c r="P1803" s="13">
        <v>560.95890000000009</v>
      </c>
      <c r="Q1803" s="12" t="e">
        <f>IF(O1803="Guaraníes",P1803,P1803*#REF!)</f>
        <v>#REF!</v>
      </c>
      <c r="R1803" s="12">
        <f>IF(O1803="Guaraníes",P1803/#REF!,P1803)</f>
        <v>560.95890000000009</v>
      </c>
      <c r="S1803" s="5" t="s">
        <v>52</v>
      </c>
      <c r="T1803" s="5">
        <v>3253</v>
      </c>
      <c r="W1803" s="5" t="s">
        <v>65</v>
      </c>
      <c r="X1803" s="5">
        <v>0</v>
      </c>
      <c r="Y1803" s="5">
        <v>0</v>
      </c>
      <c r="Z1803" s="5">
        <v>18.698630000000001</v>
      </c>
      <c r="AA1803" s="5">
        <v>30</v>
      </c>
      <c r="AB1803" s="5">
        <v>560.95889999999997</v>
      </c>
      <c r="AC1803" s="5" t="str">
        <f t="shared" si="88"/>
        <v>Bonos</v>
      </c>
      <c r="AD1803" s="5" t="s">
        <v>43</v>
      </c>
      <c r="AE1803" s="5">
        <f t="shared" si="86"/>
        <v>8</v>
      </c>
      <c r="AF1803" s="5">
        <f t="shared" si="87"/>
        <v>2023</v>
      </c>
    </row>
    <row r="1804" s="5" customFormat="1" ht="13">
      <c r="A1804" s="5" t="s">
        <v>44</v>
      </c>
      <c r="B1804" s="5" t="s">
        <v>44</v>
      </c>
      <c r="C1804" s="5" t="s">
        <v>143</v>
      </c>
      <c r="D1804" s="5" t="s">
        <v>21</v>
      </c>
      <c r="E1804" s="5" t="s">
        <v>44</v>
      </c>
      <c r="F1804" s="5" t="s">
        <v>144</v>
      </c>
      <c r="G1804" s="5" t="s">
        <v>91</v>
      </c>
      <c r="H1804" s="9" t="s">
        <v>380</v>
      </c>
      <c r="I1804" s="10"/>
      <c r="J1804" s="10">
        <v>45169</v>
      </c>
      <c r="K1804" s="5" t="s">
        <v>49</v>
      </c>
      <c r="L1804" s="5" t="s">
        <v>106</v>
      </c>
      <c r="M1804" s="11">
        <v>0.059999999999999998</v>
      </c>
      <c r="N1804" s="5" t="e">
        <f>IF(AND(M1804&gt;#REF!,Cartera!O1804="Guaraníes"),"Rendimiento significativo",IF(AND(M1804&gt;#REF!,Cartera!O1804="Dólares americanos"),"Rendimiento significativo","Rendimiento no significativo"))</f>
        <v>#REF!</v>
      </c>
      <c r="O1804" s="5" t="s">
        <v>51</v>
      </c>
      <c r="P1804" s="13">
        <v>50.9589</v>
      </c>
      <c r="Q1804" s="12" t="e">
        <f>IF(O1804="Guaraníes",P1804,P1804*#REF!)</f>
        <v>#REF!</v>
      </c>
      <c r="R1804" s="12">
        <f>IF(O1804="Guaraníes",P1804/#REF!,P1804)</f>
        <v>50.9589</v>
      </c>
      <c r="S1804" s="5" t="s">
        <v>52</v>
      </c>
      <c r="T1804" s="5">
        <v>3253</v>
      </c>
      <c r="W1804" s="5" t="s">
        <v>65</v>
      </c>
      <c r="X1804" s="5">
        <v>0</v>
      </c>
      <c r="Y1804" s="5">
        <v>0</v>
      </c>
      <c r="Z1804" s="5">
        <v>5.0958899999999998</v>
      </c>
      <c r="AA1804" s="5">
        <v>10</v>
      </c>
      <c r="AB1804" s="5">
        <v>50.9589</v>
      </c>
      <c r="AC1804" s="5" t="str">
        <f t="shared" si="88"/>
        <v>Bonos</v>
      </c>
      <c r="AD1804" s="5" t="s">
        <v>43</v>
      </c>
      <c r="AE1804" s="5">
        <f t="shared" si="86"/>
        <v>8</v>
      </c>
      <c r="AF1804" s="5">
        <f t="shared" si="87"/>
        <v>2023</v>
      </c>
    </row>
    <row r="1805" s="5" customFormat="1" ht="13">
      <c r="A1805" s="5" t="s">
        <v>44</v>
      </c>
      <c r="B1805" s="5" t="s">
        <v>44</v>
      </c>
      <c r="C1805" s="5" t="s">
        <v>164</v>
      </c>
      <c r="D1805" s="5" t="s">
        <v>21</v>
      </c>
      <c r="E1805" s="5" t="s">
        <v>44</v>
      </c>
      <c r="F1805" s="5" t="s">
        <v>68</v>
      </c>
      <c r="G1805" s="5" t="s">
        <v>91</v>
      </c>
      <c r="H1805" s="9" t="s">
        <v>166</v>
      </c>
      <c r="I1805" s="10"/>
      <c r="J1805" s="10">
        <v>45169</v>
      </c>
      <c r="K1805" s="5" t="s">
        <v>124</v>
      </c>
      <c r="L1805" s="5" t="s">
        <v>58</v>
      </c>
      <c r="M1805" s="11">
        <v>0.092499999999999999</v>
      </c>
      <c r="N1805" s="5" t="e">
        <f>IF(AND(M1805&gt;#REF!,Cartera!O1805="Guaraníes"),"Rendimiento significativo",IF(AND(M1805&gt;#REF!,Cartera!O1805="Dólares americanos"),"Rendimiento significativo","Rendimiento no significativo"))</f>
        <v>#REF!</v>
      </c>
      <c r="O1805" s="5" t="s">
        <v>41</v>
      </c>
      <c r="P1805" s="12">
        <v>1178424.6576</v>
      </c>
      <c r="Q1805" s="12">
        <f>IF(O1805="Guaraníes",P1805,P1805*#REF!)</f>
        <v>1178424.6576</v>
      </c>
      <c r="R1805" s="12" t="e">
        <f>IF(O1805="Guaraníes",P1805/#REF!,P1805)</f>
        <v>#REF!</v>
      </c>
      <c r="S1805" s="5" t="s">
        <v>52</v>
      </c>
      <c r="T1805" s="5">
        <v>3253</v>
      </c>
      <c r="W1805" s="5" t="s">
        <v>65</v>
      </c>
      <c r="X1805" s="5">
        <v>0</v>
      </c>
      <c r="Y1805" s="5">
        <v>0</v>
      </c>
      <c r="Z1805" s="5">
        <v>7856.1643839999997</v>
      </c>
      <c r="AA1805" s="5">
        <v>150</v>
      </c>
      <c r="AB1805" s="5">
        <v>1178424.6576</v>
      </c>
      <c r="AC1805" s="5" t="str">
        <f t="shared" si="88"/>
        <v>Bonos</v>
      </c>
      <c r="AD1805" s="5" t="s">
        <v>43</v>
      </c>
      <c r="AE1805" s="5">
        <f t="shared" si="86"/>
        <v>8</v>
      </c>
      <c r="AF1805" s="5">
        <f t="shared" si="87"/>
        <v>2023</v>
      </c>
    </row>
    <row r="1806" s="5" customFormat="1" ht="13">
      <c r="A1806" s="5" t="s">
        <v>44</v>
      </c>
      <c r="B1806" s="5" t="s">
        <v>44</v>
      </c>
      <c r="C1806" s="5" t="s">
        <v>164</v>
      </c>
      <c r="D1806" s="5" t="s">
        <v>21</v>
      </c>
      <c r="E1806" s="5" t="s">
        <v>44</v>
      </c>
      <c r="F1806" s="5" t="s">
        <v>68</v>
      </c>
      <c r="G1806" s="5" t="s">
        <v>91</v>
      </c>
      <c r="H1806" s="9" t="s">
        <v>166</v>
      </c>
      <c r="I1806" s="10"/>
      <c r="J1806" s="10">
        <v>45197</v>
      </c>
      <c r="K1806" s="5" t="s">
        <v>124</v>
      </c>
      <c r="L1806" s="5" t="s">
        <v>58</v>
      </c>
      <c r="M1806" s="11">
        <v>0.092499999999999999</v>
      </c>
      <c r="N1806" s="5" t="e">
        <f>IF(AND(M1806&gt;#REF!,Cartera!O1806="Guaraníes"),"Rendimiento significativo",IF(AND(M1806&gt;#REF!,Cartera!O1806="Dólares americanos"),"Rendimiento significativo","Rendimiento no significativo"))</f>
        <v>#REF!</v>
      </c>
      <c r="O1806" s="5" t="s">
        <v>41</v>
      </c>
      <c r="P1806" s="12">
        <v>1064383.56165</v>
      </c>
      <c r="Q1806" s="12">
        <f>IF(O1806="Guaraníes",P1806,P1806*#REF!)</f>
        <v>1064383.56165</v>
      </c>
      <c r="R1806" s="12" t="e">
        <f>IF(O1806="Guaraníes",P1806/#REF!,P1806)</f>
        <v>#REF!</v>
      </c>
      <c r="S1806" s="5" t="s">
        <v>52</v>
      </c>
      <c r="T1806" s="5">
        <v>3253</v>
      </c>
      <c r="W1806" s="5" t="s">
        <v>65</v>
      </c>
      <c r="X1806" s="5">
        <v>0</v>
      </c>
      <c r="Y1806" s="5">
        <v>0</v>
      </c>
      <c r="Z1806" s="5">
        <v>7095.8904110000003</v>
      </c>
      <c r="AA1806" s="5">
        <v>150</v>
      </c>
      <c r="AB1806" s="5">
        <v>1064383.56165</v>
      </c>
      <c r="AC1806" s="5" t="str">
        <f t="shared" si="88"/>
        <v>Bonos</v>
      </c>
      <c r="AD1806" s="5" t="s">
        <v>43</v>
      </c>
      <c r="AE1806" s="5">
        <f t="shared" si="86"/>
        <v>9</v>
      </c>
      <c r="AF1806" s="5">
        <f t="shared" si="87"/>
        <v>2023</v>
      </c>
    </row>
    <row r="1807" s="5" customFormat="1" ht="13">
      <c r="A1807" s="5" t="s">
        <v>44</v>
      </c>
      <c r="B1807" s="5" t="s">
        <v>44</v>
      </c>
      <c r="C1807" s="5" t="s">
        <v>143</v>
      </c>
      <c r="D1807" s="5" t="s">
        <v>21</v>
      </c>
      <c r="E1807" s="5" t="s">
        <v>44</v>
      </c>
      <c r="F1807" s="5" t="s">
        <v>144</v>
      </c>
      <c r="G1807" s="5" t="s">
        <v>91</v>
      </c>
      <c r="H1807" s="9" t="s">
        <v>380</v>
      </c>
      <c r="I1807" s="10"/>
      <c r="J1807" s="10">
        <v>45198</v>
      </c>
      <c r="K1807" s="5" t="s">
        <v>49</v>
      </c>
      <c r="L1807" s="5" t="s">
        <v>106</v>
      </c>
      <c r="M1807" s="11">
        <v>0.059999999999999998</v>
      </c>
      <c r="N1807" s="5" t="e">
        <f>IF(AND(M1807&gt;#REF!,Cartera!O1807="Guaraníes"),"Rendimiento significativo",IF(AND(M1807&gt;#REF!,Cartera!O1807="Dólares americanos"),"Rendimiento significativo","Rendimiento no significativo"))</f>
        <v>#REF!</v>
      </c>
      <c r="O1807" s="5" t="s">
        <v>51</v>
      </c>
      <c r="P1807" s="13">
        <v>47.671229999999994</v>
      </c>
      <c r="Q1807" s="12" t="e">
        <f>IF(O1807="Guaraníes",P1807,P1807*#REF!)</f>
        <v>#REF!</v>
      </c>
      <c r="R1807" s="12">
        <f>IF(O1807="Guaraníes",P1807/#REF!,P1807)</f>
        <v>47.671229999999994</v>
      </c>
      <c r="S1807" s="5" t="s">
        <v>52</v>
      </c>
      <c r="T1807" s="5">
        <v>3253</v>
      </c>
      <c r="W1807" s="5" t="s">
        <v>65</v>
      </c>
      <c r="X1807" s="5">
        <v>0</v>
      </c>
      <c r="Y1807" s="5">
        <v>0</v>
      </c>
      <c r="Z1807" s="5">
        <v>4.7671229999999998</v>
      </c>
      <c r="AA1807" s="5">
        <v>10</v>
      </c>
      <c r="AB1807" s="5">
        <v>47.671230000000001</v>
      </c>
      <c r="AC1807" s="5" t="str">
        <f t="shared" si="88"/>
        <v>Bonos</v>
      </c>
      <c r="AD1807" s="5" t="s">
        <v>43</v>
      </c>
      <c r="AE1807" s="5">
        <f t="shared" si="86"/>
        <v>9</v>
      </c>
      <c r="AF1807" s="5">
        <f t="shared" si="87"/>
        <v>2023</v>
      </c>
    </row>
    <row r="1808" s="5" customFormat="1" ht="13">
      <c r="A1808" s="5" t="s">
        <v>44</v>
      </c>
      <c r="B1808" s="5" t="s">
        <v>44</v>
      </c>
      <c r="C1808" s="5" t="s">
        <v>67</v>
      </c>
      <c r="D1808" s="5" t="s">
        <v>21</v>
      </c>
      <c r="E1808" s="5" t="s">
        <v>44</v>
      </c>
      <c r="F1808" s="5" t="s">
        <v>68</v>
      </c>
      <c r="G1808" s="5" t="s">
        <v>91</v>
      </c>
      <c r="H1808" s="9" t="s">
        <v>110</v>
      </c>
      <c r="I1808" s="10"/>
      <c r="J1808" s="10">
        <v>45216</v>
      </c>
      <c r="K1808" s="5" t="s">
        <v>71</v>
      </c>
      <c r="L1808" s="5" t="s">
        <v>58</v>
      </c>
      <c r="M1808" s="11">
        <v>0.089999999999999997</v>
      </c>
      <c r="N1808" s="5" t="e">
        <f>IF(AND(M1808&gt;#REF!,Cartera!O1808="Guaraníes"),"Rendimiento significativo",IF(AND(M1808&gt;#REF!,Cartera!O1808="Dólares americanos"),"Rendimiento significativo","Rendimiento no significativo"))</f>
        <v>#REF!</v>
      </c>
      <c r="O1808" s="5" t="s">
        <v>51</v>
      </c>
      <c r="P1808" s="13">
        <v>252.43150499999999</v>
      </c>
      <c r="Q1808" s="12" t="e">
        <f>IF(O1808="Guaraníes",P1808,P1808*#REF!)</f>
        <v>#REF!</v>
      </c>
      <c r="R1808" s="12">
        <f>IF(O1808="Guaraníes",P1808/#REF!,P1808)</f>
        <v>252.43150499999999</v>
      </c>
      <c r="S1808" s="5" t="s">
        <v>52</v>
      </c>
      <c r="T1808" s="5">
        <v>3253</v>
      </c>
      <c r="W1808" s="5" t="s">
        <v>65</v>
      </c>
      <c r="X1808" s="5">
        <v>0</v>
      </c>
      <c r="Y1808" s="5">
        <v>0</v>
      </c>
      <c r="Z1808" s="5">
        <v>16.828766999999999</v>
      </c>
      <c r="AA1808" s="5">
        <v>15</v>
      </c>
      <c r="AB1808" s="5">
        <v>252.43150499999999</v>
      </c>
      <c r="AC1808" s="5" t="str">
        <f t="shared" si="88"/>
        <v>Bonos</v>
      </c>
      <c r="AD1808" s="5" t="s">
        <v>43</v>
      </c>
      <c r="AE1808" s="5">
        <f t="shared" si="86"/>
        <v>10</v>
      </c>
      <c r="AF1808" s="5">
        <f t="shared" si="87"/>
        <v>2023</v>
      </c>
    </row>
    <row r="1809" s="5" customFormat="1" ht="13">
      <c r="A1809" s="5" t="s">
        <v>44</v>
      </c>
      <c r="B1809" s="5" t="s">
        <v>44</v>
      </c>
      <c r="C1809" s="5" t="s">
        <v>89</v>
      </c>
      <c r="D1809" s="5" t="s">
        <v>21</v>
      </c>
      <c r="E1809" s="5" t="s">
        <v>44</v>
      </c>
      <c r="F1809" s="5" t="s">
        <v>90</v>
      </c>
      <c r="G1809" s="5" t="s">
        <v>91</v>
      </c>
      <c r="H1809" s="9" t="s">
        <v>92</v>
      </c>
      <c r="I1809" s="10"/>
      <c r="J1809" s="10">
        <v>45218</v>
      </c>
      <c r="K1809" s="5" t="s">
        <v>93</v>
      </c>
      <c r="L1809" s="5" t="s">
        <v>58</v>
      </c>
      <c r="M1809" s="11">
        <v>0.080000000000000002</v>
      </c>
      <c r="N1809" s="5" t="e">
        <f>IF(AND(M1809&gt;#REF!,Cartera!O1809="Guaraníes"),"Rendimiento significativo",IF(AND(M1809&gt;#REF!,Cartera!O1809="Dólares americanos"),"Rendimiento significativo","Rendimiento no significativo"))</f>
        <v>#REF!</v>
      </c>
      <c r="O1809" s="5" t="s">
        <v>51</v>
      </c>
      <c r="P1809" s="13">
        <v>299.17807500000004</v>
      </c>
      <c r="Q1809" s="12" t="e">
        <f>IF(O1809="Guaraníes",P1809,P1809*#REF!)</f>
        <v>#REF!</v>
      </c>
      <c r="R1809" s="12">
        <f>IF(O1809="Guaraníes",P1809/#REF!,P1809)</f>
        <v>299.17807500000004</v>
      </c>
      <c r="S1809" s="5" t="s">
        <v>52</v>
      </c>
      <c r="T1809" s="5">
        <v>3253</v>
      </c>
      <c r="W1809" s="5" t="s">
        <v>65</v>
      </c>
      <c r="X1809" s="5">
        <v>0</v>
      </c>
      <c r="Y1809" s="5">
        <v>0</v>
      </c>
      <c r="Z1809" s="5">
        <v>19.945205000000001</v>
      </c>
      <c r="AA1809" s="5">
        <v>15</v>
      </c>
      <c r="AB1809" s="5">
        <v>299.17807499999998</v>
      </c>
      <c r="AC1809" s="5" t="str">
        <f t="shared" si="88"/>
        <v>Bonos</v>
      </c>
      <c r="AD1809" s="5" t="s">
        <v>43</v>
      </c>
      <c r="AE1809" s="5">
        <f t="shared" si="86"/>
        <v>10</v>
      </c>
      <c r="AF1809" s="5">
        <f t="shared" si="87"/>
        <v>2023</v>
      </c>
    </row>
    <row r="1810" s="5" customFormat="1" ht="13">
      <c r="A1810" s="5" t="s">
        <v>44</v>
      </c>
      <c r="B1810" s="5" t="s">
        <v>44</v>
      </c>
      <c r="C1810" s="5" t="s">
        <v>122</v>
      </c>
      <c r="D1810" s="5" t="s">
        <v>21</v>
      </c>
      <c r="E1810" s="5" t="s">
        <v>44</v>
      </c>
      <c r="F1810" s="5" t="s">
        <v>61</v>
      </c>
      <c r="G1810" s="5" t="s">
        <v>91</v>
      </c>
      <c r="H1810" s="9" t="s">
        <v>132</v>
      </c>
      <c r="I1810" s="10"/>
      <c r="J1810" s="10">
        <v>45224</v>
      </c>
      <c r="K1810" s="5" t="s">
        <v>124</v>
      </c>
      <c r="L1810" s="5" t="s">
        <v>50</v>
      </c>
      <c r="M1810" s="11">
        <v>0.059999999999999998</v>
      </c>
      <c r="N1810" s="5" t="e">
        <f>IF(AND(M1810&gt;#REF!,Cartera!O1810="Guaraníes"),"Rendimiento significativo",IF(AND(M1810&gt;#REF!,Cartera!O1810="Dólares americanos"),"Rendimiento significativo","Rendimiento no significativo"))</f>
        <v>#REF!</v>
      </c>
      <c r="O1810" s="5" t="s">
        <v>51</v>
      </c>
      <c r="P1810" s="13">
        <v>299.17808000000002</v>
      </c>
      <c r="Q1810" s="12" t="e">
        <f>IF(O1810="Guaraníes",P1810,P1810*#REF!)</f>
        <v>#REF!</v>
      </c>
      <c r="R1810" s="12">
        <f>IF(O1810="Guaraníes",P1810/#REF!,P1810)</f>
        <v>299.17808000000002</v>
      </c>
      <c r="S1810" s="5" t="s">
        <v>52</v>
      </c>
      <c r="T1810" s="5">
        <v>3253</v>
      </c>
      <c r="W1810" s="5" t="s">
        <v>65</v>
      </c>
      <c r="X1810" s="5">
        <v>0</v>
      </c>
      <c r="Y1810" s="5">
        <v>0</v>
      </c>
      <c r="Z1810" s="5">
        <v>29.917808000000001</v>
      </c>
      <c r="AA1810" s="5">
        <v>10</v>
      </c>
      <c r="AB1810" s="5">
        <v>299.17808000000002</v>
      </c>
      <c r="AC1810" s="5" t="str">
        <f t="shared" si="88"/>
        <v>Bonos</v>
      </c>
      <c r="AD1810" s="5" t="s">
        <v>43</v>
      </c>
      <c r="AE1810" s="5">
        <f t="shared" ref="AE1810:AE1873" si="89">IFERROR((MONTH(J1810)),0)</f>
        <v>10</v>
      </c>
      <c r="AF1810" s="5">
        <f t="shared" ref="AF1810:AF1873" si="90">IFERROR((YEAR(J1810)),0)</f>
        <v>2023</v>
      </c>
    </row>
    <row r="1811" s="5" customFormat="1" ht="13">
      <c r="A1811" s="5" t="s">
        <v>44</v>
      </c>
      <c r="B1811" s="5" t="s">
        <v>44</v>
      </c>
      <c r="C1811" s="5" t="s">
        <v>143</v>
      </c>
      <c r="D1811" s="5" t="s">
        <v>21</v>
      </c>
      <c r="E1811" s="5" t="s">
        <v>44</v>
      </c>
      <c r="F1811" s="5" t="s">
        <v>144</v>
      </c>
      <c r="G1811" s="5" t="s">
        <v>91</v>
      </c>
      <c r="H1811" s="9" t="s">
        <v>380</v>
      </c>
      <c r="I1811" s="10"/>
      <c r="J1811" s="10">
        <v>45230</v>
      </c>
      <c r="K1811" s="5" t="s">
        <v>49</v>
      </c>
      <c r="L1811" s="5" t="s">
        <v>106</v>
      </c>
      <c r="M1811" s="11">
        <v>0.059999999999999998</v>
      </c>
      <c r="N1811" s="5" t="e">
        <f>IF(AND(M1811&gt;#REF!,Cartera!O1811="Guaraníes"),"Rendimiento significativo",IF(AND(M1811&gt;#REF!,Cartera!O1811="Dólares americanos"),"Rendimiento significativo","Rendimiento no significativo"))</f>
        <v>#REF!</v>
      </c>
      <c r="O1811" s="5" t="s">
        <v>51</v>
      </c>
      <c r="P1811" s="13">
        <v>52.602739999999997</v>
      </c>
      <c r="Q1811" s="12" t="e">
        <f>IF(O1811="Guaraníes",P1811,P1811*#REF!)</f>
        <v>#REF!</v>
      </c>
      <c r="R1811" s="12">
        <f>IF(O1811="Guaraníes",P1811/#REF!,P1811)</f>
        <v>52.602739999999997</v>
      </c>
      <c r="S1811" s="5" t="s">
        <v>52</v>
      </c>
      <c r="T1811" s="5">
        <v>3253</v>
      </c>
      <c r="W1811" s="5" t="s">
        <v>65</v>
      </c>
      <c r="X1811" s="5">
        <v>0</v>
      </c>
      <c r="Y1811" s="5">
        <v>0</v>
      </c>
      <c r="Z1811" s="5">
        <v>5.2602739999999999</v>
      </c>
      <c r="AA1811" s="5">
        <v>10</v>
      </c>
      <c r="AB1811" s="5">
        <v>52.602739999999997</v>
      </c>
      <c r="AC1811" s="5" t="str">
        <f t="shared" si="88"/>
        <v>Bonos</v>
      </c>
      <c r="AD1811" s="5" t="s">
        <v>43</v>
      </c>
      <c r="AE1811" s="5">
        <f t="shared" si="89"/>
        <v>10</v>
      </c>
      <c r="AF1811" s="5">
        <f t="shared" si="90"/>
        <v>2023</v>
      </c>
    </row>
    <row r="1812" s="5" customFormat="1" ht="13">
      <c r="A1812" s="5" t="s">
        <v>44</v>
      </c>
      <c r="B1812" s="5" t="s">
        <v>44</v>
      </c>
      <c r="C1812" s="5" t="s">
        <v>164</v>
      </c>
      <c r="D1812" s="5" t="s">
        <v>21</v>
      </c>
      <c r="E1812" s="5" t="s">
        <v>44</v>
      </c>
      <c r="F1812" s="5" t="s">
        <v>68</v>
      </c>
      <c r="G1812" s="5" t="s">
        <v>91</v>
      </c>
      <c r="H1812" s="9" t="s">
        <v>166</v>
      </c>
      <c r="I1812" s="10"/>
      <c r="J1812" s="10">
        <v>45230</v>
      </c>
      <c r="K1812" s="5" t="s">
        <v>124</v>
      </c>
      <c r="L1812" s="5" t="s">
        <v>58</v>
      </c>
      <c r="M1812" s="11">
        <v>0.092499999999999999</v>
      </c>
      <c r="N1812" s="5" t="e">
        <f>IF(AND(M1812&gt;#REF!,Cartera!O1812="Guaraníes"),"Rendimiento significativo",IF(AND(M1812&gt;#REF!,Cartera!O1812="Dólares americanos"),"Rendimiento significativo","Rendimiento no significativo"))</f>
        <v>#REF!</v>
      </c>
      <c r="O1812" s="5" t="s">
        <v>41</v>
      </c>
      <c r="P1812" s="24">
        <v>1254452.05485</v>
      </c>
      <c r="Q1812" s="12">
        <f>IF(O1812="Guaraníes",P1812,P1812*#REF!)</f>
        <v>1254452.05485</v>
      </c>
      <c r="R1812" s="12" t="e">
        <f>IF(O1812="Guaraníes",P1812/#REF!,P1812)</f>
        <v>#REF!</v>
      </c>
      <c r="S1812" s="5" t="s">
        <v>52</v>
      </c>
      <c r="T1812" s="5">
        <v>3253</v>
      </c>
      <c r="W1812" s="5" t="s">
        <v>65</v>
      </c>
      <c r="X1812" s="5">
        <v>0</v>
      </c>
      <c r="Y1812" s="5">
        <v>0</v>
      </c>
      <c r="Z1812" s="5">
        <v>8363.0136989999992</v>
      </c>
      <c r="AA1812" s="5">
        <v>150</v>
      </c>
      <c r="AB1812" s="5">
        <v>1254452.05485</v>
      </c>
      <c r="AC1812" s="5" t="str">
        <f t="shared" si="88"/>
        <v>Bonos</v>
      </c>
      <c r="AD1812" s="5" t="s">
        <v>43</v>
      </c>
      <c r="AE1812" s="5">
        <f t="shared" si="89"/>
        <v>10</v>
      </c>
      <c r="AF1812" s="5">
        <f t="shared" si="90"/>
        <v>2023</v>
      </c>
    </row>
    <row r="1813" s="5" customFormat="1" ht="13">
      <c r="A1813" s="5" t="s">
        <v>44</v>
      </c>
      <c r="B1813" s="5" t="s">
        <v>44</v>
      </c>
      <c r="C1813" s="5" t="s">
        <v>176</v>
      </c>
      <c r="D1813" s="5" t="s">
        <v>21</v>
      </c>
      <c r="E1813" s="5" t="s">
        <v>44</v>
      </c>
      <c r="F1813" s="5" t="s">
        <v>68</v>
      </c>
      <c r="G1813" s="5" t="s">
        <v>91</v>
      </c>
      <c r="H1813" s="9" t="s">
        <v>177</v>
      </c>
      <c r="I1813" s="10"/>
      <c r="J1813" s="10">
        <v>45252</v>
      </c>
      <c r="K1813" s="5" t="s">
        <v>178</v>
      </c>
      <c r="L1813" s="5" t="s">
        <v>58</v>
      </c>
      <c r="M1813" s="11">
        <v>0.085000000000000006</v>
      </c>
      <c r="N1813" s="5" t="e">
        <f>IF(AND(M1813&gt;#REF!,Cartera!O1813="Guaraníes"),"Rendimiento significativo",IF(AND(M1813&gt;#REF!,Cartera!O1813="Dólares americanos"),"Rendimiento significativo","Rendimiento no significativo"))</f>
        <v>#REF!</v>
      </c>
      <c r="O1813" s="5" t="s">
        <v>51</v>
      </c>
      <c r="P1813" s="13">
        <v>560.95890000000009</v>
      </c>
      <c r="Q1813" s="12" t="e">
        <f>IF(O1813="Guaraníes",P1813,P1813*#REF!)</f>
        <v>#REF!</v>
      </c>
      <c r="R1813" s="12">
        <f>IF(O1813="Guaraníes",P1813/#REF!,P1813)</f>
        <v>560.95890000000009</v>
      </c>
      <c r="S1813" s="5" t="s">
        <v>52</v>
      </c>
      <c r="T1813" s="5">
        <v>3253</v>
      </c>
      <c r="W1813" s="5" t="s">
        <v>65</v>
      </c>
      <c r="X1813" s="5">
        <v>0</v>
      </c>
      <c r="Y1813" s="5">
        <v>0</v>
      </c>
      <c r="Z1813" s="5">
        <v>18.698630000000001</v>
      </c>
      <c r="AA1813" s="5">
        <v>30</v>
      </c>
      <c r="AB1813" s="5">
        <v>560.95889999999997</v>
      </c>
      <c r="AC1813" s="5" t="str">
        <f t="shared" si="88"/>
        <v>Bonos</v>
      </c>
      <c r="AD1813" s="5" t="s">
        <v>43</v>
      </c>
      <c r="AE1813" s="5">
        <f t="shared" si="89"/>
        <v>11</v>
      </c>
      <c r="AF1813" s="5">
        <f t="shared" si="90"/>
        <v>2023</v>
      </c>
    </row>
    <row r="1814" s="5" customFormat="1" ht="13">
      <c r="A1814" s="5" t="s">
        <v>44</v>
      </c>
      <c r="B1814" s="5" t="s">
        <v>44</v>
      </c>
      <c r="C1814" s="5" t="s">
        <v>222</v>
      </c>
      <c r="D1814" s="5" t="s">
        <v>21</v>
      </c>
      <c r="E1814" s="5" t="s">
        <v>44</v>
      </c>
      <c r="F1814" s="5" t="s">
        <v>68</v>
      </c>
      <c r="G1814" s="5" t="s">
        <v>91</v>
      </c>
      <c r="H1814" s="9" t="s">
        <v>223</v>
      </c>
      <c r="I1814" s="10"/>
      <c r="J1814" s="10">
        <v>45253</v>
      </c>
      <c r="K1814" s="5" t="s">
        <v>127</v>
      </c>
      <c r="L1814" s="5" t="s">
        <v>50</v>
      </c>
      <c r="M1814" s="11">
        <v>0.070000000000000007</v>
      </c>
      <c r="N1814" s="5" t="e">
        <f>IF(AND(M1814&gt;#REF!,Cartera!O1814="Guaraníes"),"Rendimiento significativo",IF(AND(M1814&gt;#REF!,Cartera!O1814="Dólares americanos"),"Rendimiento significativo","Rendimiento no significativo"))</f>
        <v>#REF!</v>
      </c>
      <c r="O1814" s="5" t="s">
        <v>51</v>
      </c>
      <c r="P1814" s="13">
        <v>1745.2055</v>
      </c>
      <c r="Q1814" s="12" t="e">
        <f>IF(O1814="Guaraníes",P1814,P1814*#REF!)</f>
        <v>#REF!</v>
      </c>
      <c r="R1814" s="12">
        <f>IF(O1814="Guaraníes",P1814/#REF!,P1814)</f>
        <v>1745.2055</v>
      </c>
      <c r="S1814" s="5" t="s">
        <v>52</v>
      </c>
      <c r="T1814" s="5">
        <v>3253</v>
      </c>
      <c r="W1814" s="5" t="s">
        <v>65</v>
      </c>
      <c r="X1814" s="5">
        <v>0</v>
      </c>
      <c r="Y1814" s="5">
        <v>0</v>
      </c>
      <c r="Z1814" s="5">
        <v>34.904110000000003</v>
      </c>
      <c r="AA1814" s="5">
        <v>50</v>
      </c>
      <c r="AB1814" s="5">
        <v>1745.2055</v>
      </c>
      <c r="AC1814" s="5" t="str">
        <f t="shared" si="88"/>
        <v>Bonos</v>
      </c>
      <c r="AD1814" s="5" t="s">
        <v>43</v>
      </c>
      <c r="AE1814" s="5">
        <f t="shared" si="89"/>
        <v>11</v>
      </c>
      <c r="AF1814" s="5">
        <f t="shared" si="90"/>
        <v>2023</v>
      </c>
    </row>
    <row r="1815" s="5" customFormat="1" ht="13">
      <c r="A1815" s="5" t="s">
        <v>44</v>
      </c>
      <c r="B1815" s="5" t="s">
        <v>44</v>
      </c>
      <c r="C1815" s="5" t="s">
        <v>143</v>
      </c>
      <c r="D1815" s="5" t="s">
        <v>21</v>
      </c>
      <c r="E1815" s="5" t="s">
        <v>44</v>
      </c>
      <c r="F1815" s="5" t="s">
        <v>144</v>
      </c>
      <c r="G1815" s="5" t="s">
        <v>91</v>
      </c>
      <c r="H1815" s="9" t="s">
        <v>380</v>
      </c>
      <c r="I1815" s="10"/>
      <c r="J1815" s="10">
        <v>45260</v>
      </c>
      <c r="K1815" s="5" t="s">
        <v>49</v>
      </c>
      <c r="L1815" s="5" t="s">
        <v>106</v>
      </c>
      <c r="M1815" s="11">
        <v>0.059999999999999998</v>
      </c>
      <c r="N1815" s="5" t="e">
        <f>IF(AND(M1815&gt;#REF!,Cartera!O1815="Guaraníes"),"Rendimiento significativo",IF(AND(M1815&gt;#REF!,Cartera!O1815="Dólares americanos"),"Rendimiento significativo","Rendimiento no significativo"))</f>
        <v>#REF!</v>
      </c>
      <c r="O1815" s="5" t="s">
        <v>51</v>
      </c>
      <c r="P1815" s="13">
        <v>49.315069999999999</v>
      </c>
      <c r="Q1815" s="12" t="e">
        <f>IF(O1815="Guaraníes",P1815,P1815*#REF!)</f>
        <v>#REF!</v>
      </c>
      <c r="R1815" s="12">
        <f>IF(O1815="Guaraníes",P1815/#REF!,P1815)</f>
        <v>49.315069999999999</v>
      </c>
      <c r="S1815" s="5" t="s">
        <v>52</v>
      </c>
      <c r="T1815" s="5">
        <v>3253</v>
      </c>
      <c r="W1815" s="5" t="s">
        <v>65</v>
      </c>
      <c r="X1815" s="5">
        <v>0</v>
      </c>
      <c r="Y1815" s="5">
        <v>0</v>
      </c>
      <c r="Z1815" s="5">
        <v>4.9315069999999999</v>
      </c>
      <c r="AA1815" s="5">
        <v>10</v>
      </c>
      <c r="AB1815" s="5">
        <v>49.315069999999999</v>
      </c>
      <c r="AC1815" s="5" t="str">
        <f t="shared" si="88"/>
        <v>Bonos</v>
      </c>
      <c r="AD1815" s="5" t="s">
        <v>43</v>
      </c>
      <c r="AE1815" s="5">
        <f t="shared" si="89"/>
        <v>11</v>
      </c>
      <c r="AF1815" s="5">
        <f t="shared" si="90"/>
        <v>2023</v>
      </c>
    </row>
    <row r="1816" s="5" customFormat="1" ht="13">
      <c r="A1816" s="5" t="s">
        <v>44</v>
      </c>
      <c r="B1816" s="5" t="s">
        <v>44</v>
      </c>
      <c r="C1816" s="5" t="s">
        <v>164</v>
      </c>
      <c r="D1816" s="5" t="s">
        <v>21</v>
      </c>
      <c r="E1816" s="5" t="s">
        <v>44</v>
      </c>
      <c r="F1816" s="5" t="s">
        <v>68</v>
      </c>
      <c r="G1816" s="5" t="s">
        <v>91</v>
      </c>
      <c r="H1816" s="9" t="s">
        <v>166</v>
      </c>
      <c r="I1816" s="10"/>
      <c r="J1816" s="10">
        <v>45260</v>
      </c>
      <c r="K1816" s="5" t="s">
        <v>124</v>
      </c>
      <c r="L1816" s="5" t="s">
        <v>58</v>
      </c>
      <c r="M1816" s="11">
        <v>0.092499999999999999</v>
      </c>
      <c r="N1816" s="5" t="e">
        <f>IF(AND(M1816&gt;#REF!,Cartera!O1816="Guaraníes"),"Rendimiento significativo",IF(AND(M1816&gt;#REF!,Cartera!O1816="Dólares americanos"),"Rendimiento significativo","Rendimiento no significativo"))</f>
        <v>#REF!</v>
      </c>
      <c r="O1816" s="5" t="s">
        <v>41</v>
      </c>
      <c r="P1816" s="12">
        <v>1140410.9589</v>
      </c>
      <c r="Q1816" s="12">
        <f>IF(O1816="Guaraníes",P1816,P1816*#REF!)</f>
        <v>1140410.9589</v>
      </c>
      <c r="R1816" s="12" t="e">
        <f>IF(O1816="Guaraníes",P1816/#REF!,P1816)</f>
        <v>#REF!</v>
      </c>
      <c r="S1816" s="5" t="s">
        <v>52</v>
      </c>
      <c r="T1816" s="5">
        <v>3253</v>
      </c>
      <c r="W1816" s="5" t="s">
        <v>65</v>
      </c>
      <c r="X1816" s="5">
        <v>0</v>
      </c>
      <c r="Y1816" s="5">
        <v>0</v>
      </c>
      <c r="Z1816" s="5">
        <v>7602.7397259999998</v>
      </c>
      <c r="AA1816" s="5">
        <v>150</v>
      </c>
      <c r="AB1816" s="5">
        <v>1140410.9589</v>
      </c>
      <c r="AC1816" s="5" t="str">
        <f t="shared" si="88"/>
        <v>Bonos</v>
      </c>
      <c r="AD1816" s="5" t="s">
        <v>43</v>
      </c>
      <c r="AE1816" s="5">
        <f t="shared" si="89"/>
        <v>11</v>
      </c>
      <c r="AF1816" s="5">
        <f t="shared" si="90"/>
        <v>2023</v>
      </c>
    </row>
    <row r="1817" s="5" customFormat="1" ht="13">
      <c r="A1817" s="5" t="s">
        <v>44</v>
      </c>
      <c r="B1817" s="5" t="s">
        <v>44</v>
      </c>
      <c r="C1817" s="5" t="s">
        <v>143</v>
      </c>
      <c r="D1817" s="5" t="s">
        <v>21</v>
      </c>
      <c r="E1817" s="5" t="s">
        <v>44</v>
      </c>
      <c r="F1817" s="5" t="s">
        <v>144</v>
      </c>
      <c r="G1817" s="5" t="s">
        <v>91</v>
      </c>
      <c r="H1817" s="9" t="s">
        <v>380</v>
      </c>
      <c r="I1817" s="10"/>
      <c r="J1817" s="10">
        <v>45289</v>
      </c>
      <c r="K1817" s="5" t="s">
        <v>49</v>
      </c>
      <c r="L1817" s="5" t="s">
        <v>106</v>
      </c>
      <c r="M1817" s="11">
        <v>0.059999999999999998</v>
      </c>
      <c r="N1817" s="5" t="e">
        <f>IF(AND(M1817&gt;#REF!,Cartera!O1817="Guaraníes"),"Rendimiento significativo",IF(AND(M1817&gt;#REF!,Cartera!O1817="Dólares americanos"),"Rendimiento significativo","Rendimiento no significativo"))</f>
        <v>#REF!</v>
      </c>
      <c r="O1817" s="5" t="s">
        <v>51</v>
      </c>
      <c r="P1817" s="13">
        <v>47.671229999999994</v>
      </c>
      <c r="Q1817" s="12" t="e">
        <f>IF(O1817="Guaraníes",P1817,P1817*#REF!)</f>
        <v>#REF!</v>
      </c>
      <c r="R1817" s="12">
        <f>IF(O1817="Guaraníes",P1817/#REF!,P1817)</f>
        <v>47.671229999999994</v>
      </c>
      <c r="S1817" s="5" t="s">
        <v>52</v>
      </c>
      <c r="T1817" s="5">
        <v>3253</v>
      </c>
      <c r="W1817" s="5" t="s">
        <v>65</v>
      </c>
      <c r="X1817" s="5">
        <v>0</v>
      </c>
      <c r="Y1817" s="5">
        <v>0</v>
      </c>
      <c r="Z1817" s="5">
        <v>4.7671229999999998</v>
      </c>
      <c r="AA1817" s="5">
        <v>10</v>
      </c>
      <c r="AB1817" s="5">
        <v>47.671230000000001</v>
      </c>
      <c r="AC1817" s="5" t="str">
        <f t="shared" si="88"/>
        <v>Bonos</v>
      </c>
      <c r="AD1817" s="5" t="s">
        <v>43</v>
      </c>
      <c r="AE1817" s="5">
        <f t="shared" si="89"/>
        <v>12</v>
      </c>
      <c r="AF1817" s="5">
        <f t="shared" si="90"/>
        <v>2023</v>
      </c>
    </row>
    <row r="1818" s="5" customFormat="1" ht="13">
      <c r="A1818" s="5" t="s">
        <v>44</v>
      </c>
      <c r="B1818" s="5" t="s">
        <v>44</v>
      </c>
      <c r="C1818" s="5" t="s">
        <v>164</v>
      </c>
      <c r="D1818" s="5" t="s">
        <v>21</v>
      </c>
      <c r="E1818" s="5" t="s">
        <v>44</v>
      </c>
      <c r="F1818" s="5" t="s">
        <v>68</v>
      </c>
      <c r="G1818" s="5" t="s">
        <v>91</v>
      </c>
      <c r="H1818" s="9" t="s">
        <v>166</v>
      </c>
      <c r="I1818" s="10"/>
      <c r="J1818" s="10">
        <v>45289</v>
      </c>
      <c r="K1818" s="5" t="s">
        <v>124</v>
      </c>
      <c r="L1818" s="5" t="s">
        <v>58</v>
      </c>
      <c r="M1818" s="11">
        <v>0.092499999999999999</v>
      </c>
      <c r="N1818" s="5" t="e">
        <f>IF(AND(M1818&gt;#REF!,Cartera!O1818="Guaraníes"),"Rendimiento significativo",IF(AND(M1818&gt;#REF!,Cartera!O1818="Dólares americanos"),"Rendimiento significativo","Rendimiento no significativo"))</f>
        <v>#REF!</v>
      </c>
      <c r="O1818" s="5" t="s">
        <v>41</v>
      </c>
      <c r="P1818" s="12">
        <v>1102397.2601999999</v>
      </c>
      <c r="Q1818" s="12">
        <f>IF(O1818="Guaraníes",P1818,P1818*#REF!)</f>
        <v>1102397.2601999999</v>
      </c>
      <c r="R1818" s="12" t="e">
        <f>IF(O1818="Guaraníes",P1818/#REF!,P1818)</f>
        <v>#REF!</v>
      </c>
      <c r="S1818" s="5" t="s">
        <v>52</v>
      </c>
      <c r="T1818" s="5">
        <v>3253</v>
      </c>
      <c r="W1818" s="5" t="s">
        <v>65</v>
      </c>
      <c r="X1818" s="5">
        <v>0</v>
      </c>
      <c r="Y1818" s="5">
        <v>0</v>
      </c>
      <c r="Z1818" s="5">
        <v>7349.3150679999999</v>
      </c>
      <c r="AA1818" s="5">
        <v>150</v>
      </c>
      <c r="AB1818" s="5">
        <v>1102397.2601999999</v>
      </c>
      <c r="AC1818" s="5" t="str">
        <f t="shared" si="88"/>
        <v>Bonos</v>
      </c>
      <c r="AD1818" s="5" t="s">
        <v>43</v>
      </c>
      <c r="AE1818" s="5">
        <f t="shared" si="89"/>
        <v>12</v>
      </c>
      <c r="AF1818" s="5">
        <f t="shared" si="90"/>
        <v>2023</v>
      </c>
    </row>
    <row r="1819" s="5" customFormat="1" ht="13">
      <c r="A1819" s="5" t="s">
        <v>44</v>
      </c>
      <c r="B1819" s="5" t="s">
        <v>44</v>
      </c>
      <c r="C1819" s="5" t="s">
        <v>67</v>
      </c>
      <c r="D1819" s="5" t="s">
        <v>21</v>
      </c>
      <c r="E1819" s="5" t="s">
        <v>44</v>
      </c>
      <c r="F1819" s="5" t="s">
        <v>68</v>
      </c>
      <c r="G1819" s="5" t="s">
        <v>69</v>
      </c>
      <c r="H1819" s="9" t="s">
        <v>70</v>
      </c>
      <c r="I1819" s="10"/>
      <c r="J1819" s="10">
        <v>45428</v>
      </c>
      <c r="K1819" s="5" t="s">
        <v>71</v>
      </c>
      <c r="L1819" s="5" t="s">
        <v>58</v>
      </c>
      <c r="M1819" s="11">
        <v>0.067500000000000004</v>
      </c>
      <c r="N1819" s="5" t="e">
        <f>IF(AND(M1819&gt;#REF!,Cartera!O1819="Guaraníes"),"Rendimiento significativo",IF(AND(M1819&gt;#REF!,Cartera!O1819="Dólares americanos"),"Rendimiento significativo","Rendimiento no significativo"))</f>
        <v>#REF!</v>
      </c>
      <c r="O1819" s="5" t="s">
        <v>51</v>
      </c>
      <c r="P1819" s="13">
        <v>157.80000000000001</v>
      </c>
      <c r="Q1819" s="12" t="e">
        <f>IF(O1819="Guaraníes",P1819,P1819*#REF!)</f>
        <v>#REF!</v>
      </c>
      <c r="R1819" s="12">
        <f>IF(O1819="Guaraníes",P1819/#REF!,P1819)</f>
        <v>157.80000000000001</v>
      </c>
      <c r="S1819" s="5" t="s">
        <v>52</v>
      </c>
      <c r="T1819" s="5">
        <v>593</v>
      </c>
      <c r="W1819" s="5" t="s">
        <v>384</v>
      </c>
      <c r="X1819" s="5">
        <v>4.1666666667000003</v>
      </c>
      <c r="Y1819" s="5">
        <v>41.666666999999997</v>
      </c>
      <c r="Z1819" s="5">
        <v>58.926940999999999</v>
      </c>
      <c r="AA1819" s="5">
        <v>8</v>
      </c>
      <c r="AB1819" s="5">
        <v>471.41552799999999</v>
      </c>
      <c r="AC1819" s="5" t="str">
        <f t="shared" si="88"/>
        <v>Bonos</v>
      </c>
      <c r="AD1819" s="5" t="s">
        <v>43</v>
      </c>
      <c r="AE1819" s="5">
        <f t="shared" si="89"/>
        <v>5</v>
      </c>
      <c r="AF1819" s="5">
        <f t="shared" si="90"/>
        <v>2024</v>
      </c>
    </row>
    <row r="1820" s="5" customFormat="1" ht="13">
      <c r="A1820" s="5" t="s">
        <v>44</v>
      </c>
      <c r="B1820" s="5" t="s">
        <v>44</v>
      </c>
      <c r="C1820" s="5" t="s">
        <v>89</v>
      </c>
      <c r="D1820" s="5" t="s">
        <v>21</v>
      </c>
      <c r="E1820" s="5" t="s">
        <v>44</v>
      </c>
      <c r="F1820" s="5" t="s">
        <v>90</v>
      </c>
      <c r="G1820" s="5" t="s">
        <v>91</v>
      </c>
      <c r="H1820" s="9" t="s">
        <v>92</v>
      </c>
      <c r="I1820" s="10"/>
      <c r="J1820" s="10">
        <v>45309</v>
      </c>
      <c r="K1820" s="5" t="s">
        <v>93</v>
      </c>
      <c r="L1820" s="5" t="s">
        <v>58</v>
      </c>
      <c r="M1820" s="11">
        <v>0.080000000000000002</v>
      </c>
      <c r="N1820" s="5" t="e">
        <f>IF(AND(M1820&gt;#REF!,Cartera!O1820="Guaraníes"),"Rendimiento significativo",IF(AND(M1820&gt;#REF!,Cartera!O1820="Dólares americanos"),"Rendimiento significativo","Rendimiento no significativo"))</f>
        <v>#REF!</v>
      </c>
      <c r="O1820" s="5" t="s">
        <v>51</v>
      </c>
      <c r="P1820" s="13">
        <v>299.17807500000004</v>
      </c>
      <c r="Q1820" s="12" t="e">
        <f>IF(O1820="Guaraníes",P1820,P1820*#REF!)</f>
        <v>#REF!</v>
      </c>
      <c r="R1820" s="12">
        <f>IF(O1820="Guaraníes",P1820/#REF!,P1820)</f>
        <v>299.17807500000004</v>
      </c>
      <c r="S1820" s="5" t="s">
        <v>52</v>
      </c>
      <c r="T1820" s="5">
        <v>3253</v>
      </c>
      <c r="W1820" s="5" t="s">
        <v>65</v>
      </c>
      <c r="X1820" s="5">
        <v>0</v>
      </c>
      <c r="Y1820" s="5">
        <v>0</v>
      </c>
      <c r="Z1820" s="5">
        <v>19.945205000000001</v>
      </c>
      <c r="AA1820" s="5">
        <v>15</v>
      </c>
      <c r="AB1820" s="5">
        <v>299.17807499999998</v>
      </c>
      <c r="AC1820" s="5" t="str">
        <f t="shared" si="88"/>
        <v>Bonos</v>
      </c>
      <c r="AD1820" s="5" t="s">
        <v>43</v>
      </c>
      <c r="AE1820" s="5">
        <f t="shared" si="89"/>
        <v>1</v>
      </c>
      <c r="AF1820" s="5">
        <f t="shared" si="90"/>
        <v>2024</v>
      </c>
    </row>
    <row r="1821" s="5" customFormat="1" ht="13">
      <c r="A1821" s="5" t="s">
        <v>44</v>
      </c>
      <c r="B1821" s="5" t="s">
        <v>44</v>
      </c>
      <c r="C1821" s="5" t="s">
        <v>143</v>
      </c>
      <c r="D1821" s="5" t="s">
        <v>21</v>
      </c>
      <c r="E1821" s="5" t="s">
        <v>44</v>
      </c>
      <c r="F1821" s="5" t="s">
        <v>144</v>
      </c>
      <c r="G1821" s="5" t="s">
        <v>91</v>
      </c>
      <c r="H1821" s="9" t="s">
        <v>380</v>
      </c>
      <c r="I1821" s="10"/>
      <c r="J1821" s="10">
        <v>45322</v>
      </c>
      <c r="K1821" s="5" t="s">
        <v>49</v>
      </c>
      <c r="L1821" s="5" t="s">
        <v>106</v>
      </c>
      <c r="M1821" s="11">
        <v>0.059999999999999998</v>
      </c>
      <c r="N1821" s="5" t="e">
        <f>IF(AND(M1821&gt;#REF!,Cartera!O1821="Guaraníes"),"Rendimiento significativo",IF(AND(M1821&gt;#REF!,Cartera!O1821="Dólares americanos"),"Rendimiento significativo","Rendimiento no significativo"))</f>
        <v>#REF!</v>
      </c>
      <c r="O1821" s="5" t="s">
        <v>51</v>
      </c>
      <c r="P1821" s="13">
        <v>54.246580000000002</v>
      </c>
      <c r="Q1821" s="12" t="e">
        <f>IF(O1821="Guaraníes",P1821,P1821*#REF!)</f>
        <v>#REF!</v>
      </c>
      <c r="R1821" s="12">
        <f>IF(O1821="Guaraníes",P1821/#REF!,P1821)</f>
        <v>54.246580000000002</v>
      </c>
      <c r="S1821" s="5" t="s">
        <v>52</v>
      </c>
      <c r="T1821" s="5">
        <v>3253</v>
      </c>
      <c r="W1821" s="5" t="s">
        <v>65</v>
      </c>
      <c r="X1821" s="5">
        <v>0</v>
      </c>
      <c r="Y1821" s="5">
        <v>0</v>
      </c>
      <c r="Z1821" s="5">
        <v>5.424658</v>
      </c>
      <c r="AA1821" s="5">
        <v>10</v>
      </c>
      <c r="AB1821" s="5">
        <v>54.246580000000002</v>
      </c>
      <c r="AC1821" s="5" t="str">
        <f t="shared" si="88"/>
        <v>Bonos</v>
      </c>
      <c r="AD1821" s="5" t="s">
        <v>43</v>
      </c>
      <c r="AE1821" s="5">
        <f t="shared" si="89"/>
        <v>1</v>
      </c>
      <c r="AF1821" s="5">
        <f t="shared" si="90"/>
        <v>2024</v>
      </c>
    </row>
    <row r="1822" s="5" customFormat="1" ht="13">
      <c r="A1822" s="5" t="s">
        <v>44</v>
      </c>
      <c r="B1822" s="5" t="s">
        <v>44</v>
      </c>
      <c r="C1822" s="5" t="s">
        <v>164</v>
      </c>
      <c r="D1822" s="5" t="s">
        <v>21</v>
      </c>
      <c r="E1822" s="5" t="s">
        <v>44</v>
      </c>
      <c r="F1822" s="5" t="s">
        <v>68</v>
      </c>
      <c r="G1822" s="5" t="s">
        <v>91</v>
      </c>
      <c r="H1822" s="9" t="s">
        <v>166</v>
      </c>
      <c r="I1822" s="10"/>
      <c r="J1822" s="10">
        <v>45322</v>
      </c>
      <c r="K1822" s="5" t="s">
        <v>124</v>
      </c>
      <c r="L1822" s="5" t="s">
        <v>58</v>
      </c>
      <c r="M1822" s="11">
        <v>0.092499999999999999</v>
      </c>
      <c r="N1822" s="5" t="e">
        <f>IF(AND(M1822&gt;#REF!,Cartera!O1822="Guaraníes"),"Rendimiento significativo",IF(AND(M1822&gt;#REF!,Cartera!O1822="Dólares americanos"),"Rendimiento significativo","Rendimiento no significativo"))</f>
        <v>#REF!</v>
      </c>
      <c r="O1822" s="5" t="s">
        <v>41</v>
      </c>
      <c r="P1822" s="12">
        <v>1254452.05485</v>
      </c>
      <c r="Q1822" s="12">
        <f>IF(O1822="Guaraníes",P1822,P1822*#REF!)</f>
        <v>1254452.05485</v>
      </c>
      <c r="R1822" s="12" t="e">
        <f>IF(O1822="Guaraníes",P1822/#REF!,P1822)</f>
        <v>#REF!</v>
      </c>
      <c r="S1822" s="5" t="s">
        <v>52</v>
      </c>
      <c r="T1822" s="5">
        <v>3253</v>
      </c>
      <c r="W1822" s="5" t="s">
        <v>65</v>
      </c>
      <c r="X1822" s="5">
        <v>0</v>
      </c>
      <c r="Y1822" s="5">
        <v>0</v>
      </c>
      <c r="Z1822" s="5">
        <v>8363.0136989999992</v>
      </c>
      <c r="AA1822" s="5">
        <v>150</v>
      </c>
      <c r="AB1822" s="5">
        <v>1254452.05485</v>
      </c>
      <c r="AC1822" s="5" t="str">
        <f t="shared" si="88"/>
        <v>Bonos</v>
      </c>
      <c r="AD1822" s="5" t="s">
        <v>43</v>
      </c>
      <c r="AE1822" s="5">
        <f t="shared" si="89"/>
        <v>1</v>
      </c>
      <c r="AF1822" s="5">
        <f t="shared" si="90"/>
        <v>2024</v>
      </c>
    </row>
    <row r="1823" s="5" customFormat="1" ht="13">
      <c r="A1823" s="5" t="s">
        <v>44</v>
      </c>
      <c r="B1823" s="5" t="s">
        <v>44</v>
      </c>
      <c r="C1823" s="5" t="s">
        <v>176</v>
      </c>
      <c r="D1823" s="5" t="s">
        <v>21</v>
      </c>
      <c r="E1823" s="5" t="s">
        <v>44</v>
      </c>
      <c r="F1823" s="5" t="s">
        <v>68</v>
      </c>
      <c r="G1823" s="5" t="s">
        <v>91</v>
      </c>
      <c r="H1823" s="9" t="s">
        <v>177</v>
      </c>
      <c r="I1823" s="10"/>
      <c r="J1823" s="10">
        <v>45343</v>
      </c>
      <c r="K1823" s="5" t="s">
        <v>178</v>
      </c>
      <c r="L1823" s="5" t="s">
        <v>58</v>
      </c>
      <c r="M1823" s="11">
        <v>0.085000000000000006</v>
      </c>
      <c r="N1823" s="5" t="e">
        <f>IF(AND(M1823&gt;#REF!,Cartera!O1823="Guaraníes"),"Rendimiento significativo",IF(AND(M1823&gt;#REF!,Cartera!O1823="Dólares americanos"),"Rendimiento significativo","Rendimiento no significativo"))</f>
        <v>#REF!</v>
      </c>
      <c r="O1823" s="5" t="s">
        <v>51</v>
      </c>
      <c r="P1823" s="13">
        <v>560.95890000000009</v>
      </c>
      <c r="Q1823" s="12" t="e">
        <f>IF(O1823="Guaraníes",P1823,P1823*#REF!)</f>
        <v>#REF!</v>
      </c>
      <c r="R1823" s="12">
        <f>IF(O1823="Guaraníes",P1823/#REF!,P1823)</f>
        <v>560.95890000000009</v>
      </c>
      <c r="S1823" s="5" t="s">
        <v>52</v>
      </c>
      <c r="T1823" s="5">
        <v>3253</v>
      </c>
      <c r="W1823" s="5" t="s">
        <v>65</v>
      </c>
      <c r="X1823" s="5">
        <v>0</v>
      </c>
      <c r="Y1823" s="5">
        <v>0</v>
      </c>
      <c r="Z1823" s="5">
        <v>18.698630000000001</v>
      </c>
      <c r="AA1823" s="5">
        <v>30</v>
      </c>
      <c r="AB1823" s="5">
        <v>560.95889999999997</v>
      </c>
      <c r="AC1823" s="5" t="str">
        <f t="shared" si="88"/>
        <v>Bonos</v>
      </c>
      <c r="AD1823" s="5" t="s">
        <v>43</v>
      </c>
      <c r="AE1823" s="5">
        <f t="shared" si="89"/>
        <v>2</v>
      </c>
      <c r="AF1823" s="5">
        <f t="shared" si="90"/>
        <v>2024</v>
      </c>
    </row>
    <row r="1824" s="5" customFormat="1" ht="13">
      <c r="A1824" s="5" t="s">
        <v>44</v>
      </c>
      <c r="B1824" s="5" t="s">
        <v>44</v>
      </c>
      <c r="C1824" s="5" t="s">
        <v>143</v>
      </c>
      <c r="D1824" s="5" t="s">
        <v>21</v>
      </c>
      <c r="E1824" s="5" t="s">
        <v>44</v>
      </c>
      <c r="F1824" s="5" t="s">
        <v>144</v>
      </c>
      <c r="G1824" s="5" t="s">
        <v>91</v>
      </c>
      <c r="H1824" s="9" t="s">
        <v>380</v>
      </c>
      <c r="I1824" s="10"/>
      <c r="J1824" s="10">
        <v>45351</v>
      </c>
      <c r="K1824" s="5" t="s">
        <v>49</v>
      </c>
      <c r="L1824" s="5" t="s">
        <v>106</v>
      </c>
      <c r="M1824" s="11">
        <v>0.059999999999999998</v>
      </c>
      <c r="N1824" s="5" t="e">
        <f>IF(AND(M1824&gt;#REF!,Cartera!O1824="Guaraníes"),"Rendimiento significativo",IF(AND(M1824&gt;#REF!,Cartera!O1824="Dólares americanos"),"Rendimiento significativo","Rendimiento no significativo"))</f>
        <v>#REF!</v>
      </c>
      <c r="O1824" s="5" t="s">
        <v>51</v>
      </c>
      <c r="P1824" s="13">
        <v>47.671229999999994</v>
      </c>
      <c r="Q1824" s="12" t="e">
        <f>IF(O1824="Guaraníes",P1824,P1824*#REF!)</f>
        <v>#REF!</v>
      </c>
      <c r="R1824" s="12">
        <f>IF(O1824="Guaraníes",P1824/#REF!,P1824)</f>
        <v>47.671229999999994</v>
      </c>
      <c r="S1824" s="5" t="s">
        <v>52</v>
      </c>
      <c r="T1824" s="5">
        <v>3253</v>
      </c>
      <c r="W1824" s="5" t="s">
        <v>65</v>
      </c>
      <c r="X1824" s="5">
        <v>0</v>
      </c>
      <c r="Y1824" s="5">
        <v>0</v>
      </c>
      <c r="Z1824" s="5">
        <v>4.7671229999999998</v>
      </c>
      <c r="AA1824" s="5">
        <v>10</v>
      </c>
      <c r="AB1824" s="5">
        <v>47.671230000000001</v>
      </c>
      <c r="AC1824" s="5" t="str">
        <f t="shared" si="88"/>
        <v>Bonos</v>
      </c>
      <c r="AD1824" s="5" t="s">
        <v>43</v>
      </c>
      <c r="AE1824" s="5">
        <f t="shared" si="89"/>
        <v>2</v>
      </c>
      <c r="AF1824" s="5">
        <f t="shared" si="90"/>
        <v>2024</v>
      </c>
    </row>
    <row r="1825" s="5" customFormat="1" ht="13">
      <c r="A1825" s="5" t="s">
        <v>44</v>
      </c>
      <c r="B1825" s="5" t="s">
        <v>44</v>
      </c>
      <c r="C1825" s="5" t="s">
        <v>164</v>
      </c>
      <c r="D1825" s="5" t="s">
        <v>21</v>
      </c>
      <c r="E1825" s="5" t="s">
        <v>44</v>
      </c>
      <c r="F1825" s="5" t="s">
        <v>68</v>
      </c>
      <c r="G1825" s="5" t="s">
        <v>91</v>
      </c>
      <c r="H1825" s="9" t="s">
        <v>166</v>
      </c>
      <c r="I1825" s="10"/>
      <c r="J1825" s="10">
        <v>45351</v>
      </c>
      <c r="K1825" s="5" t="s">
        <v>124</v>
      </c>
      <c r="L1825" s="5" t="s">
        <v>58</v>
      </c>
      <c r="M1825" s="11">
        <v>0.092499999999999999</v>
      </c>
      <c r="N1825" s="5" t="e">
        <f>IF(AND(M1825&gt;#REF!,Cartera!O1825="Guaraníes"),"Rendimiento significativo",IF(AND(M1825&gt;#REF!,Cartera!O1825="Dólares americanos"),"Rendimiento significativo","Rendimiento no significativo"))</f>
        <v>#REF!</v>
      </c>
      <c r="O1825" s="5" t="s">
        <v>41</v>
      </c>
      <c r="P1825" s="12">
        <v>1102397.2601999999</v>
      </c>
      <c r="Q1825" s="12">
        <f>IF(O1825="Guaraníes",P1825,P1825*#REF!)</f>
        <v>1102397.2601999999</v>
      </c>
      <c r="R1825" s="12" t="e">
        <f>IF(O1825="Guaraníes",P1825/#REF!,P1825)</f>
        <v>#REF!</v>
      </c>
      <c r="S1825" s="5" t="s">
        <v>52</v>
      </c>
      <c r="T1825" s="5">
        <v>3253</v>
      </c>
      <c r="W1825" s="5" t="s">
        <v>65</v>
      </c>
      <c r="X1825" s="5">
        <v>0</v>
      </c>
      <c r="Y1825" s="5">
        <v>0</v>
      </c>
      <c r="Z1825" s="5">
        <v>7349.3150679999999</v>
      </c>
      <c r="AA1825" s="5">
        <v>150</v>
      </c>
      <c r="AB1825" s="5">
        <v>1102397.2601999999</v>
      </c>
      <c r="AC1825" s="5" t="str">
        <f t="shared" si="88"/>
        <v>Bonos</v>
      </c>
      <c r="AD1825" s="5" t="s">
        <v>43</v>
      </c>
      <c r="AE1825" s="5">
        <f t="shared" si="89"/>
        <v>2</v>
      </c>
      <c r="AF1825" s="5">
        <f t="shared" si="90"/>
        <v>2024</v>
      </c>
    </row>
    <row r="1826" s="5" customFormat="1" ht="13">
      <c r="A1826" s="5" t="s">
        <v>44</v>
      </c>
      <c r="B1826" s="5" t="s">
        <v>44</v>
      </c>
      <c r="C1826" s="5" t="s">
        <v>143</v>
      </c>
      <c r="D1826" s="5" t="s">
        <v>21</v>
      </c>
      <c r="E1826" s="5" t="s">
        <v>44</v>
      </c>
      <c r="F1826" s="5" t="s">
        <v>144</v>
      </c>
      <c r="G1826" s="5" t="s">
        <v>91</v>
      </c>
      <c r="H1826" s="9" t="s">
        <v>380</v>
      </c>
      <c r="I1826" s="10"/>
      <c r="J1826" s="10">
        <v>45378</v>
      </c>
      <c r="K1826" s="5" t="s">
        <v>49</v>
      </c>
      <c r="L1826" s="5" t="s">
        <v>106</v>
      </c>
      <c r="M1826" s="11">
        <v>0.059999999999999998</v>
      </c>
      <c r="N1826" s="5" t="e">
        <f>IF(AND(M1826&gt;#REF!,Cartera!O1826="Guaraníes"),"Rendimiento significativo",IF(AND(M1826&gt;#REF!,Cartera!O1826="Dólares americanos"),"Rendimiento significativo","Rendimiento no significativo"))</f>
        <v>#REF!</v>
      </c>
      <c r="O1826" s="5" t="s">
        <v>51</v>
      </c>
      <c r="P1826" s="13">
        <v>44.383559999999996</v>
      </c>
      <c r="Q1826" s="12" t="e">
        <f>IF(O1826="Guaraníes",P1826,P1826*#REF!)</f>
        <v>#REF!</v>
      </c>
      <c r="R1826" s="12">
        <f>IF(O1826="Guaraníes",P1826/#REF!,P1826)</f>
        <v>44.383559999999996</v>
      </c>
      <c r="S1826" s="5" t="s">
        <v>52</v>
      </c>
      <c r="T1826" s="5">
        <v>3253</v>
      </c>
      <c r="W1826" s="5" t="s">
        <v>65</v>
      </c>
      <c r="X1826" s="5">
        <v>0</v>
      </c>
      <c r="Y1826" s="5">
        <v>0</v>
      </c>
      <c r="Z1826" s="5">
        <v>4.4383559999999997</v>
      </c>
      <c r="AA1826" s="5">
        <v>10</v>
      </c>
      <c r="AB1826" s="5">
        <v>44.383560000000003</v>
      </c>
      <c r="AC1826" s="5" t="str">
        <f t="shared" si="88"/>
        <v>Bonos</v>
      </c>
      <c r="AD1826" s="5" t="s">
        <v>43</v>
      </c>
      <c r="AE1826" s="5">
        <f t="shared" si="89"/>
        <v>3</v>
      </c>
      <c r="AF1826" s="5">
        <f t="shared" si="90"/>
        <v>2024</v>
      </c>
    </row>
    <row r="1827" s="5" customFormat="1" ht="13">
      <c r="A1827" s="5" t="s">
        <v>44</v>
      </c>
      <c r="B1827" s="5" t="s">
        <v>44</v>
      </c>
      <c r="C1827" s="5" t="s">
        <v>164</v>
      </c>
      <c r="D1827" s="5" t="s">
        <v>21</v>
      </c>
      <c r="E1827" s="5" t="s">
        <v>44</v>
      </c>
      <c r="F1827" s="5" t="s">
        <v>68</v>
      </c>
      <c r="G1827" s="5" t="s">
        <v>91</v>
      </c>
      <c r="H1827" s="9" t="s">
        <v>166</v>
      </c>
      <c r="I1827" s="10"/>
      <c r="J1827" s="10">
        <v>45380</v>
      </c>
      <c r="K1827" s="5" t="s">
        <v>124</v>
      </c>
      <c r="L1827" s="5" t="s">
        <v>58</v>
      </c>
      <c r="M1827" s="11">
        <v>0.092499999999999999</v>
      </c>
      <c r="N1827" s="5" t="e">
        <f>IF(AND(M1827&gt;#REF!,Cartera!O1827="Guaraníes"),"Rendimiento significativo",IF(AND(M1827&gt;#REF!,Cartera!O1827="Dólares americanos"),"Rendimiento significativo","Rendimiento no significativo"))</f>
        <v>#REF!</v>
      </c>
      <c r="O1827" s="5" t="s">
        <v>41</v>
      </c>
      <c r="P1827" s="12">
        <v>1102397.2601999999</v>
      </c>
      <c r="Q1827" s="12">
        <f>IF(O1827="Guaraníes",P1827,P1827*#REF!)</f>
        <v>1102397.2601999999</v>
      </c>
      <c r="R1827" s="12" t="e">
        <f>IF(O1827="Guaraníes",P1827/#REF!,P1827)</f>
        <v>#REF!</v>
      </c>
      <c r="S1827" s="5" t="s">
        <v>52</v>
      </c>
      <c r="T1827" s="5">
        <v>3253</v>
      </c>
      <c r="W1827" s="5" t="s">
        <v>65</v>
      </c>
      <c r="X1827" s="5">
        <v>0</v>
      </c>
      <c r="Y1827" s="5">
        <v>0</v>
      </c>
      <c r="Z1827" s="5">
        <v>7349.3150679999999</v>
      </c>
      <c r="AA1827" s="5">
        <v>150</v>
      </c>
      <c r="AB1827" s="5">
        <v>1102397.2601999999</v>
      </c>
      <c r="AC1827" s="5" t="str">
        <f t="shared" si="88"/>
        <v>Bonos</v>
      </c>
      <c r="AD1827" s="5" t="s">
        <v>43</v>
      </c>
      <c r="AE1827" s="5">
        <f t="shared" si="89"/>
        <v>3</v>
      </c>
      <c r="AF1827" s="5">
        <f t="shared" si="90"/>
        <v>2024</v>
      </c>
    </row>
    <row r="1828" s="5" customFormat="1" ht="13">
      <c r="A1828" s="5" t="s">
        <v>44</v>
      </c>
      <c r="B1828" s="5" t="s">
        <v>44</v>
      </c>
      <c r="C1828" s="5" t="s">
        <v>67</v>
      </c>
      <c r="D1828" s="5" t="s">
        <v>21</v>
      </c>
      <c r="E1828" s="5" t="s">
        <v>44</v>
      </c>
      <c r="F1828" s="9" t="s">
        <v>68</v>
      </c>
      <c r="G1828" s="9" t="s">
        <v>91</v>
      </c>
      <c r="H1828" s="10" t="s">
        <v>110</v>
      </c>
      <c r="I1828" s="10"/>
      <c r="J1828" s="5">
        <v>45458</v>
      </c>
      <c r="K1828" s="5" t="s">
        <v>71</v>
      </c>
      <c r="L1828" s="11" t="s">
        <v>58</v>
      </c>
      <c r="M1828" s="11">
        <v>0.089999999999999997</v>
      </c>
      <c r="N1828" s="11" t="e">
        <f>IF(AND(M1828&gt;#REF!,Cartera!O1828="Guaraníes"),"Rendimiento significativo",IF(AND(M1828&gt;#REF!,Cartera!O1828="Dólares americanos"),"Rendimiento significativo","Rendimiento no significativo"))</f>
        <v>#REF!</v>
      </c>
      <c r="O1828" s="13" t="s">
        <v>51</v>
      </c>
      <c r="P1828" s="13">
        <v>91.239999999999995</v>
      </c>
      <c r="Q1828" s="12" t="e">
        <f>IF(O1828="Guaraníes",P1828,P1828*#REF!)</f>
        <v>#REF!</v>
      </c>
      <c r="R1828" s="5">
        <f>IF(O1828="Guaraníes",P1828/#REF!,P1828)</f>
        <v>91.239999999999995</v>
      </c>
      <c r="S1828" s="5" t="s">
        <v>52</v>
      </c>
      <c r="T1828" s="5">
        <v>3253</v>
      </c>
      <c r="W1828" s="5" t="s">
        <v>65</v>
      </c>
      <c r="X1828" s="5">
        <v>10</v>
      </c>
      <c r="Y1828" s="5">
        <v>100</v>
      </c>
      <c r="Z1828" s="5">
        <v>104.438356</v>
      </c>
      <c r="AA1828" s="5">
        <v>15</v>
      </c>
      <c r="AB1828" s="5">
        <v>1566.5753400000001</v>
      </c>
      <c r="AC1828" s="5" t="str">
        <f t="shared" si="88"/>
        <v>Bonos</v>
      </c>
      <c r="AD1828" s="5" t="s">
        <v>43</v>
      </c>
      <c r="AE1828" s="5">
        <f t="shared" si="89"/>
        <v>6</v>
      </c>
      <c r="AF1828" s="5">
        <f t="shared" si="90"/>
        <v>2024</v>
      </c>
    </row>
    <row r="1829" s="5" customFormat="1" ht="13">
      <c r="A1829" s="5" t="s">
        <v>44</v>
      </c>
      <c r="B1829" s="5" t="s">
        <v>44</v>
      </c>
      <c r="C1829" s="5" t="s">
        <v>89</v>
      </c>
      <c r="D1829" s="5" t="s">
        <v>21</v>
      </c>
      <c r="E1829" s="5" t="s">
        <v>44</v>
      </c>
      <c r="F1829" s="5" t="s">
        <v>90</v>
      </c>
      <c r="G1829" s="5" t="s">
        <v>91</v>
      </c>
      <c r="H1829" s="9" t="s">
        <v>92</v>
      </c>
      <c r="I1829" s="10"/>
      <c r="J1829" s="10">
        <v>45400</v>
      </c>
      <c r="K1829" s="5" t="s">
        <v>93</v>
      </c>
      <c r="L1829" s="5" t="s">
        <v>58</v>
      </c>
      <c r="M1829" s="11">
        <v>0.080000000000000002</v>
      </c>
      <c r="N1829" s="5" t="e">
        <f>IF(AND(M1829&gt;#REF!,Cartera!O1829="Guaraníes"),"Rendimiento significativo",IF(AND(M1829&gt;#REF!,Cartera!O1829="Dólares americanos"),"Rendimiento significativo","Rendimiento no significativo"))</f>
        <v>#REF!</v>
      </c>
      <c r="O1829" s="5" t="s">
        <v>51</v>
      </c>
      <c r="P1829" s="13">
        <v>299.17807500000004</v>
      </c>
      <c r="Q1829" s="12" t="e">
        <f>IF(O1829="Guaraníes",P1829,P1829*#REF!)</f>
        <v>#REF!</v>
      </c>
      <c r="R1829" s="12">
        <f>IF(O1829="Guaraníes",P1829/#REF!,P1829)</f>
        <v>299.17807500000004</v>
      </c>
      <c r="S1829" s="5" t="s">
        <v>52</v>
      </c>
      <c r="T1829" s="5">
        <v>3253</v>
      </c>
      <c r="W1829" s="5" t="s">
        <v>65</v>
      </c>
      <c r="X1829" s="5">
        <v>0</v>
      </c>
      <c r="Y1829" s="5">
        <v>0</v>
      </c>
      <c r="Z1829" s="5">
        <v>19.945205000000001</v>
      </c>
      <c r="AA1829" s="5">
        <v>15</v>
      </c>
      <c r="AB1829" s="5">
        <v>299.17807499999998</v>
      </c>
      <c r="AC1829" s="5" t="str">
        <f t="shared" si="88"/>
        <v>Bonos</v>
      </c>
      <c r="AD1829" s="5" t="s">
        <v>43</v>
      </c>
      <c r="AE1829" s="5">
        <f t="shared" si="89"/>
        <v>4</v>
      </c>
      <c r="AF1829" s="5">
        <f t="shared" si="90"/>
        <v>2024</v>
      </c>
    </row>
    <row r="1830" s="5" customFormat="1" ht="13">
      <c r="A1830" s="5" t="s">
        <v>44</v>
      </c>
      <c r="B1830" s="5" t="s">
        <v>44</v>
      </c>
      <c r="C1830" s="5" t="s">
        <v>122</v>
      </c>
      <c r="D1830" s="5" t="s">
        <v>21</v>
      </c>
      <c r="E1830" s="5" t="s">
        <v>44</v>
      </c>
      <c r="F1830" s="5" t="s">
        <v>61</v>
      </c>
      <c r="G1830" s="5" t="s">
        <v>91</v>
      </c>
      <c r="H1830" s="9" t="s">
        <v>132</v>
      </c>
      <c r="I1830" s="10"/>
      <c r="J1830" s="10">
        <v>45406</v>
      </c>
      <c r="K1830" s="5" t="s">
        <v>124</v>
      </c>
      <c r="L1830" s="5" t="s">
        <v>50</v>
      </c>
      <c r="M1830" s="11">
        <v>0.059999999999999998</v>
      </c>
      <c r="N1830" s="5" t="e">
        <f>IF(AND(M1830&gt;#REF!,Cartera!O1830="Guaraníes"),"Rendimiento significativo",IF(AND(M1830&gt;#REF!,Cartera!O1830="Dólares americanos"),"Rendimiento significativo","Rendimiento no significativo"))</f>
        <v>#REF!</v>
      </c>
      <c r="O1830" s="5" t="s">
        <v>51</v>
      </c>
      <c r="P1830" s="13">
        <v>299.17808000000002</v>
      </c>
      <c r="Q1830" s="12" t="e">
        <f>IF(O1830="Guaraníes",P1830,P1830*#REF!)</f>
        <v>#REF!</v>
      </c>
      <c r="R1830" s="12">
        <f>IF(O1830="Guaraníes",P1830/#REF!,P1830)</f>
        <v>299.17808000000002</v>
      </c>
      <c r="S1830" s="5" t="s">
        <v>52</v>
      </c>
      <c r="T1830" s="5">
        <v>3253</v>
      </c>
      <c r="W1830" s="5" t="s">
        <v>65</v>
      </c>
      <c r="X1830" s="5">
        <v>0</v>
      </c>
      <c r="Y1830" s="5">
        <v>0</v>
      </c>
      <c r="Z1830" s="5">
        <v>29.917808000000001</v>
      </c>
      <c r="AA1830" s="5">
        <v>10</v>
      </c>
      <c r="AB1830" s="5">
        <v>299.17808000000002</v>
      </c>
      <c r="AC1830" s="5" t="str">
        <f t="shared" si="88"/>
        <v>Bonos</v>
      </c>
      <c r="AD1830" s="5" t="s">
        <v>43</v>
      </c>
      <c r="AE1830" s="5">
        <f t="shared" si="89"/>
        <v>4</v>
      </c>
      <c r="AF1830" s="5">
        <f t="shared" si="90"/>
        <v>2024</v>
      </c>
    </row>
    <row r="1831" s="5" customFormat="1" ht="13">
      <c r="A1831" s="5" t="s">
        <v>44</v>
      </c>
      <c r="B1831" s="5" t="s">
        <v>44</v>
      </c>
      <c r="C1831" s="5" t="s">
        <v>143</v>
      </c>
      <c r="D1831" s="5" t="s">
        <v>21</v>
      </c>
      <c r="E1831" s="5" t="s">
        <v>44</v>
      </c>
      <c r="F1831" s="5" t="s">
        <v>144</v>
      </c>
      <c r="G1831" s="5" t="s">
        <v>91</v>
      </c>
      <c r="H1831" s="9" t="s">
        <v>380</v>
      </c>
      <c r="I1831" s="10"/>
      <c r="J1831" s="10">
        <v>45412</v>
      </c>
      <c r="K1831" s="5" t="s">
        <v>49</v>
      </c>
      <c r="L1831" s="5" t="s">
        <v>106</v>
      </c>
      <c r="M1831" s="11">
        <v>0.059999999999999998</v>
      </c>
      <c r="N1831" s="5" t="e">
        <f>IF(AND(M1831&gt;#REF!,Cartera!O1831="Guaraníes"),"Rendimiento significativo",IF(AND(M1831&gt;#REF!,Cartera!O1831="Dólares americanos"),"Rendimiento significativo","Rendimiento no significativo"))</f>
        <v>#REF!</v>
      </c>
      <c r="O1831" s="5" t="s">
        <v>51</v>
      </c>
      <c r="P1831" s="13">
        <v>55.890410000000003</v>
      </c>
      <c r="Q1831" s="12" t="e">
        <f>IF(O1831="Guaraníes",P1831,P1831*#REF!)</f>
        <v>#REF!</v>
      </c>
      <c r="R1831" s="12">
        <f>IF(O1831="Guaraníes",P1831/#REF!,P1831)</f>
        <v>55.890410000000003</v>
      </c>
      <c r="S1831" s="5" t="s">
        <v>52</v>
      </c>
      <c r="T1831" s="5">
        <v>3253</v>
      </c>
      <c r="W1831" s="5" t="s">
        <v>65</v>
      </c>
      <c r="X1831" s="5">
        <v>0</v>
      </c>
      <c r="Y1831" s="5">
        <v>0</v>
      </c>
      <c r="Z1831" s="5">
        <v>5.5890409999999999</v>
      </c>
      <c r="AA1831" s="5">
        <v>10</v>
      </c>
      <c r="AB1831" s="5">
        <v>55.890410000000003</v>
      </c>
      <c r="AC1831" s="5" t="str">
        <f t="shared" si="88"/>
        <v>Bonos</v>
      </c>
      <c r="AD1831" s="5" t="s">
        <v>43</v>
      </c>
      <c r="AE1831" s="5">
        <f t="shared" si="89"/>
        <v>4</v>
      </c>
      <c r="AF1831" s="5">
        <f t="shared" si="90"/>
        <v>2024</v>
      </c>
    </row>
    <row r="1832" s="5" customFormat="1" ht="13">
      <c r="A1832" s="5" t="s">
        <v>44</v>
      </c>
      <c r="B1832" s="5" t="s">
        <v>44</v>
      </c>
      <c r="C1832" s="5" t="s">
        <v>164</v>
      </c>
      <c r="D1832" s="5" t="s">
        <v>21</v>
      </c>
      <c r="E1832" s="5" t="s">
        <v>44</v>
      </c>
      <c r="F1832" s="5" t="s">
        <v>68</v>
      </c>
      <c r="G1832" s="5" t="s">
        <v>91</v>
      </c>
      <c r="H1832" s="9" t="s">
        <v>166</v>
      </c>
      <c r="I1832" s="10"/>
      <c r="J1832" s="10">
        <v>45412</v>
      </c>
      <c r="K1832" s="5" t="s">
        <v>124</v>
      </c>
      <c r="L1832" s="5" t="s">
        <v>58</v>
      </c>
      <c r="M1832" s="11">
        <v>0.092499999999999999</v>
      </c>
      <c r="N1832" s="5" t="e">
        <f>IF(AND(M1832&gt;#REF!,Cartera!O1832="Guaraníes"),"Rendimiento significativo",IF(AND(M1832&gt;#REF!,Cartera!O1832="Dólares americanos"),"Rendimiento significativo","Rendimiento no significativo"))</f>
        <v>#REF!</v>
      </c>
      <c r="O1832" s="5" t="s">
        <v>41</v>
      </c>
      <c r="P1832" s="12">
        <v>1216438.3561500001</v>
      </c>
      <c r="Q1832" s="12">
        <f>IF(O1832="Guaraníes",P1832,P1832*#REF!)</f>
        <v>1216438.3561500001</v>
      </c>
      <c r="R1832" s="12" t="e">
        <f>IF(O1832="Guaraníes",P1832/#REF!,P1832)</f>
        <v>#REF!</v>
      </c>
      <c r="S1832" s="5" t="s">
        <v>52</v>
      </c>
      <c r="T1832" s="5">
        <v>3253</v>
      </c>
      <c r="W1832" s="5" t="s">
        <v>65</v>
      </c>
      <c r="X1832" s="5">
        <v>0</v>
      </c>
      <c r="Y1832" s="5">
        <v>0</v>
      </c>
      <c r="Z1832" s="5">
        <v>8109.5890410000002</v>
      </c>
      <c r="AA1832" s="5">
        <v>150</v>
      </c>
      <c r="AB1832" s="5">
        <v>1216438.3561499999</v>
      </c>
      <c r="AC1832" s="5" t="str">
        <f t="shared" si="88"/>
        <v>Bonos</v>
      </c>
      <c r="AD1832" s="5" t="s">
        <v>43</v>
      </c>
      <c r="AE1832" s="5">
        <f t="shared" si="89"/>
        <v>4</v>
      </c>
      <c r="AF1832" s="5">
        <f t="shared" si="90"/>
        <v>2024</v>
      </c>
    </row>
    <row r="1833" s="5" customFormat="1" ht="13">
      <c r="A1833" s="5" t="s">
        <v>44</v>
      </c>
      <c r="B1833" s="5" t="s">
        <v>44</v>
      </c>
      <c r="C1833" s="5" t="s">
        <v>67</v>
      </c>
      <c r="D1833" s="5" t="s">
        <v>21</v>
      </c>
      <c r="E1833" s="5" t="s">
        <v>44</v>
      </c>
      <c r="F1833" s="5" t="s">
        <v>68</v>
      </c>
      <c r="G1833" s="5" t="s">
        <v>69</v>
      </c>
      <c r="H1833" s="9" t="s">
        <v>70</v>
      </c>
      <c r="I1833" s="10"/>
      <c r="J1833" s="10">
        <v>45462</v>
      </c>
      <c r="K1833" s="5" t="s">
        <v>71</v>
      </c>
      <c r="L1833" s="5" t="s">
        <v>58</v>
      </c>
      <c r="M1833" s="11">
        <v>0.067500000000000004</v>
      </c>
      <c r="N1833" s="5" t="e">
        <f>IF(AND(M1833&gt;#REF!,Cartera!O1833="Guaraníes"),"Rendimiento significativo",IF(AND(M1833&gt;#REF!,Cartera!O1833="Dólares americanos"),"Rendimiento significativo","Rendimiento no significativo"))</f>
        <v>#REF!</v>
      </c>
      <c r="O1833" s="5" t="s">
        <v>51</v>
      </c>
      <c r="P1833" s="13">
        <v>57.130000000000003</v>
      </c>
      <c r="Q1833" s="12" t="e">
        <f>IF(O1833="Guaraníes",P1833,P1833*#REF!)</f>
        <v>#REF!</v>
      </c>
      <c r="R1833" s="12">
        <f>IF(O1833="Guaraníes",P1833/#REF!,P1833)</f>
        <v>57.130000000000003</v>
      </c>
      <c r="S1833" s="5" t="s">
        <v>52</v>
      </c>
      <c r="T1833" s="5">
        <v>593</v>
      </c>
      <c r="W1833" s="5" t="s">
        <v>385</v>
      </c>
      <c r="X1833" s="5">
        <v>4.1666666667000003</v>
      </c>
      <c r="Y1833" s="5">
        <v>41.666666999999997</v>
      </c>
      <c r="Z1833" s="5">
        <v>47.915525000000002</v>
      </c>
      <c r="AA1833" s="5">
        <v>8</v>
      </c>
      <c r="AB1833" s="5">
        <v>383.32420000000002</v>
      </c>
      <c r="AC1833" s="5" t="str">
        <f t="shared" si="88"/>
        <v>Bonos</v>
      </c>
      <c r="AD1833" s="5" t="s">
        <v>43</v>
      </c>
      <c r="AE1833" s="5">
        <f t="shared" si="89"/>
        <v>6</v>
      </c>
      <c r="AF1833" s="5">
        <f t="shared" si="90"/>
        <v>2024</v>
      </c>
    </row>
    <row r="1834" s="5" customFormat="1" ht="13">
      <c r="A1834" s="5" t="s">
        <v>44</v>
      </c>
      <c r="B1834" s="5" t="s">
        <v>44</v>
      </c>
      <c r="C1834" s="5" t="s">
        <v>176</v>
      </c>
      <c r="D1834" s="5" t="s">
        <v>21</v>
      </c>
      <c r="E1834" s="5" t="s">
        <v>44</v>
      </c>
      <c r="F1834" s="5" t="s">
        <v>68</v>
      </c>
      <c r="G1834" s="5" t="s">
        <v>91</v>
      </c>
      <c r="H1834" s="9" t="s">
        <v>177</v>
      </c>
      <c r="I1834" s="10"/>
      <c r="J1834" s="10">
        <v>45434</v>
      </c>
      <c r="K1834" s="5" t="s">
        <v>178</v>
      </c>
      <c r="L1834" s="5" t="s">
        <v>58</v>
      </c>
      <c r="M1834" s="11">
        <v>0.085000000000000006</v>
      </c>
      <c r="N1834" s="5" t="e">
        <f>IF(AND(M1834&gt;#REF!,Cartera!O1834="Guaraníes"),"Rendimiento significativo",IF(AND(M1834&gt;#REF!,Cartera!O1834="Dólares americanos"),"Rendimiento significativo","Rendimiento no significativo"))</f>
        <v>#REF!</v>
      </c>
      <c r="O1834" s="5" t="s">
        <v>51</v>
      </c>
      <c r="P1834" s="13">
        <v>560.95890000000009</v>
      </c>
      <c r="Q1834" s="12" t="e">
        <f>IF(O1834="Guaraníes",P1834,P1834*#REF!)</f>
        <v>#REF!</v>
      </c>
      <c r="R1834" s="12">
        <f>IF(O1834="Guaraníes",P1834/#REF!,P1834)</f>
        <v>560.95890000000009</v>
      </c>
      <c r="S1834" s="5" t="s">
        <v>52</v>
      </c>
      <c r="T1834" s="5">
        <v>3253</v>
      </c>
      <c r="W1834" s="5" t="s">
        <v>65</v>
      </c>
      <c r="X1834" s="5">
        <v>0</v>
      </c>
      <c r="Y1834" s="5">
        <v>0</v>
      </c>
      <c r="Z1834" s="5">
        <v>18.698630000000001</v>
      </c>
      <c r="AA1834" s="5">
        <v>30</v>
      </c>
      <c r="AB1834" s="5">
        <v>560.95889999999997</v>
      </c>
      <c r="AC1834" s="5" t="str">
        <f t="shared" si="88"/>
        <v>Bonos</v>
      </c>
      <c r="AD1834" s="5" t="s">
        <v>43</v>
      </c>
      <c r="AE1834" s="5">
        <f t="shared" si="89"/>
        <v>5</v>
      </c>
      <c r="AF1834" s="5">
        <f t="shared" si="90"/>
        <v>2024</v>
      </c>
    </row>
    <row r="1835" s="5" customFormat="1" ht="13">
      <c r="A1835" s="5" t="s">
        <v>44</v>
      </c>
      <c r="B1835" s="5" t="s">
        <v>44</v>
      </c>
      <c r="C1835" s="5" t="s">
        <v>222</v>
      </c>
      <c r="D1835" s="5" t="s">
        <v>21</v>
      </c>
      <c r="E1835" s="5" t="s">
        <v>44</v>
      </c>
      <c r="F1835" s="5" t="s">
        <v>68</v>
      </c>
      <c r="G1835" s="5" t="s">
        <v>91</v>
      </c>
      <c r="H1835" s="9" t="s">
        <v>223</v>
      </c>
      <c r="I1835" s="10"/>
      <c r="J1835" s="10">
        <v>45435</v>
      </c>
      <c r="K1835" s="5" t="s">
        <v>127</v>
      </c>
      <c r="L1835" s="5" t="s">
        <v>50</v>
      </c>
      <c r="M1835" s="11">
        <v>0.070000000000000007</v>
      </c>
      <c r="N1835" s="5" t="e">
        <f>IF(AND(M1835&gt;#REF!,Cartera!O1835="Guaraníes"),"Rendimiento significativo",IF(AND(M1835&gt;#REF!,Cartera!O1835="Dólares americanos"),"Rendimiento significativo","Rendimiento no significativo"))</f>
        <v>#REF!</v>
      </c>
      <c r="O1835" s="5" t="s">
        <v>51</v>
      </c>
      <c r="P1835" s="13">
        <v>1745.2055</v>
      </c>
      <c r="Q1835" s="12" t="e">
        <f>IF(O1835="Guaraníes",P1835,P1835*#REF!)</f>
        <v>#REF!</v>
      </c>
      <c r="R1835" s="12">
        <f>IF(O1835="Guaraníes",P1835/#REF!,P1835)</f>
        <v>1745.2055</v>
      </c>
      <c r="S1835" s="5" t="s">
        <v>52</v>
      </c>
      <c r="T1835" s="5">
        <v>3253</v>
      </c>
      <c r="W1835" s="5" t="s">
        <v>65</v>
      </c>
      <c r="X1835" s="5">
        <v>0</v>
      </c>
      <c r="Y1835" s="5">
        <v>0</v>
      </c>
      <c r="Z1835" s="5">
        <v>34.904110000000003</v>
      </c>
      <c r="AA1835" s="5">
        <v>50</v>
      </c>
      <c r="AB1835" s="5">
        <v>1745.2055</v>
      </c>
      <c r="AC1835" s="5" t="str">
        <f t="shared" si="88"/>
        <v>Bonos</v>
      </c>
      <c r="AD1835" s="5" t="s">
        <v>43</v>
      </c>
      <c r="AE1835" s="5">
        <f t="shared" si="89"/>
        <v>5</v>
      </c>
      <c r="AF1835" s="5">
        <f t="shared" si="90"/>
        <v>2024</v>
      </c>
    </row>
    <row r="1836" s="5" customFormat="1" ht="13">
      <c r="A1836" s="5" t="s">
        <v>44</v>
      </c>
      <c r="B1836" s="5" t="s">
        <v>44</v>
      </c>
      <c r="C1836" s="5" t="s">
        <v>143</v>
      </c>
      <c r="D1836" s="5" t="s">
        <v>21</v>
      </c>
      <c r="E1836" s="5" t="s">
        <v>44</v>
      </c>
      <c r="F1836" s="5" t="s">
        <v>144</v>
      </c>
      <c r="G1836" s="5" t="s">
        <v>91</v>
      </c>
      <c r="H1836" s="9" t="s">
        <v>380</v>
      </c>
      <c r="I1836" s="10"/>
      <c r="J1836" s="10">
        <v>45443</v>
      </c>
      <c r="K1836" s="5" t="s">
        <v>49</v>
      </c>
      <c r="L1836" s="5" t="s">
        <v>106</v>
      </c>
      <c r="M1836" s="11">
        <v>0.059999999999999998</v>
      </c>
      <c r="N1836" s="5" t="e">
        <f>IF(AND(M1836&gt;#REF!,Cartera!O1836="Guaraníes"),"Rendimiento significativo",IF(AND(M1836&gt;#REF!,Cartera!O1836="Dólares americanos"),"Rendimiento significativo","Rendimiento no significativo"))</f>
        <v>#REF!</v>
      </c>
      <c r="O1836" s="5" t="s">
        <v>51</v>
      </c>
      <c r="P1836" s="13">
        <v>50.9589</v>
      </c>
      <c r="Q1836" s="12" t="e">
        <f>IF(O1836="Guaraníes",P1836,P1836*#REF!)</f>
        <v>#REF!</v>
      </c>
      <c r="R1836" s="12">
        <f>IF(O1836="Guaraníes",P1836/#REF!,P1836)</f>
        <v>50.9589</v>
      </c>
      <c r="S1836" s="5" t="s">
        <v>52</v>
      </c>
      <c r="T1836" s="5">
        <v>3253</v>
      </c>
      <c r="W1836" s="5" t="s">
        <v>65</v>
      </c>
      <c r="X1836" s="5">
        <v>0</v>
      </c>
      <c r="Y1836" s="5">
        <v>0</v>
      </c>
      <c r="Z1836" s="5">
        <v>5.0958899999999998</v>
      </c>
      <c r="AA1836" s="5">
        <v>10</v>
      </c>
      <c r="AB1836" s="5">
        <v>50.9589</v>
      </c>
      <c r="AC1836" s="5" t="str">
        <f t="shared" si="88"/>
        <v>Bonos</v>
      </c>
      <c r="AD1836" s="5" t="s">
        <v>43</v>
      </c>
      <c r="AE1836" s="5">
        <f t="shared" si="89"/>
        <v>5</v>
      </c>
      <c r="AF1836" s="5">
        <f t="shared" si="90"/>
        <v>2024</v>
      </c>
    </row>
    <row r="1837" s="5" customFormat="1" ht="13">
      <c r="A1837" s="5" t="s">
        <v>44</v>
      </c>
      <c r="B1837" s="5" t="s">
        <v>44</v>
      </c>
      <c r="C1837" s="5" t="s">
        <v>164</v>
      </c>
      <c r="D1837" s="5" t="s">
        <v>21</v>
      </c>
      <c r="E1837" s="5" t="s">
        <v>44</v>
      </c>
      <c r="F1837" s="5" t="s">
        <v>68</v>
      </c>
      <c r="G1837" s="5" t="s">
        <v>91</v>
      </c>
      <c r="H1837" s="9" t="s">
        <v>166</v>
      </c>
      <c r="I1837" s="10"/>
      <c r="J1837" s="10">
        <v>45443</v>
      </c>
      <c r="K1837" s="5" t="s">
        <v>124</v>
      </c>
      <c r="L1837" s="5" t="s">
        <v>58</v>
      </c>
      <c r="M1837" s="11">
        <v>0.092499999999999999</v>
      </c>
      <c r="N1837" s="5" t="e">
        <f>IF(AND(M1837&gt;#REF!,Cartera!O1837="Guaraníes"),"Rendimiento significativo",IF(AND(M1837&gt;#REF!,Cartera!O1837="Dólares americanos"),"Rendimiento significativo","Rendimiento no significativo"))</f>
        <v>#REF!</v>
      </c>
      <c r="O1837" s="5" t="s">
        <v>41</v>
      </c>
      <c r="P1837" s="12">
        <v>1178424.6576</v>
      </c>
      <c r="Q1837" s="12">
        <f>IF(O1837="Guaraníes",P1837,P1837*#REF!)</f>
        <v>1178424.6576</v>
      </c>
      <c r="R1837" s="12" t="e">
        <f>IF(O1837="Guaraníes",P1837/#REF!,P1837)</f>
        <v>#REF!</v>
      </c>
      <c r="S1837" s="5" t="s">
        <v>52</v>
      </c>
      <c r="T1837" s="5">
        <v>3253</v>
      </c>
      <c r="W1837" s="5" t="s">
        <v>65</v>
      </c>
      <c r="X1837" s="5">
        <v>0</v>
      </c>
      <c r="Y1837" s="5">
        <v>0</v>
      </c>
      <c r="Z1837" s="5">
        <v>7856.1643839999997</v>
      </c>
      <c r="AA1837" s="5">
        <v>150</v>
      </c>
      <c r="AB1837" s="5">
        <v>1178424.6576</v>
      </c>
      <c r="AC1837" s="5" t="str">
        <f t="shared" si="88"/>
        <v>Bonos</v>
      </c>
      <c r="AD1837" s="5" t="s">
        <v>43</v>
      </c>
      <c r="AE1837" s="5">
        <f t="shared" si="89"/>
        <v>5</v>
      </c>
      <c r="AF1837" s="5">
        <f t="shared" si="90"/>
        <v>2024</v>
      </c>
    </row>
    <row r="1838" s="5" customFormat="1" ht="13">
      <c r="A1838" s="5" t="s">
        <v>44</v>
      </c>
      <c r="B1838" s="5" t="s">
        <v>44</v>
      </c>
      <c r="C1838" s="5" t="s">
        <v>67</v>
      </c>
      <c r="D1838" s="5" t="s">
        <v>21</v>
      </c>
      <c r="E1838" s="5" t="s">
        <v>44</v>
      </c>
      <c r="F1838" s="5" t="s">
        <v>68</v>
      </c>
      <c r="G1838" s="5" t="s">
        <v>91</v>
      </c>
      <c r="H1838" s="9" t="s">
        <v>110</v>
      </c>
      <c r="I1838" s="10"/>
      <c r="J1838" s="10">
        <v>45489</v>
      </c>
      <c r="K1838" s="5" t="s">
        <v>71</v>
      </c>
      <c r="L1838" s="5" t="s">
        <v>58</v>
      </c>
      <c r="M1838" s="11">
        <v>0.089999999999999997</v>
      </c>
      <c r="N1838" s="5" t="e">
        <f>IF(AND(M1838&gt;#REF!,Cartera!O1838="Guaraníes"),"Rendimiento significativo",IF(AND(M1838&gt;#REF!,Cartera!O1838="Dólares americanos"),"Rendimiento significativo","Rendimiento no significativo"))</f>
        <v>#REF!</v>
      </c>
      <c r="O1838" s="5" t="s">
        <v>51</v>
      </c>
      <c r="P1838" s="25">
        <v>82.489999999999995</v>
      </c>
      <c r="Q1838" s="12" t="e">
        <f>IF(O1838="Guaraníes",P1838,P1838*#REF!)</f>
        <v>#REF!</v>
      </c>
      <c r="R1838" s="26">
        <f>IF(O1838="Guaraníes",P1838/#REF!,P1838)</f>
        <v>82.489999999999995</v>
      </c>
      <c r="S1838" s="5" t="s">
        <v>52</v>
      </c>
      <c r="T1838" s="5">
        <v>3253</v>
      </c>
      <c r="W1838" s="5" t="s">
        <v>65</v>
      </c>
      <c r="X1838" s="5">
        <v>10</v>
      </c>
      <c r="Y1838" s="5">
        <v>100</v>
      </c>
      <c r="Z1838" s="5">
        <v>104.013014</v>
      </c>
      <c r="AA1838" s="5">
        <v>15</v>
      </c>
      <c r="AB1838" s="5">
        <v>1560.1952100000001</v>
      </c>
      <c r="AC1838" s="5" t="str">
        <f t="shared" si="88"/>
        <v>Bonos</v>
      </c>
      <c r="AD1838" s="5" t="s">
        <v>43</v>
      </c>
      <c r="AE1838" s="5">
        <f t="shared" si="89"/>
        <v>7</v>
      </c>
      <c r="AF1838" s="5">
        <f t="shared" si="90"/>
        <v>2024</v>
      </c>
    </row>
    <row r="1839" s="5" customFormat="1" ht="13">
      <c r="A1839" s="5" t="s">
        <v>44</v>
      </c>
      <c r="B1839" s="5" t="s">
        <v>44</v>
      </c>
      <c r="C1839" s="5" t="s">
        <v>143</v>
      </c>
      <c r="D1839" s="5" t="s">
        <v>21</v>
      </c>
      <c r="E1839" s="5" t="s">
        <v>44</v>
      </c>
      <c r="F1839" s="5" t="s">
        <v>144</v>
      </c>
      <c r="G1839" s="5" t="s">
        <v>91</v>
      </c>
      <c r="H1839" s="9" t="s">
        <v>380</v>
      </c>
      <c r="I1839" s="10"/>
      <c r="J1839" s="10">
        <v>45471</v>
      </c>
      <c r="K1839" s="5" t="s">
        <v>49</v>
      </c>
      <c r="L1839" s="5" t="s">
        <v>106</v>
      </c>
      <c r="M1839" s="11">
        <v>0.059999999999999998</v>
      </c>
      <c r="N1839" s="5" t="e">
        <f>IF(AND(M1839&gt;#REF!,Cartera!O1839="Guaraníes"),"Rendimiento significativo",IF(AND(M1839&gt;#REF!,Cartera!O1839="Dólares americanos"),"Rendimiento significativo","Rendimiento no significativo"))</f>
        <v>#REF!</v>
      </c>
      <c r="O1839" s="5" t="s">
        <v>51</v>
      </c>
      <c r="P1839" s="13">
        <v>46.0274</v>
      </c>
      <c r="Q1839" s="12" t="e">
        <f>IF(O1839="Guaraníes",P1839,P1839*#REF!)</f>
        <v>#REF!</v>
      </c>
      <c r="R1839" s="12">
        <f>IF(O1839="Guaraníes",P1839/#REF!,P1839)</f>
        <v>46.0274</v>
      </c>
      <c r="S1839" s="5" t="s">
        <v>52</v>
      </c>
      <c r="T1839" s="5">
        <v>3253</v>
      </c>
      <c r="W1839" s="5" t="s">
        <v>65</v>
      </c>
      <c r="X1839" s="5">
        <v>0</v>
      </c>
      <c r="Y1839" s="5">
        <v>0</v>
      </c>
      <c r="Z1839" s="5">
        <v>4.6027399999999998</v>
      </c>
      <c r="AA1839" s="5">
        <v>10</v>
      </c>
      <c r="AB1839" s="5">
        <v>46.0274</v>
      </c>
      <c r="AC1839" s="5" t="str">
        <f t="shared" si="88"/>
        <v>Bonos</v>
      </c>
      <c r="AD1839" s="5" t="s">
        <v>43</v>
      </c>
      <c r="AE1839" s="5">
        <f t="shared" si="89"/>
        <v>6</v>
      </c>
      <c r="AF1839" s="5">
        <f t="shared" si="90"/>
        <v>2024</v>
      </c>
    </row>
    <row r="1840" s="5" customFormat="1" ht="13">
      <c r="A1840" s="5" t="s">
        <v>44</v>
      </c>
      <c r="B1840" s="5" t="s">
        <v>44</v>
      </c>
      <c r="C1840" s="5" t="s">
        <v>164</v>
      </c>
      <c r="D1840" s="5" t="s">
        <v>21</v>
      </c>
      <c r="E1840" s="5" t="s">
        <v>44</v>
      </c>
      <c r="F1840" s="5" t="s">
        <v>68</v>
      </c>
      <c r="G1840" s="5" t="s">
        <v>91</v>
      </c>
      <c r="H1840" s="9" t="s">
        <v>166</v>
      </c>
      <c r="I1840" s="10"/>
      <c r="J1840" s="10">
        <v>45471</v>
      </c>
      <c r="K1840" s="5" t="s">
        <v>124</v>
      </c>
      <c r="L1840" s="5" t="s">
        <v>58</v>
      </c>
      <c r="M1840" s="11">
        <v>0.092499999999999999</v>
      </c>
      <c r="N1840" s="5" t="e">
        <f>IF(AND(M1840&gt;#REF!,Cartera!O1840="Guaraníes"),"Rendimiento significativo",IF(AND(M1840&gt;#REF!,Cartera!O1840="Dólares americanos"),"Rendimiento significativo","Rendimiento no significativo"))</f>
        <v>#REF!</v>
      </c>
      <c r="O1840" s="5" t="s">
        <v>41</v>
      </c>
      <c r="P1840" s="12">
        <v>1064383.56165</v>
      </c>
      <c r="Q1840" s="12">
        <f>IF(O1840="Guaraníes",P1840,P1840*#REF!)</f>
        <v>1064383.56165</v>
      </c>
      <c r="R1840" s="12" t="e">
        <f>IF(O1840="Guaraníes",P1840/#REF!,P1840)</f>
        <v>#REF!</v>
      </c>
      <c r="S1840" s="5" t="s">
        <v>52</v>
      </c>
      <c r="T1840" s="5">
        <v>3253</v>
      </c>
      <c r="W1840" s="5" t="s">
        <v>65</v>
      </c>
      <c r="X1840" s="5">
        <v>0</v>
      </c>
      <c r="Y1840" s="5">
        <v>0</v>
      </c>
      <c r="Z1840" s="5">
        <v>7095.8904110000003</v>
      </c>
      <c r="AA1840" s="5">
        <v>150</v>
      </c>
      <c r="AB1840" s="5">
        <v>1064383.56165</v>
      </c>
      <c r="AC1840" s="5" t="str">
        <f t="shared" si="88"/>
        <v>Bonos</v>
      </c>
      <c r="AD1840" s="5" t="s">
        <v>43</v>
      </c>
      <c r="AE1840" s="5">
        <f t="shared" si="89"/>
        <v>6</v>
      </c>
      <c r="AF1840" s="5">
        <f t="shared" si="90"/>
        <v>2024</v>
      </c>
    </row>
    <row r="1841" s="5" customFormat="1" ht="13">
      <c r="A1841" s="5" t="s">
        <v>44</v>
      </c>
      <c r="B1841" s="5" t="s">
        <v>44</v>
      </c>
      <c r="C1841" s="5" t="s">
        <v>116</v>
      </c>
      <c r="D1841" s="5" t="s">
        <v>21</v>
      </c>
      <c r="E1841" s="5" t="s">
        <v>44</v>
      </c>
      <c r="F1841" s="5" t="s">
        <v>68</v>
      </c>
      <c r="H1841" s="9">
        <v>6208</v>
      </c>
      <c r="I1841" s="10"/>
      <c r="J1841" s="10">
        <v>45607</v>
      </c>
      <c r="K1841" s="5" t="s">
        <v>118</v>
      </c>
      <c r="L1841" s="5" t="s">
        <v>82</v>
      </c>
      <c r="M1841" s="11">
        <v>0.080000000000000002</v>
      </c>
      <c r="N1841" s="5" t="e">
        <f>IF(AND(M1841&gt;#REF!,Cartera!O1841="Guaraníes"),"Rendimiento significativo",IF(AND(M1841&gt;#REF!,Cartera!O1841="Dólares americanos"),"Rendimiento significativo","Rendimiento no significativo"))</f>
        <v>#REF!</v>
      </c>
      <c r="O1841" s="5" t="s">
        <v>41</v>
      </c>
      <c r="P1841" s="12">
        <v>2014466</v>
      </c>
      <c r="Q1841" s="12">
        <f>IF(O1841="Guaraníes",P1841,P1841*#REF!)</f>
        <v>2014466</v>
      </c>
      <c r="R1841" s="12" t="e">
        <f>IF(O1841="Guaraníes",P1841/#REF!,P1841)</f>
        <v>#REF!</v>
      </c>
      <c r="S1841" s="5" t="s">
        <v>52</v>
      </c>
      <c r="V1841" s="5">
        <v>2014466</v>
      </c>
      <c r="W1841" s="5" t="s">
        <v>386</v>
      </c>
      <c r="AC1841" s="5" t="str">
        <f t="shared" si="88"/>
        <v>CDA</v>
      </c>
      <c r="AD1841" s="5" t="s">
        <v>43</v>
      </c>
      <c r="AE1841" s="5">
        <f t="shared" si="89"/>
        <v>11</v>
      </c>
      <c r="AF1841" s="5">
        <f t="shared" si="90"/>
        <v>2024</v>
      </c>
    </row>
    <row r="1842" s="5" customFormat="1" ht="13">
      <c r="A1842" s="5" t="s">
        <v>44</v>
      </c>
      <c r="B1842" s="5" t="s">
        <v>44</v>
      </c>
      <c r="C1842" s="5" t="s">
        <v>89</v>
      </c>
      <c r="D1842" s="5" t="s">
        <v>21</v>
      </c>
      <c r="E1842" s="5" t="s">
        <v>44</v>
      </c>
      <c r="F1842" s="5" t="s">
        <v>90</v>
      </c>
      <c r="G1842" s="5" t="s">
        <v>91</v>
      </c>
      <c r="H1842" s="9" t="s">
        <v>92</v>
      </c>
      <c r="I1842" s="10"/>
      <c r="J1842" s="10">
        <v>45491</v>
      </c>
      <c r="K1842" s="5" t="s">
        <v>93</v>
      </c>
      <c r="L1842" s="5" t="s">
        <v>58</v>
      </c>
      <c r="M1842" s="11">
        <v>0.080000000000000002</v>
      </c>
      <c r="N1842" s="5" t="e">
        <f>IF(AND(M1842&gt;#REF!,Cartera!O1842="Guaraníes"),"Rendimiento significativo",IF(AND(M1842&gt;#REF!,Cartera!O1842="Dólares americanos"),"Rendimiento significativo","Rendimiento no significativo"))</f>
        <v>#REF!</v>
      </c>
      <c r="O1842" s="5" t="s">
        <v>51</v>
      </c>
      <c r="P1842" s="13">
        <v>299.17807500000004</v>
      </c>
      <c r="Q1842" s="12" t="e">
        <f>IF(O1842="Guaraníes",P1842,P1842*#REF!)</f>
        <v>#REF!</v>
      </c>
      <c r="R1842" s="12">
        <f>IF(O1842="Guaraníes",P1842/#REF!,P1842)</f>
        <v>299.17807500000004</v>
      </c>
      <c r="S1842" s="5" t="s">
        <v>52</v>
      </c>
      <c r="T1842" s="5">
        <v>3253</v>
      </c>
      <c r="W1842" s="5" t="s">
        <v>65</v>
      </c>
      <c r="X1842" s="5">
        <v>0</v>
      </c>
      <c r="Y1842" s="5">
        <v>0</v>
      </c>
      <c r="Z1842" s="5">
        <v>19.945205000000001</v>
      </c>
      <c r="AA1842" s="5">
        <v>15</v>
      </c>
      <c r="AB1842" s="5">
        <v>299.17807499999998</v>
      </c>
      <c r="AC1842" s="5" t="str">
        <f t="shared" si="88"/>
        <v>Bonos</v>
      </c>
      <c r="AD1842" s="5" t="s">
        <v>43</v>
      </c>
      <c r="AE1842" s="5">
        <f t="shared" si="89"/>
        <v>7</v>
      </c>
      <c r="AF1842" s="5">
        <f t="shared" si="90"/>
        <v>2024</v>
      </c>
    </row>
    <row r="1843" s="5" customFormat="1" ht="13">
      <c r="A1843" s="5" t="s">
        <v>44</v>
      </c>
      <c r="B1843" s="5" t="s">
        <v>44</v>
      </c>
      <c r="C1843" s="5" t="s">
        <v>143</v>
      </c>
      <c r="D1843" s="5" t="s">
        <v>21</v>
      </c>
      <c r="E1843" s="5" t="s">
        <v>44</v>
      </c>
      <c r="F1843" s="5" t="s">
        <v>144</v>
      </c>
      <c r="G1843" s="5" t="s">
        <v>91</v>
      </c>
      <c r="H1843" s="9" t="s">
        <v>380</v>
      </c>
      <c r="I1843" s="10"/>
      <c r="J1843" s="10">
        <v>45504</v>
      </c>
      <c r="K1843" s="5" t="s">
        <v>49</v>
      </c>
      <c r="L1843" s="5" t="s">
        <v>106</v>
      </c>
      <c r="M1843" s="11">
        <v>0.059999999999999998</v>
      </c>
      <c r="N1843" s="5" t="e">
        <f>IF(AND(M1843&gt;#REF!,Cartera!O1843="Guaraníes"),"Rendimiento significativo",IF(AND(M1843&gt;#REF!,Cartera!O1843="Dólares americanos"),"Rendimiento significativo","Rendimiento no significativo"))</f>
        <v>#REF!</v>
      </c>
      <c r="O1843" s="5" t="s">
        <v>51</v>
      </c>
      <c r="P1843" s="13">
        <v>54.246580000000002</v>
      </c>
      <c r="Q1843" s="12" t="e">
        <f>IF(O1843="Guaraníes",P1843,P1843*#REF!)</f>
        <v>#REF!</v>
      </c>
      <c r="R1843" s="12">
        <f>IF(O1843="Guaraníes",P1843/#REF!,P1843)</f>
        <v>54.246580000000002</v>
      </c>
      <c r="S1843" s="5" t="s">
        <v>52</v>
      </c>
      <c r="T1843" s="5">
        <v>3253</v>
      </c>
      <c r="W1843" s="5" t="s">
        <v>65</v>
      </c>
      <c r="X1843" s="5">
        <v>0</v>
      </c>
      <c r="Y1843" s="5">
        <v>0</v>
      </c>
      <c r="Z1843" s="5">
        <v>5.424658</v>
      </c>
      <c r="AA1843" s="5">
        <v>10</v>
      </c>
      <c r="AB1843" s="5">
        <v>54.246580000000002</v>
      </c>
      <c r="AC1843" s="5" t="str">
        <f t="shared" si="88"/>
        <v>Bonos</v>
      </c>
      <c r="AD1843" s="5" t="s">
        <v>43</v>
      </c>
      <c r="AE1843" s="5">
        <f t="shared" si="89"/>
        <v>7</v>
      </c>
      <c r="AF1843" s="5">
        <f t="shared" si="90"/>
        <v>2024</v>
      </c>
    </row>
    <row r="1844" s="5" customFormat="1" ht="13">
      <c r="A1844" s="5" t="s">
        <v>44</v>
      </c>
      <c r="B1844" s="5" t="s">
        <v>44</v>
      </c>
      <c r="C1844" s="5" t="s">
        <v>164</v>
      </c>
      <c r="D1844" s="5" t="s">
        <v>21</v>
      </c>
      <c r="E1844" s="5" t="s">
        <v>44</v>
      </c>
      <c r="F1844" s="5" t="s">
        <v>68</v>
      </c>
      <c r="G1844" s="5" t="s">
        <v>91</v>
      </c>
      <c r="H1844" s="9" t="s">
        <v>166</v>
      </c>
      <c r="I1844" s="10"/>
      <c r="J1844" s="10">
        <v>45504</v>
      </c>
      <c r="K1844" s="5" t="s">
        <v>124</v>
      </c>
      <c r="L1844" s="5" t="s">
        <v>58</v>
      </c>
      <c r="M1844" s="11">
        <v>0.092499999999999999</v>
      </c>
      <c r="N1844" s="5" t="e">
        <f>IF(AND(M1844&gt;#REF!,Cartera!O1844="Guaraníes"),"Rendimiento significativo",IF(AND(M1844&gt;#REF!,Cartera!O1844="Dólares americanos"),"Rendimiento significativo","Rendimiento no significativo"))</f>
        <v>#REF!</v>
      </c>
      <c r="O1844" s="5" t="s">
        <v>41</v>
      </c>
      <c r="P1844" s="12">
        <v>1254452.05485</v>
      </c>
      <c r="Q1844" s="12">
        <f>IF(O1844="Guaraníes",P1844,P1844*#REF!)</f>
        <v>1254452.05485</v>
      </c>
      <c r="R1844" s="12" t="e">
        <f>IF(O1844="Guaraníes",P1844/#REF!,P1844)</f>
        <v>#REF!</v>
      </c>
      <c r="S1844" s="5" t="s">
        <v>52</v>
      </c>
      <c r="T1844" s="5">
        <v>3253</v>
      </c>
      <c r="W1844" s="5" t="s">
        <v>65</v>
      </c>
      <c r="X1844" s="5">
        <v>0</v>
      </c>
      <c r="Y1844" s="5">
        <v>0</v>
      </c>
      <c r="Z1844" s="5">
        <v>8363.0136989999992</v>
      </c>
      <c r="AA1844" s="5">
        <v>150</v>
      </c>
      <c r="AB1844" s="5">
        <v>1254452.05485</v>
      </c>
      <c r="AC1844" s="5" t="str">
        <f t="shared" si="88"/>
        <v>Bonos</v>
      </c>
      <c r="AD1844" s="5" t="s">
        <v>43</v>
      </c>
      <c r="AE1844" s="5">
        <f t="shared" si="89"/>
        <v>7</v>
      </c>
      <c r="AF1844" s="5">
        <f t="shared" si="90"/>
        <v>2024</v>
      </c>
    </row>
    <row r="1845" s="5" customFormat="1" ht="13">
      <c r="A1845" s="5" t="s">
        <v>44</v>
      </c>
      <c r="B1845" s="5" t="s">
        <v>44</v>
      </c>
      <c r="C1845" s="5" t="s">
        <v>99</v>
      </c>
      <c r="D1845" s="5" t="s">
        <v>21</v>
      </c>
      <c r="E1845" s="5" t="s">
        <v>44</v>
      </c>
      <c r="F1845" s="5" t="s">
        <v>100</v>
      </c>
      <c r="G1845" s="5" t="s">
        <v>91</v>
      </c>
      <c r="H1845" s="9" t="s">
        <v>174</v>
      </c>
      <c r="I1845" s="20">
        <v>44971</v>
      </c>
      <c r="J1845" s="10">
        <v>45519</v>
      </c>
      <c r="K1845" s="5" t="s">
        <v>102</v>
      </c>
      <c r="L1845" s="5" t="s">
        <v>102</v>
      </c>
      <c r="M1845" s="11">
        <v>0.090300000000000005</v>
      </c>
      <c r="N1845" s="5" t="e">
        <f>IF(AND(M1845&gt;#REF!,Cartera!O1845="Guaraníes"),"Rendimiento significativo",IF(AND(M1845&gt;#REF!,Cartera!O1845="Dólares americanos"),"Rendimiento significativo","Rendimiento no significativo"))</f>
        <v>#REF!</v>
      </c>
      <c r="O1845" s="5" t="s">
        <v>41</v>
      </c>
      <c r="P1845" s="12">
        <v>20407800</v>
      </c>
      <c r="Q1845" s="12">
        <f>IF(O1845="Guaraníes",P1845,P1845*#REF!)</f>
        <v>20407800</v>
      </c>
      <c r="R1845" s="12" t="e">
        <f>IF(O1845="Guaraníes",P1845/#REF!,P1845)</f>
        <v>#REF!</v>
      </c>
      <c r="S1845" s="5" t="s">
        <v>52</v>
      </c>
      <c r="AC1845" s="5" t="str">
        <f t="shared" si="88"/>
        <v>Bonos</v>
      </c>
      <c r="AD1845" s="5" t="s">
        <v>43</v>
      </c>
      <c r="AE1845" s="5">
        <f t="shared" si="89"/>
        <v>8</v>
      </c>
      <c r="AF1845" s="5">
        <f t="shared" si="90"/>
        <v>2024</v>
      </c>
    </row>
    <row r="1846" s="5" customFormat="1" ht="13">
      <c r="A1846" s="5" t="s">
        <v>44</v>
      </c>
      <c r="B1846" s="5" t="s">
        <v>44</v>
      </c>
      <c r="C1846" s="5" t="s">
        <v>67</v>
      </c>
      <c r="D1846" s="5" t="s">
        <v>21</v>
      </c>
      <c r="E1846" s="5" t="s">
        <v>44</v>
      </c>
      <c r="F1846" s="5" t="s">
        <v>68</v>
      </c>
      <c r="G1846" s="5" t="s">
        <v>69</v>
      </c>
      <c r="H1846" s="9" t="s">
        <v>70</v>
      </c>
      <c r="I1846" s="10"/>
      <c r="J1846" s="10">
        <v>45493</v>
      </c>
      <c r="K1846" s="5" t="s">
        <v>71</v>
      </c>
      <c r="L1846" s="5" t="s">
        <v>58</v>
      </c>
      <c r="M1846" s="11">
        <v>0.067500000000000004</v>
      </c>
      <c r="N1846" s="5" t="e">
        <f>IF(AND(M1846&gt;#REF!,Cartera!O1846="Guaraníes"),"Rendimiento significativo",IF(AND(M1846&gt;#REF!,Cartera!O1846="Dólares americanos"),"Rendimiento significativo","Rendimiento no significativo"))</f>
        <v>#REF!</v>
      </c>
      <c r="O1846" s="5" t="s">
        <v>51</v>
      </c>
      <c r="P1846" s="13">
        <v>49.82</v>
      </c>
      <c r="Q1846" s="12" t="e">
        <f>IF(O1846="Guaraníes",P1846,P1846*#REF!)</f>
        <v>#REF!</v>
      </c>
      <c r="R1846" s="12">
        <f>IF(O1846="Guaraníes",P1846/#REF!,P1846)</f>
        <v>49.82</v>
      </c>
      <c r="S1846" s="5" t="s">
        <v>52</v>
      </c>
      <c r="T1846" s="5">
        <v>593</v>
      </c>
      <c r="W1846" s="5" t="s">
        <v>134</v>
      </c>
      <c r="X1846" s="5">
        <v>4.1666666667000003</v>
      </c>
      <c r="Y1846" s="5">
        <v>41.666666999999997</v>
      </c>
      <c r="Z1846" s="5">
        <v>47.116439</v>
      </c>
      <c r="AA1846" s="5">
        <v>8</v>
      </c>
      <c r="AB1846" s="5">
        <v>376.931512</v>
      </c>
      <c r="AC1846" s="5" t="str">
        <f t="shared" si="88"/>
        <v>Bonos</v>
      </c>
      <c r="AD1846" s="5" t="s">
        <v>43</v>
      </c>
      <c r="AE1846" s="5">
        <f t="shared" si="89"/>
        <v>7</v>
      </c>
      <c r="AF1846" s="5">
        <f t="shared" si="90"/>
        <v>2024</v>
      </c>
    </row>
    <row r="1847" s="5" customFormat="1" ht="13">
      <c r="A1847" s="5" t="s">
        <v>368</v>
      </c>
      <c r="B1847" s="5" t="s">
        <v>368</v>
      </c>
      <c r="C1847" s="5" t="s">
        <v>67</v>
      </c>
      <c r="D1847" s="5" t="s">
        <v>20</v>
      </c>
      <c r="E1847" s="5" t="s">
        <v>34</v>
      </c>
      <c r="F1847" s="5" t="s">
        <v>68</v>
      </c>
      <c r="G1847" s="5" t="s">
        <v>91</v>
      </c>
      <c r="H1847" s="9" t="s">
        <v>110</v>
      </c>
      <c r="I1847" s="20"/>
      <c r="J1847" s="10">
        <v>45520</v>
      </c>
      <c r="K1847" s="5" t="s">
        <v>71</v>
      </c>
      <c r="L1847" s="5" t="s">
        <v>58</v>
      </c>
      <c r="M1847" s="11">
        <v>0.089999999999999997</v>
      </c>
      <c r="N1847" s="5" t="e">
        <f>IF(AND(M1847&gt;#REF!,Cartera!O1847="Guaraníes"),"Rendimiento significativo",IF(AND(M1847&gt;#REF!,Cartera!O1847="Dólares americanos"),"Rendimiento significativo","Rendimiento no significativo"))</f>
        <v>#REF!</v>
      </c>
      <c r="O1847" s="5" t="s">
        <v>51</v>
      </c>
      <c r="P1847" s="13">
        <v>2000</v>
      </c>
      <c r="Q1847" s="12" t="e">
        <f>IF(O1847="Guaraníes",P1847,P1847*#REF!)</f>
        <v>#REF!</v>
      </c>
      <c r="R1847" s="12">
        <f>IF(O1847="Guaraníes",P1847/#REF!,P1847)</f>
        <v>2000</v>
      </c>
      <c r="S1847" s="5" t="s">
        <v>52</v>
      </c>
      <c r="AC1847" s="5" t="str">
        <f t="shared" ref="AC1847:AC1910" si="91">IF(ISNUMBER(SEARCH("Acciones",L1847)),"Acciones",IF(ISNUMBER(SEARCH("Bono",L1847)),"Bonos",IF(ISNUMBER(SEARCH("CDA",L1847)),"CDA",IF(ISNUMBER(SEARCH("Fondo",L1847)),"Fondo",0))))</f>
        <v>Bonos</v>
      </c>
      <c r="AD1847" s="5" t="s">
        <v>43</v>
      </c>
      <c r="AE1847" s="5">
        <f t="shared" si="89"/>
        <v>8</v>
      </c>
      <c r="AF1847" s="5">
        <f t="shared" si="90"/>
        <v>2024</v>
      </c>
    </row>
    <row r="1848" s="5" customFormat="1" ht="13">
      <c r="A1848" s="5">
        <v>12306</v>
      </c>
      <c r="B1848" s="5" t="s">
        <v>373</v>
      </c>
      <c r="C1848" s="5" t="s">
        <v>79</v>
      </c>
      <c r="D1848" s="5" t="s">
        <v>20</v>
      </c>
      <c r="E1848" s="5" t="s">
        <v>34</v>
      </c>
      <c r="F1848" s="5" t="s">
        <v>68</v>
      </c>
      <c r="H1848" s="9" t="s">
        <v>109</v>
      </c>
      <c r="I1848" s="10">
        <v>45314</v>
      </c>
      <c r="J1848" s="10">
        <v>45680</v>
      </c>
      <c r="K1848" s="5" t="s">
        <v>81</v>
      </c>
      <c r="L1848" s="5" t="s">
        <v>82</v>
      </c>
      <c r="M1848" s="11">
        <v>0.098000000000000004</v>
      </c>
      <c r="N1848" s="5" t="e">
        <f>IF(AND(M1848&gt;#REF!,Cartera!O1848="Guaraníes"),"Rendimiento significativo",IF(AND(M1848&gt;#REF!,Cartera!O1848="Dólares americanos"),"Rendimiento significativo","Rendimiento no significativo"))</f>
        <v>#REF!</v>
      </c>
      <c r="O1848" s="5" t="s">
        <v>41</v>
      </c>
      <c r="P1848" s="12">
        <v>105000000</v>
      </c>
      <c r="Q1848" s="12">
        <f>IF(O1848="Guaraníes",P1848,P1848*#REF!)</f>
        <v>105000000</v>
      </c>
      <c r="R1848" s="12" t="e">
        <f>IF(O1848="Guaraníes",P1848/#REF!,P1848)</f>
        <v>#REF!</v>
      </c>
      <c r="S1848" s="5" t="s">
        <v>42</v>
      </c>
      <c r="AC1848" s="5" t="str">
        <f t="shared" si="91"/>
        <v>CDA</v>
      </c>
      <c r="AD1848" s="5" t="s">
        <v>43</v>
      </c>
      <c r="AE1848" s="5">
        <f t="shared" si="89"/>
        <v>1</v>
      </c>
      <c r="AF1848" s="5">
        <f t="shared" si="90"/>
        <v>2025</v>
      </c>
    </row>
    <row r="1849" s="5" customFormat="1" ht="13">
      <c r="A1849" s="5" t="s">
        <v>44</v>
      </c>
      <c r="B1849" s="5" t="s">
        <v>44</v>
      </c>
      <c r="C1849" s="5" t="s">
        <v>122</v>
      </c>
      <c r="D1849" s="5" t="s">
        <v>21</v>
      </c>
      <c r="E1849" s="5" t="s">
        <v>34</v>
      </c>
      <c r="F1849" s="5" t="s">
        <v>61</v>
      </c>
      <c r="G1849" s="5" t="s">
        <v>91</v>
      </c>
      <c r="H1849" s="9" t="s">
        <v>132</v>
      </c>
      <c r="I1849" s="10"/>
      <c r="J1849" s="10">
        <v>45588</v>
      </c>
      <c r="K1849" s="5" t="s">
        <v>124</v>
      </c>
      <c r="L1849" s="5" t="s">
        <v>50</v>
      </c>
      <c r="M1849" s="11">
        <v>0.059999999999999998</v>
      </c>
      <c r="N1849" s="5" t="e">
        <f>IF(AND(M1849&gt;#REF!,Cartera!O1849="Guaraníes"),"Rendimiento significativo",IF(AND(M1849&gt;#REF!,Cartera!O1849="Dólares americanos"),"Rendimiento significativo","Rendimiento no significativo"))</f>
        <v>#REF!</v>
      </c>
      <c r="O1849" s="5" t="s">
        <v>51</v>
      </c>
      <c r="P1849" s="13">
        <v>299.17808000000002</v>
      </c>
      <c r="Q1849" s="12" t="e">
        <f>IF(O1849="Guaraníes",P1849,P1849*#REF!)</f>
        <v>#REF!</v>
      </c>
      <c r="R1849" s="12">
        <f>IF(O1849="Guaraníes",P1849/#REF!,P1849)</f>
        <v>299.17808000000002</v>
      </c>
      <c r="S1849" s="5" t="s">
        <v>52</v>
      </c>
      <c r="T1849" s="5">
        <v>3253</v>
      </c>
      <c r="W1849" s="5" t="s">
        <v>65</v>
      </c>
      <c r="X1849" s="5">
        <v>0</v>
      </c>
      <c r="Y1849" s="5">
        <v>0</v>
      </c>
      <c r="Z1849" s="5">
        <v>29.917808000000001</v>
      </c>
      <c r="AA1849" s="5">
        <v>10</v>
      </c>
      <c r="AB1849" s="5">
        <v>299.17808000000002</v>
      </c>
      <c r="AC1849" s="5" t="str">
        <f t="shared" si="91"/>
        <v>Bonos</v>
      </c>
      <c r="AD1849" s="5" t="s">
        <v>43</v>
      </c>
      <c r="AE1849" s="5">
        <f t="shared" si="89"/>
        <v>10</v>
      </c>
      <c r="AF1849" s="5">
        <f t="shared" si="90"/>
        <v>2024</v>
      </c>
    </row>
    <row r="1850" s="5" customFormat="1" ht="13">
      <c r="A1850" s="5" t="s">
        <v>44</v>
      </c>
      <c r="B1850" s="5" t="s">
        <v>44</v>
      </c>
      <c r="C1850" s="5" t="s">
        <v>33</v>
      </c>
      <c r="D1850" s="5" t="s">
        <v>21</v>
      </c>
      <c r="E1850" s="5" t="s">
        <v>44</v>
      </c>
      <c r="F1850" s="5" t="s">
        <v>35</v>
      </c>
      <c r="H1850" s="9">
        <v>86</v>
      </c>
      <c r="I1850" s="10">
        <v>45043</v>
      </c>
      <c r="J1850" s="10">
        <v>45583</v>
      </c>
      <c r="K1850" s="5" t="s">
        <v>39</v>
      </c>
      <c r="L1850" s="5" t="s">
        <v>82</v>
      </c>
      <c r="M1850" s="11">
        <v>0.089999999999999997</v>
      </c>
      <c r="N1850" s="5" t="e">
        <f>IF(AND(M1850&gt;#REF!,Cartera!O1850="Guaraníes"),"Rendimiento significativo",IF(AND(M1850&gt;#REF!,Cartera!O1850="Dólares americanos"),"Rendimiento significativo","Rendimiento no significativo"))</f>
        <v>#REF!</v>
      </c>
      <c r="O1850" s="5" t="s">
        <v>41</v>
      </c>
      <c r="P1850" s="12">
        <v>10849315</v>
      </c>
      <c r="Q1850" s="12">
        <f>IF(O1850="Guaraníes",P1850,P1850*#REF!)</f>
        <v>10849315</v>
      </c>
      <c r="R1850" s="12" t="e">
        <f>IF(O1850="Guaraníes",P1850/#REF!,P1850)</f>
        <v>#REF!</v>
      </c>
      <c r="S1850" s="5" t="s">
        <v>52</v>
      </c>
      <c r="AC1850" s="5" t="str">
        <f t="shared" si="91"/>
        <v>CDA</v>
      </c>
      <c r="AD1850" s="5" t="s">
        <v>43</v>
      </c>
      <c r="AE1850" s="5">
        <f t="shared" si="89"/>
        <v>10</v>
      </c>
      <c r="AF1850" s="5">
        <f t="shared" si="90"/>
        <v>2024</v>
      </c>
    </row>
    <row r="1851" s="5" customFormat="1" ht="13">
      <c r="A1851" s="5" t="s">
        <v>368</v>
      </c>
      <c r="B1851" s="5" t="s">
        <v>368</v>
      </c>
      <c r="C1851" s="5" t="s">
        <v>67</v>
      </c>
      <c r="D1851" s="5" t="s">
        <v>20</v>
      </c>
      <c r="E1851" s="5" t="s">
        <v>34</v>
      </c>
      <c r="F1851" s="5" t="s">
        <v>68</v>
      </c>
      <c r="G1851" s="5" t="s">
        <v>91</v>
      </c>
      <c r="H1851" s="9" t="s">
        <v>110</v>
      </c>
      <c r="I1851" s="10"/>
      <c r="J1851" s="10">
        <v>45552</v>
      </c>
      <c r="K1851" s="5" t="s">
        <v>71</v>
      </c>
      <c r="L1851" s="5" t="s">
        <v>58</v>
      </c>
      <c r="M1851" s="11">
        <v>0.089999999999999997</v>
      </c>
      <c r="N1851" s="5" t="e">
        <f>IF(AND(M1851&gt;#REF!,Cartera!O1851="Guaraníes"),"Rendimiento significativo",IF(AND(M1851&gt;#REF!,Cartera!O1851="Dólares americanos"),"Rendimiento significativo","Rendimiento no significativo"))</f>
        <v>#REF!</v>
      </c>
      <c r="O1851" s="5" t="s">
        <v>51</v>
      </c>
      <c r="P1851" s="13">
        <v>2000</v>
      </c>
      <c r="Q1851" s="12" t="e">
        <f>IF(O1851="Guaraníes",P1851,P1851*#REF!)</f>
        <v>#REF!</v>
      </c>
      <c r="R1851" s="12">
        <f>IF(O1851="Guaraníes",P1851/#REF!,P1851)</f>
        <v>2000</v>
      </c>
      <c r="S1851" s="5" t="s">
        <v>52</v>
      </c>
      <c r="AC1851" s="5" t="str">
        <f t="shared" si="91"/>
        <v>Bonos</v>
      </c>
      <c r="AD1851" s="5" t="s">
        <v>43</v>
      </c>
      <c r="AE1851" s="5">
        <f t="shared" si="89"/>
        <v>9</v>
      </c>
      <c r="AF1851" s="5">
        <f t="shared" si="90"/>
        <v>2024</v>
      </c>
    </row>
    <row r="1852" s="5" customFormat="1" ht="13">
      <c r="A1852" s="5" t="s">
        <v>44</v>
      </c>
      <c r="B1852" s="5" t="s">
        <v>44</v>
      </c>
      <c r="C1852" s="5" t="s">
        <v>116</v>
      </c>
      <c r="D1852" s="5" t="s">
        <v>21</v>
      </c>
      <c r="E1852" s="5" t="s">
        <v>44</v>
      </c>
      <c r="F1852" s="5" t="s">
        <v>68</v>
      </c>
      <c r="H1852" s="9" t="s">
        <v>117</v>
      </c>
      <c r="I1852" s="10">
        <v>45321</v>
      </c>
      <c r="J1852" s="10">
        <v>45593</v>
      </c>
      <c r="K1852" s="5" t="s">
        <v>118</v>
      </c>
      <c r="L1852" s="5" t="s">
        <v>82</v>
      </c>
      <c r="M1852" s="11">
        <v>0.055</v>
      </c>
      <c r="N1852" s="5" t="e">
        <f>IF(AND(M1852&gt;#REF!,Cartera!O1852="Guaraníes"),"Rendimiento significativo",IF(AND(M1852&gt;#REF!,Cartera!O1852="Dólares americanos"),"Rendimiento significativo","Rendimiento no significativo"))</f>
        <v>#REF!</v>
      </c>
      <c r="O1852" s="5" t="s">
        <v>51</v>
      </c>
      <c r="P1852" s="13">
        <v>548.49000000000001</v>
      </c>
      <c r="Q1852" s="12" t="e">
        <f>IF(O1852="Guaraníes",P1852,P1852*#REF!)</f>
        <v>#REF!</v>
      </c>
      <c r="R1852" s="12">
        <f>IF(O1852="Guaraníes",P1852/#REF!,P1852)</f>
        <v>548.49000000000001</v>
      </c>
      <c r="S1852" s="5" t="s">
        <v>52</v>
      </c>
      <c r="AC1852" s="5" t="str">
        <f t="shared" si="91"/>
        <v>CDA</v>
      </c>
      <c r="AD1852" s="5" t="s">
        <v>43</v>
      </c>
      <c r="AE1852" s="5">
        <f t="shared" si="89"/>
        <v>10</v>
      </c>
      <c r="AF1852" s="5">
        <f t="shared" si="90"/>
        <v>2024</v>
      </c>
    </row>
    <row r="1853" s="5" customFormat="1" ht="13">
      <c r="A1853" s="5" t="s">
        <v>44</v>
      </c>
      <c r="B1853" s="5" t="s">
        <v>44</v>
      </c>
      <c r="C1853" s="5" t="s">
        <v>116</v>
      </c>
      <c r="D1853" s="5" t="s">
        <v>21</v>
      </c>
      <c r="E1853" s="5" t="s">
        <v>44</v>
      </c>
      <c r="F1853" s="5" t="s">
        <v>68</v>
      </c>
      <c r="H1853" s="9" t="s">
        <v>117</v>
      </c>
      <c r="I1853" s="10">
        <v>45321</v>
      </c>
      <c r="J1853" s="10">
        <v>45411</v>
      </c>
      <c r="K1853" s="5" t="s">
        <v>118</v>
      </c>
      <c r="L1853" s="5" t="s">
        <v>82</v>
      </c>
      <c r="M1853" s="11">
        <v>0.055</v>
      </c>
      <c r="N1853" s="5" t="e">
        <f>IF(AND(M1853&gt;#REF!,Cartera!O1853="Guaraníes"),"Rendimiento significativo",IF(AND(M1853&gt;#REF!,Cartera!O1853="Dólares americanos"),"Rendimiento significativo","Rendimiento no significativo"))</f>
        <v>#REF!</v>
      </c>
      <c r="O1853" s="5" t="s">
        <v>51</v>
      </c>
      <c r="P1853" s="13">
        <v>542.47000000000003</v>
      </c>
      <c r="Q1853" s="12" t="e">
        <f>IF(O1853="Guaraníes",P1853,P1853*#REF!)</f>
        <v>#REF!</v>
      </c>
      <c r="R1853" s="12">
        <f>IF(O1853="Guaraníes",P1853/#REF!,P1853)</f>
        <v>542.47000000000003</v>
      </c>
      <c r="S1853" s="5" t="s">
        <v>52</v>
      </c>
      <c r="AC1853" s="5" t="str">
        <f t="shared" si="91"/>
        <v>CDA</v>
      </c>
      <c r="AD1853" s="5" t="s">
        <v>43</v>
      </c>
      <c r="AE1853" s="5">
        <f t="shared" si="89"/>
        <v>4</v>
      </c>
      <c r="AF1853" s="5">
        <f t="shared" si="90"/>
        <v>2024</v>
      </c>
    </row>
    <row r="1854" s="5" customFormat="1" ht="13">
      <c r="A1854" s="5" t="s">
        <v>44</v>
      </c>
      <c r="B1854" s="5" t="s">
        <v>44</v>
      </c>
      <c r="C1854" s="5" t="s">
        <v>116</v>
      </c>
      <c r="D1854" s="5" t="s">
        <v>21</v>
      </c>
      <c r="E1854" s="5" t="s">
        <v>44</v>
      </c>
      <c r="F1854" s="5" t="s">
        <v>68</v>
      </c>
      <c r="H1854" s="9" t="s">
        <v>117</v>
      </c>
      <c r="I1854" s="10">
        <v>45321</v>
      </c>
      <c r="J1854" s="10">
        <v>45502</v>
      </c>
      <c r="K1854" s="5" t="s">
        <v>118</v>
      </c>
      <c r="L1854" s="5" t="s">
        <v>82</v>
      </c>
      <c r="M1854" s="11">
        <v>0.055</v>
      </c>
      <c r="N1854" s="5" t="e">
        <f>IF(AND(M1854&gt;#REF!,Cartera!O1854="Guaraníes"),"Rendimiento significativo",IF(AND(M1854&gt;#REF!,Cartera!O1854="Dólares americanos"),"Rendimiento significativo","Rendimiento no significativo"))</f>
        <v>#REF!</v>
      </c>
      <c r="O1854" s="5" t="s">
        <v>51</v>
      </c>
      <c r="P1854" s="13">
        <v>548.49000000000001</v>
      </c>
      <c r="Q1854" s="12" t="e">
        <f>IF(O1854="Guaraníes",P1854,P1854*#REF!)</f>
        <v>#REF!</v>
      </c>
      <c r="R1854" s="12">
        <f>IF(O1854="Guaraníes",P1854/#REF!,P1854)</f>
        <v>548.49000000000001</v>
      </c>
      <c r="S1854" s="5" t="s">
        <v>52</v>
      </c>
      <c r="AC1854" s="5" t="str">
        <f t="shared" si="91"/>
        <v>CDA</v>
      </c>
      <c r="AD1854" s="5" t="s">
        <v>43</v>
      </c>
      <c r="AE1854" s="5">
        <f t="shared" si="89"/>
        <v>7</v>
      </c>
      <c r="AF1854" s="5">
        <f t="shared" si="90"/>
        <v>2024</v>
      </c>
    </row>
    <row r="1855" s="5" customFormat="1" ht="13">
      <c r="A1855" s="5">
        <v>12316</v>
      </c>
      <c r="B1855" s="5" t="s">
        <v>78</v>
      </c>
      <c r="C1855" s="5" t="s">
        <v>111</v>
      </c>
      <c r="D1855" s="5" t="s">
        <v>21</v>
      </c>
      <c r="E1855" s="5" t="s">
        <v>34</v>
      </c>
      <c r="F1855" s="5" t="s">
        <v>68</v>
      </c>
      <c r="H1855" s="9" t="s">
        <v>187</v>
      </c>
      <c r="I1855" s="10">
        <v>45370</v>
      </c>
      <c r="J1855" s="10">
        <v>46090</v>
      </c>
      <c r="K1855" s="5" t="s">
        <v>140</v>
      </c>
      <c r="L1855" s="5" t="s">
        <v>82</v>
      </c>
      <c r="M1855" s="11">
        <v>0.086999999999999994</v>
      </c>
      <c r="N1855" s="5" t="e">
        <f>IF(AND(M1855&gt;#REF!,Cartera!O1855="Guaraníes"),"Rendimiento significativo",IF(AND(M1855&gt;#REF!,Cartera!O1855="Dólares americanos"),"Rendimiento significativo","Rendimiento no significativo"))</f>
        <v>#REF!</v>
      </c>
      <c r="O1855" s="5" t="s">
        <v>41</v>
      </c>
      <c r="P1855" s="12">
        <v>6435616</v>
      </c>
      <c r="Q1855" s="12">
        <f>IF(O1855="Guaraníes",P1855,P1855*#REF!)</f>
        <v>6435616</v>
      </c>
      <c r="R1855" s="12" t="e">
        <f>IF(O1855="Guaraníes",P1855/#REF!,P1855)</f>
        <v>#REF!</v>
      </c>
      <c r="S1855" s="5" t="s">
        <v>42</v>
      </c>
      <c r="AC1855" s="5" t="str">
        <f t="shared" si="91"/>
        <v>CDA</v>
      </c>
      <c r="AD1855" s="5" t="s">
        <v>43</v>
      </c>
      <c r="AE1855" s="5">
        <f t="shared" si="89"/>
        <v>3</v>
      </c>
      <c r="AF1855" s="5">
        <f t="shared" si="90"/>
        <v>2026</v>
      </c>
    </row>
    <row r="1856" s="5" customFormat="1" ht="13">
      <c r="A1856" s="5" t="s">
        <v>44</v>
      </c>
      <c r="B1856" s="5" t="s">
        <v>44</v>
      </c>
      <c r="C1856" s="5" t="s">
        <v>67</v>
      </c>
      <c r="D1856" s="5" t="s">
        <v>20</v>
      </c>
      <c r="E1856" s="5" t="s">
        <v>44</v>
      </c>
      <c r="F1856" s="5" t="s">
        <v>68</v>
      </c>
      <c r="G1856" s="5" t="s">
        <v>69</v>
      </c>
      <c r="H1856" s="9" t="s">
        <v>70</v>
      </c>
      <c r="I1856" s="10"/>
      <c r="J1856" s="10">
        <v>45584</v>
      </c>
      <c r="K1856" s="5" t="s">
        <v>71</v>
      </c>
      <c r="L1856" s="5" t="s">
        <v>58</v>
      </c>
      <c r="M1856" s="11">
        <v>0.067500000000000004</v>
      </c>
      <c r="N1856" s="5" t="e">
        <f>IF(AND(M1856&gt;#REF!,Cartera!O1856="Guaraníes"),"Rendimiento significativo",IF(AND(M1856&gt;#REF!,Cartera!O1856="Dólares americanos"),"Rendimiento significativo","Rendimiento no significativo"))</f>
        <v>#REF!</v>
      </c>
      <c r="O1856" s="5" t="s">
        <v>51</v>
      </c>
      <c r="P1856" s="13">
        <v>333.32999999999998</v>
      </c>
      <c r="Q1856" s="12" t="e">
        <f>IF(O1856="Guaraníes",P1856,P1856*#REF!)</f>
        <v>#REF!</v>
      </c>
      <c r="R1856" s="12">
        <f>IF(O1856="Guaraníes",P1856/#REF!,P1856)</f>
        <v>333.32999999999998</v>
      </c>
      <c r="S1856" s="5" t="s">
        <v>52</v>
      </c>
      <c r="T1856" s="5">
        <v>593</v>
      </c>
      <c r="AC1856" s="5" t="str">
        <f t="shared" si="91"/>
        <v>Bonos</v>
      </c>
      <c r="AD1856" s="5" t="s">
        <v>43</v>
      </c>
      <c r="AE1856" s="5">
        <f t="shared" si="89"/>
        <v>10</v>
      </c>
      <c r="AF1856" s="5">
        <f t="shared" si="90"/>
        <v>2024</v>
      </c>
    </row>
    <row r="1857" s="5" customFormat="1" ht="13">
      <c r="A1857" s="5" t="s">
        <v>44</v>
      </c>
      <c r="B1857" s="5" t="s">
        <v>44</v>
      </c>
      <c r="C1857" s="5" t="s">
        <v>94</v>
      </c>
      <c r="D1857" s="5" t="s">
        <v>21</v>
      </c>
      <c r="E1857" s="5" t="s">
        <v>44</v>
      </c>
      <c r="F1857" s="5" t="s">
        <v>68</v>
      </c>
      <c r="H1857" s="9" t="s">
        <v>95</v>
      </c>
      <c r="I1857" s="10">
        <v>45404</v>
      </c>
      <c r="J1857" s="10">
        <v>45584</v>
      </c>
      <c r="K1857" s="5" t="s">
        <v>96</v>
      </c>
      <c r="L1857" s="5" t="s">
        <v>82</v>
      </c>
      <c r="M1857" s="11">
        <v>0.085000000000000006</v>
      </c>
      <c r="N1857" s="5" t="e">
        <f>IF(AND(M1857&gt;#REF!,Cartera!O1857="Guaraníes"),"Rendimiento significativo",IF(AND(M1857&gt;#REF!,Cartera!O1857="Dólares americanos"),"Rendimiento significativo","Rendimiento no significativo"))</f>
        <v>#REF!</v>
      </c>
      <c r="O1857" s="5" t="s">
        <v>41</v>
      </c>
      <c r="P1857" s="12">
        <v>4191781</v>
      </c>
      <c r="Q1857" s="12">
        <f>IF(O1857="Guaraníes",P1857,P1857*#REF!)</f>
        <v>4191781</v>
      </c>
      <c r="R1857" s="12" t="e">
        <f>IF(O1857="Guaraníes",P1857/#REF!,P1857)</f>
        <v>#REF!</v>
      </c>
      <c r="S1857" s="5" t="s">
        <v>52</v>
      </c>
      <c r="AC1857" s="5" t="str">
        <f t="shared" si="91"/>
        <v>CDA</v>
      </c>
      <c r="AD1857" s="5" t="s">
        <v>43</v>
      </c>
      <c r="AE1857" s="5">
        <f t="shared" si="89"/>
        <v>10</v>
      </c>
      <c r="AF1857" s="5">
        <f t="shared" si="90"/>
        <v>2024</v>
      </c>
    </row>
    <row r="1858" s="5" customFormat="1" ht="13">
      <c r="A1858" s="5" t="s">
        <v>44</v>
      </c>
      <c r="B1858" s="5" t="s">
        <v>44</v>
      </c>
      <c r="C1858" s="5" t="s">
        <v>45</v>
      </c>
      <c r="D1858" s="5" t="s">
        <v>21</v>
      </c>
      <c r="E1858" s="5" t="s">
        <v>44</v>
      </c>
      <c r="F1858" s="5" t="s">
        <v>46</v>
      </c>
      <c r="G1858" s="5" t="s">
        <v>47</v>
      </c>
      <c r="H1858" s="9" t="s">
        <v>48</v>
      </c>
      <c r="I1858" s="10"/>
      <c r="J1858" s="10">
        <v>45586</v>
      </c>
      <c r="K1858" s="5" t="s">
        <v>49</v>
      </c>
      <c r="L1858" s="5" t="s">
        <v>50</v>
      </c>
      <c r="M1858" s="11">
        <v>0.052499999999999998</v>
      </c>
      <c r="N1858" s="5" t="e">
        <f>IF(AND(M1858&gt;#REF!,Cartera!O1858="Guaraníes"),"Rendimiento significativo",IF(AND(M1858&gt;#REF!,Cartera!O1858="Dólares americanos"),"Rendimiento significativo","Rendimiento no significativo"))</f>
        <v>#REF!</v>
      </c>
      <c r="O1858" s="5" t="s">
        <v>51</v>
      </c>
      <c r="P1858" s="13">
        <v>174.52055000000001</v>
      </c>
      <c r="Q1858" s="12" t="e">
        <f>IF(O1858="Guaraníes",P1858,P1858*#REF!)</f>
        <v>#REF!</v>
      </c>
      <c r="R1858" s="12">
        <f>IF(O1858="Guaraníes",P1858/#REF!,P1858)</f>
        <v>174.52055000000001</v>
      </c>
      <c r="S1858" s="5" t="s">
        <v>52</v>
      </c>
      <c r="T1858" s="5">
        <v>4</v>
      </c>
      <c r="W1858" s="5" t="s">
        <v>232</v>
      </c>
      <c r="X1858" s="5">
        <v>0</v>
      </c>
      <c r="Y1858" s="5">
        <v>0</v>
      </c>
      <c r="Z1858" s="5">
        <v>17.452055000000001</v>
      </c>
      <c r="AA1858" s="5">
        <v>10</v>
      </c>
      <c r="AB1858" s="5">
        <v>174.52054999999999</v>
      </c>
      <c r="AC1858" s="5" t="str">
        <f t="shared" si="91"/>
        <v>Bonos</v>
      </c>
      <c r="AD1858" s="5" t="s">
        <v>43</v>
      </c>
      <c r="AE1858" s="5">
        <f t="shared" si="89"/>
        <v>10</v>
      </c>
      <c r="AF1858" s="5">
        <f t="shared" si="90"/>
        <v>2024</v>
      </c>
    </row>
    <row r="1859" s="5" customFormat="1" ht="13">
      <c r="A1859" s="5" t="s">
        <v>44</v>
      </c>
      <c r="B1859" s="5" t="s">
        <v>44</v>
      </c>
      <c r="C1859" s="5" t="s">
        <v>189</v>
      </c>
      <c r="D1859" s="5" t="s">
        <v>21</v>
      </c>
      <c r="E1859" s="5" t="s">
        <v>44</v>
      </c>
      <c r="F1859" s="5" t="s">
        <v>190</v>
      </c>
      <c r="G1859" s="5" t="s">
        <v>141</v>
      </c>
      <c r="H1859" s="9" t="s">
        <v>191</v>
      </c>
      <c r="I1859" s="10"/>
      <c r="J1859" s="10">
        <v>45555</v>
      </c>
      <c r="K1859" s="5" t="s">
        <v>77</v>
      </c>
      <c r="L1859" s="5" t="s">
        <v>58</v>
      </c>
      <c r="M1859" s="11">
        <v>0.089999999999999997</v>
      </c>
      <c r="N1859" s="5" t="e">
        <f>IF(AND(M1859&gt;#REF!,Cartera!O1859="Guaraníes"),"Rendimiento significativo",IF(AND(M1859&gt;#REF!,Cartera!O1859="Dólares americanos"),"Rendimiento significativo","Rendimiento no significativo"))</f>
        <v>#REF!</v>
      </c>
      <c r="O1859" s="5" t="s">
        <v>41</v>
      </c>
      <c r="P1859" s="12">
        <v>6731506.8480000002</v>
      </c>
      <c r="Q1859" s="12">
        <f>IF(O1859="Guaraníes",P1859,P1859*#REF!)</f>
        <v>6731506.8480000002</v>
      </c>
      <c r="R1859" s="12" t="e">
        <f>IF(O1859="Guaraníes",P1859/#REF!,P1859)</f>
        <v>#REF!</v>
      </c>
      <c r="S1859" s="5" t="s">
        <v>52</v>
      </c>
      <c r="T1859" s="5">
        <v>9243</v>
      </c>
      <c r="W1859" s="5" t="s">
        <v>65</v>
      </c>
      <c r="X1859" s="5">
        <v>0</v>
      </c>
      <c r="Y1859" s="5">
        <v>0</v>
      </c>
      <c r="Z1859" s="5">
        <v>22438.356159999999</v>
      </c>
      <c r="AA1859" s="5">
        <v>300</v>
      </c>
      <c r="AB1859" s="5">
        <v>6731506.8490000004</v>
      </c>
      <c r="AC1859" s="5" t="str">
        <f t="shared" si="91"/>
        <v>Bonos</v>
      </c>
      <c r="AD1859" s="5" t="s">
        <v>43</v>
      </c>
      <c r="AE1859" s="5">
        <f t="shared" si="89"/>
        <v>9</v>
      </c>
      <c r="AF1859" s="5">
        <f t="shared" si="90"/>
        <v>2024</v>
      </c>
    </row>
    <row r="1860" s="5" customFormat="1" ht="13">
      <c r="A1860" s="5" t="s">
        <v>44</v>
      </c>
      <c r="B1860" s="5" t="s">
        <v>44</v>
      </c>
      <c r="C1860" s="5" t="s">
        <v>183</v>
      </c>
      <c r="D1860" s="5" t="s">
        <v>21</v>
      </c>
      <c r="E1860" s="5" t="s">
        <v>44</v>
      </c>
      <c r="F1860" s="5" t="s">
        <v>184</v>
      </c>
      <c r="H1860" s="9">
        <v>6388</v>
      </c>
      <c r="I1860" s="10"/>
      <c r="J1860" s="10">
        <v>45607</v>
      </c>
      <c r="K1860" s="5" t="s">
        <v>124</v>
      </c>
      <c r="L1860" s="5" t="s">
        <v>82</v>
      </c>
      <c r="M1860" s="11">
        <v>0.079000000000000001</v>
      </c>
      <c r="N1860" s="5" t="e">
        <f>IF(AND(M1860&gt;#REF!,Cartera!O1860="Guaraníes"),"Rendimiento significativo",IF(AND(M1860&gt;#REF!,Cartera!O1860="Dólares americanos"),"Rendimiento significativo","Rendimiento no significativo"))</f>
        <v>#REF!</v>
      </c>
      <c r="O1860" s="5" t="s">
        <v>41</v>
      </c>
      <c r="P1860" s="12">
        <v>10064460</v>
      </c>
      <c r="Q1860" s="12">
        <f>IF(O1860="Guaraníes",P1860,P1860*#REF!)</f>
        <v>10064460</v>
      </c>
      <c r="R1860" s="12" t="e">
        <f>IF(O1860="Guaraníes",P1860/#REF!,P1860)</f>
        <v>#REF!</v>
      </c>
      <c r="S1860" s="5" t="s">
        <v>52</v>
      </c>
      <c r="V1860" s="5">
        <v>9848020</v>
      </c>
      <c r="W1860" s="5" t="s">
        <v>387</v>
      </c>
      <c r="AC1860" s="5" t="str">
        <f t="shared" si="91"/>
        <v>CDA</v>
      </c>
      <c r="AD1860" s="5" t="s">
        <v>43</v>
      </c>
      <c r="AE1860" s="5">
        <f t="shared" si="89"/>
        <v>11</v>
      </c>
      <c r="AF1860" s="5">
        <f t="shared" si="90"/>
        <v>2024</v>
      </c>
    </row>
    <row r="1861" s="5" customFormat="1" ht="13">
      <c r="A1861" s="5" t="s">
        <v>44</v>
      </c>
      <c r="B1861" s="5" t="s">
        <v>44</v>
      </c>
      <c r="C1861" s="5" t="s">
        <v>114</v>
      </c>
      <c r="D1861" s="5" t="s">
        <v>21</v>
      </c>
      <c r="E1861" s="5" t="s">
        <v>44</v>
      </c>
      <c r="F1861" s="5" t="s">
        <v>68</v>
      </c>
      <c r="G1861" s="5" t="s">
        <v>75</v>
      </c>
      <c r="H1861" s="9" t="s">
        <v>170</v>
      </c>
      <c r="I1861" s="10"/>
      <c r="J1861" s="10">
        <v>45608</v>
      </c>
      <c r="K1861" s="5" t="s">
        <v>77</v>
      </c>
      <c r="L1861" s="5" t="s">
        <v>50</v>
      </c>
      <c r="M1861" s="11">
        <v>0.14000000000000001</v>
      </c>
      <c r="N1861" s="5" t="e">
        <f>IF(AND(M1861&gt;#REF!,Cartera!O1861="Guaraníes"),"Rendimiento significativo",IF(AND(M1861&gt;#REF!,Cartera!O1861="Dólares americanos"),"Rendimiento significativo","Rendimiento no significativo"))</f>
        <v>#REF!</v>
      </c>
      <c r="O1861" s="5" t="s">
        <v>41</v>
      </c>
      <c r="P1861" s="12">
        <v>3490410.9589</v>
      </c>
      <c r="Q1861" s="12">
        <f>IF(O1861="Guaraníes",P1861,P1861*#REF!)</f>
        <v>3490410.9589</v>
      </c>
      <c r="R1861" s="12" t="e">
        <f>IF(O1861="Guaraníes",P1861/#REF!,P1861)</f>
        <v>#REF!</v>
      </c>
      <c r="S1861" s="5" t="s">
        <v>52</v>
      </c>
      <c r="T1861" s="5">
        <v>25</v>
      </c>
      <c r="W1861" s="5" t="s">
        <v>65</v>
      </c>
      <c r="X1861" s="5">
        <v>0</v>
      </c>
      <c r="Y1861" s="5">
        <v>0</v>
      </c>
      <c r="Z1861" s="5">
        <v>34904.109589</v>
      </c>
      <c r="AA1861" s="5">
        <v>100</v>
      </c>
      <c r="AB1861" s="5">
        <v>3490410.9589</v>
      </c>
      <c r="AC1861" s="5" t="str">
        <f t="shared" si="91"/>
        <v>Bonos</v>
      </c>
      <c r="AD1861" s="5" t="s">
        <v>43</v>
      </c>
      <c r="AE1861" s="5">
        <f t="shared" si="89"/>
        <v>11</v>
      </c>
      <c r="AF1861" s="5">
        <f t="shared" si="90"/>
        <v>2024</v>
      </c>
    </row>
    <row r="1862" s="5" customFormat="1" ht="13">
      <c r="A1862" s="5" t="s">
        <v>44</v>
      </c>
      <c r="B1862" s="5" t="s">
        <v>44</v>
      </c>
      <c r="C1862" s="5" t="s">
        <v>143</v>
      </c>
      <c r="D1862" s="5" t="s">
        <v>21</v>
      </c>
      <c r="E1862" s="5" t="s">
        <v>34</v>
      </c>
      <c r="F1862" s="5" t="s">
        <v>144</v>
      </c>
      <c r="G1862" s="5" t="s">
        <v>91</v>
      </c>
      <c r="H1862" s="9" t="s">
        <v>380</v>
      </c>
      <c r="I1862" s="10"/>
      <c r="J1862" s="10">
        <v>45596</v>
      </c>
      <c r="K1862" s="5" t="s">
        <v>49</v>
      </c>
      <c r="L1862" s="5" t="s">
        <v>106</v>
      </c>
      <c r="M1862" s="11">
        <v>0.059999999999999998</v>
      </c>
      <c r="N1862" s="5" t="e">
        <f>IF(AND(M1862&gt;#REF!,Cartera!O1862="Guaraníes"),"Rendimiento significativo",IF(AND(M1862&gt;#REF!,Cartera!O1862="Dólares americanos"),"Rendimiento significativo","Rendimiento no significativo"))</f>
        <v>#REF!</v>
      </c>
      <c r="O1862" s="5" t="s">
        <v>51</v>
      </c>
      <c r="P1862" s="13">
        <v>50.960000000000001</v>
      </c>
      <c r="Q1862" s="12" t="e">
        <f>IF(O1862="Guaraníes",P1862,P1862*#REF!)</f>
        <v>#REF!</v>
      </c>
      <c r="R1862" s="12">
        <f>IF(O1862="Guaraníes",P1862/#REF!,P1862)</f>
        <v>50.960000000000001</v>
      </c>
      <c r="S1862" s="5" t="s">
        <v>52</v>
      </c>
      <c r="T1862" s="5">
        <v>3253</v>
      </c>
      <c r="W1862" s="5" t="s">
        <v>65</v>
      </c>
      <c r="X1862" s="5">
        <v>0</v>
      </c>
      <c r="Y1862" s="5">
        <v>0</v>
      </c>
      <c r="Z1862" s="5">
        <v>5.0958899999999998</v>
      </c>
      <c r="AA1862" s="5">
        <v>10</v>
      </c>
      <c r="AB1862" s="5">
        <v>50.9589</v>
      </c>
      <c r="AC1862" s="5" t="str">
        <f t="shared" si="91"/>
        <v>Bonos</v>
      </c>
      <c r="AD1862" s="5" t="s">
        <v>43</v>
      </c>
      <c r="AE1862" s="5">
        <f t="shared" si="89"/>
        <v>10</v>
      </c>
      <c r="AF1862" s="5">
        <f t="shared" si="90"/>
        <v>2024</v>
      </c>
    </row>
    <row r="1863" s="5" customFormat="1" ht="13">
      <c r="A1863" s="5" t="s">
        <v>44</v>
      </c>
      <c r="B1863" s="5" t="s">
        <v>44</v>
      </c>
      <c r="C1863" s="5" t="s">
        <v>135</v>
      </c>
      <c r="D1863" s="5" t="s">
        <v>20</v>
      </c>
      <c r="E1863" s="5" t="s">
        <v>44</v>
      </c>
      <c r="F1863" s="5" t="s">
        <v>68</v>
      </c>
      <c r="G1863" s="5" t="s">
        <v>75</v>
      </c>
      <c r="H1863" s="9" t="s">
        <v>265</v>
      </c>
      <c r="I1863" s="10"/>
      <c r="J1863" s="10">
        <v>45646</v>
      </c>
      <c r="K1863" s="5" t="s">
        <v>124</v>
      </c>
      <c r="L1863" s="5" t="s">
        <v>58</v>
      </c>
      <c r="M1863" s="11">
        <v>0.054000000000000006</v>
      </c>
      <c r="N1863" s="5" t="e">
        <f>IF(AND(M1863&gt;#REF!,Cartera!O1863="Guaraníes"),"Rendimiento significativo",IF(AND(M1863&gt;#REF!,Cartera!O1863="Dólares americanos"),"Rendimiento significativo","Rendimiento no significativo"))</f>
        <v>#REF!</v>
      </c>
      <c r="O1863" s="5" t="s">
        <v>41</v>
      </c>
      <c r="P1863" s="12">
        <v>6250000</v>
      </c>
      <c r="Q1863" s="12">
        <f>IF(O1863="Guaraníes",P1863,P1863*#REF!)</f>
        <v>6250000</v>
      </c>
      <c r="R1863" s="12" t="e">
        <f>IF(O1863="Guaraníes",P1863/#REF!,P1863)</f>
        <v>#REF!</v>
      </c>
      <c r="S1863" s="5" t="s">
        <v>52</v>
      </c>
      <c r="T1863" s="5">
        <v>25</v>
      </c>
      <c r="AC1863" s="5" t="str">
        <f t="shared" si="91"/>
        <v>Bonos</v>
      </c>
      <c r="AD1863" s="5" t="s">
        <v>43</v>
      </c>
      <c r="AE1863" s="5">
        <f t="shared" si="89"/>
        <v>12</v>
      </c>
      <c r="AF1863" s="5">
        <f t="shared" si="90"/>
        <v>2024</v>
      </c>
      <c r="AG1863" s="5" t="s">
        <v>163</v>
      </c>
    </row>
    <row r="1864" s="5" customFormat="1" ht="13">
      <c r="A1864" s="5">
        <v>12315</v>
      </c>
      <c r="B1864" s="5" t="s">
        <v>73</v>
      </c>
      <c r="C1864" s="5" t="s">
        <v>111</v>
      </c>
      <c r="D1864" s="5" t="s">
        <v>21</v>
      </c>
      <c r="E1864" s="5" t="s">
        <v>34</v>
      </c>
      <c r="F1864" s="5" t="s">
        <v>68</v>
      </c>
      <c r="H1864" s="9" t="s">
        <v>188</v>
      </c>
      <c r="I1864" s="10">
        <v>45370</v>
      </c>
      <c r="J1864" s="10">
        <v>46090</v>
      </c>
      <c r="K1864" s="5" t="s">
        <v>140</v>
      </c>
      <c r="L1864" s="5" t="s">
        <v>82</v>
      </c>
      <c r="M1864" s="11">
        <v>0.057000000000000002</v>
      </c>
      <c r="N1864" s="5" t="e">
        <f>IF(AND(M1864&gt;#REF!,Cartera!O1864="Guaraníes"),"Rendimiento significativo",IF(AND(M1864&gt;#REF!,Cartera!O1864="Dólares americanos"),"Rendimiento significativo","Rendimiento no significativo"))</f>
        <v>#REF!</v>
      </c>
      <c r="O1864" s="5" t="s">
        <v>51</v>
      </c>
      <c r="P1864" s="13">
        <v>281.10000000000002</v>
      </c>
      <c r="Q1864" s="12" t="e">
        <f>IF(O1864="Guaraníes",P1864,P1864*#REF!)</f>
        <v>#REF!</v>
      </c>
      <c r="R1864" s="12">
        <f>IF(O1864="Guaraníes",P1864/#REF!,P1864)</f>
        <v>281.10000000000002</v>
      </c>
      <c r="S1864" s="5" t="s">
        <v>42</v>
      </c>
      <c r="AC1864" s="5" t="str">
        <f t="shared" si="91"/>
        <v>CDA</v>
      </c>
      <c r="AD1864" s="5" t="s">
        <v>43</v>
      </c>
      <c r="AE1864" s="5">
        <f t="shared" si="89"/>
        <v>3</v>
      </c>
      <c r="AF1864" s="5">
        <f t="shared" si="90"/>
        <v>2026</v>
      </c>
    </row>
    <row r="1865" s="5" customFormat="1" ht="13">
      <c r="A1865" s="5">
        <v>11401</v>
      </c>
      <c r="B1865" s="5" t="s">
        <v>59</v>
      </c>
      <c r="C1865" s="5" t="s">
        <v>60</v>
      </c>
      <c r="D1865" s="5" t="s">
        <v>21</v>
      </c>
      <c r="E1865" s="5" t="s">
        <v>34</v>
      </c>
      <c r="F1865" s="5" t="s">
        <v>61</v>
      </c>
      <c r="G1865" s="5" t="s">
        <v>62</v>
      </c>
      <c r="H1865" s="9" t="s">
        <v>63</v>
      </c>
      <c r="I1865" s="10"/>
      <c r="J1865" s="10">
        <v>45608</v>
      </c>
      <c r="K1865" s="5" t="s">
        <v>64</v>
      </c>
      <c r="L1865" s="5" t="s">
        <v>50</v>
      </c>
      <c r="M1865" s="11">
        <v>0.052499999999999998</v>
      </c>
      <c r="N1865" s="5" t="e">
        <f>IF(AND(M1865&gt;#REF!,Cartera!O1865="Guaraníes"),"Rendimiento significativo",IF(AND(M1865&gt;#REF!,Cartera!O1865="Dólares americanos"),"Rendimiento significativo","Rendimiento no significativo"))</f>
        <v>#REF!</v>
      </c>
      <c r="O1865" s="5" t="s">
        <v>51</v>
      </c>
      <c r="P1865" s="13">
        <v>789.65754000000004</v>
      </c>
      <c r="Q1865" s="12" t="e">
        <f>IF(O1865="Guaraníes",P1865,P1865*#REF!)</f>
        <v>#REF!</v>
      </c>
      <c r="R1865" s="12">
        <f>IF(O1865="Guaraníes",P1865/#REF!,P1865)</f>
        <v>789.65754000000004</v>
      </c>
      <c r="S1865" s="5" t="s">
        <v>42</v>
      </c>
      <c r="T1865" s="5">
        <v>8</v>
      </c>
      <c r="W1865" s="5" t="s">
        <v>65</v>
      </c>
      <c r="X1865" s="5">
        <v>0</v>
      </c>
      <c r="Y1865" s="5">
        <v>0</v>
      </c>
      <c r="Z1865" s="5">
        <v>26.321918</v>
      </c>
      <c r="AA1865" s="5">
        <v>30</v>
      </c>
      <c r="AB1865" s="5">
        <v>789.65754000000004</v>
      </c>
      <c r="AC1865" s="5" t="str">
        <f t="shared" si="91"/>
        <v>Bonos</v>
      </c>
      <c r="AD1865" s="5" t="s">
        <v>43</v>
      </c>
      <c r="AE1865" s="5">
        <f t="shared" si="89"/>
        <v>11</v>
      </c>
      <c r="AF1865" s="5">
        <f t="shared" si="90"/>
        <v>2024</v>
      </c>
      <c r="AG1865" s="5" t="s">
        <v>66</v>
      </c>
    </row>
    <row r="1866" s="5" customFormat="1" ht="13">
      <c r="A1866" s="5" t="s">
        <v>44</v>
      </c>
      <c r="B1866" s="5" t="s">
        <v>44</v>
      </c>
      <c r="C1866" s="5" t="s">
        <v>67</v>
      </c>
      <c r="D1866" s="5" t="s">
        <v>21</v>
      </c>
      <c r="E1866" s="5" t="s">
        <v>44</v>
      </c>
      <c r="F1866" s="5" t="s">
        <v>68</v>
      </c>
      <c r="G1866" s="5" t="s">
        <v>91</v>
      </c>
      <c r="H1866" s="9" t="s">
        <v>110</v>
      </c>
      <c r="I1866" s="20"/>
      <c r="J1866" s="10">
        <v>45520</v>
      </c>
      <c r="K1866" s="5" t="s">
        <v>71</v>
      </c>
      <c r="L1866" s="5" t="s">
        <v>58</v>
      </c>
      <c r="M1866" s="11">
        <v>0.089999999999999997</v>
      </c>
      <c r="N1866" s="5" t="e">
        <f>IF(AND(M1866&gt;#REF!,Cartera!O1866="Guaraníes"),"Rendimiento significativo",IF(AND(M1866&gt;#REF!,Cartera!O1866="Dólares americanos"),"Rendimiento significativo","Rendimiento no significativo"))</f>
        <v>#REF!</v>
      </c>
      <c r="O1866" s="5" t="s">
        <v>51</v>
      </c>
      <c r="P1866" s="13">
        <v>51.590000000000003</v>
      </c>
      <c r="Q1866" s="12" t="e">
        <f>IF(O1866="Guaraníes",P1866,P1866*#REF!)</f>
        <v>#REF!</v>
      </c>
      <c r="R1866" s="12">
        <f>IF(O1866="Guaraníes",P1866/#REF!,P1866)</f>
        <v>51.590000000000003</v>
      </c>
      <c r="S1866" s="5" t="s">
        <v>52</v>
      </c>
      <c r="T1866" s="5">
        <v>3253</v>
      </c>
      <c r="W1866" s="5" t="s">
        <v>65</v>
      </c>
      <c r="X1866" s="5">
        <v>10</v>
      </c>
      <c r="Y1866" s="5">
        <v>100</v>
      </c>
      <c r="Z1866" s="5">
        <v>103.43972599999999</v>
      </c>
      <c r="AA1866" s="5">
        <v>15</v>
      </c>
      <c r="AB1866" s="5">
        <v>1551.5958900000001</v>
      </c>
      <c r="AC1866" s="5" t="str">
        <f t="shared" si="91"/>
        <v>Bonos</v>
      </c>
      <c r="AD1866" s="5" t="s">
        <v>43</v>
      </c>
      <c r="AE1866" s="5">
        <f t="shared" si="89"/>
        <v>8</v>
      </c>
      <c r="AF1866" s="5">
        <f t="shared" si="90"/>
        <v>2024</v>
      </c>
    </row>
    <row r="1867" s="5" customFormat="1" ht="13">
      <c r="A1867" s="5">
        <v>12315</v>
      </c>
      <c r="B1867" s="5" t="s">
        <v>73</v>
      </c>
      <c r="C1867" s="5" t="s">
        <v>33</v>
      </c>
      <c r="D1867" s="5" t="s">
        <v>21</v>
      </c>
      <c r="E1867" s="5" t="s">
        <v>34</v>
      </c>
      <c r="F1867" s="5" t="s">
        <v>35</v>
      </c>
      <c r="G1867" s="5" t="s">
        <v>75</v>
      </c>
      <c r="H1867" s="9" t="s">
        <v>186</v>
      </c>
      <c r="I1867" s="10"/>
      <c r="J1867" s="10">
        <v>46092</v>
      </c>
      <c r="K1867" s="5" t="s">
        <v>39</v>
      </c>
      <c r="L1867" s="5" t="s">
        <v>50</v>
      </c>
      <c r="M1867" s="11">
        <v>0.044999999999999998</v>
      </c>
      <c r="N1867" s="5" t="e">
        <f>IF(AND(M1867&gt;#REF!,Cartera!O1867="Guaraníes"),"Rendimiento significativo",IF(AND(M1867&gt;#REF!,Cartera!O1867="Dólares americanos"),"Rendimiento significativo","Rendimiento no significativo"))</f>
        <v>#REF!</v>
      </c>
      <c r="O1867" s="5" t="s">
        <v>51</v>
      </c>
      <c r="P1867" s="13">
        <v>336.57533999999998</v>
      </c>
      <c r="Q1867" s="12" t="e">
        <f>IF(O1867="Guaraníes",P1867,P1867*#REF!)</f>
        <v>#REF!</v>
      </c>
      <c r="R1867" s="12">
        <f>IF(O1867="Guaraníes",P1867/#REF!,P1867)</f>
        <v>336.57533999999998</v>
      </c>
      <c r="S1867" s="5" t="s">
        <v>42</v>
      </c>
      <c r="T1867" s="5">
        <v>25</v>
      </c>
      <c r="W1867" s="5" t="s">
        <v>65</v>
      </c>
      <c r="X1867" s="5">
        <v>0</v>
      </c>
      <c r="Y1867" s="5">
        <v>0</v>
      </c>
      <c r="Z1867" s="5">
        <v>11.219177999999999</v>
      </c>
      <c r="AA1867" s="5">
        <v>30</v>
      </c>
      <c r="AB1867" s="5">
        <v>336.57533999999998</v>
      </c>
      <c r="AC1867" s="5" t="str">
        <f t="shared" si="91"/>
        <v>Bonos</v>
      </c>
      <c r="AD1867" s="5" t="s">
        <v>43</v>
      </c>
      <c r="AE1867" s="5">
        <f t="shared" si="89"/>
        <v>3</v>
      </c>
      <c r="AF1867" s="5">
        <f t="shared" si="90"/>
        <v>2026</v>
      </c>
    </row>
    <row r="1868" s="5" customFormat="1" ht="13">
      <c r="A1868" s="5">
        <v>12315</v>
      </c>
      <c r="B1868" s="5" t="s">
        <v>73</v>
      </c>
      <c r="C1868" s="5" t="s">
        <v>33</v>
      </c>
      <c r="D1868" s="5" t="s">
        <v>21</v>
      </c>
      <c r="E1868" s="5" t="s">
        <v>34</v>
      </c>
      <c r="F1868" s="5" t="s">
        <v>35</v>
      </c>
      <c r="G1868" s="5" t="s">
        <v>69</v>
      </c>
      <c r="H1868" s="9" t="s">
        <v>186</v>
      </c>
      <c r="I1868" s="10"/>
      <c r="J1868" s="10">
        <v>46092</v>
      </c>
      <c r="K1868" s="5" t="s">
        <v>39</v>
      </c>
      <c r="L1868" s="5" t="s">
        <v>50</v>
      </c>
      <c r="M1868" s="11">
        <v>0.044999999999999998</v>
      </c>
      <c r="N1868" s="5" t="e">
        <f>IF(AND(M1868&gt;#REF!,Cartera!O1868="Guaraníes"),"Rendimiento significativo",IF(AND(M1868&gt;#REF!,Cartera!O1868="Dólares americanos"),"Rendimiento significativo","Rendimiento no significativo"))</f>
        <v>#REF!</v>
      </c>
      <c r="O1868" s="5" t="s">
        <v>51</v>
      </c>
      <c r="P1868" s="13">
        <v>448.76711999999998</v>
      </c>
      <c r="Q1868" s="12" t="e">
        <f>IF(O1868="Guaraníes",P1868,P1868*#REF!)</f>
        <v>#REF!</v>
      </c>
      <c r="R1868" s="12">
        <f>IF(O1868="Guaraníes",P1868/#REF!,P1868)</f>
        <v>448.76711999999998</v>
      </c>
      <c r="S1868" s="5" t="s">
        <v>42</v>
      </c>
      <c r="T1868" s="5">
        <v>593</v>
      </c>
      <c r="W1868" s="5" t="s">
        <v>65</v>
      </c>
      <c r="X1868" s="5">
        <v>0</v>
      </c>
      <c r="Y1868" s="5">
        <v>0</v>
      </c>
      <c r="Z1868" s="5">
        <v>11.219177999999999</v>
      </c>
      <c r="AA1868" s="5">
        <v>40</v>
      </c>
      <c r="AB1868" s="5">
        <v>448.76711999999998</v>
      </c>
      <c r="AC1868" s="5" t="str">
        <f t="shared" si="91"/>
        <v>Bonos</v>
      </c>
      <c r="AD1868" s="5" t="s">
        <v>43</v>
      </c>
      <c r="AE1868" s="5">
        <f t="shared" si="89"/>
        <v>3</v>
      </c>
      <c r="AF1868" s="5">
        <f t="shared" si="90"/>
        <v>2026</v>
      </c>
    </row>
    <row r="1869" s="5" customFormat="1" ht="13">
      <c r="A1869" s="5">
        <v>12315</v>
      </c>
      <c r="B1869" s="5" t="s">
        <v>73</v>
      </c>
      <c r="C1869" s="5" t="s">
        <v>89</v>
      </c>
      <c r="D1869" s="5" t="s">
        <v>21</v>
      </c>
      <c r="E1869" s="5" t="s">
        <v>34</v>
      </c>
      <c r="F1869" s="5" t="s">
        <v>90</v>
      </c>
      <c r="G1869" s="5" t="s">
        <v>91</v>
      </c>
      <c r="H1869" s="9" t="s">
        <v>92</v>
      </c>
      <c r="I1869" s="10"/>
      <c r="J1869" s="10">
        <v>46100</v>
      </c>
      <c r="K1869" s="5" t="s">
        <v>93</v>
      </c>
      <c r="L1869" s="5" t="s">
        <v>58</v>
      </c>
      <c r="M1869" s="11">
        <v>0.080000000000000002</v>
      </c>
      <c r="N1869" s="5" t="e">
        <f>IF(AND(M1869&gt;#REF!,Cartera!O1869="Guaraníes"),"Rendimiento significativo",IF(AND(M1869&gt;#REF!,Cartera!O1869="Dólares americanos"),"Rendimiento significativo","Rendimiento no significativo"))</f>
        <v>#REF!</v>
      </c>
      <c r="O1869" s="5" t="s">
        <v>51</v>
      </c>
      <c r="P1869" s="13">
        <v>207.12</v>
      </c>
      <c r="Q1869" s="12" t="e">
        <f>IF(O1869="Guaraníes",P1869,P1869*#REF!)</f>
        <v>#REF!</v>
      </c>
      <c r="R1869" s="12">
        <f>IF(O1869="Guaraníes",P1869/#REF!,P1869)</f>
        <v>207.12</v>
      </c>
      <c r="S1869" s="5" t="s">
        <v>42</v>
      </c>
      <c r="T1869" s="5">
        <v>3253</v>
      </c>
      <c r="U1869" s="5">
        <v>15000</v>
      </c>
      <c r="V1869" s="5">
        <v>11575327.123439999</v>
      </c>
      <c r="W1869" s="5" t="s">
        <v>65</v>
      </c>
      <c r="X1869" s="5">
        <v>100</v>
      </c>
      <c r="Y1869" s="5">
        <v>1000</v>
      </c>
      <c r="Z1869" s="5">
        <v>1013.808219</v>
      </c>
      <c r="AA1869" s="5">
        <v>15</v>
      </c>
      <c r="AB1869" s="5">
        <v>15207.123285</v>
      </c>
      <c r="AC1869" s="5" t="str">
        <f t="shared" si="91"/>
        <v>Bonos</v>
      </c>
      <c r="AD1869" s="5" t="s">
        <v>43</v>
      </c>
      <c r="AE1869" s="5">
        <f t="shared" si="89"/>
        <v>3</v>
      </c>
      <c r="AF1869" s="5">
        <f t="shared" si="90"/>
        <v>2026</v>
      </c>
    </row>
    <row r="1870" s="5" customFormat="1" ht="13">
      <c r="A1870" s="5">
        <v>12316</v>
      </c>
      <c r="B1870" s="5" t="s">
        <v>78</v>
      </c>
      <c r="C1870" s="5" t="s">
        <v>54</v>
      </c>
      <c r="D1870" s="5" t="s">
        <v>21</v>
      </c>
      <c r="E1870" s="5" t="s">
        <v>34</v>
      </c>
      <c r="F1870" s="5" t="s">
        <v>46</v>
      </c>
      <c r="G1870" s="5" t="s">
        <v>86</v>
      </c>
      <c r="H1870" s="9" t="s">
        <v>147</v>
      </c>
      <c r="I1870" s="10"/>
      <c r="J1870" s="10">
        <v>46104</v>
      </c>
      <c r="K1870" s="5" t="s">
        <v>57</v>
      </c>
      <c r="L1870" s="5" t="s">
        <v>58</v>
      </c>
      <c r="M1870" s="11">
        <v>0.12</v>
      </c>
      <c r="N1870" s="5" t="e">
        <f>IF(AND(M1870&gt;#REF!,Cartera!O1870="Guaraníes"),"Rendimiento significativo",IF(AND(M1870&gt;#REF!,Cartera!O1870="Dólares americanos"),"Rendimiento significativo","Rendimiento no significativo"))</f>
        <v>#REF!</v>
      </c>
      <c r="O1870" s="5" t="s">
        <v>41</v>
      </c>
      <c r="P1870" s="12">
        <v>2991780.8218999999</v>
      </c>
      <c r="Q1870" s="12">
        <f>IF(O1870="Guaraníes",P1870,P1870*#REF!)</f>
        <v>2991780.8218999999</v>
      </c>
      <c r="R1870" s="12" t="e">
        <f>IF(O1870="Guaraníes",P1870/#REF!,P1870)</f>
        <v>#REF!</v>
      </c>
      <c r="S1870" s="5" t="s">
        <v>42</v>
      </c>
      <c r="T1870" s="5">
        <v>10834</v>
      </c>
      <c r="W1870" s="5" t="s">
        <v>65</v>
      </c>
      <c r="X1870" s="5">
        <v>0</v>
      </c>
      <c r="Y1870" s="5">
        <v>0</v>
      </c>
      <c r="Z1870" s="5">
        <v>29917.808218999999</v>
      </c>
      <c r="AA1870" s="5">
        <v>100</v>
      </c>
      <c r="AB1870" s="5">
        <v>2991780.8218999999</v>
      </c>
      <c r="AC1870" s="5" t="str">
        <f t="shared" si="91"/>
        <v>Bonos</v>
      </c>
      <c r="AD1870" s="5" t="s">
        <v>43</v>
      </c>
      <c r="AE1870" s="5">
        <f t="shared" si="89"/>
        <v>3</v>
      </c>
      <c r="AF1870" s="5">
        <f t="shared" si="90"/>
        <v>2026</v>
      </c>
    </row>
    <row r="1871" s="5" customFormat="1" ht="13">
      <c r="A1871" s="5">
        <v>12316</v>
      </c>
      <c r="B1871" s="5" t="s">
        <v>78</v>
      </c>
      <c r="C1871" s="5" t="s">
        <v>54</v>
      </c>
      <c r="D1871" s="5" t="s">
        <v>21</v>
      </c>
      <c r="E1871" s="5" t="s">
        <v>34</v>
      </c>
      <c r="F1871" s="5" t="s">
        <v>46</v>
      </c>
      <c r="G1871" s="5" t="s">
        <v>86</v>
      </c>
      <c r="H1871" s="9" t="s">
        <v>148</v>
      </c>
      <c r="I1871" s="10"/>
      <c r="J1871" s="10">
        <v>46104</v>
      </c>
      <c r="K1871" s="5" t="s">
        <v>57</v>
      </c>
      <c r="L1871" s="5" t="s">
        <v>58</v>
      </c>
      <c r="M1871" s="11">
        <v>0.097500000000000003</v>
      </c>
      <c r="N1871" s="5" t="e">
        <f>IF(AND(M1871&gt;#REF!,Cartera!O1871="Guaraníes"),"Rendimiento significativo",IF(AND(M1871&gt;#REF!,Cartera!O1871="Dólares americanos"),"Rendimiento significativo","Rendimiento no significativo"))</f>
        <v>#REF!</v>
      </c>
      <c r="O1871" s="5" t="s">
        <v>41</v>
      </c>
      <c r="P1871" s="12">
        <v>12154109.589</v>
      </c>
      <c r="Q1871" s="12">
        <f>IF(O1871="Guaraníes",P1871,P1871*#REF!)</f>
        <v>12154109.589</v>
      </c>
      <c r="R1871" s="12" t="e">
        <f>IF(O1871="Guaraníes",P1871/#REF!,P1871)</f>
        <v>#REF!</v>
      </c>
      <c r="S1871" s="5" t="s">
        <v>42</v>
      </c>
      <c r="T1871" s="5">
        <v>10834</v>
      </c>
      <c r="W1871" s="5" t="s">
        <v>65</v>
      </c>
      <c r="X1871" s="5">
        <v>0</v>
      </c>
      <c r="Y1871" s="5">
        <v>0</v>
      </c>
      <c r="Z1871" s="5">
        <v>24308.219177999999</v>
      </c>
      <c r="AA1871" s="5">
        <v>500</v>
      </c>
      <c r="AB1871" s="5">
        <v>12154109.589</v>
      </c>
      <c r="AC1871" s="5" t="str">
        <f t="shared" si="91"/>
        <v>Bonos</v>
      </c>
      <c r="AD1871" s="5" t="s">
        <v>43</v>
      </c>
      <c r="AE1871" s="5">
        <f t="shared" si="89"/>
        <v>3</v>
      </c>
      <c r="AF1871" s="5">
        <f t="shared" si="90"/>
        <v>2026</v>
      </c>
    </row>
    <row r="1872" s="5" customFormat="1" ht="13">
      <c r="A1872" s="5">
        <v>12316</v>
      </c>
      <c r="B1872" s="5" t="s">
        <v>78</v>
      </c>
      <c r="C1872" s="5" t="s">
        <v>54</v>
      </c>
      <c r="D1872" s="5" t="s">
        <v>21</v>
      </c>
      <c r="E1872" s="5" t="s">
        <v>34</v>
      </c>
      <c r="F1872" s="5" t="s">
        <v>46</v>
      </c>
      <c r="G1872" s="5" t="s">
        <v>75</v>
      </c>
      <c r="H1872" s="9" t="s">
        <v>147</v>
      </c>
      <c r="I1872" s="10"/>
      <c r="J1872" s="10">
        <v>46104</v>
      </c>
      <c r="K1872" s="5" t="s">
        <v>57</v>
      </c>
      <c r="L1872" s="5" t="s">
        <v>58</v>
      </c>
      <c r="M1872" s="11">
        <v>0.12</v>
      </c>
      <c r="N1872" s="5" t="e">
        <f>IF(AND(M1872&gt;#REF!,Cartera!O1872="Guaraníes"),"Rendimiento significativo",IF(AND(M1872&gt;#REF!,Cartera!O1872="Dólares americanos"),"Rendimiento significativo","Rendimiento no significativo"))</f>
        <v>#REF!</v>
      </c>
      <c r="O1872" s="5" t="s">
        <v>41</v>
      </c>
      <c r="P1872" s="12">
        <v>4487671.2328500003</v>
      </c>
      <c r="Q1872" s="12">
        <f>IF(O1872="Guaraníes",P1872,P1872*#REF!)</f>
        <v>4487671.2328500003</v>
      </c>
      <c r="R1872" s="12" t="e">
        <f>IF(O1872="Guaraníes",P1872/#REF!,P1872)</f>
        <v>#REF!</v>
      </c>
      <c r="S1872" s="5" t="s">
        <v>42</v>
      </c>
      <c r="T1872" s="5">
        <v>25</v>
      </c>
      <c r="W1872" s="5" t="s">
        <v>192</v>
      </c>
      <c r="X1872" s="5">
        <v>0</v>
      </c>
      <c r="Y1872" s="5">
        <v>0</v>
      </c>
      <c r="Z1872" s="5">
        <v>29917.808218999999</v>
      </c>
      <c r="AA1872" s="5">
        <v>150</v>
      </c>
      <c r="AB1872" s="5">
        <v>4487671.2328500003</v>
      </c>
      <c r="AC1872" s="5" t="str">
        <f t="shared" si="91"/>
        <v>Bonos</v>
      </c>
      <c r="AD1872" s="5" t="s">
        <v>43</v>
      </c>
      <c r="AE1872" s="5">
        <f t="shared" si="89"/>
        <v>3</v>
      </c>
      <c r="AF1872" s="5">
        <f t="shared" si="90"/>
        <v>2026</v>
      </c>
    </row>
    <row r="1873" s="5" customFormat="1" ht="13">
      <c r="A1873" s="5">
        <v>12316</v>
      </c>
      <c r="B1873" s="5" t="s">
        <v>78</v>
      </c>
      <c r="C1873" s="5" t="s">
        <v>138</v>
      </c>
      <c r="D1873" s="5" t="s">
        <v>21</v>
      </c>
      <c r="E1873" s="5" t="s">
        <v>34</v>
      </c>
      <c r="F1873" s="5" t="s">
        <v>68</v>
      </c>
      <c r="G1873" s="5" t="s">
        <v>86</v>
      </c>
      <c r="H1873" s="9" t="s">
        <v>193</v>
      </c>
      <c r="I1873" s="10">
        <v>44104</v>
      </c>
      <c r="J1873" s="10">
        <v>46105</v>
      </c>
      <c r="K1873" s="5" t="s">
        <v>140</v>
      </c>
      <c r="L1873" s="5" t="s">
        <v>58</v>
      </c>
      <c r="M1873" s="11">
        <v>0.10000000000000001</v>
      </c>
      <c r="N1873" s="5" t="e">
        <f>IF(AND(M1873&gt;#REF!,Cartera!O1873="Guaraníes"),"Rendimiento significativo",IF(AND(M1873&gt;#REF!,Cartera!O1873="Dólares americanos"),"Rendimiento significativo","Rendimiento no significativo"))</f>
        <v>#REF!</v>
      </c>
      <c r="O1873" s="5" t="s">
        <v>41</v>
      </c>
      <c r="P1873" s="12">
        <v>2493150.6849000002</v>
      </c>
      <c r="Q1873" s="12">
        <f>IF(O1873="Guaraníes",P1873,P1873*#REF!)</f>
        <v>2493150.6849000002</v>
      </c>
      <c r="R1873" s="12" t="e">
        <f>IF(O1873="Guaraníes",P1873/#REF!,P1873)</f>
        <v>#REF!</v>
      </c>
      <c r="S1873" s="5" t="s">
        <v>42</v>
      </c>
      <c r="AC1873" s="5" t="str">
        <f t="shared" si="91"/>
        <v>Bonos</v>
      </c>
      <c r="AD1873" s="5" t="s">
        <v>43</v>
      </c>
      <c r="AE1873" s="5">
        <f t="shared" si="89"/>
        <v>3</v>
      </c>
      <c r="AF1873" s="5">
        <f t="shared" si="90"/>
        <v>2026</v>
      </c>
    </row>
    <row r="1874" s="5" customFormat="1" ht="13">
      <c r="A1874" s="5">
        <v>12315</v>
      </c>
      <c r="B1874" s="5" t="s">
        <v>73</v>
      </c>
      <c r="C1874" s="5" t="s">
        <v>116</v>
      </c>
      <c r="D1874" s="5" t="s">
        <v>21</v>
      </c>
      <c r="E1874" s="5" t="s">
        <v>34</v>
      </c>
      <c r="F1874" s="5" t="s">
        <v>68</v>
      </c>
      <c r="G1874" s="5" t="s">
        <v>69</v>
      </c>
      <c r="H1874" s="9" t="s">
        <v>194</v>
      </c>
      <c r="I1874" s="10"/>
      <c r="J1874" s="10">
        <v>46106</v>
      </c>
      <c r="K1874" s="5" t="s">
        <v>118</v>
      </c>
      <c r="L1874" s="5" t="s">
        <v>50</v>
      </c>
      <c r="M1874" s="11">
        <v>0.065000000000000002</v>
      </c>
      <c r="N1874" s="5" t="e">
        <f>IF(AND(M1874&gt;#REF!,Cartera!O1874="Guaraníes"),"Rendimiento significativo",IF(AND(M1874&gt;#REF!,Cartera!O1874="Dólares americanos"),"Rendimiento significativo","Rendimiento no significativo"))</f>
        <v>#REF!</v>
      </c>
      <c r="O1874" s="5" t="s">
        <v>51</v>
      </c>
      <c r="P1874" s="13">
        <v>324.10958999999997</v>
      </c>
      <c r="Q1874" s="12" t="e">
        <f>IF(O1874="Guaraníes",P1874,P1874*#REF!)</f>
        <v>#REF!</v>
      </c>
      <c r="R1874" s="12">
        <f>IF(O1874="Guaraníes",P1874/#REF!,P1874)</f>
        <v>324.10958999999997</v>
      </c>
      <c r="S1874" s="5" t="s">
        <v>42</v>
      </c>
      <c r="T1874" s="5">
        <v>593</v>
      </c>
      <c r="W1874" s="5" t="s">
        <v>195</v>
      </c>
      <c r="X1874" s="5">
        <v>0</v>
      </c>
      <c r="Y1874" s="5">
        <v>0</v>
      </c>
      <c r="Z1874" s="5">
        <v>32.410958999999998</v>
      </c>
      <c r="AA1874" s="5">
        <v>10</v>
      </c>
      <c r="AB1874" s="5">
        <v>324.10959000000003</v>
      </c>
      <c r="AC1874" s="5" t="str">
        <f t="shared" si="91"/>
        <v>Bonos</v>
      </c>
      <c r="AD1874" s="5" t="s">
        <v>43</v>
      </c>
      <c r="AE1874" s="5">
        <f t="shared" ref="AE1874:AE1937" si="92">IFERROR((MONTH(J1874)),0)</f>
        <v>3</v>
      </c>
      <c r="AF1874" s="5">
        <f t="shared" ref="AF1874:AF1937" si="93">IFERROR((YEAR(J1874)),0)</f>
        <v>2026</v>
      </c>
    </row>
    <row r="1875" s="5" customFormat="1" ht="13">
      <c r="A1875" s="5">
        <v>12316</v>
      </c>
      <c r="B1875" s="5" t="s">
        <v>78</v>
      </c>
      <c r="C1875" s="5" t="s">
        <v>189</v>
      </c>
      <c r="D1875" s="5" t="s">
        <v>21</v>
      </c>
      <c r="E1875" s="5" t="s">
        <v>34</v>
      </c>
      <c r="F1875" s="5" t="s">
        <v>190</v>
      </c>
      <c r="G1875" s="5" t="s">
        <v>141</v>
      </c>
      <c r="H1875" s="9" t="s">
        <v>191</v>
      </c>
      <c r="I1875" s="10"/>
      <c r="J1875" s="10">
        <v>46106</v>
      </c>
      <c r="K1875" s="5" t="s">
        <v>77</v>
      </c>
      <c r="L1875" s="5" t="s">
        <v>58</v>
      </c>
      <c r="M1875" s="11">
        <v>0.089999999999999997</v>
      </c>
      <c r="N1875" s="5" t="e">
        <f>IF(AND(M1875&gt;#REF!,Cartera!O1875="Guaraníes"),"Rendimiento significativo",IF(AND(M1875&gt;#REF!,Cartera!O1875="Dólares americanos"),"Rendimiento significativo","Rendimiento no significativo"))</f>
        <v>#REF!</v>
      </c>
      <c r="O1875" s="5" t="s">
        <v>41</v>
      </c>
      <c r="P1875" s="12">
        <v>7101369.8630999997</v>
      </c>
      <c r="Q1875" s="12">
        <f>IF(O1875="Guaraníes",P1875,P1875*#REF!)</f>
        <v>7101369.8630999997</v>
      </c>
      <c r="R1875" s="12" t="e">
        <f>IF(O1875="Guaraníes",P1875/#REF!,P1875)</f>
        <v>#REF!</v>
      </c>
      <c r="S1875" s="5" t="s">
        <v>42</v>
      </c>
      <c r="AC1875" s="5" t="str">
        <f t="shared" si="91"/>
        <v>Bonos</v>
      </c>
      <c r="AD1875" s="5" t="s">
        <v>43</v>
      </c>
      <c r="AE1875" s="5">
        <f t="shared" si="92"/>
        <v>3</v>
      </c>
      <c r="AF1875" s="5">
        <f t="shared" si="93"/>
        <v>2026</v>
      </c>
    </row>
    <row r="1876" s="5" customFormat="1" ht="13">
      <c r="A1876" s="5">
        <v>12315</v>
      </c>
      <c r="B1876" s="5" t="s">
        <v>73</v>
      </c>
      <c r="C1876" s="5" t="s">
        <v>212</v>
      </c>
      <c r="D1876" s="5" t="s">
        <v>21</v>
      </c>
      <c r="E1876" s="5" t="s">
        <v>34</v>
      </c>
      <c r="F1876" s="5" t="s">
        <v>68</v>
      </c>
      <c r="G1876" s="5" t="s">
        <v>86</v>
      </c>
      <c r="H1876" s="9" t="s">
        <v>213</v>
      </c>
      <c r="I1876" s="10">
        <v>44651</v>
      </c>
      <c r="J1876" s="10">
        <v>46107</v>
      </c>
      <c r="K1876" s="5" t="s">
        <v>81</v>
      </c>
      <c r="L1876" s="5" t="s">
        <v>58</v>
      </c>
      <c r="M1876" s="11">
        <v>0.053499999999999999</v>
      </c>
      <c r="N1876" s="5" t="e">
        <f>IF(AND(M1876&gt;#REF!,Cartera!O1876="Guaraníes"),"Rendimiento significativo",IF(AND(M1876&gt;#REF!,Cartera!O1876="Dólares americanos"),"Rendimiento significativo","Rendimiento no significativo"))</f>
        <v>#REF!</v>
      </c>
      <c r="O1876" s="5" t="s">
        <v>51</v>
      </c>
      <c r="P1876" s="13">
        <v>2667.6712000000002</v>
      </c>
      <c r="Q1876" s="12" t="e">
        <f>IF(O1876="Guaraníes",P1876,P1876*#REF!)</f>
        <v>#REF!</v>
      </c>
      <c r="R1876" s="12">
        <f>IF(O1876="Guaraníes",P1876/#REF!,P1876)</f>
        <v>2667.6712000000002</v>
      </c>
      <c r="S1876" s="5" t="s">
        <v>42</v>
      </c>
      <c r="V1876" s="5">
        <v>26.676711999999998</v>
      </c>
      <c r="AA1876" s="5">
        <v>100</v>
      </c>
      <c r="AC1876" s="5" t="str">
        <f t="shared" si="91"/>
        <v>Bonos</v>
      </c>
      <c r="AD1876" s="5" t="s">
        <v>43</v>
      </c>
      <c r="AE1876" s="5">
        <f t="shared" si="92"/>
        <v>3</v>
      </c>
      <c r="AF1876" s="5">
        <f t="shared" si="93"/>
        <v>2026</v>
      </c>
    </row>
    <row r="1877" s="5" customFormat="1" ht="13">
      <c r="A1877" s="5">
        <v>12316</v>
      </c>
      <c r="B1877" s="5" t="s">
        <v>78</v>
      </c>
      <c r="C1877" s="5" t="s">
        <v>33</v>
      </c>
      <c r="D1877" s="5" t="s">
        <v>21</v>
      </c>
      <c r="E1877" s="5" t="s">
        <v>34</v>
      </c>
      <c r="F1877" s="5" t="s">
        <v>35</v>
      </c>
      <c r="G1877" s="5" t="s">
        <v>141</v>
      </c>
      <c r="H1877" s="9" t="s">
        <v>214</v>
      </c>
      <c r="I1877" s="10">
        <v>45015</v>
      </c>
      <c r="J1877" s="10">
        <v>46107</v>
      </c>
      <c r="K1877" s="5" t="s">
        <v>39</v>
      </c>
      <c r="L1877" s="5" t="s">
        <v>106</v>
      </c>
      <c r="M1877" s="11">
        <v>0.092700000000000005</v>
      </c>
      <c r="N1877" s="5" t="e">
        <f>IF(AND(M1877&gt;#REF!,Cartera!O1877="Guaraníes"),"Rendimiento significativo",IF(AND(M1877&gt;#REF!,Cartera!O1877="Dólares americanos"),"Rendimiento significativo","Rendimiento no significativo"))</f>
        <v>#REF!</v>
      </c>
      <c r="O1877" s="5" t="s">
        <v>41</v>
      </c>
      <c r="P1877" s="12">
        <v>7009643.8355999999</v>
      </c>
      <c r="Q1877" s="12">
        <f>IF(O1877="Guaraníes",P1877,P1877*#REF!)</f>
        <v>7009643.8355999999</v>
      </c>
      <c r="R1877" s="12" t="e">
        <f>IF(O1877="Guaraníes",P1877/#REF!,P1877)</f>
        <v>#REF!</v>
      </c>
      <c r="S1877" s="5" t="s">
        <v>42</v>
      </c>
      <c r="AC1877" s="5" t="str">
        <f t="shared" si="91"/>
        <v>Bonos</v>
      </c>
      <c r="AD1877" s="5" t="s">
        <v>43</v>
      </c>
      <c r="AE1877" s="5">
        <f t="shared" si="92"/>
        <v>3</v>
      </c>
      <c r="AF1877" s="5">
        <f t="shared" si="93"/>
        <v>2026</v>
      </c>
    </row>
    <row r="1878" s="5" customFormat="1" ht="13">
      <c r="A1878" s="5">
        <v>12316</v>
      </c>
      <c r="B1878" s="5" t="s">
        <v>78</v>
      </c>
      <c r="C1878" s="5" t="s">
        <v>183</v>
      </c>
      <c r="D1878" s="5" t="s">
        <v>21</v>
      </c>
      <c r="E1878" s="5" t="s">
        <v>34</v>
      </c>
      <c r="H1878" s="9" t="s">
        <v>210</v>
      </c>
      <c r="I1878" s="10">
        <v>45562</v>
      </c>
      <c r="J1878" s="10">
        <v>46107</v>
      </c>
      <c r="L1878" s="11" t="s">
        <v>82</v>
      </c>
      <c r="M1878" s="11">
        <v>0.053800000000000001</v>
      </c>
      <c r="N1878" s="11" t="e">
        <f>IF(AND(M1878&gt;#REF!,Cartera!O1878="Guaraníes"),"Rendimiento significativo",IF(AND(M1878&gt;#REF!,Cartera!O1878="Dólares americanos"),"Rendimiento significativo","Rendimiento no significativo"))</f>
        <v>#REF!</v>
      </c>
      <c r="O1878" s="5" t="s">
        <v>41</v>
      </c>
      <c r="P1878" s="13">
        <v>2653110</v>
      </c>
      <c r="Q1878" s="12">
        <f>IF(O1878="Guaraníes",P1878,P1878*#REF!)</f>
        <v>2653110</v>
      </c>
      <c r="R1878" s="13">
        <v>340.58331942643679</v>
      </c>
      <c r="S1878" s="5" t="s">
        <v>42</v>
      </c>
      <c r="AC1878" s="5" t="str">
        <f t="shared" si="91"/>
        <v>CDA</v>
      </c>
      <c r="AD1878" s="5" t="s">
        <v>43</v>
      </c>
    </row>
    <row r="1879" s="5" customFormat="1" ht="13">
      <c r="A1879" s="5">
        <v>12315</v>
      </c>
      <c r="B1879" s="5" t="s">
        <v>73</v>
      </c>
      <c r="C1879" s="5" t="s">
        <v>183</v>
      </c>
      <c r="D1879" s="5" t="s">
        <v>21</v>
      </c>
      <c r="E1879" s="5" t="s">
        <v>34</v>
      </c>
      <c r="H1879" s="9" t="s">
        <v>211</v>
      </c>
      <c r="I1879" s="10">
        <v>45562</v>
      </c>
      <c r="J1879" s="10">
        <v>46107</v>
      </c>
      <c r="L1879" s="11" t="s">
        <v>82</v>
      </c>
      <c r="M1879" s="11">
        <v>0.026800000000000001</v>
      </c>
      <c r="N1879" s="11" t="e">
        <f>IF(AND(M1879&gt;#REF!,Cartera!O1879="Guaraníes"),"Rendimiento significativo",IF(AND(M1879&gt;#REF!,Cartera!O1879="Dólares americanos"),"Rendimiento significativo","Rendimiento no significativo"))</f>
        <v>#REF!</v>
      </c>
      <c r="O1879" s="5" t="s">
        <v>51</v>
      </c>
      <c r="P1879" s="13">
        <v>132.16</v>
      </c>
      <c r="Q1879" s="12" t="e">
        <f>IF(O1879="Guaraníes",P1879,P1879*#REF!)</f>
        <v>#REF!</v>
      </c>
      <c r="R1879" s="17">
        <v>132.16</v>
      </c>
      <c r="S1879" s="5" t="s">
        <v>42</v>
      </c>
      <c r="AC1879" s="5" t="str">
        <f t="shared" si="91"/>
        <v>CDA</v>
      </c>
      <c r="AD1879" s="5" t="s">
        <v>43</v>
      </c>
    </row>
    <row r="1880" s="5" customFormat="1" ht="13">
      <c r="A1880" s="5">
        <v>12316</v>
      </c>
      <c r="B1880" s="5" t="s">
        <v>78</v>
      </c>
      <c r="C1880" s="5" t="s">
        <v>111</v>
      </c>
      <c r="D1880" s="5" t="s">
        <v>21</v>
      </c>
      <c r="E1880" s="5" t="s">
        <v>34</v>
      </c>
      <c r="F1880" s="5" t="s">
        <v>68</v>
      </c>
      <c r="H1880" s="9" t="s">
        <v>187</v>
      </c>
      <c r="I1880" s="10">
        <v>45370</v>
      </c>
      <c r="J1880" s="10">
        <v>46111</v>
      </c>
      <c r="K1880" s="5" t="s">
        <v>140</v>
      </c>
      <c r="L1880" s="5" t="s">
        <v>82</v>
      </c>
      <c r="M1880" s="11">
        <v>0.086999999999999994</v>
      </c>
      <c r="N1880" s="5" t="e">
        <f>IF(AND(M1880&gt;#REF!,Cartera!O1880="Guaraníes"),"Rendimiento significativo",IF(AND(M1880&gt;#REF!,Cartera!O1880="Dólares americanos"),"Rendimiento significativo","Rendimiento no significativo"))</f>
        <v>#REF!</v>
      </c>
      <c r="O1880" s="5" t="s">
        <v>41</v>
      </c>
      <c r="P1880" s="12">
        <v>1501646</v>
      </c>
      <c r="Q1880" s="12">
        <f>IF(O1880="Guaraníes",P1880,P1880*#REF!)</f>
        <v>1501646</v>
      </c>
      <c r="R1880" s="12" t="e">
        <f>IF(O1880="Guaraníes",P1880/#REF!,P1880)</f>
        <v>#REF!</v>
      </c>
      <c r="S1880" s="5" t="s">
        <v>42</v>
      </c>
      <c r="AC1880" s="5" t="str">
        <f t="shared" si="91"/>
        <v>CDA</v>
      </c>
      <c r="AD1880" s="5" t="s">
        <v>43</v>
      </c>
      <c r="AE1880" s="5">
        <f t="shared" si="92"/>
        <v>3</v>
      </c>
      <c r="AF1880" s="5">
        <f t="shared" si="93"/>
        <v>2026</v>
      </c>
    </row>
    <row r="1881" s="5" customFormat="1" ht="13">
      <c r="A1881" s="5">
        <v>12315</v>
      </c>
      <c r="B1881" s="5" t="s">
        <v>73</v>
      </c>
      <c r="C1881" s="5" t="s">
        <v>111</v>
      </c>
      <c r="D1881" s="5" t="s">
        <v>21</v>
      </c>
      <c r="E1881" s="5" t="s">
        <v>34</v>
      </c>
      <c r="F1881" s="5" t="s">
        <v>68</v>
      </c>
      <c r="H1881" s="9" t="s">
        <v>188</v>
      </c>
      <c r="I1881" s="10">
        <v>45370</v>
      </c>
      <c r="J1881" s="10">
        <v>46111</v>
      </c>
      <c r="K1881" s="5" t="s">
        <v>140</v>
      </c>
      <c r="L1881" s="5" t="s">
        <v>82</v>
      </c>
      <c r="M1881" s="11">
        <v>0.057000000000000002</v>
      </c>
      <c r="N1881" s="5" t="e">
        <f>IF(AND(M1881&gt;#REF!,Cartera!O1881="Guaraníes"),"Rendimiento significativo",IF(AND(M1881&gt;#REF!,Cartera!O1881="Dólares americanos"),"Rendimiento significativo","Rendimiento no significativo"))</f>
        <v>#REF!</v>
      </c>
      <c r="O1881" s="5" t="s">
        <v>51</v>
      </c>
      <c r="P1881" s="13">
        <v>65.569999999999993</v>
      </c>
      <c r="Q1881" s="12" t="e">
        <f>IF(O1881="Guaraníes",P1881,P1881*#REF!)</f>
        <v>#REF!</v>
      </c>
      <c r="R1881" s="12">
        <f>IF(O1881="Guaraníes",P1881/#REF!,P1881)</f>
        <v>65.569999999999993</v>
      </c>
      <c r="S1881" s="5" t="s">
        <v>42</v>
      </c>
      <c r="AC1881" s="5" t="str">
        <f t="shared" si="91"/>
        <v>CDA</v>
      </c>
      <c r="AD1881" s="5" t="s">
        <v>43</v>
      </c>
      <c r="AE1881" s="5">
        <f t="shared" si="92"/>
        <v>3</v>
      </c>
      <c r="AF1881" s="5">
        <f t="shared" si="93"/>
        <v>2026</v>
      </c>
    </row>
    <row r="1882" s="5" customFormat="1" ht="13">
      <c r="A1882" s="5">
        <v>12316</v>
      </c>
      <c r="B1882" s="5" t="s">
        <v>78</v>
      </c>
      <c r="C1882" s="5" t="s">
        <v>164</v>
      </c>
      <c r="D1882" s="5" t="s">
        <v>21</v>
      </c>
      <c r="E1882" s="5" t="s">
        <v>34</v>
      </c>
      <c r="F1882" s="5" t="s">
        <v>68</v>
      </c>
      <c r="G1882" s="5" t="s">
        <v>145</v>
      </c>
      <c r="H1882" s="9" t="s">
        <v>165</v>
      </c>
      <c r="I1882" s="10"/>
      <c r="J1882" s="10">
        <v>46112</v>
      </c>
      <c r="K1882" s="5" t="s">
        <v>124</v>
      </c>
      <c r="L1882" s="5" t="s">
        <v>58</v>
      </c>
      <c r="M1882" s="11">
        <v>0.10000000000000001</v>
      </c>
      <c r="N1882" s="5" t="e">
        <f>IF(AND(M1882&gt;#REF!,Cartera!O1882="Guaraníes"),"Rendimiento significativo",IF(AND(M1882&gt;#REF!,Cartera!O1882="Dólares americanos"),"Rendimiento significativo","Rendimiento no significativo"))</f>
        <v>#REF!</v>
      </c>
      <c r="O1882" s="5" t="s">
        <v>41</v>
      </c>
      <c r="P1882" s="12">
        <v>3506849.3152000001</v>
      </c>
      <c r="Q1882" s="12">
        <f>IF(O1882="Guaraníes",P1882,P1882*#REF!)</f>
        <v>3506849.3152000001</v>
      </c>
      <c r="R1882" s="12" t="e">
        <f>IF(O1882="Guaraníes",P1882/#REF!,P1882)</f>
        <v>#REF!</v>
      </c>
      <c r="S1882" s="5" t="s">
        <v>42</v>
      </c>
      <c r="T1882" s="5">
        <v>1057</v>
      </c>
      <c r="W1882" s="5" t="s">
        <v>65</v>
      </c>
      <c r="X1882" s="5">
        <v>0</v>
      </c>
      <c r="Y1882" s="5">
        <v>0</v>
      </c>
      <c r="Z1882" s="5">
        <v>8767.1232880000007</v>
      </c>
      <c r="AA1882" s="5">
        <v>400</v>
      </c>
      <c r="AB1882" s="5">
        <v>3506849.3152000001</v>
      </c>
      <c r="AC1882" s="5" t="str">
        <f t="shared" si="91"/>
        <v>Bonos</v>
      </c>
      <c r="AD1882" s="5" t="s">
        <v>43</v>
      </c>
      <c r="AE1882" s="5">
        <f t="shared" si="92"/>
        <v>3</v>
      </c>
      <c r="AF1882" s="5">
        <f t="shared" si="93"/>
        <v>2026</v>
      </c>
    </row>
    <row r="1883" s="5" customFormat="1" ht="13">
      <c r="A1883" s="5">
        <v>12316</v>
      </c>
      <c r="B1883" s="5" t="s">
        <v>78</v>
      </c>
      <c r="C1883" s="5" t="s">
        <v>164</v>
      </c>
      <c r="D1883" s="5" t="s">
        <v>21</v>
      </c>
      <c r="E1883" s="5" t="s">
        <v>34</v>
      </c>
      <c r="F1883" s="5" t="s">
        <v>68</v>
      </c>
      <c r="G1883" s="5" t="s">
        <v>91</v>
      </c>
      <c r="H1883" s="9" t="s">
        <v>166</v>
      </c>
      <c r="I1883" s="10"/>
      <c r="J1883" s="10">
        <v>46112</v>
      </c>
      <c r="K1883" s="5" t="s">
        <v>124</v>
      </c>
      <c r="L1883" s="5" t="s">
        <v>58</v>
      </c>
      <c r="M1883" s="11">
        <v>0.092499999999999999</v>
      </c>
      <c r="N1883" s="5" t="e">
        <f>IF(AND(M1883&gt;#REF!,Cartera!O1883="Guaraníes"),"Rendimiento significativo",IF(AND(M1883&gt;#REF!,Cartera!O1883="Dólares americanos"),"Rendimiento significativo","Rendimiento no significativo"))</f>
        <v>#REF!</v>
      </c>
      <c r="O1883" s="5" t="s">
        <v>41</v>
      </c>
      <c r="P1883" s="12">
        <v>1216438.3561500001</v>
      </c>
      <c r="Q1883" s="12">
        <f>IF(O1883="Guaraníes",P1883,P1883*#REF!)</f>
        <v>1216438.3561500001</v>
      </c>
      <c r="R1883" s="12" t="e">
        <f>IF(O1883="Guaraníes",P1883/#REF!,P1883)</f>
        <v>#REF!</v>
      </c>
      <c r="S1883" s="5" t="s">
        <v>42</v>
      </c>
      <c r="T1883" s="5">
        <v>3253</v>
      </c>
      <c r="W1883" s="5" t="s">
        <v>65</v>
      </c>
      <c r="X1883" s="5">
        <v>0</v>
      </c>
      <c r="Y1883" s="5">
        <v>0</v>
      </c>
      <c r="Z1883" s="5">
        <v>8109.5890410000002</v>
      </c>
      <c r="AA1883" s="5">
        <v>150</v>
      </c>
      <c r="AB1883" s="5">
        <v>1216438.3561499999</v>
      </c>
      <c r="AC1883" s="5" t="str">
        <f t="shared" si="91"/>
        <v>Bonos</v>
      </c>
      <c r="AD1883" s="5" t="s">
        <v>43</v>
      </c>
      <c r="AE1883" s="5">
        <f t="shared" si="92"/>
        <v>3</v>
      </c>
      <c r="AF1883" s="5">
        <f t="shared" si="93"/>
        <v>2026</v>
      </c>
    </row>
    <row r="1884" s="5" customFormat="1" ht="13">
      <c r="A1884" s="5">
        <v>12316</v>
      </c>
      <c r="B1884" s="5" t="s">
        <v>78</v>
      </c>
      <c r="C1884" s="5" t="s">
        <v>164</v>
      </c>
      <c r="D1884" s="5" t="s">
        <v>21</v>
      </c>
      <c r="E1884" s="5" t="s">
        <v>34</v>
      </c>
      <c r="F1884" s="5" t="s">
        <v>68</v>
      </c>
      <c r="G1884" s="5" t="s">
        <v>141</v>
      </c>
      <c r="H1884" s="9" t="s">
        <v>165</v>
      </c>
      <c r="I1884" s="10"/>
      <c r="J1884" s="10">
        <v>46112</v>
      </c>
      <c r="K1884" s="5" t="s">
        <v>124</v>
      </c>
      <c r="L1884" s="5" t="s">
        <v>58</v>
      </c>
      <c r="M1884" s="11">
        <v>0.10000000000000001</v>
      </c>
      <c r="N1884" s="5" t="e">
        <f>IF(AND(M1884&gt;#REF!,Cartera!O1884="Guaraníes"),"Rendimiento significativo",IF(AND(M1884&gt;#REF!,Cartera!O1884="Dólares americanos"),"Rendimiento significativo","Rendimiento no significativo"))</f>
        <v>#REF!</v>
      </c>
      <c r="O1884" s="5" t="s">
        <v>41</v>
      </c>
      <c r="P1884" s="12">
        <v>876712.32880000002</v>
      </c>
      <c r="Q1884" s="12">
        <f>IF(O1884="Guaraníes",P1884,P1884*#REF!)</f>
        <v>876712.32880000002</v>
      </c>
      <c r="R1884" s="12" t="e">
        <f>IF(O1884="Guaraníes",P1884/#REF!,P1884)</f>
        <v>#REF!</v>
      </c>
      <c r="S1884" s="5" t="s">
        <v>42</v>
      </c>
      <c r="T1884" s="5">
        <v>9243</v>
      </c>
      <c r="W1884" s="5" t="s">
        <v>65</v>
      </c>
      <c r="X1884" s="5">
        <v>0</v>
      </c>
      <c r="Y1884" s="5">
        <v>0</v>
      </c>
      <c r="Z1884" s="5">
        <v>8767.1232880000007</v>
      </c>
      <c r="AA1884" s="5">
        <v>100</v>
      </c>
      <c r="AB1884" s="5">
        <v>876712.32880000002</v>
      </c>
      <c r="AC1884" s="5" t="str">
        <f t="shared" si="91"/>
        <v>Bonos</v>
      </c>
      <c r="AD1884" s="5" t="s">
        <v>43</v>
      </c>
      <c r="AE1884" s="5">
        <f t="shared" si="92"/>
        <v>3</v>
      </c>
      <c r="AF1884" s="5">
        <f t="shared" si="93"/>
        <v>2026</v>
      </c>
    </row>
    <row r="1885" s="5" customFormat="1" ht="13">
      <c r="A1885" s="5">
        <v>12316</v>
      </c>
      <c r="B1885" s="5" t="s">
        <v>78</v>
      </c>
      <c r="C1885" s="5" t="s">
        <v>164</v>
      </c>
      <c r="D1885" s="5" t="s">
        <v>21</v>
      </c>
      <c r="E1885" s="5" t="s">
        <v>34</v>
      </c>
      <c r="F1885" s="5" t="s">
        <v>68</v>
      </c>
      <c r="G1885" s="5" t="s">
        <v>141</v>
      </c>
      <c r="H1885" s="9" t="s">
        <v>167</v>
      </c>
      <c r="I1885" s="10"/>
      <c r="J1885" s="10">
        <v>46112</v>
      </c>
      <c r="K1885" s="5" t="s">
        <v>124</v>
      </c>
      <c r="L1885" s="5" t="s">
        <v>58</v>
      </c>
      <c r="M1885" s="11">
        <v>0.092499999999999999</v>
      </c>
      <c r="N1885" s="5" t="e">
        <f>IF(AND(M1885&gt;#REF!,Cartera!O1885="Guaraníes"),"Rendimiento significativo",IF(AND(M1885&gt;#REF!,Cartera!O1885="Dólares americanos"),"Rendimiento significativo","Rendimiento no significativo"))</f>
        <v>#REF!</v>
      </c>
      <c r="O1885" s="5" t="s">
        <v>41</v>
      </c>
      <c r="P1885" s="12">
        <v>810958.90410000004</v>
      </c>
      <c r="Q1885" s="12">
        <f>IF(O1885="Guaraníes",P1885,P1885*#REF!)</f>
        <v>810958.90410000004</v>
      </c>
      <c r="R1885" s="12" t="e">
        <f>IF(O1885="Guaraníes",P1885/#REF!,P1885)</f>
        <v>#REF!</v>
      </c>
      <c r="S1885" s="5" t="s">
        <v>42</v>
      </c>
      <c r="T1885" s="5">
        <v>9243</v>
      </c>
      <c r="W1885" s="5" t="s">
        <v>65</v>
      </c>
      <c r="X1885" s="5">
        <v>0</v>
      </c>
      <c r="Y1885" s="5">
        <v>0</v>
      </c>
      <c r="Z1885" s="5">
        <v>8109.5890410000002</v>
      </c>
      <c r="AA1885" s="5">
        <v>100</v>
      </c>
      <c r="AB1885" s="5">
        <v>810958.90410000004</v>
      </c>
      <c r="AC1885" s="5" t="str">
        <f t="shared" si="91"/>
        <v>Bonos</v>
      </c>
      <c r="AD1885" s="5" t="s">
        <v>43</v>
      </c>
      <c r="AE1885" s="5">
        <f t="shared" si="92"/>
        <v>3</v>
      </c>
      <c r="AF1885" s="5">
        <f t="shared" si="93"/>
        <v>2026</v>
      </c>
    </row>
    <row r="1886" s="5" customFormat="1" ht="13">
      <c r="A1886" s="5">
        <v>12315</v>
      </c>
      <c r="B1886" s="5" t="s">
        <v>73</v>
      </c>
      <c r="C1886" s="5" t="s">
        <v>74</v>
      </c>
      <c r="D1886" s="5" t="s">
        <v>21</v>
      </c>
      <c r="E1886" s="5" t="s">
        <v>34</v>
      </c>
      <c r="F1886" s="5" t="s">
        <v>68</v>
      </c>
      <c r="G1886" s="5" t="s">
        <v>75</v>
      </c>
      <c r="H1886" s="9" t="s">
        <v>76</v>
      </c>
      <c r="I1886" s="10"/>
      <c r="J1886" s="10">
        <v>46113</v>
      </c>
      <c r="K1886" s="5" t="s">
        <v>77</v>
      </c>
      <c r="L1886" s="5" t="s">
        <v>50</v>
      </c>
      <c r="M1886" s="11">
        <v>0.055</v>
      </c>
      <c r="N1886" s="5" t="e">
        <f>IF(AND(M1886&gt;#REF!,Cartera!O1886="Guaraníes"),"Rendimiento significativo",IF(AND(M1886&gt;#REF!,Cartera!O1886="Dólares americanos"),"Rendimiento significativo","Rendimiento no significativo"))</f>
        <v>#REF!</v>
      </c>
      <c r="O1886" s="5" t="s">
        <v>51</v>
      </c>
      <c r="P1886" s="13">
        <v>402.32877000000002</v>
      </c>
      <c r="Q1886" s="12" t="e">
        <f>IF(O1886="Guaraníes",P1886,P1886*#REF!)</f>
        <v>#REF!</v>
      </c>
      <c r="R1886" s="12">
        <f>IF(O1886="Guaraníes",P1886/#REF!,P1886)</f>
        <v>402.32877000000002</v>
      </c>
      <c r="S1886" s="5" t="s">
        <v>42</v>
      </c>
      <c r="T1886" s="5">
        <v>25</v>
      </c>
      <c r="W1886" s="5" t="s">
        <v>65</v>
      </c>
      <c r="X1886" s="5">
        <v>0</v>
      </c>
      <c r="Y1886" s="5">
        <v>0</v>
      </c>
      <c r="Z1886" s="5">
        <v>13.410959</v>
      </c>
      <c r="AA1886" s="5">
        <v>30</v>
      </c>
      <c r="AB1886" s="5">
        <v>402.32999999999998</v>
      </c>
      <c r="AC1886" s="5" t="str">
        <f t="shared" si="91"/>
        <v>Bonos</v>
      </c>
      <c r="AD1886" s="5" t="s">
        <v>43</v>
      </c>
      <c r="AE1886" s="5">
        <f t="shared" si="92"/>
        <v>4</v>
      </c>
      <c r="AF1886" s="5">
        <f t="shared" si="93"/>
        <v>2026</v>
      </c>
    </row>
    <row r="1887" s="5" customFormat="1" ht="13">
      <c r="A1887" s="5">
        <v>12302</v>
      </c>
      <c r="B1887" s="5" t="s">
        <v>98</v>
      </c>
      <c r="C1887" s="5" t="s">
        <v>222</v>
      </c>
      <c r="D1887" s="5" t="s">
        <v>20</v>
      </c>
      <c r="E1887" s="5" t="s">
        <v>34</v>
      </c>
      <c r="F1887" s="5" t="s">
        <v>68</v>
      </c>
      <c r="G1887" s="5" t="s">
        <v>91</v>
      </c>
      <c r="H1887" s="9" t="s">
        <v>223</v>
      </c>
      <c r="I1887" s="10">
        <v>43433</v>
      </c>
      <c r="J1887" s="10">
        <v>45985</v>
      </c>
      <c r="K1887" s="5" t="s">
        <v>127</v>
      </c>
      <c r="L1887" s="5" t="s">
        <v>50</v>
      </c>
      <c r="M1887" s="11">
        <v>0.070000000000000007</v>
      </c>
      <c r="N1887" s="5" t="e">
        <f>IF(AND(M1887&gt;#REF!,Cartera!O1887="Guaraníes"),"Rendimiento significativo",IF(AND(M1887&gt;#REF!,Cartera!O1887="Dólares americanos"),"Rendimiento significativo","Rendimiento no significativo"))</f>
        <v>#REF!</v>
      </c>
      <c r="O1887" s="5" t="s">
        <v>51</v>
      </c>
      <c r="P1887" s="13">
        <v>50000</v>
      </c>
      <c r="Q1887" s="12" t="e">
        <f>IF(O1887="Guaraníes",P1887,P1887*#REF!)</f>
        <v>#REF!</v>
      </c>
      <c r="R1887" s="12">
        <f>IF(O1887="Guaraníes",P1887/#REF!,P1887)</f>
        <v>50000</v>
      </c>
      <c r="S1887" s="5" t="s">
        <v>42</v>
      </c>
      <c r="AC1887" s="5" t="str">
        <f t="shared" si="91"/>
        <v>Bonos</v>
      </c>
      <c r="AD1887" s="5" t="s">
        <v>43</v>
      </c>
      <c r="AE1887" s="5">
        <f t="shared" si="92"/>
        <v>11</v>
      </c>
      <c r="AF1887" s="5">
        <f t="shared" si="93"/>
        <v>2025</v>
      </c>
    </row>
    <row r="1888" s="5" customFormat="1" ht="13">
      <c r="A1888" s="5">
        <v>12316</v>
      </c>
      <c r="B1888" s="5" t="s">
        <v>78</v>
      </c>
      <c r="C1888" s="5" t="s">
        <v>138</v>
      </c>
      <c r="D1888" s="5" t="s">
        <v>21</v>
      </c>
      <c r="E1888" s="5" t="s">
        <v>34</v>
      </c>
      <c r="F1888" s="5" t="s">
        <v>68</v>
      </c>
      <c r="G1888" s="5" t="s">
        <v>86</v>
      </c>
      <c r="H1888" s="9" t="s">
        <v>139</v>
      </c>
      <c r="I1888" s="10">
        <v>43948</v>
      </c>
      <c r="J1888" s="10">
        <v>46113</v>
      </c>
      <c r="K1888" s="5" t="s">
        <v>140</v>
      </c>
      <c r="L1888" s="5" t="s">
        <v>58</v>
      </c>
      <c r="M1888" s="11">
        <v>0.11</v>
      </c>
      <c r="N1888" s="5" t="e">
        <f>IF(AND(M1888&gt;#REF!,Cartera!O1888="Guaraníes"),"Rendimiento significativo",IF(AND(M1888&gt;#REF!,Cartera!O1888="Dólares americanos"),"Rendimiento significativo","Rendimiento no significativo"))</f>
        <v>#REF!</v>
      </c>
      <c r="O1888" s="5" t="s">
        <v>41</v>
      </c>
      <c r="P1888" s="12">
        <v>904109.58900000004</v>
      </c>
      <c r="Q1888" s="12">
        <f>IF(O1888="Guaraníes",P1888,P1888*#REF!)</f>
        <v>904109.58900000004</v>
      </c>
      <c r="R1888" s="12" t="e">
        <f>IF(O1888="Guaraníes",P1888/#REF!,P1888)</f>
        <v>#REF!</v>
      </c>
      <c r="S1888" s="5" t="s">
        <v>42</v>
      </c>
      <c r="AC1888" s="5" t="str">
        <f t="shared" si="91"/>
        <v>Bonos</v>
      </c>
      <c r="AD1888" s="5" t="s">
        <v>43</v>
      </c>
      <c r="AE1888" s="5">
        <f t="shared" si="92"/>
        <v>4</v>
      </c>
      <c r="AF1888" s="5">
        <f t="shared" si="93"/>
        <v>2026</v>
      </c>
    </row>
    <row r="1889" s="5" customFormat="1" ht="13">
      <c r="A1889" s="5">
        <v>12316</v>
      </c>
      <c r="B1889" s="5" t="s">
        <v>78</v>
      </c>
      <c r="C1889" s="5" t="s">
        <v>94</v>
      </c>
      <c r="D1889" s="5" t="s">
        <v>21</v>
      </c>
      <c r="E1889" s="5" t="s">
        <v>34</v>
      </c>
      <c r="F1889" s="5" t="s">
        <v>68</v>
      </c>
      <c r="H1889" s="9" t="s">
        <v>95</v>
      </c>
      <c r="I1889" s="10">
        <v>45404</v>
      </c>
      <c r="J1889" s="10">
        <v>46124</v>
      </c>
      <c r="K1889" s="5" t="s">
        <v>96</v>
      </c>
      <c r="L1889" s="5" t="s">
        <v>82</v>
      </c>
      <c r="M1889" s="11">
        <v>0.085000000000000006</v>
      </c>
      <c r="N1889" s="5" t="e">
        <f>IF(AND(M1889&gt;#REF!,Cartera!O1889="Guaraníes"),"Rendimiento significativo",IF(AND(M1889&gt;#REF!,Cartera!O1889="Dólares americanos"),"Rendimiento significativo","Rendimiento no significativo"))</f>
        <v>#REF!</v>
      </c>
      <c r="O1889" s="5" t="s">
        <v>41</v>
      </c>
      <c r="P1889" s="12">
        <v>4191781</v>
      </c>
      <c r="Q1889" s="12">
        <f>IF(O1889="Guaraníes",P1889,P1889*#REF!)</f>
        <v>4191781</v>
      </c>
      <c r="R1889" s="12" t="e">
        <f>IF(O1889="Guaraníes",P1889/#REF!,P1889)</f>
        <v>#REF!</v>
      </c>
      <c r="S1889" s="5" t="s">
        <v>42</v>
      </c>
      <c r="AC1889" s="5" t="str">
        <f t="shared" si="91"/>
        <v>CDA</v>
      </c>
      <c r="AD1889" s="5" t="s">
        <v>43</v>
      </c>
      <c r="AE1889" s="5">
        <f t="shared" si="92"/>
        <v>4</v>
      </c>
      <c r="AF1889" s="5">
        <f t="shared" si="93"/>
        <v>2026</v>
      </c>
    </row>
    <row r="1890" s="5" customFormat="1" ht="13">
      <c r="A1890" s="5">
        <v>12315</v>
      </c>
      <c r="B1890" s="5" t="s">
        <v>73</v>
      </c>
      <c r="C1890" s="5" t="s">
        <v>60</v>
      </c>
      <c r="D1890" s="5" t="s">
        <v>21</v>
      </c>
      <c r="E1890" s="5" t="s">
        <v>34</v>
      </c>
      <c r="F1890" s="5" t="s">
        <v>68</v>
      </c>
      <c r="H1890" s="9" t="s">
        <v>84</v>
      </c>
      <c r="I1890" s="10">
        <v>45393</v>
      </c>
      <c r="J1890" s="10">
        <v>46125</v>
      </c>
      <c r="K1890" s="5" t="s">
        <v>64</v>
      </c>
      <c r="L1890" s="5" t="s">
        <v>82</v>
      </c>
      <c r="M1890" s="11">
        <v>0.055</v>
      </c>
      <c r="N1890" s="5" t="e">
        <f>IF(AND(M1890&gt;#REF!,Cartera!O1890="Guaraníes"),"Rendimiento significativo",IF(AND(M1890&gt;#REF!,Cartera!O1890="Dólares americanos"),"Rendimiento significativo","Rendimiento no significativo"))</f>
        <v>#REF!</v>
      </c>
      <c r="O1890" s="5" t="s">
        <v>51</v>
      </c>
      <c r="P1890" s="13">
        <v>278.49000000000001</v>
      </c>
      <c r="Q1890" s="12" t="e">
        <f>IF(O1890="Guaraníes",P1890,P1890*#REF!)</f>
        <v>#REF!</v>
      </c>
      <c r="R1890" s="12">
        <f>IF(O1890="Guaraníes",P1890/#REF!,P1890)</f>
        <v>278.49000000000001</v>
      </c>
      <c r="S1890" s="5" t="s">
        <v>42</v>
      </c>
      <c r="AC1890" s="5" t="str">
        <f t="shared" si="91"/>
        <v>CDA</v>
      </c>
      <c r="AD1890" s="5" t="s">
        <v>43</v>
      </c>
      <c r="AE1890" s="5">
        <f t="shared" si="92"/>
        <v>4</v>
      </c>
      <c r="AF1890" s="5">
        <f t="shared" si="93"/>
        <v>2026</v>
      </c>
    </row>
    <row r="1891" s="5" customFormat="1" ht="13">
      <c r="A1891" s="5">
        <v>12316</v>
      </c>
      <c r="B1891" s="5" t="s">
        <v>78</v>
      </c>
      <c r="C1891" s="5" t="s">
        <v>116</v>
      </c>
      <c r="D1891" s="5" t="s">
        <v>21</v>
      </c>
      <c r="E1891" s="5" t="s">
        <v>34</v>
      </c>
      <c r="F1891" s="5" t="s">
        <v>68</v>
      </c>
      <c r="H1891" s="9" t="s">
        <v>209</v>
      </c>
      <c r="I1891" s="10">
        <v>45393</v>
      </c>
      <c r="J1891" s="10">
        <v>46125</v>
      </c>
      <c r="K1891" s="5" t="s">
        <v>118</v>
      </c>
      <c r="L1891" s="5" t="s">
        <v>82</v>
      </c>
      <c r="M1891" s="11">
        <v>0.087499999999999994</v>
      </c>
      <c r="N1891" s="5" t="e">
        <f>IF(AND(M1891&gt;#REF!,Cartera!O1891="Guaraníes"),"Rendimiento significativo",IF(AND(M1891&gt;#REF!,Cartera!O1891="Dólares americanos"),"Rendimiento significativo","Rendimiento no significativo"))</f>
        <v>#REF!</v>
      </c>
      <c r="O1891" s="5" t="s">
        <v>41</v>
      </c>
      <c r="P1891" s="12">
        <v>20712328</v>
      </c>
      <c r="Q1891" s="12">
        <f>IF(O1891="Guaraníes",P1891,P1891*#REF!)</f>
        <v>20712328</v>
      </c>
      <c r="R1891" s="12" t="e">
        <f>IF(O1891="Guaraníes",P1891/#REF!,P1891)</f>
        <v>#REF!</v>
      </c>
      <c r="S1891" s="5" t="s">
        <v>42</v>
      </c>
      <c r="AC1891" s="5" t="str">
        <f t="shared" si="91"/>
        <v>CDA</v>
      </c>
      <c r="AD1891" s="5" t="s">
        <v>43</v>
      </c>
      <c r="AE1891" s="5">
        <f t="shared" si="92"/>
        <v>4</v>
      </c>
      <c r="AF1891" s="5">
        <f t="shared" si="93"/>
        <v>2026</v>
      </c>
    </row>
    <row r="1892" s="5" customFormat="1" ht="13">
      <c r="A1892" s="5">
        <v>12316</v>
      </c>
      <c r="B1892" s="5" t="s">
        <v>78</v>
      </c>
      <c r="C1892" s="5" t="s">
        <v>111</v>
      </c>
      <c r="D1892" s="5" t="s">
        <v>21</v>
      </c>
      <c r="E1892" s="5" t="s">
        <v>34</v>
      </c>
      <c r="F1892" s="12" t="s">
        <v>68</v>
      </c>
      <c r="G1892" s="12"/>
      <c r="H1892" s="19"/>
      <c r="I1892" s="10">
        <v>45497</v>
      </c>
      <c r="J1892" s="10">
        <v>46127</v>
      </c>
      <c r="K1892" s="12"/>
      <c r="L1892" s="5" t="s">
        <v>82</v>
      </c>
      <c r="M1892" s="11">
        <v>0.073999999999999996</v>
      </c>
      <c r="N1892" s="5" t="e">
        <f>IF(AND(M1892&gt;#REF!,Cartera!O1892="Guaraníes"),"Rendimiento significativo",IF(AND(M1892&gt;#REF!,Cartera!O1892="Dólares americanos"),"Rendimiento significativo","Rendimiento no significativo"))</f>
        <v>#REF!</v>
      </c>
      <c r="O1892" s="5" t="s">
        <v>41</v>
      </c>
      <c r="P1892" s="15">
        <v>3193151</v>
      </c>
      <c r="Q1892" s="12">
        <f>IF(O1892="Guaraníes",P1892,P1892*#REF!)</f>
        <v>3193151</v>
      </c>
      <c r="R1892" s="12" t="e">
        <f>IF(O1892="Guaraníes",P1892/#REF!,P1892)</f>
        <v>#REF!</v>
      </c>
      <c r="S1892" s="5" t="s">
        <v>120</v>
      </c>
      <c r="AC1892" s="5" t="str">
        <f t="shared" si="91"/>
        <v>CDA</v>
      </c>
      <c r="AD1892" s="5" t="s">
        <v>43</v>
      </c>
      <c r="AE1892" s="5">
        <f t="shared" si="92"/>
        <v>4</v>
      </c>
      <c r="AF1892" s="5">
        <f t="shared" si="93"/>
        <v>2026</v>
      </c>
    </row>
    <row r="1893" s="5" customFormat="1" ht="13">
      <c r="A1893" s="5">
        <v>12315</v>
      </c>
      <c r="B1893" s="5" t="s">
        <v>73</v>
      </c>
      <c r="C1893" s="5" t="s">
        <v>85</v>
      </c>
      <c r="D1893" s="5" t="s">
        <v>21</v>
      </c>
      <c r="E1893" s="5" t="s">
        <v>34</v>
      </c>
      <c r="F1893" s="5" t="s">
        <v>68</v>
      </c>
      <c r="G1893" s="5" t="s">
        <v>86</v>
      </c>
      <c r="H1893" s="9" t="s">
        <v>87</v>
      </c>
      <c r="I1893" s="10"/>
      <c r="J1893" s="10">
        <v>46128</v>
      </c>
      <c r="K1893" s="5" t="s">
        <v>39</v>
      </c>
      <c r="L1893" s="5" t="s">
        <v>58</v>
      </c>
      <c r="M1893" s="11">
        <v>0.059999999999999998</v>
      </c>
      <c r="N1893" s="5" t="e">
        <f>IF(AND(M1893&gt;#REF!,Cartera!O1893="Guaraníes"),"Rendimiento significativo",IF(AND(M1893&gt;#REF!,Cartera!O1893="Dólares americanos"),"Rendimiento significativo","Rendimiento no significativo"))</f>
        <v>#REF!</v>
      </c>
      <c r="O1893" s="5" t="s">
        <v>51</v>
      </c>
      <c r="P1893" s="13">
        <v>747.9452</v>
      </c>
      <c r="Q1893" s="12" t="e">
        <f>IF(O1893="Guaraníes",P1893,P1893*#REF!)</f>
        <v>#REF!</v>
      </c>
      <c r="R1893" s="12">
        <f>IF(O1893="Guaraníes",P1893/#REF!,P1893)</f>
        <v>747.9452</v>
      </c>
      <c r="S1893" s="5" t="s">
        <v>42</v>
      </c>
      <c r="T1893" s="5">
        <v>10834</v>
      </c>
      <c r="W1893" s="5" t="s">
        <v>388</v>
      </c>
      <c r="X1893" s="5">
        <v>0</v>
      </c>
      <c r="Y1893" s="5">
        <v>0</v>
      </c>
      <c r="Z1893" s="5">
        <v>14.958904</v>
      </c>
      <c r="AA1893" s="5">
        <v>50</v>
      </c>
      <c r="AB1893" s="5">
        <v>747.9452</v>
      </c>
      <c r="AC1893" s="5" t="str">
        <f t="shared" si="91"/>
        <v>Bonos</v>
      </c>
      <c r="AD1893" s="5" t="s">
        <v>43</v>
      </c>
      <c r="AE1893" s="5">
        <f t="shared" si="92"/>
        <v>4</v>
      </c>
      <c r="AF1893" s="5">
        <f t="shared" si="93"/>
        <v>2026</v>
      </c>
    </row>
    <row r="1894" s="5" customFormat="1" ht="13">
      <c r="A1894" s="5">
        <v>12302</v>
      </c>
      <c r="B1894" s="5" t="s">
        <v>98</v>
      </c>
      <c r="C1894" s="5" t="s">
        <v>89</v>
      </c>
      <c r="D1894" s="5" t="s">
        <v>20</v>
      </c>
      <c r="E1894" s="5" t="s">
        <v>34</v>
      </c>
      <c r="F1894" s="5" t="s">
        <v>90</v>
      </c>
      <c r="G1894" s="5" t="s">
        <v>91</v>
      </c>
      <c r="H1894" s="9" t="s">
        <v>92</v>
      </c>
      <c r="I1894" s="10">
        <v>43699</v>
      </c>
      <c r="J1894" s="10">
        <v>46100</v>
      </c>
      <c r="K1894" s="5" t="s">
        <v>93</v>
      </c>
      <c r="L1894" s="5" t="s">
        <v>58</v>
      </c>
      <c r="M1894" s="11">
        <v>0.080000000000000002</v>
      </c>
      <c r="N1894" s="5" t="e">
        <f>IF(AND(M1894&gt;#REF!,Cartera!O1894="Guaraníes"),"Rendimiento significativo",IF(AND(M1894&gt;#REF!,Cartera!O1894="Dólares americanos"),"Rendimiento significativo","Rendimiento no significativo"))</f>
        <v>#REF!</v>
      </c>
      <c r="O1894" s="5" t="s">
        <v>51</v>
      </c>
      <c r="P1894" s="13">
        <v>15000</v>
      </c>
      <c r="Q1894" s="12" t="e">
        <f>IF(O1894="Guaraníes",P1894,P1894*#REF!)</f>
        <v>#REF!</v>
      </c>
      <c r="R1894" s="12">
        <f>IF(O1894="Guaraníes",P1894/#REF!,P1894)</f>
        <v>15000</v>
      </c>
      <c r="S1894" s="5" t="s">
        <v>42</v>
      </c>
      <c r="T1894" s="5">
        <v>3253</v>
      </c>
      <c r="AC1894" s="5" t="str">
        <f t="shared" si="91"/>
        <v>Bonos</v>
      </c>
      <c r="AD1894" s="5" t="s">
        <v>43</v>
      </c>
      <c r="AE1894" s="5">
        <f t="shared" si="92"/>
        <v>3</v>
      </c>
      <c r="AF1894" s="5">
        <f t="shared" si="93"/>
        <v>2026</v>
      </c>
    </row>
    <row r="1895" s="5" customFormat="1" ht="13">
      <c r="A1895" s="5">
        <v>12315</v>
      </c>
      <c r="B1895" s="5" t="s">
        <v>73</v>
      </c>
      <c r="C1895" s="5" t="s">
        <v>122</v>
      </c>
      <c r="D1895" s="5" t="s">
        <v>21</v>
      </c>
      <c r="E1895" s="5" t="s">
        <v>34</v>
      </c>
      <c r="F1895" s="5" t="s">
        <v>61</v>
      </c>
      <c r="G1895" s="5" t="s">
        <v>91</v>
      </c>
      <c r="H1895" s="9" t="s">
        <v>132</v>
      </c>
      <c r="I1895" s="10"/>
      <c r="J1895" s="10">
        <v>46134</v>
      </c>
      <c r="K1895" s="5" t="s">
        <v>124</v>
      </c>
      <c r="L1895" s="5" t="s">
        <v>50</v>
      </c>
      <c r="M1895" s="11">
        <v>0.059999999999999998</v>
      </c>
      <c r="N1895" s="5" t="e">
        <f>IF(AND(M1895&gt;#REF!,Cartera!O1895="Guaraníes"),"Rendimiento significativo",IF(AND(M1895&gt;#REF!,Cartera!O1895="Dólares americanos"),"Rendimiento significativo","Rendimiento no significativo"))</f>
        <v>#REF!</v>
      </c>
      <c r="O1895" s="5" t="s">
        <v>51</v>
      </c>
      <c r="P1895" s="13">
        <v>299.17808000000002</v>
      </c>
      <c r="Q1895" s="12" t="e">
        <f>IF(O1895="Guaraníes",P1895,P1895*#REF!)</f>
        <v>#REF!</v>
      </c>
      <c r="R1895" s="12">
        <f>IF(O1895="Guaraníes",P1895/#REF!,P1895)</f>
        <v>299.17808000000002</v>
      </c>
      <c r="S1895" s="5" t="s">
        <v>42</v>
      </c>
      <c r="T1895" s="5">
        <v>3253</v>
      </c>
      <c r="W1895" s="5" t="s">
        <v>65</v>
      </c>
      <c r="X1895" s="5">
        <v>0</v>
      </c>
      <c r="Y1895" s="5">
        <v>0</v>
      </c>
      <c r="Z1895" s="5">
        <v>29.917808000000001</v>
      </c>
      <c r="AA1895" s="5">
        <v>10</v>
      </c>
      <c r="AB1895" s="5">
        <v>299.17808000000002</v>
      </c>
      <c r="AC1895" s="5" t="str">
        <f t="shared" si="91"/>
        <v>Bonos</v>
      </c>
      <c r="AD1895" s="5" t="s">
        <v>43</v>
      </c>
      <c r="AE1895" s="5">
        <f t="shared" si="92"/>
        <v>4</v>
      </c>
      <c r="AF1895" s="5">
        <f t="shared" si="93"/>
        <v>2026</v>
      </c>
    </row>
    <row r="1896" s="5" customFormat="1" ht="13">
      <c r="A1896" s="5">
        <v>12316</v>
      </c>
      <c r="B1896" s="5" t="s">
        <v>78</v>
      </c>
      <c r="C1896" s="5" t="s">
        <v>94</v>
      </c>
      <c r="D1896" s="5" t="s">
        <v>21</v>
      </c>
      <c r="E1896" s="5" t="s">
        <v>34</v>
      </c>
      <c r="F1896" s="5" t="s">
        <v>68</v>
      </c>
      <c r="H1896" s="9" t="s">
        <v>95</v>
      </c>
      <c r="I1896" s="10">
        <v>45404</v>
      </c>
      <c r="J1896" s="10">
        <v>46135</v>
      </c>
      <c r="K1896" s="5" t="s">
        <v>96</v>
      </c>
      <c r="L1896" s="5" t="s">
        <v>82</v>
      </c>
      <c r="M1896" s="11">
        <v>0.085000000000000006</v>
      </c>
      <c r="N1896" s="5" t="e">
        <f>IF(AND(M1896&gt;#REF!,Cartera!O1896="Guaraníes"),"Rendimiento significativo",IF(AND(M1896&gt;#REF!,Cartera!O1896="Dólares americanos"),"Rendimiento significativo","Rendimiento no significativo"))</f>
        <v>#REF!</v>
      </c>
      <c r="O1896" s="5" t="s">
        <v>41</v>
      </c>
      <c r="P1896" s="12">
        <v>512327</v>
      </c>
      <c r="Q1896" s="12">
        <f>IF(O1896="Guaraníes",P1896,P1896*#REF!)</f>
        <v>512327</v>
      </c>
      <c r="R1896" s="12" t="e">
        <f>IF(O1896="Guaraníes",P1896/#REF!,P1896)</f>
        <v>#REF!</v>
      </c>
      <c r="S1896" s="5" t="s">
        <v>42</v>
      </c>
      <c r="AC1896" s="5" t="str">
        <f t="shared" si="91"/>
        <v>CDA</v>
      </c>
      <c r="AD1896" s="5" t="s">
        <v>43</v>
      </c>
      <c r="AE1896" s="5">
        <f t="shared" si="92"/>
        <v>4</v>
      </c>
      <c r="AF1896" s="5">
        <f t="shared" si="93"/>
        <v>2026</v>
      </c>
    </row>
    <row r="1897" s="5" customFormat="1" ht="13">
      <c r="A1897" s="5">
        <v>12315</v>
      </c>
      <c r="B1897" s="5" t="s">
        <v>73</v>
      </c>
      <c r="C1897" s="5" t="s">
        <v>54</v>
      </c>
      <c r="D1897" s="5" t="s">
        <v>21</v>
      </c>
      <c r="E1897" s="5" t="s">
        <v>34</v>
      </c>
      <c r="F1897" s="5" t="s">
        <v>46</v>
      </c>
      <c r="G1897" s="5" t="s">
        <v>55</v>
      </c>
      <c r="H1897" s="9" t="s">
        <v>56</v>
      </c>
      <c r="I1897" s="10">
        <v>44680</v>
      </c>
      <c r="J1897" s="10">
        <v>46136</v>
      </c>
      <c r="K1897" s="5" t="s">
        <v>57</v>
      </c>
      <c r="L1897" s="5" t="s">
        <v>58</v>
      </c>
      <c r="M1897" s="11">
        <v>0.059999999999999998</v>
      </c>
      <c r="N1897" s="5" t="e">
        <f>IF(AND(M1897&gt;#REF!,Cartera!O1897="Guaraníes"),"Rendimiento significativo",IF(AND(M1897&gt;#REF!,Cartera!O1897="Dólares americanos"),"Rendimiento significativo","Rendimiento no significativo"))</f>
        <v>#REF!</v>
      </c>
      <c r="O1897" s="5" t="s">
        <v>51</v>
      </c>
      <c r="P1897" s="13">
        <v>747.9452</v>
      </c>
      <c r="Q1897" s="12" t="e">
        <f>IF(O1897="Guaraníes",P1897,P1897*#REF!)</f>
        <v>#REF!</v>
      </c>
      <c r="R1897" s="12">
        <f>IF(O1897="Guaraníes",P1897/#REF!,P1897)</f>
        <v>747.9452</v>
      </c>
      <c r="S1897" s="5" t="s">
        <v>42</v>
      </c>
      <c r="T1897" s="5">
        <v>17035</v>
      </c>
      <c r="V1897" s="5">
        <v>14.960000000000001</v>
      </c>
      <c r="AA1897" s="5">
        <v>50</v>
      </c>
      <c r="AC1897" s="5" t="str">
        <f t="shared" si="91"/>
        <v>Bonos</v>
      </c>
      <c r="AD1897" s="5" t="s">
        <v>43</v>
      </c>
      <c r="AE1897" s="5">
        <f t="shared" si="92"/>
        <v>4</v>
      </c>
      <c r="AF1897" s="5">
        <f t="shared" si="93"/>
        <v>2026</v>
      </c>
    </row>
    <row r="1898" s="5" customFormat="1" ht="13">
      <c r="A1898" s="5">
        <v>12316</v>
      </c>
      <c r="B1898" s="5" t="s">
        <v>78</v>
      </c>
      <c r="C1898" s="5" t="s">
        <v>99</v>
      </c>
      <c r="D1898" s="5" t="s">
        <v>21</v>
      </c>
      <c r="E1898" s="5" t="s">
        <v>34</v>
      </c>
      <c r="F1898" s="5" t="s">
        <v>100</v>
      </c>
      <c r="G1898" s="5" t="s">
        <v>75</v>
      </c>
      <c r="H1898" s="9" t="s">
        <v>217</v>
      </c>
      <c r="I1898" s="10"/>
      <c r="J1898" s="10">
        <v>46136</v>
      </c>
      <c r="K1898" s="5" t="s">
        <v>102</v>
      </c>
      <c r="L1898" s="5" t="s">
        <v>102</v>
      </c>
      <c r="M1898" s="11">
        <v>0.080000000000000002</v>
      </c>
      <c r="N1898" s="5" t="e">
        <f>IF(AND(M1898&gt;#REF!,Cartera!O1898="Guaraníes"),"Rendimiento significativo",IF(AND(M1898&gt;#REF!,Cartera!O1898="Dólares americanos"),"Rendimiento significativo","Rendimiento no significativo"))</f>
        <v>#REF!</v>
      </c>
      <c r="O1898" s="5" t="s">
        <v>41</v>
      </c>
      <c r="P1898" s="12">
        <v>5767000</v>
      </c>
      <c r="Q1898" s="12">
        <f>IF(O1898="Guaraníes",P1898,P1898*#REF!)</f>
        <v>5767000</v>
      </c>
      <c r="R1898" s="12" t="e">
        <f>IF(O1898="Guaraníes",P1898/#REF!,P1898)</f>
        <v>#REF!</v>
      </c>
      <c r="S1898" s="5" t="s">
        <v>42</v>
      </c>
      <c r="T1898" s="5">
        <v>25</v>
      </c>
      <c r="W1898" s="5" t="s">
        <v>218</v>
      </c>
      <c r="X1898" s="5">
        <v>0</v>
      </c>
      <c r="Y1898" s="5">
        <v>0</v>
      </c>
      <c r="Z1898" s="5">
        <v>39500</v>
      </c>
      <c r="AA1898" s="5">
        <v>146</v>
      </c>
      <c r="AB1898" s="5">
        <v>5767000</v>
      </c>
      <c r="AC1898" s="5" t="str">
        <f t="shared" si="91"/>
        <v>Bonos</v>
      </c>
      <c r="AD1898" s="5" t="s">
        <v>43</v>
      </c>
      <c r="AE1898" s="5">
        <f t="shared" si="92"/>
        <v>4</v>
      </c>
      <c r="AF1898" s="5">
        <f t="shared" si="93"/>
        <v>2026</v>
      </c>
    </row>
    <row r="1899" s="5" customFormat="1" ht="13">
      <c r="A1899" s="5">
        <v>12301</v>
      </c>
      <c r="B1899" s="5" t="s">
        <v>107</v>
      </c>
      <c r="C1899" s="5" t="s">
        <v>164</v>
      </c>
      <c r="D1899" s="5" t="s">
        <v>20</v>
      </c>
      <c r="E1899" s="5" t="s">
        <v>34</v>
      </c>
      <c r="F1899" s="5" t="s">
        <v>68</v>
      </c>
      <c r="G1899" s="5" t="s">
        <v>91</v>
      </c>
      <c r="H1899" s="9" t="s">
        <v>166</v>
      </c>
      <c r="I1899" s="10">
        <v>43696</v>
      </c>
      <c r="J1899" s="10">
        <v>46171</v>
      </c>
      <c r="K1899" s="5" t="s">
        <v>124</v>
      </c>
      <c r="L1899" s="5" t="s">
        <v>58</v>
      </c>
      <c r="M1899" s="11">
        <v>0.092499999999999999</v>
      </c>
      <c r="N1899" s="5" t="e">
        <f>IF(AND(M1899&gt;#REF!,Cartera!O1899="Guaraníes"),"Rendimiento significativo",IF(AND(M1899&gt;#REF!,Cartera!O1899="Dólares americanos"),"Rendimiento significativo","Rendimiento no significativo"))</f>
        <v>#REF!</v>
      </c>
      <c r="O1899" s="5" t="s">
        <v>41</v>
      </c>
      <c r="P1899" s="12">
        <v>150000000</v>
      </c>
      <c r="Q1899" s="12">
        <f>IF(O1899="Guaraníes",P1899,P1899*#REF!)</f>
        <v>150000000</v>
      </c>
      <c r="R1899" s="12" t="e">
        <f>IF(O1899="Guaraníes",P1899/#REF!,P1899)</f>
        <v>#REF!</v>
      </c>
      <c r="S1899" s="5" t="s">
        <v>42</v>
      </c>
      <c r="AC1899" s="5" t="str">
        <f t="shared" si="91"/>
        <v>Bonos</v>
      </c>
      <c r="AD1899" s="5" t="s">
        <v>43</v>
      </c>
      <c r="AE1899" s="5">
        <f t="shared" si="92"/>
        <v>5</v>
      </c>
      <c r="AF1899" s="5">
        <f t="shared" si="93"/>
        <v>2026</v>
      </c>
    </row>
    <row r="1900" s="5" customFormat="1" ht="13">
      <c r="A1900" s="5">
        <v>12315</v>
      </c>
      <c r="B1900" s="5" t="s">
        <v>73</v>
      </c>
      <c r="C1900" s="5" t="s">
        <v>33</v>
      </c>
      <c r="D1900" s="5" t="s">
        <v>21</v>
      </c>
      <c r="E1900" s="5" t="s">
        <v>34</v>
      </c>
      <c r="F1900" s="5" t="s">
        <v>35</v>
      </c>
      <c r="G1900" s="5" t="s">
        <v>141</v>
      </c>
      <c r="H1900" s="9" t="s">
        <v>142</v>
      </c>
      <c r="I1900" s="10">
        <v>44956</v>
      </c>
      <c r="J1900" s="10">
        <v>46140</v>
      </c>
      <c r="K1900" s="5" t="s">
        <v>39</v>
      </c>
      <c r="L1900" s="5" t="s">
        <v>50</v>
      </c>
      <c r="M1900" s="11">
        <v>0.065000000000000002</v>
      </c>
      <c r="N1900" s="5" t="e">
        <f>IF(AND(M1900&gt;#REF!,Cartera!O1900="Guaraníes"),"Rendimiento significativo",IF(AND(M1900&gt;#REF!,Cartera!O1900="Dólares americanos"),"Rendimiento significativo","Rendimiento no significativo"))</f>
        <v>#REF!</v>
      </c>
      <c r="O1900" s="5" t="s">
        <v>51</v>
      </c>
      <c r="P1900" s="13">
        <v>1296.43832</v>
      </c>
      <c r="Q1900" s="12" t="e">
        <f>IF(O1900="Guaraníes",P1900,P1900*#REF!)</f>
        <v>#REF!</v>
      </c>
      <c r="R1900" s="12">
        <f>IF(O1900="Guaraníes",P1900/#REF!,P1900)</f>
        <v>1296.43832</v>
      </c>
      <c r="S1900" s="5" t="s">
        <v>42</v>
      </c>
      <c r="AC1900" s="5" t="str">
        <f t="shared" si="91"/>
        <v>Bonos</v>
      </c>
      <c r="AD1900" s="5" t="s">
        <v>43</v>
      </c>
      <c r="AE1900" s="5">
        <f t="shared" si="92"/>
        <v>4</v>
      </c>
      <c r="AF1900" s="5">
        <f t="shared" si="93"/>
        <v>2026</v>
      </c>
    </row>
    <row r="1901" s="5" customFormat="1" ht="13">
      <c r="A1901" s="5">
        <v>12316</v>
      </c>
      <c r="B1901" s="5" t="s">
        <v>78</v>
      </c>
      <c r="C1901" s="5" t="s">
        <v>164</v>
      </c>
      <c r="D1901" s="5" t="s">
        <v>21</v>
      </c>
      <c r="E1901" s="5" t="s">
        <v>34</v>
      </c>
      <c r="F1901" s="5" t="s">
        <v>68</v>
      </c>
      <c r="G1901" s="5" t="s">
        <v>145</v>
      </c>
      <c r="H1901" s="9" t="s">
        <v>165</v>
      </c>
      <c r="I1901" s="10"/>
      <c r="J1901" s="10">
        <v>46142</v>
      </c>
      <c r="K1901" s="5" t="s">
        <v>124</v>
      </c>
      <c r="L1901" s="5" t="s">
        <v>58</v>
      </c>
      <c r="M1901" s="11">
        <v>0.10000000000000001</v>
      </c>
      <c r="N1901" s="5" t="e">
        <f>IF(AND(M1901&gt;#REF!,Cartera!O1901="Guaraníes"),"Rendimiento significativo",IF(AND(M1901&gt;#REF!,Cartera!O1901="Dólares americanos"),"Rendimiento significativo","Rendimiento no significativo"))</f>
        <v>#REF!</v>
      </c>
      <c r="O1901" s="5" t="s">
        <v>41</v>
      </c>
      <c r="P1901" s="12">
        <v>3287671.2328000003</v>
      </c>
      <c r="Q1901" s="12">
        <f>IF(O1901="Guaraníes",P1901,P1901*#REF!)</f>
        <v>3287671.2328000003</v>
      </c>
      <c r="R1901" s="12" t="e">
        <f>IF(O1901="Guaraníes",P1901/#REF!,P1901)</f>
        <v>#REF!</v>
      </c>
      <c r="S1901" s="5" t="s">
        <v>42</v>
      </c>
      <c r="T1901" s="5">
        <v>1057</v>
      </c>
      <c r="W1901" s="5" t="s">
        <v>65</v>
      </c>
      <c r="X1901" s="5">
        <v>0</v>
      </c>
      <c r="Y1901" s="5">
        <v>0</v>
      </c>
      <c r="Z1901" s="5">
        <v>8219.1780820000004</v>
      </c>
      <c r="AA1901" s="5">
        <v>400</v>
      </c>
      <c r="AB1901" s="5">
        <v>3287671.2327999999</v>
      </c>
      <c r="AC1901" s="5" t="str">
        <f t="shared" si="91"/>
        <v>Bonos</v>
      </c>
      <c r="AD1901" s="5" t="s">
        <v>43</v>
      </c>
      <c r="AE1901" s="5">
        <f t="shared" si="92"/>
        <v>4</v>
      </c>
      <c r="AF1901" s="5">
        <f t="shared" si="93"/>
        <v>2026</v>
      </c>
    </row>
    <row r="1902" s="5" customFormat="1" ht="13">
      <c r="A1902" s="5">
        <v>12302</v>
      </c>
      <c r="B1902" s="5" t="s">
        <v>98</v>
      </c>
      <c r="C1902" s="5" t="s">
        <v>176</v>
      </c>
      <c r="D1902" s="5" t="s">
        <v>20</v>
      </c>
      <c r="E1902" s="5" t="s">
        <v>34</v>
      </c>
      <c r="F1902" s="5" t="s">
        <v>68</v>
      </c>
      <c r="G1902" s="5" t="s">
        <v>91</v>
      </c>
      <c r="H1902" s="9" t="s">
        <v>177</v>
      </c>
      <c r="I1902" s="10">
        <v>44134</v>
      </c>
      <c r="J1902" s="10">
        <v>46344</v>
      </c>
      <c r="K1902" s="5" t="s">
        <v>178</v>
      </c>
      <c r="L1902" s="5" t="s">
        <v>58</v>
      </c>
      <c r="M1902" s="11">
        <v>0.085000000000000006</v>
      </c>
      <c r="N1902" s="5" t="e">
        <f>IF(AND(M1902&gt;#REF!,Cartera!O1902="Guaraníes"),"Rendimiento significativo",IF(AND(M1902&gt;#REF!,Cartera!O1902="Dólares americanos"),"Rendimiento significativo","Rendimiento no significativo"))</f>
        <v>#REF!</v>
      </c>
      <c r="O1902" s="5" t="s">
        <v>51</v>
      </c>
      <c r="P1902" s="13">
        <v>30000</v>
      </c>
      <c r="Q1902" s="12" t="e">
        <f>IF(O1902="Guaraníes",P1902,P1902*#REF!)</f>
        <v>#REF!</v>
      </c>
      <c r="R1902" s="12">
        <f>IF(O1902="Guaraníes",P1902/#REF!,P1902)</f>
        <v>30000</v>
      </c>
      <c r="S1902" s="5" t="s">
        <v>42</v>
      </c>
      <c r="AC1902" s="5" t="str">
        <f t="shared" si="91"/>
        <v>Bonos</v>
      </c>
      <c r="AD1902" s="5" t="s">
        <v>43</v>
      </c>
      <c r="AE1902" s="5">
        <f t="shared" si="92"/>
        <v>11</v>
      </c>
      <c r="AF1902" s="5">
        <f t="shared" si="93"/>
        <v>2026</v>
      </c>
    </row>
    <row r="1903" s="5" customFormat="1" ht="13">
      <c r="A1903" s="5">
        <v>12316</v>
      </c>
      <c r="B1903" s="5" t="s">
        <v>78</v>
      </c>
      <c r="C1903" s="5" t="s">
        <v>164</v>
      </c>
      <c r="D1903" s="5" t="s">
        <v>21</v>
      </c>
      <c r="E1903" s="5" t="s">
        <v>34</v>
      </c>
      <c r="F1903" s="5" t="s">
        <v>68</v>
      </c>
      <c r="G1903" s="5" t="s">
        <v>91</v>
      </c>
      <c r="H1903" s="9" t="s">
        <v>166</v>
      </c>
      <c r="I1903" s="10"/>
      <c r="J1903" s="10">
        <v>46142</v>
      </c>
      <c r="K1903" s="5" t="s">
        <v>124</v>
      </c>
      <c r="L1903" s="5" t="s">
        <v>58</v>
      </c>
      <c r="M1903" s="11">
        <v>0.092499999999999999</v>
      </c>
      <c r="N1903" s="5" t="e">
        <f>IF(AND(M1903&gt;#REF!,Cartera!O1903="Guaraníes"),"Rendimiento significativo",IF(AND(M1903&gt;#REF!,Cartera!O1903="Dólares americanos"),"Rendimiento significativo","Rendimiento no significativo"))</f>
        <v>#REF!</v>
      </c>
      <c r="O1903" s="5" t="s">
        <v>41</v>
      </c>
      <c r="P1903" s="12">
        <v>1140410.9589</v>
      </c>
      <c r="Q1903" s="12">
        <f>IF(O1903="Guaraníes",P1903,P1903*#REF!)</f>
        <v>1140410.9589</v>
      </c>
      <c r="R1903" s="12" t="e">
        <f>IF(O1903="Guaraníes",P1903/#REF!,P1903)</f>
        <v>#REF!</v>
      </c>
      <c r="S1903" s="5" t="s">
        <v>42</v>
      </c>
      <c r="T1903" s="5">
        <v>3253</v>
      </c>
      <c r="W1903" s="5" t="s">
        <v>65</v>
      </c>
      <c r="X1903" s="5">
        <v>0</v>
      </c>
      <c r="Y1903" s="5">
        <v>0</v>
      </c>
      <c r="Z1903" s="5">
        <v>7602.7397259999998</v>
      </c>
      <c r="AA1903" s="5">
        <v>150</v>
      </c>
      <c r="AB1903" s="5">
        <v>1140410.9589</v>
      </c>
      <c r="AC1903" s="5" t="str">
        <f t="shared" si="91"/>
        <v>Bonos</v>
      </c>
      <c r="AD1903" s="5" t="s">
        <v>43</v>
      </c>
      <c r="AE1903" s="5">
        <f t="shared" si="92"/>
        <v>4</v>
      </c>
      <c r="AF1903" s="5">
        <f t="shared" si="93"/>
        <v>2026</v>
      </c>
    </row>
    <row r="1904" s="5" customFormat="1" ht="13">
      <c r="A1904" s="5">
        <v>12316</v>
      </c>
      <c r="B1904" s="5" t="s">
        <v>78</v>
      </c>
      <c r="C1904" s="5" t="s">
        <v>164</v>
      </c>
      <c r="D1904" s="5" t="s">
        <v>21</v>
      </c>
      <c r="E1904" s="5" t="s">
        <v>34</v>
      </c>
      <c r="F1904" s="5" t="s">
        <v>68</v>
      </c>
      <c r="G1904" s="5" t="s">
        <v>141</v>
      </c>
      <c r="H1904" s="9" t="s">
        <v>165</v>
      </c>
      <c r="I1904" s="10"/>
      <c r="J1904" s="10">
        <v>46142</v>
      </c>
      <c r="K1904" s="5" t="s">
        <v>124</v>
      </c>
      <c r="L1904" s="5" t="s">
        <v>58</v>
      </c>
      <c r="M1904" s="11">
        <v>0.10000000000000001</v>
      </c>
      <c r="N1904" s="5" t="e">
        <f>IF(AND(M1904&gt;#REF!,Cartera!O1904="Guaraníes"),"Rendimiento significativo",IF(AND(M1904&gt;#REF!,Cartera!O1904="Dólares americanos"),"Rendimiento significativo","Rendimiento no significativo"))</f>
        <v>#REF!</v>
      </c>
      <c r="O1904" s="5" t="s">
        <v>41</v>
      </c>
      <c r="P1904" s="12">
        <v>821917.80820000009</v>
      </c>
      <c r="Q1904" s="12">
        <f>IF(O1904="Guaraníes",P1904,P1904*#REF!)</f>
        <v>821917.80820000009</v>
      </c>
      <c r="R1904" s="12" t="e">
        <f>IF(O1904="Guaraníes",P1904/#REF!,P1904)</f>
        <v>#REF!</v>
      </c>
      <c r="S1904" s="5" t="s">
        <v>42</v>
      </c>
      <c r="T1904" s="5">
        <v>9243</v>
      </c>
      <c r="W1904" s="5" t="s">
        <v>65</v>
      </c>
      <c r="X1904" s="5">
        <v>0</v>
      </c>
      <c r="Y1904" s="5">
        <v>0</v>
      </c>
      <c r="Z1904" s="5">
        <v>8219.1780820000004</v>
      </c>
      <c r="AA1904" s="5">
        <v>100</v>
      </c>
      <c r="AB1904" s="5">
        <v>821917.80819999997</v>
      </c>
      <c r="AC1904" s="5" t="str">
        <f t="shared" si="91"/>
        <v>Bonos</v>
      </c>
      <c r="AD1904" s="5" t="s">
        <v>43</v>
      </c>
      <c r="AE1904" s="5">
        <f t="shared" si="92"/>
        <v>4</v>
      </c>
      <c r="AF1904" s="5">
        <f t="shared" si="93"/>
        <v>2026</v>
      </c>
    </row>
    <row r="1905" s="5" customFormat="1" ht="13">
      <c r="A1905" s="5">
        <v>12316</v>
      </c>
      <c r="B1905" s="5" t="s">
        <v>78</v>
      </c>
      <c r="C1905" s="5" t="s">
        <v>164</v>
      </c>
      <c r="D1905" s="5" t="s">
        <v>21</v>
      </c>
      <c r="E1905" s="5" t="s">
        <v>34</v>
      </c>
      <c r="F1905" s="5" t="s">
        <v>68</v>
      </c>
      <c r="G1905" s="5" t="s">
        <v>141</v>
      </c>
      <c r="H1905" s="9" t="s">
        <v>167</v>
      </c>
      <c r="I1905" s="10"/>
      <c r="J1905" s="10">
        <v>46142</v>
      </c>
      <c r="K1905" s="5" t="s">
        <v>124</v>
      </c>
      <c r="L1905" s="5" t="s">
        <v>58</v>
      </c>
      <c r="M1905" s="11">
        <v>0.092499999999999999</v>
      </c>
      <c r="N1905" s="5" t="e">
        <f>IF(AND(M1905&gt;#REF!,Cartera!O1905="Guaraníes"),"Rendimiento significativo",IF(AND(M1905&gt;#REF!,Cartera!O1905="Dólares americanos"),"Rendimiento significativo","Rendimiento no significativo"))</f>
        <v>#REF!</v>
      </c>
      <c r="O1905" s="5" t="s">
        <v>41</v>
      </c>
      <c r="P1905" s="12">
        <v>760273.97259999998</v>
      </c>
      <c r="Q1905" s="12">
        <f>IF(O1905="Guaraníes",P1905,P1905*#REF!)</f>
        <v>760273.97259999998</v>
      </c>
      <c r="R1905" s="12" t="e">
        <f>IF(O1905="Guaraníes",P1905/#REF!,P1905)</f>
        <v>#REF!</v>
      </c>
      <c r="S1905" s="5" t="s">
        <v>42</v>
      </c>
      <c r="T1905" s="5">
        <v>9243</v>
      </c>
      <c r="W1905" s="5" t="s">
        <v>65</v>
      </c>
      <c r="X1905" s="5">
        <v>0</v>
      </c>
      <c r="Y1905" s="5">
        <v>0</v>
      </c>
      <c r="Z1905" s="5">
        <v>7602.7397259999998</v>
      </c>
      <c r="AA1905" s="5">
        <v>100</v>
      </c>
      <c r="AB1905" s="5">
        <v>760273.97259999998</v>
      </c>
      <c r="AC1905" s="5" t="str">
        <f t="shared" si="91"/>
        <v>Bonos</v>
      </c>
      <c r="AD1905" s="5" t="s">
        <v>43</v>
      </c>
      <c r="AE1905" s="5">
        <f t="shared" si="92"/>
        <v>4</v>
      </c>
      <c r="AF1905" s="5">
        <f t="shared" si="93"/>
        <v>2026</v>
      </c>
    </row>
    <row r="1906" s="5" customFormat="1" ht="13">
      <c r="A1906" s="5">
        <v>12302</v>
      </c>
      <c r="B1906" s="5" t="s">
        <v>98</v>
      </c>
      <c r="C1906" s="5" t="s">
        <v>122</v>
      </c>
      <c r="D1906" s="5" t="s">
        <v>20</v>
      </c>
      <c r="E1906" s="5" t="s">
        <v>34</v>
      </c>
      <c r="F1906" s="5" t="s">
        <v>61</v>
      </c>
      <c r="G1906" s="5" t="s">
        <v>91</v>
      </c>
      <c r="H1906" s="9" t="s">
        <v>132</v>
      </c>
      <c r="I1906" s="10">
        <v>43909</v>
      </c>
      <c r="J1906" s="10">
        <v>46689</v>
      </c>
      <c r="K1906" s="5" t="s">
        <v>124</v>
      </c>
      <c r="L1906" s="5" t="s">
        <v>50</v>
      </c>
      <c r="M1906" s="11">
        <v>0.059999999999999998</v>
      </c>
      <c r="N1906" s="5" t="e">
        <f>IF(AND(M1906&gt;#REF!,Cartera!O1906="Guaraníes"),"Rendimiento significativo",IF(AND(M1906&gt;#REF!,Cartera!O1906="Dólares americanos"),"Rendimiento significativo","Rendimiento no significativo"))</f>
        <v>#REF!</v>
      </c>
      <c r="O1906" s="5" t="s">
        <v>51</v>
      </c>
      <c r="P1906" s="13">
        <v>10000</v>
      </c>
      <c r="Q1906" s="12" t="e">
        <f>IF(O1906="Guaraníes",P1906,P1906*#REF!)</f>
        <v>#REF!</v>
      </c>
      <c r="R1906" s="12">
        <f>IF(O1906="Guaraníes",P1906/#REF!,P1906)</f>
        <v>10000</v>
      </c>
      <c r="S1906" s="5" t="s">
        <v>42</v>
      </c>
      <c r="T1906" s="5">
        <v>3253</v>
      </c>
      <c r="AC1906" s="5" t="str">
        <f t="shared" si="91"/>
        <v>Bonos</v>
      </c>
      <c r="AD1906" s="5" t="s">
        <v>43</v>
      </c>
      <c r="AE1906" s="5">
        <f t="shared" si="92"/>
        <v>10</v>
      </c>
      <c r="AF1906" s="5">
        <f t="shared" si="93"/>
        <v>2027</v>
      </c>
    </row>
    <row r="1907" s="5" customFormat="1" ht="13">
      <c r="A1907" s="5">
        <v>12301</v>
      </c>
      <c r="B1907" s="5" t="s">
        <v>107</v>
      </c>
      <c r="C1907" s="5" t="s">
        <v>160</v>
      </c>
      <c r="D1907" s="5" t="s">
        <v>20</v>
      </c>
      <c r="E1907" s="5" t="s">
        <v>34</v>
      </c>
      <c r="F1907" s="5" t="s">
        <v>68</v>
      </c>
      <c r="G1907" s="5" t="s">
        <v>91</v>
      </c>
      <c r="H1907" s="9" t="s">
        <v>161</v>
      </c>
      <c r="I1907" s="10">
        <v>44581</v>
      </c>
      <c r="J1907" s="10">
        <v>48190</v>
      </c>
      <c r="K1907" s="5" t="s">
        <v>162</v>
      </c>
      <c r="L1907" s="5" t="s">
        <v>58</v>
      </c>
      <c r="M1907" s="11">
        <v>0.086999999999999994</v>
      </c>
      <c r="N1907" s="5" t="e">
        <f>IF(AND(M1907&gt;#REF!,Cartera!O1907="Guaraníes"),"Rendimiento significativo",IF(AND(M1907&gt;#REF!,Cartera!O1907="Dólares americanos"),"Rendimiento significativo","Rendimiento no significativo"))</f>
        <v>#REF!</v>
      </c>
      <c r="O1907" s="5" t="s">
        <v>41</v>
      </c>
      <c r="P1907" s="12">
        <v>400000000</v>
      </c>
      <c r="Q1907" s="12">
        <f>IF(O1907="Guaraníes",P1907,P1907*#REF!)</f>
        <v>400000000</v>
      </c>
      <c r="R1907" s="12" t="e">
        <f>IF(O1907="Guaraníes",P1907/#REF!,P1907)</f>
        <v>#REF!</v>
      </c>
      <c r="S1907" s="5" t="s">
        <v>42</v>
      </c>
      <c r="T1907" s="5">
        <v>3253</v>
      </c>
      <c r="AC1907" s="5" t="str">
        <f t="shared" si="91"/>
        <v>Bonos</v>
      </c>
      <c r="AD1907" s="5" t="s">
        <v>43</v>
      </c>
      <c r="AE1907" s="5">
        <f t="shared" si="92"/>
        <v>12</v>
      </c>
      <c r="AF1907" s="5">
        <f t="shared" si="93"/>
        <v>2031</v>
      </c>
    </row>
    <row r="1908" s="5" customFormat="1" ht="13">
      <c r="A1908" s="5" t="s">
        <v>44</v>
      </c>
      <c r="B1908" s="5" t="s">
        <v>44</v>
      </c>
      <c r="C1908" s="5" t="s">
        <v>179</v>
      </c>
      <c r="D1908" s="5" t="s">
        <v>21</v>
      </c>
      <c r="E1908" s="5" t="s">
        <v>44</v>
      </c>
      <c r="F1908" s="5" t="s">
        <v>68</v>
      </c>
      <c r="G1908" s="5" t="s">
        <v>91</v>
      </c>
      <c r="H1908" s="9" t="s">
        <v>180</v>
      </c>
      <c r="I1908" s="10">
        <v>44614</v>
      </c>
      <c r="J1908" s="10">
        <v>44795</v>
      </c>
      <c r="K1908" s="5" t="s">
        <v>124</v>
      </c>
      <c r="L1908" s="5" t="s">
        <v>181</v>
      </c>
      <c r="M1908" s="11">
        <v>0.082500000000000004</v>
      </c>
      <c r="N1908" s="5" t="e">
        <f>IF(AND(M1908&gt;#REF!,Cartera!O1908="Guaraníes"),"Rendimiento significativo",IF(AND(M1908&gt;#REF!,Cartera!O1908="Dólares americanos"),"Rendimiento significativo","Rendimiento no significativo"))</f>
        <v>#REF!</v>
      </c>
      <c r="O1908" s="5" t="s">
        <v>41</v>
      </c>
      <c r="P1908" s="12">
        <v>28795890</v>
      </c>
      <c r="Q1908" s="12">
        <f>IF(O1908="Guaraníes",P1908,P1908*#REF!)</f>
        <v>28795890</v>
      </c>
      <c r="R1908" s="12" t="e">
        <f>IF(O1908="Guaraníes",P1908/#REF!,P1908)</f>
        <v>#REF!</v>
      </c>
      <c r="S1908" s="5" t="s">
        <v>52</v>
      </c>
      <c r="AA1908" s="5">
        <v>700</v>
      </c>
      <c r="AC1908" s="5" t="str">
        <f t="shared" si="91"/>
        <v>Bonos</v>
      </c>
      <c r="AD1908" s="5" t="s">
        <v>43</v>
      </c>
      <c r="AE1908" s="5">
        <f t="shared" si="92"/>
        <v>8</v>
      </c>
      <c r="AF1908" s="5">
        <f t="shared" si="93"/>
        <v>2022</v>
      </c>
    </row>
    <row r="1909" s="5" customFormat="1" ht="13">
      <c r="A1909" s="5" t="s">
        <v>44</v>
      </c>
      <c r="B1909" s="5" t="s">
        <v>44</v>
      </c>
      <c r="C1909" s="5" t="s">
        <v>179</v>
      </c>
      <c r="D1909" s="5" t="s">
        <v>21</v>
      </c>
      <c r="E1909" s="5" t="s">
        <v>44</v>
      </c>
      <c r="F1909" s="5" t="s">
        <v>68</v>
      </c>
      <c r="G1909" s="5" t="s">
        <v>91</v>
      </c>
      <c r="H1909" s="9" t="s">
        <v>180</v>
      </c>
      <c r="I1909" s="10">
        <v>44614</v>
      </c>
      <c r="J1909" s="10">
        <v>44977</v>
      </c>
      <c r="K1909" s="5" t="s">
        <v>124</v>
      </c>
      <c r="L1909" s="5" t="s">
        <v>181</v>
      </c>
      <c r="M1909" s="11">
        <v>0.082500000000000004</v>
      </c>
      <c r="N1909" s="5" t="e">
        <f>IF(AND(M1909&gt;#REF!,Cartera!O1909="Guaraníes"),"Rendimiento significativo",IF(AND(M1909&gt;#REF!,Cartera!O1909="Dólares americanos"),"Rendimiento significativo","Rendimiento no significativo"))</f>
        <v>#REF!</v>
      </c>
      <c r="O1909" s="5" t="s">
        <v>41</v>
      </c>
      <c r="P1909" s="12">
        <v>28795890</v>
      </c>
      <c r="Q1909" s="12">
        <f>IF(O1909="Guaraníes",P1909,P1909*#REF!)</f>
        <v>28795890</v>
      </c>
      <c r="R1909" s="12" t="e">
        <f>IF(O1909="Guaraníes",P1909/#REF!,P1909)</f>
        <v>#REF!</v>
      </c>
      <c r="S1909" s="5" t="s">
        <v>52</v>
      </c>
      <c r="AA1909" s="5">
        <v>700</v>
      </c>
      <c r="AC1909" s="5" t="str">
        <f t="shared" si="91"/>
        <v>Bonos</v>
      </c>
      <c r="AD1909" s="5" t="s">
        <v>43</v>
      </c>
      <c r="AE1909" s="5">
        <f t="shared" si="92"/>
        <v>2</v>
      </c>
      <c r="AF1909" s="5">
        <f t="shared" si="93"/>
        <v>2023</v>
      </c>
    </row>
    <row r="1910" s="5" customFormat="1" ht="13">
      <c r="A1910" s="5" t="s">
        <v>44</v>
      </c>
      <c r="B1910" s="5" t="s">
        <v>44</v>
      </c>
      <c r="C1910" s="5" t="s">
        <v>179</v>
      </c>
      <c r="D1910" s="5" t="s">
        <v>21</v>
      </c>
      <c r="E1910" s="5" t="s">
        <v>44</v>
      </c>
      <c r="F1910" s="5" t="s">
        <v>68</v>
      </c>
      <c r="G1910" s="5" t="s">
        <v>91</v>
      </c>
      <c r="H1910" s="9" t="s">
        <v>180</v>
      </c>
      <c r="I1910" s="10">
        <v>44614</v>
      </c>
      <c r="J1910" s="10">
        <v>45160</v>
      </c>
      <c r="K1910" s="5" t="s">
        <v>124</v>
      </c>
      <c r="L1910" s="5" t="s">
        <v>181</v>
      </c>
      <c r="M1910" s="11">
        <v>0.082500000000000004</v>
      </c>
      <c r="N1910" s="5" t="e">
        <f>IF(AND(M1910&gt;#REF!,Cartera!O1910="Guaraníes"),"Rendimiento significativo",IF(AND(M1910&gt;#REF!,Cartera!O1910="Dólares americanos"),"Rendimiento significativo","Rendimiento no significativo"))</f>
        <v>#REF!</v>
      </c>
      <c r="O1910" s="5" t="s">
        <v>41</v>
      </c>
      <c r="P1910" s="12">
        <v>28954110</v>
      </c>
      <c r="Q1910" s="12">
        <f>IF(O1910="Guaraníes",P1910,P1910*#REF!)</f>
        <v>28954110</v>
      </c>
      <c r="R1910" s="12" t="e">
        <f>IF(O1910="Guaraníes",P1910/#REF!,P1910)</f>
        <v>#REF!</v>
      </c>
      <c r="S1910" s="5" t="s">
        <v>52</v>
      </c>
      <c r="AA1910" s="5">
        <v>700</v>
      </c>
      <c r="AC1910" s="5" t="str">
        <f t="shared" si="91"/>
        <v>Bonos</v>
      </c>
      <c r="AD1910" s="5" t="s">
        <v>43</v>
      </c>
      <c r="AE1910" s="5">
        <f t="shared" si="92"/>
        <v>8</v>
      </c>
      <c r="AF1910" s="5">
        <f t="shared" si="93"/>
        <v>2023</v>
      </c>
    </row>
    <row r="1911" s="5" customFormat="1" ht="13">
      <c r="A1911" s="5" t="s">
        <v>44</v>
      </c>
      <c r="B1911" s="5" t="s">
        <v>44</v>
      </c>
      <c r="C1911" s="5" t="s">
        <v>179</v>
      </c>
      <c r="D1911" s="5" t="s">
        <v>21</v>
      </c>
      <c r="E1911" s="5" t="s">
        <v>44</v>
      </c>
      <c r="F1911" s="5" t="s">
        <v>68</v>
      </c>
      <c r="G1911" s="5" t="s">
        <v>91</v>
      </c>
      <c r="H1911" s="9" t="s">
        <v>180</v>
      </c>
      <c r="I1911" s="10">
        <v>44614</v>
      </c>
      <c r="J1911" s="10">
        <v>45343</v>
      </c>
      <c r="K1911" s="5" t="s">
        <v>124</v>
      </c>
      <c r="L1911" s="5" t="s">
        <v>181</v>
      </c>
      <c r="M1911" s="11">
        <v>0.082500000000000004</v>
      </c>
      <c r="N1911" s="5" t="e">
        <f>IF(AND(M1911&gt;#REF!,Cartera!O1911="Guaraníes"),"Rendimiento significativo",IF(AND(M1911&gt;#REF!,Cartera!O1911="Dólares americanos"),"Rendimiento significativo","Rendimiento no significativo"))</f>
        <v>#REF!</v>
      </c>
      <c r="O1911" s="5" t="s">
        <v>41</v>
      </c>
      <c r="P1911" s="12">
        <v>28954110</v>
      </c>
      <c r="Q1911" s="12">
        <f>IF(O1911="Guaraníes",P1911,P1911*#REF!)</f>
        <v>28954110</v>
      </c>
      <c r="R1911" s="12" t="e">
        <f>IF(O1911="Guaraníes",P1911/#REF!,P1911)</f>
        <v>#REF!</v>
      </c>
      <c r="S1911" s="5" t="s">
        <v>52</v>
      </c>
      <c r="AA1911" s="5">
        <v>700</v>
      </c>
      <c r="AC1911" s="5" t="str">
        <f t="shared" ref="AC1911:AC1974" si="94">IF(ISNUMBER(SEARCH("Acciones",L1911)),"Acciones",IF(ISNUMBER(SEARCH("Bono",L1911)),"Bonos",IF(ISNUMBER(SEARCH("CDA",L1911)),"CDA",IF(ISNUMBER(SEARCH("Fondo",L1911)),"Fondo",0))))</f>
        <v>Bonos</v>
      </c>
      <c r="AD1911" s="5" t="s">
        <v>43</v>
      </c>
      <c r="AE1911" s="5">
        <f t="shared" si="92"/>
        <v>2</v>
      </c>
      <c r="AF1911" s="5">
        <f t="shared" si="93"/>
        <v>2024</v>
      </c>
    </row>
    <row r="1912" s="5" customFormat="1" ht="13">
      <c r="A1912" s="5" t="s">
        <v>44</v>
      </c>
      <c r="B1912" s="5" t="s">
        <v>44</v>
      </c>
      <c r="C1912" s="5" t="s">
        <v>45</v>
      </c>
      <c r="D1912" s="5" t="s">
        <v>21</v>
      </c>
      <c r="E1912" s="5" t="s">
        <v>44</v>
      </c>
      <c r="F1912" s="5" t="s">
        <v>46</v>
      </c>
      <c r="G1912" s="5" t="s">
        <v>55</v>
      </c>
      <c r="H1912" s="9" t="s">
        <v>108</v>
      </c>
      <c r="I1912" s="20">
        <v>44704</v>
      </c>
      <c r="J1912" s="10">
        <v>45523</v>
      </c>
      <c r="K1912" s="5" t="s">
        <v>49</v>
      </c>
      <c r="L1912" s="5" t="s">
        <v>58</v>
      </c>
      <c r="M1912" s="11">
        <v>0.059999999999999998</v>
      </c>
      <c r="N1912" s="5" t="e">
        <f>IF(AND(M1912&gt;#REF!,Cartera!O1912="Guaraníes"),"Rendimiento significativo",IF(AND(M1912&gt;#REF!,Cartera!O1912="Dólares americanos"),"Rendimiento significativo","Rendimiento no significativo"))</f>
        <v>#REF!</v>
      </c>
      <c r="O1912" s="5" t="s">
        <v>51</v>
      </c>
      <c r="P1912" s="13">
        <v>373.9726</v>
      </c>
      <c r="Q1912" s="12" t="e">
        <f>IF(O1912="Guaraníes",P1912,P1912*#REF!)</f>
        <v>#REF!</v>
      </c>
      <c r="R1912" s="12">
        <f>IF(O1912="Guaraníes",P1912/#REF!,P1912)</f>
        <v>373.9726</v>
      </c>
      <c r="S1912" s="5" t="s">
        <v>52</v>
      </c>
      <c r="V1912" s="5">
        <v>14.958904</v>
      </c>
      <c r="AA1912" s="5">
        <v>25</v>
      </c>
      <c r="AC1912" s="5" t="str">
        <f t="shared" si="94"/>
        <v>Bonos</v>
      </c>
      <c r="AD1912" s="5" t="s">
        <v>43</v>
      </c>
      <c r="AE1912" s="5">
        <f t="shared" si="92"/>
        <v>8</v>
      </c>
      <c r="AF1912" s="5">
        <f t="shared" si="93"/>
        <v>2024</v>
      </c>
    </row>
    <row r="1913" s="5" customFormat="1" ht="13">
      <c r="A1913" s="5">
        <v>12316</v>
      </c>
      <c r="B1913" s="5" t="s">
        <v>78</v>
      </c>
      <c r="C1913" s="5" t="s">
        <v>138</v>
      </c>
      <c r="D1913" s="5" t="s">
        <v>21</v>
      </c>
      <c r="E1913" s="5" t="s">
        <v>34</v>
      </c>
      <c r="F1913" s="5" t="s">
        <v>68</v>
      </c>
      <c r="G1913" s="5" t="s">
        <v>86</v>
      </c>
      <c r="H1913" s="9" t="s">
        <v>139</v>
      </c>
      <c r="I1913" s="10">
        <v>43948</v>
      </c>
      <c r="J1913" s="10">
        <v>46146</v>
      </c>
      <c r="K1913" s="5" t="s">
        <v>140</v>
      </c>
      <c r="L1913" s="5" t="s">
        <v>58</v>
      </c>
      <c r="M1913" s="11">
        <v>0.11</v>
      </c>
      <c r="N1913" s="5" t="e">
        <f>IF(AND(M1913&gt;#REF!,Cartera!O1913="Guaraníes"),"Rendimiento significativo",IF(AND(M1913&gt;#REF!,Cartera!O1913="Dólares americanos"),"Rendimiento significativo","Rendimiento no significativo"))</f>
        <v>#REF!</v>
      </c>
      <c r="O1913" s="5" t="s">
        <v>41</v>
      </c>
      <c r="P1913" s="12">
        <v>994520.54790000001</v>
      </c>
      <c r="Q1913" s="12">
        <f>IF(O1913="Guaraníes",P1913,P1913*#REF!)</f>
        <v>994520.54790000001</v>
      </c>
      <c r="R1913" s="12" t="e">
        <f>IF(O1913="Guaraníes",P1913/#REF!,P1913)</f>
        <v>#REF!</v>
      </c>
      <c r="S1913" s="5" t="s">
        <v>42</v>
      </c>
      <c r="AC1913" s="5" t="str">
        <f t="shared" si="94"/>
        <v>Bonos</v>
      </c>
      <c r="AD1913" s="5" t="s">
        <v>43</v>
      </c>
      <c r="AE1913" s="5">
        <f t="shared" si="92"/>
        <v>5</v>
      </c>
      <c r="AF1913" s="5">
        <f t="shared" si="93"/>
        <v>2026</v>
      </c>
    </row>
    <row r="1914" s="5" customFormat="1" ht="13">
      <c r="A1914" s="5">
        <v>12301</v>
      </c>
      <c r="B1914" s="5" t="s">
        <v>107</v>
      </c>
      <c r="C1914" s="5" t="s">
        <v>179</v>
      </c>
      <c r="D1914" s="5" t="s">
        <v>20</v>
      </c>
      <c r="E1914" s="5" t="s">
        <v>34</v>
      </c>
      <c r="F1914" s="5" t="s">
        <v>68</v>
      </c>
      <c r="G1914" s="5" t="s">
        <v>91</v>
      </c>
      <c r="H1914" s="9" t="s">
        <v>180</v>
      </c>
      <c r="I1914" s="10">
        <v>44614</v>
      </c>
      <c r="J1914" s="10">
        <v>45709</v>
      </c>
      <c r="K1914" s="5" t="s">
        <v>124</v>
      </c>
      <c r="L1914" s="5" t="s">
        <v>181</v>
      </c>
      <c r="M1914" s="11">
        <v>0.082500000000000004</v>
      </c>
      <c r="N1914" s="5" t="e">
        <f>IF(AND(M1914&gt;#REF!,Cartera!O1914="Guaraníes"),"Rendimiento significativo",IF(AND(M1914&gt;#REF!,Cartera!O1914="Dólares americanos"),"Rendimiento significativo","Rendimiento no significativo"))</f>
        <v>#REF!</v>
      </c>
      <c r="O1914" s="5" t="s">
        <v>41</v>
      </c>
      <c r="P1914" s="12">
        <v>700000000</v>
      </c>
      <c r="Q1914" s="12">
        <f>IF(O1914="Guaraníes",P1914,P1914*#REF!)</f>
        <v>700000000</v>
      </c>
      <c r="R1914" s="12" t="e">
        <f>IF(O1914="Guaraníes",P1914/#REF!,P1914)</f>
        <v>#REF!</v>
      </c>
      <c r="S1914" s="5" t="s">
        <v>42</v>
      </c>
      <c r="Y1914" s="5">
        <v>1000000</v>
      </c>
      <c r="AA1914" s="5">
        <v>700</v>
      </c>
      <c r="AC1914" s="5" t="str">
        <f t="shared" si="94"/>
        <v>Bonos</v>
      </c>
      <c r="AD1914" s="5" t="s">
        <v>43</v>
      </c>
      <c r="AE1914" s="5">
        <f t="shared" si="92"/>
        <v>2</v>
      </c>
      <c r="AF1914" s="5">
        <f t="shared" si="93"/>
        <v>2025</v>
      </c>
    </row>
    <row r="1915" s="5" customFormat="1" ht="13">
      <c r="A1915" s="5" t="s">
        <v>44</v>
      </c>
      <c r="B1915" s="5" t="s">
        <v>44</v>
      </c>
      <c r="C1915" s="5" t="s">
        <v>389</v>
      </c>
      <c r="D1915" s="5" t="s">
        <v>21</v>
      </c>
      <c r="E1915" s="5" t="s">
        <v>44</v>
      </c>
      <c r="F1915" s="5" t="s">
        <v>68</v>
      </c>
      <c r="G1915" s="5" t="s">
        <v>141</v>
      </c>
      <c r="H1915" s="9" t="s">
        <v>390</v>
      </c>
      <c r="I1915" s="10"/>
      <c r="J1915" s="10">
        <v>44076</v>
      </c>
      <c r="K1915" s="5" t="s">
        <v>391</v>
      </c>
      <c r="L1915" s="5" t="s">
        <v>58</v>
      </c>
      <c r="M1915" s="11">
        <v>0.1125</v>
      </c>
      <c r="N1915" s="5" t="e">
        <f>IF(AND(M1915&gt;#REF!,Cartera!O1915="Guaraníes"),"Rendimiento significativo",IF(AND(M1915&gt;#REF!,Cartera!O1915="Dólares americanos"),"Rendimiento significativo","Rendimiento no significativo"))</f>
        <v>#REF!</v>
      </c>
      <c r="O1915" s="5" t="s">
        <v>41</v>
      </c>
      <c r="P1915" s="12">
        <v>841438.35615000001</v>
      </c>
      <c r="Q1915" s="12">
        <f>IF(O1915="Guaraníes",P1915,P1915*#REF!)</f>
        <v>841438.35615000001</v>
      </c>
      <c r="R1915" s="12" t="e">
        <f>IF(O1915="Guaraníes",P1915/#REF!,P1915)</f>
        <v>#REF!</v>
      </c>
      <c r="S1915" s="5" t="s">
        <v>52</v>
      </c>
      <c r="T1915" s="5">
        <v>9243</v>
      </c>
      <c r="W1915" s="5" t="s">
        <v>65</v>
      </c>
      <c r="X1915" s="5">
        <v>0</v>
      </c>
      <c r="Y1915" s="5">
        <v>0</v>
      </c>
      <c r="Z1915" s="5">
        <v>28047.945205</v>
      </c>
      <c r="AA1915" s="5">
        <v>30</v>
      </c>
      <c r="AB1915" s="5">
        <v>841438.35615000001</v>
      </c>
      <c r="AC1915" s="5" t="str">
        <f t="shared" si="94"/>
        <v>Bonos</v>
      </c>
      <c r="AD1915" s="5" t="s">
        <v>43</v>
      </c>
      <c r="AE1915" s="5">
        <f t="shared" si="92"/>
        <v>9</v>
      </c>
      <c r="AF1915" s="5">
        <f t="shared" si="93"/>
        <v>2020</v>
      </c>
    </row>
    <row r="1916" s="5" customFormat="1" ht="13">
      <c r="A1916" s="5" t="s">
        <v>44</v>
      </c>
      <c r="B1916" s="5" t="s">
        <v>44</v>
      </c>
      <c r="C1916" s="5" t="s">
        <v>164</v>
      </c>
      <c r="D1916" s="5" t="s">
        <v>21</v>
      </c>
      <c r="E1916" s="5" t="s">
        <v>44</v>
      </c>
      <c r="F1916" s="5" t="s">
        <v>68</v>
      </c>
      <c r="G1916" s="5" t="s">
        <v>141</v>
      </c>
      <c r="H1916" s="9" t="s">
        <v>165</v>
      </c>
      <c r="I1916" s="10"/>
      <c r="J1916" s="10">
        <v>44104</v>
      </c>
      <c r="K1916" s="5" t="s">
        <v>124</v>
      </c>
      <c r="L1916" s="5" t="s">
        <v>58</v>
      </c>
      <c r="M1916" s="11">
        <v>0.10000000000000001</v>
      </c>
      <c r="N1916" s="5" t="e">
        <f>IF(AND(M1916&gt;#REF!,Cartera!O1916="Guaraníes"),"Rendimiento significativo",IF(AND(M1916&gt;#REF!,Cartera!O1916="Dólares americanos"),"Rendimiento significativo","Rendimiento no significativo"))</f>
        <v>#REF!</v>
      </c>
      <c r="O1916" s="5" t="s">
        <v>41</v>
      </c>
      <c r="P1916" s="12">
        <v>821917.80820000009</v>
      </c>
      <c r="Q1916" s="12">
        <f>IF(O1916="Guaraníes",P1916,P1916*#REF!)</f>
        <v>821917.80820000009</v>
      </c>
      <c r="R1916" s="12" t="e">
        <f>IF(O1916="Guaraníes",P1916/#REF!,P1916)</f>
        <v>#REF!</v>
      </c>
      <c r="S1916" s="5" t="s">
        <v>52</v>
      </c>
      <c r="T1916" s="5">
        <v>9243</v>
      </c>
      <c r="W1916" s="5" t="s">
        <v>65</v>
      </c>
      <c r="X1916" s="5">
        <v>0</v>
      </c>
      <c r="Y1916" s="5">
        <v>0</v>
      </c>
      <c r="Z1916" s="5">
        <v>8219.1780820000004</v>
      </c>
      <c r="AA1916" s="5">
        <v>100</v>
      </c>
      <c r="AB1916" s="5">
        <v>821917.80819999997</v>
      </c>
      <c r="AC1916" s="5" t="str">
        <f t="shared" si="94"/>
        <v>Bonos</v>
      </c>
      <c r="AD1916" s="5" t="s">
        <v>43</v>
      </c>
      <c r="AE1916" s="5">
        <f t="shared" si="92"/>
        <v>9</v>
      </c>
      <c r="AF1916" s="5">
        <f t="shared" si="93"/>
        <v>2020</v>
      </c>
    </row>
    <row r="1917" s="5" customFormat="1" ht="13">
      <c r="A1917" s="5" t="s">
        <v>44</v>
      </c>
      <c r="B1917" s="5" t="s">
        <v>44</v>
      </c>
      <c r="C1917" s="5" t="s">
        <v>164</v>
      </c>
      <c r="D1917" s="5" t="s">
        <v>21</v>
      </c>
      <c r="E1917" s="5" t="s">
        <v>44</v>
      </c>
      <c r="F1917" s="5" t="s">
        <v>68</v>
      </c>
      <c r="G1917" s="5" t="s">
        <v>141</v>
      </c>
      <c r="H1917" s="9" t="s">
        <v>167</v>
      </c>
      <c r="I1917" s="10"/>
      <c r="J1917" s="10">
        <v>44104</v>
      </c>
      <c r="K1917" s="5" t="s">
        <v>124</v>
      </c>
      <c r="L1917" s="5" t="s">
        <v>58</v>
      </c>
      <c r="M1917" s="11">
        <v>0.092499999999999999</v>
      </c>
      <c r="N1917" s="5" t="e">
        <f>IF(AND(M1917&gt;#REF!,Cartera!O1917="Guaraníes"),"Rendimiento significativo",IF(AND(M1917&gt;#REF!,Cartera!O1917="Dólares americanos"),"Rendimiento significativo","Rendimiento no significativo"))</f>
        <v>#REF!</v>
      </c>
      <c r="O1917" s="5" t="s">
        <v>41</v>
      </c>
      <c r="P1917" s="12">
        <v>760273.97259999998</v>
      </c>
      <c r="Q1917" s="12">
        <f>IF(O1917="Guaraníes",P1917,P1917*#REF!)</f>
        <v>760273.97259999998</v>
      </c>
      <c r="R1917" s="12" t="e">
        <f>IF(O1917="Guaraníes",P1917/#REF!,P1917)</f>
        <v>#REF!</v>
      </c>
      <c r="S1917" s="5" t="s">
        <v>52</v>
      </c>
      <c r="T1917" s="5">
        <v>9243</v>
      </c>
      <c r="W1917" s="5" t="s">
        <v>65</v>
      </c>
      <c r="X1917" s="5">
        <v>0</v>
      </c>
      <c r="Y1917" s="5">
        <v>0</v>
      </c>
      <c r="Z1917" s="5">
        <v>7602.7397259999998</v>
      </c>
      <c r="AA1917" s="5">
        <v>100</v>
      </c>
      <c r="AB1917" s="5">
        <v>760273.97259999998</v>
      </c>
      <c r="AC1917" s="5" t="str">
        <f t="shared" si="94"/>
        <v>Bonos</v>
      </c>
      <c r="AD1917" s="5" t="s">
        <v>43</v>
      </c>
      <c r="AE1917" s="5">
        <f t="shared" si="92"/>
        <v>9</v>
      </c>
      <c r="AF1917" s="5">
        <f t="shared" si="93"/>
        <v>2020</v>
      </c>
    </row>
    <row r="1918" s="5" customFormat="1" ht="13">
      <c r="A1918" s="5" t="s">
        <v>44</v>
      </c>
      <c r="B1918" s="5" t="s">
        <v>44</v>
      </c>
      <c r="C1918" s="5" t="s">
        <v>381</v>
      </c>
      <c r="D1918" s="5" t="s">
        <v>21</v>
      </c>
      <c r="E1918" s="5" t="s">
        <v>44</v>
      </c>
      <c r="F1918" s="5" t="s">
        <v>68</v>
      </c>
      <c r="G1918" s="5" t="s">
        <v>141</v>
      </c>
      <c r="H1918" s="9" t="s">
        <v>382</v>
      </c>
      <c r="I1918" s="10"/>
      <c r="J1918" s="10">
        <v>44119</v>
      </c>
      <c r="K1918" s="5" t="s">
        <v>383</v>
      </c>
      <c r="L1918" s="5" t="s">
        <v>58</v>
      </c>
      <c r="M1918" s="11">
        <v>0.1225</v>
      </c>
      <c r="N1918" s="5" t="e">
        <f>IF(AND(M1918&gt;#REF!,Cartera!O1918="Guaraníes"),"Rendimiento significativo",IF(AND(M1918&gt;#REF!,Cartera!O1918="Dólares americanos"),"Rendimiento significativo","Rendimiento no significativo"))</f>
        <v>#REF!</v>
      </c>
      <c r="O1918" s="5" t="s">
        <v>41</v>
      </c>
      <c r="P1918" s="12">
        <v>1527054.7945000001</v>
      </c>
      <c r="Q1918" s="12">
        <f>IF(O1918="Guaraníes",P1918,P1918*#REF!)</f>
        <v>1527054.7945000001</v>
      </c>
      <c r="R1918" s="12" t="e">
        <f>IF(O1918="Guaraníes",P1918/#REF!,P1918)</f>
        <v>#REF!</v>
      </c>
      <c r="S1918" s="5" t="s">
        <v>52</v>
      </c>
      <c r="T1918" s="5">
        <v>9243</v>
      </c>
      <c r="W1918" s="5" t="s">
        <v>65</v>
      </c>
      <c r="X1918" s="5">
        <v>0</v>
      </c>
      <c r="Y1918" s="5">
        <v>0</v>
      </c>
      <c r="Z1918" s="5">
        <v>30541.095890000001</v>
      </c>
      <c r="AA1918" s="5">
        <v>50</v>
      </c>
      <c r="AB1918" s="5">
        <v>1527054.7945000001</v>
      </c>
      <c r="AC1918" s="5" t="str">
        <f t="shared" si="94"/>
        <v>Bonos</v>
      </c>
      <c r="AD1918" s="5" t="s">
        <v>43</v>
      </c>
      <c r="AE1918" s="5">
        <f t="shared" si="92"/>
        <v>10</v>
      </c>
      <c r="AF1918" s="5">
        <f t="shared" si="93"/>
        <v>2020</v>
      </c>
    </row>
    <row r="1919" s="5" customFormat="1" ht="13">
      <c r="A1919" s="5" t="s">
        <v>44</v>
      </c>
      <c r="B1919" s="5" t="s">
        <v>44</v>
      </c>
      <c r="C1919" s="5" t="s">
        <v>164</v>
      </c>
      <c r="D1919" s="5" t="s">
        <v>21</v>
      </c>
      <c r="E1919" s="5" t="s">
        <v>44</v>
      </c>
      <c r="F1919" s="5" t="s">
        <v>68</v>
      </c>
      <c r="G1919" s="5" t="s">
        <v>141</v>
      </c>
      <c r="H1919" s="9" t="s">
        <v>165</v>
      </c>
      <c r="I1919" s="10"/>
      <c r="J1919" s="10">
        <v>44134</v>
      </c>
      <c r="K1919" s="5" t="s">
        <v>124</v>
      </c>
      <c r="L1919" s="5" t="s">
        <v>58</v>
      </c>
      <c r="M1919" s="11">
        <v>0.10000000000000001</v>
      </c>
      <c r="N1919" s="5" t="e">
        <f>IF(AND(M1919&gt;#REF!,Cartera!O1919="Guaraníes"),"Rendimiento significativo",IF(AND(M1919&gt;#REF!,Cartera!O1919="Dólares americanos"),"Rendimiento significativo","Rendimiento no significativo"))</f>
        <v>#REF!</v>
      </c>
      <c r="O1919" s="5" t="s">
        <v>41</v>
      </c>
      <c r="P1919" s="12">
        <v>821917.80820000009</v>
      </c>
      <c r="Q1919" s="12">
        <f>IF(O1919="Guaraníes",P1919,P1919*#REF!)</f>
        <v>821917.80820000009</v>
      </c>
      <c r="R1919" s="12" t="e">
        <f>IF(O1919="Guaraníes",P1919/#REF!,P1919)</f>
        <v>#REF!</v>
      </c>
      <c r="S1919" s="5" t="s">
        <v>52</v>
      </c>
      <c r="T1919" s="5">
        <v>9243</v>
      </c>
      <c r="W1919" s="5" t="s">
        <v>65</v>
      </c>
      <c r="X1919" s="5">
        <v>0</v>
      </c>
      <c r="Y1919" s="5">
        <v>0</v>
      </c>
      <c r="Z1919" s="5">
        <v>8219.1780820000004</v>
      </c>
      <c r="AA1919" s="5">
        <v>100</v>
      </c>
      <c r="AB1919" s="5">
        <v>821917.80819999997</v>
      </c>
      <c r="AC1919" s="5" t="str">
        <f t="shared" si="94"/>
        <v>Bonos</v>
      </c>
      <c r="AD1919" s="5" t="s">
        <v>43</v>
      </c>
      <c r="AE1919" s="5">
        <f t="shared" si="92"/>
        <v>10</v>
      </c>
      <c r="AF1919" s="5">
        <f t="shared" si="93"/>
        <v>2020</v>
      </c>
    </row>
    <row r="1920" s="5" customFormat="1" ht="13">
      <c r="A1920" s="5" t="s">
        <v>44</v>
      </c>
      <c r="B1920" s="5" t="s">
        <v>44</v>
      </c>
      <c r="C1920" s="5" t="s">
        <v>164</v>
      </c>
      <c r="D1920" s="5" t="s">
        <v>21</v>
      </c>
      <c r="E1920" s="5" t="s">
        <v>44</v>
      </c>
      <c r="F1920" s="5" t="s">
        <v>68</v>
      </c>
      <c r="G1920" s="5" t="s">
        <v>141</v>
      </c>
      <c r="H1920" s="9" t="s">
        <v>167</v>
      </c>
      <c r="I1920" s="10"/>
      <c r="J1920" s="10">
        <v>44134</v>
      </c>
      <c r="K1920" s="5" t="s">
        <v>124</v>
      </c>
      <c r="L1920" s="5" t="s">
        <v>58</v>
      </c>
      <c r="M1920" s="11">
        <v>0.092499999999999999</v>
      </c>
      <c r="N1920" s="5" t="e">
        <f>IF(AND(M1920&gt;#REF!,Cartera!O1920="Guaraníes"),"Rendimiento significativo",IF(AND(M1920&gt;#REF!,Cartera!O1920="Dólares americanos"),"Rendimiento significativo","Rendimiento no significativo"))</f>
        <v>#REF!</v>
      </c>
      <c r="O1920" s="5" t="s">
        <v>41</v>
      </c>
      <c r="P1920" s="12">
        <v>760273.97259999998</v>
      </c>
      <c r="Q1920" s="12">
        <f>IF(O1920="Guaraníes",P1920,P1920*#REF!)</f>
        <v>760273.97259999998</v>
      </c>
      <c r="R1920" s="12" t="e">
        <f>IF(O1920="Guaraníes",P1920/#REF!,P1920)</f>
        <v>#REF!</v>
      </c>
      <c r="S1920" s="5" t="s">
        <v>52</v>
      </c>
      <c r="T1920" s="5">
        <v>9243</v>
      </c>
      <c r="W1920" s="5" t="s">
        <v>65</v>
      </c>
      <c r="X1920" s="5">
        <v>0</v>
      </c>
      <c r="Y1920" s="5">
        <v>0</v>
      </c>
      <c r="Z1920" s="5">
        <v>7602.7397259999998</v>
      </c>
      <c r="AA1920" s="5">
        <v>100</v>
      </c>
      <c r="AB1920" s="5">
        <v>760273.97259999998</v>
      </c>
      <c r="AC1920" s="5" t="str">
        <f t="shared" si="94"/>
        <v>Bonos</v>
      </c>
      <c r="AD1920" s="5" t="s">
        <v>43</v>
      </c>
      <c r="AE1920" s="5">
        <f t="shared" si="92"/>
        <v>10</v>
      </c>
      <c r="AF1920" s="5">
        <f t="shared" si="93"/>
        <v>2020</v>
      </c>
    </row>
    <row r="1921" s="5" customFormat="1" ht="13">
      <c r="A1921" s="5" t="s">
        <v>44</v>
      </c>
      <c r="B1921" s="5" t="s">
        <v>44</v>
      </c>
      <c r="C1921" s="5" t="s">
        <v>156</v>
      </c>
      <c r="D1921" s="5" t="s">
        <v>21</v>
      </c>
      <c r="E1921" s="5" t="s">
        <v>44</v>
      </c>
      <c r="F1921" s="5" t="s">
        <v>68</v>
      </c>
      <c r="G1921" s="5" t="s">
        <v>141</v>
      </c>
      <c r="H1921" s="9" t="s">
        <v>392</v>
      </c>
      <c r="I1921" s="10"/>
      <c r="J1921" s="10">
        <v>44153</v>
      </c>
      <c r="K1921" s="5" t="s">
        <v>158</v>
      </c>
      <c r="L1921" s="5" t="s">
        <v>58</v>
      </c>
      <c r="M1921" s="11">
        <v>0.14000000000000001</v>
      </c>
      <c r="N1921" s="5" t="e">
        <f>IF(AND(M1921&gt;#REF!,Cartera!O1921="Guaraníes"),"Rendimiento significativo",IF(AND(M1921&gt;#REF!,Cartera!O1921="Dólares americanos"),"Rendimiento significativo","Rendimiento no significativo"))</f>
        <v>#REF!</v>
      </c>
      <c r="O1921" s="5" t="s">
        <v>41</v>
      </c>
      <c r="P1921" s="12">
        <v>1090753.4246699999</v>
      </c>
      <c r="Q1921" s="12">
        <f>IF(O1921="Guaraníes",P1921,P1921*#REF!)</f>
        <v>1090753.4246699999</v>
      </c>
      <c r="R1921" s="12" t="e">
        <f>IF(O1921="Guaraníes",P1921/#REF!,P1921)</f>
        <v>#REF!</v>
      </c>
      <c r="S1921" s="5" t="s">
        <v>52</v>
      </c>
      <c r="T1921" s="5">
        <v>9243</v>
      </c>
      <c r="W1921" s="5" t="s">
        <v>65</v>
      </c>
      <c r="X1921" s="5">
        <v>0</v>
      </c>
      <c r="Y1921" s="5">
        <v>0</v>
      </c>
      <c r="Z1921" s="5">
        <v>31164.383561999999</v>
      </c>
      <c r="AA1921" s="5">
        <v>35</v>
      </c>
      <c r="AB1921" s="5">
        <v>1090753.4246700001</v>
      </c>
      <c r="AC1921" s="5" t="str">
        <f t="shared" si="94"/>
        <v>Bonos</v>
      </c>
      <c r="AD1921" s="5" t="s">
        <v>43</v>
      </c>
      <c r="AE1921" s="5">
        <f t="shared" si="92"/>
        <v>11</v>
      </c>
      <c r="AF1921" s="5">
        <f t="shared" si="93"/>
        <v>2020</v>
      </c>
    </row>
    <row r="1922" s="5" customFormat="1" ht="13">
      <c r="A1922" s="5" t="s">
        <v>44</v>
      </c>
      <c r="B1922" s="5" t="s">
        <v>44</v>
      </c>
      <c r="C1922" s="5" t="s">
        <v>164</v>
      </c>
      <c r="D1922" s="5" t="s">
        <v>21</v>
      </c>
      <c r="E1922" s="5" t="s">
        <v>44</v>
      </c>
      <c r="F1922" s="5" t="s">
        <v>68</v>
      </c>
      <c r="G1922" s="5" t="s">
        <v>141</v>
      </c>
      <c r="H1922" s="9" t="s">
        <v>165</v>
      </c>
      <c r="I1922" s="10"/>
      <c r="J1922" s="10">
        <v>44165</v>
      </c>
      <c r="K1922" s="5" t="s">
        <v>124</v>
      </c>
      <c r="L1922" s="5" t="s">
        <v>58</v>
      </c>
      <c r="M1922" s="11">
        <v>0.10000000000000001</v>
      </c>
      <c r="N1922" s="5" t="e">
        <f>IF(AND(M1922&gt;#REF!,Cartera!O1922="Guaraníes"),"Rendimiento significativo",IF(AND(M1922&gt;#REF!,Cartera!O1922="Dólares americanos"),"Rendimiento significativo","Rendimiento no significativo"))</f>
        <v>#REF!</v>
      </c>
      <c r="O1922" s="5" t="s">
        <v>41</v>
      </c>
      <c r="P1922" s="12">
        <v>849315.06850000005</v>
      </c>
      <c r="Q1922" s="12">
        <f>IF(O1922="Guaraníes",P1922,P1922*#REF!)</f>
        <v>849315.06850000005</v>
      </c>
      <c r="R1922" s="12" t="e">
        <f>IF(O1922="Guaraníes",P1922/#REF!,P1922)</f>
        <v>#REF!</v>
      </c>
      <c r="S1922" s="5" t="s">
        <v>52</v>
      </c>
      <c r="T1922" s="5">
        <v>9243</v>
      </c>
      <c r="W1922" s="5" t="s">
        <v>65</v>
      </c>
      <c r="X1922" s="5">
        <v>0</v>
      </c>
      <c r="Y1922" s="5">
        <v>0</v>
      </c>
      <c r="Z1922" s="5">
        <v>8493.1506850000005</v>
      </c>
      <c r="AA1922" s="5">
        <v>100</v>
      </c>
      <c r="AB1922" s="5">
        <v>849315.06850000005</v>
      </c>
      <c r="AC1922" s="5" t="str">
        <f t="shared" si="94"/>
        <v>Bonos</v>
      </c>
      <c r="AD1922" s="5" t="s">
        <v>43</v>
      </c>
      <c r="AE1922" s="5">
        <f t="shared" si="92"/>
        <v>11</v>
      </c>
      <c r="AF1922" s="5">
        <f t="shared" si="93"/>
        <v>2020</v>
      </c>
    </row>
    <row r="1923" s="5" customFormat="1" ht="13">
      <c r="A1923" s="5" t="s">
        <v>44</v>
      </c>
      <c r="B1923" s="5" t="s">
        <v>44</v>
      </c>
      <c r="C1923" s="5" t="s">
        <v>164</v>
      </c>
      <c r="D1923" s="5" t="s">
        <v>21</v>
      </c>
      <c r="E1923" s="5" t="s">
        <v>44</v>
      </c>
      <c r="F1923" s="5" t="s">
        <v>68</v>
      </c>
      <c r="G1923" s="5" t="s">
        <v>141</v>
      </c>
      <c r="H1923" s="9" t="s">
        <v>167</v>
      </c>
      <c r="I1923" s="10"/>
      <c r="J1923" s="10">
        <v>44165</v>
      </c>
      <c r="K1923" s="5" t="s">
        <v>124</v>
      </c>
      <c r="L1923" s="5" t="s">
        <v>58</v>
      </c>
      <c r="M1923" s="11">
        <v>0.092499999999999999</v>
      </c>
      <c r="N1923" s="5" t="e">
        <f>IF(AND(M1923&gt;#REF!,Cartera!O1923="Guaraníes"),"Rendimiento significativo",IF(AND(M1923&gt;#REF!,Cartera!O1923="Dólares americanos"),"Rendimiento significativo","Rendimiento no significativo"))</f>
        <v>#REF!</v>
      </c>
      <c r="O1923" s="5" t="s">
        <v>41</v>
      </c>
      <c r="P1923" s="12">
        <v>785616.43839999998</v>
      </c>
      <c r="Q1923" s="12">
        <f>IF(O1923="Guaraníes",P1923,P1923*#REF!)</f>
        <v>785616.43839999998</v>
      </c>
      <c r="R1923" s="12" t="e">
        <f>IF(O1923="Guaraníes",P1923/#REF!,P1923)</f>
        <v>#REF!</v>
      </c>
      <c r="S1923" s="5" t="s">
        <v>52</v>
      </c>
      <c r="T1923" s="5">
        <v>9243</v>
      </c>
      <c r="W1923" s="5" t="s">
        <v>65</v>
      </c>
      <c r="X1923" s="5">
        <v>0</v>
      </c>
      <c r="Y1923" s="5">
        <v>0</v>
      </c>
      <c r="Z1923" s="5">
        <v>7856.1643839999997</v>
      </c>
      <c r="AA1923" s="5">
        <v>100</v>
      </c>
      <c r="AB1923" s="5">
        <v>785616.43839999998</v>
      </c>
      <c r="AC1923" s="5" t="str">
        <f t="shared" si="94"/>
        <v>Bonos</v>
      </c>
      <c r="AD1923" s="5" t="s">
        <v>43</v>
      </c>
      <c r="AE1923" s="5">
        <f t="shared" si="92"/>
        <v>11</v>
      </c>
      <c r="AF1923" s="5">
        <f t="shared" si="93"/>
        <v>2020</v>
      </c>
    </row>
    <row r="1924" s="5" customFormat="1" ht="13">
      <c r="A1924" s="5" t="s">
        <v>44</v>
      </c>
      <c r="B1924" s="5" t="s">
        <v>44</v>
      </c>
      <c r="C1924" s="5" t="s">
        <v>389</v>
      </c>
      <c r="D1924" s="5" t="s">
        <v>21</v>
      </c>
      <c r="E1924" s="5" t="s">
        <v>44</v>
      </c>
      <c r="F1924" s="5" t="s">
        <v>68</v>
      </c>
      <c r="G1924" s="5" t="s">
        <v>141</v>
      </c>
      <c r="H1924" s="9" t="s">
        <v>390</v>
      </c>
      <c r="I1924" s="10"/>
      <c r="J1924" s="10">
        <v>44167</v>
      </c>
      <c r="K1924" s="5" t="s">
        <v>391</v>
      </c>
      <c r="L1924" s="5" t="s">
        <v>58</v>
      </c>
      <c r="M1924" s="11">
        <v>0.1125</v>
      </c>
      <c r="N1924" s="5" t="e">
        <f>IF(AND(M1924&gt;#REF!,Cartera!O1924="Guaraníes"),"Rendimiento significativo",IF(AND(M1924&gt;#REF!,Cartera!O1924="Dólares americanos"),"Rendimiento significativo","Rendimiento no significativo"))</f>
        <v>#REF!</v>
      </c>
      <c r="O1924" s="5" t="s">
        <v>41</v>
      </c>
      <c r="P1924" s="12">
        <v>841438.35615000001</v>
      </c>
      <c r="Q1924" s="12">
        <f>IF(O1924="Guaraníes",P1924,P1924*#REF!)</f>
        <v>841438.35615000001</v>
      </c>
      <c r="R1924" s="12" t="e">
        <f>IF(O1924="Guaraníes",P1924/#REF!,P1924)</f>
        <v>#REF!</v>
      </c>
      <c r="S1924" s="5" t="s">
        <v>52</v>
      </c>
      <c r="T1924" s="5">
        <v>9243</v>
      </c>
      <c r="W1924" s="5" t="s">
        <v>65</v>
      </c>
      <c r="X1924" s="5">
        <v>0</v>
      </c>
      <c r="Y1924" s="5">
        <v>0</v>
      </c>
      <c r="Z1924" s="5">
        <v>28047.945205</v>
      </c>
      <c r="AA1924" s="5">
        <v>30</v>
      </c>
      <c r="AB1924" s="5">
        <v>841438.35615000001</v>
      </c>
      <c r="AC1924" s="5" t="str">
        <f t="shared" si="94"/>
        <v>Bonos</v>
      </c>
      <c r="AD1924" s="5" t="s">
        <v>43</v>
      </c>
      <c r="AE1924" s="5">
        <f t="shared" si="92"/>
        <v>12</v>
      </c>
      <c r="AF1924" s="5">
        <f t="shared" si="93"/>
        <v>2020</v>
      </c>
    </row>
    <row r="1925" s="5" customFormat="1" ht="13">
      <c r="A1925" s="5" t="s">
        <v>44</v>
      </c>
      <c r="B1925" s="5" t="s">
        <v>44</v>
      </c>
      <c r="C1925" s="5" t="s">
        <v>164</v>
      </c>
      <c r="D1925" s="5" t="s">
        <v>21</v>
      </c>
      <c r="E1925" s="5" t="s">
        <v>44</v>
      </c>
      <c r="F1925" s="5" t="s">
        <v>68</v>
      </c>
      <c r="G1925" s="5" t="s">
        <v>141</v>
      </c>
      <c r="H1925" s="9" t="s">
        <v>165</v>
      </c>
      <c r="I1925" s="10"/>
      <c r="J1925" s="10">
        <v>44195</v>
      </c>
      <c r="K1925" s="5" t="s">
        <v>124</v>
      </c>
      <c r="L1925" s="5" t="s">
        <v>58</v>
      </c>
      <c r="M1925" s="11">
        <v>0.10000000000000001</v>
      </c>
      <c r="N1925" s="5" t="e">
        <f>IF(AND(M1925&gt;#REF!,Cartera!O1925="Guaraníes"),"Rendimiento significativo",IF(AND(M1925&gt;#REF!,Cartera!O1925="Dólares americanos"),"Rendimiento significativo","Rendimiento no significativo"))</f>
        <v>#REF!</v>
      </c>
      <c r="O1925" s="5" t="s">
        <v>41</v>
      </c>
      <c r="P1925" s="12">
        <v>821917.80820000009</v>
      </c>
      <c r="Q1925" s="12">
        <f>IF(O1925="Guaraníes",P1925,P1925*#REF!)</f>
        <v>821917.80820000009</v>
      </c>
      <c r="R1925" s="12" t="e">
        <f>IF(O1925="Guaraníes",P1925/#REF!,P1925)</f>
        <v>#REF!</v>
      </c>
      <c r="S1925" s="5" t="s">
        <v>52</v>
      </c>
      <c r="T1925" s="5">
        <v>9243</v>
      </c>
      <c r="W1925" s="5" t="s">
        <v>65</v>
      </c>
      <c r="X1925" s="5">
        <v>0</v>
      </c>
      <c r="Y1925" s="5">
        <v>0</v>
      </c>
      <c r="Z1925" s="5">
        <v>8219.1780820000004</v>
      </c>
      <c r="AA1925" s="5">
        <v>100</v>
      </c>
      <c r="AB1925" s="5">
        <v>821917.80819999997</v>
      </c>
      <c r="AC1925" s="5" t="str">
        <f t="shared" si="94"/>
        <v>Bonos</v>
      </c>
      <c r="AD1925" s="5" t="s">
        <v>43</v>
      </c>
      <c r="AE1925" s="5">
        <f t="shared" si="92"/>
        <v>12</v>
      </c>
      <c r="AF1925" s="5">
        <f t="shared" si="93"/>
        <v>2020</v>
      </c>
    </row>
    <row r="1926" s="5" customFormat="1" ht="13">
      <c r="A1926" s="5" t="s">
        <v>44</v>
      </c>
      <c r="B1926" s="5" t="s">
        <v>44</v>
      </c>
      <c r="C1926" s="5" t="s">
        <v>164</v>
      </c>
      <c r="D1926" s="5" t="s">
        <v>21</v>
      </c>
      <c r="E1926" s="5" t="s">
        <v>44</v>
      </c>
      <c r="F1926" s="5" t="s">
        <v>68</v>
      </c>
      <c r="G1926" s="5" t="s">
        <v>141</v>
      </c>
      <c r="H1926" s="9" t="s">
        <v>167</v>
      </c>
      <c r="I1926" s="10"/>
      <c r="J1926" s="10">
        <v>44195</v>
      </c>
      <c r="K1926" s="5" t="s">
        <v>124</v>
      </c>
      <c r="L1926" s="5" t="s">
        <v>58</v>
      </c>
      <c r="M1926" s="11">
        <v>0.092499999999999999</v>
      </c>
      <c r="N1926" s="5" t="e">
        <f>IF(AND(M1926&gt;#REF!,Cartera!O1926="Guaraníes"),"Rendimiento significativo",IF(AND(M1926&gt;#REF!,Cartera!O1926="Dólares americanos"),"Rendimiento significativo","Rendimiento no significativo"))</f>
        <v>#REF!</v>
      </c>
      <c r="O1926" s="5" t="s">
        <v>41</v>
      </c>
      <c r="P1926" s="12">
        <v>760273.97259999998</v>
      </c>
      <c r="Q1926" s="12">
        <f>IF(O1926="Guaraníes",P1926,P1926*#REF!)</f>
        <v>760273.97259999998</v>
      </c>
      <c r="R1926" s="12" t="e">
        <f>IF(O1926="Guaraníes",P1926/#REF!,P1926)</f>
        <v>#REF!</v>
      </c>
      <c r="S1926" s="5" t="s">
        <v>52</v>
      </c>
      <c r="T1926" s="5">
        <v>9243</v>
      </c>
      <c r="W1926" s="5" t="s">
        <v>65</v>
      </c>
      <c r="X1926" s="5">
        <v>0</v>
      </c>
      <c r="Y1926" s="5">
        <v>0</v>
      </c>
      <c r="Z1926" s="5">
        <v>7602.7397259999998</v>
      </c>
      <c r="AA1926" s="5">
        <v>100</v>
      </c>
      <c r="AB1926" s="5">
        <v>760273.97259999998</v>
      </c>
      <c r="AC1926" s="5" t="str">
        <f t="shared" si="94"/>
        <v>Bonos</v>
      </c>
      <c r="AD1926" s="5" t="s">
        <v>43</v>
      </c>
      <c r="AE1926" s="5">
        <f t="shared" si="92"/>
        <v>12</v>
      </c>
      <c r="AF1926" s="5">
        <f t="shared" si="93"/>
        <v>2020</v>
      </c>
    </row>
    <row r="1927" s="5" customFormat="1" ht="13">
      <c r="A1927" s="5" t="s">
        <v>44</v>
      </c>
      <c r="B1927" s="5" t="s">
        <v>44</v>
      </c>
      <c r="C1927" s="5" t="s">
        <v>381</v>
      </c>
      <c r="D1927" s="5" t="s">
        <v>21</v>
      </c>
      <c r="E1927" s="5" t="s">
        <v>44</v>
      </c>
      <c r="F1927" s="5" t="s">
        <v>68</v>
      </c>
      <c r="G1927" s="5" t="s">
        <v>141</v>
      </c>
      <c r="H1927" s="9" t="s">
        <v>382</v>
      </c>
      <c r="I1927" s="10"/>
      <c r="J1927" s="10">
        <v>44210</v>
      </c>
      <c r="K1927" s="5" t="s">
        <v>383</v>
      </c>
      <c r="L1927" s="5" t="s">
        <v>58</v>
      </c>
      <c r="M1927" s="11">
        <v>0.1225</v>
      </c>
      <c r="N1927" s="5" t="e">
        <f>IF(AND(M1927&gt;#REF!,Cartera!O1927="Guaraníes"),"Rendimiento significativo",IF(AND(M1927&gt;#REF!,Cartera!O1927="Dólares americanos"),"Rendimiento significativo","Rendimiento no significativo"))</f>
        <v>#REF!</v>
      </c>
      <c r="O1927" s="5" t="s">
        <v>41</v>
      </c>
      <c r="P1927" s="12">
        <v>1527054.7945000001</v>
      </c>
      <c r="Q1927" s="12">
        <f>IF(O1927="Guaraníes",P1927,P1927*#REF!)</f>
        <v>1527054.7945000001</v>
      </c>
      <c r="R1927" s="12" t="e">
        <f>IF(O1927="Guaraníes",P1927/#REF!,P1927)</f>
        <v>#REF!</v>
      </c>
      <c r="S1927" s="5" t="s">
        <v>52</v>
      </c>
      <c r="T1927" s="5">
        <v>9243</v>
      </c>
      <c r="W1927" s="5" t="s">
        <v>65</v>
      </c>
      <c r="X1927" s="5">
        <v>0</v>
      </c>
      <c r="Y1927" s="5">
        <v>0</v>
      </c>
      <c r="Z1927" s="5">
        <v>30541.095890000001</v>
      </c>
      <c r="AA1927" s="5">
        <v>50</v>
      </c>
      <c r="AB1927" s="5">
        <v>1527054.7945000001</v>
      </c>
      <c r="AC1927" s="5" t="str">
        <f t="shared" si="94"/>
        <v>Bonos</v>
      </c>
      <c r="AD1927" s="5" t="s">
        <v>43</v>
      </c>
      <c r="AE1927" s="5">
        <f t="shared" si="92"/>
        <v>1</v>
      </c>
      <c r="AF1927" s="5">
        <f t="shared" si="93"/>
        <v>2021</v>
      </c>
    </row>
    <row r="1928" s="5" customFormat="1" ht="13">
      <c r="A1928" s="5" t="s">
        <v>44</v>
      </c>
      <c r="B1928" s="5" t="s">
        <v>44</v>
      </c>
      <c r="C1928" s="5" t="s">
        <v>164</v>
      </c>
      <c r="D1928" s="5" t="s">
        <v>21</v>
      </c>
      <c r="E1928" s="5" t="s">
        <v>44</v>
      </c>
      <c r="F1928" s="5" t="s">
        <v>68</v>
      </c>
      <c r="G1928" s="5" t="s">
        <v>141</v>
      </c>
      <c r="H1928" s="9" t="s">
        <v>165</v>
      </c>
      <c r="I1928" s="10"/>
      <c r="J1928" s="10">
        <v>44225</v>
      </c>
      <c r="K1928" s="5" t="s">
        <v>124</v>
      </c>
      <c r="L1928" s="5" t="s">
        <v>58</v>
      </c>
      <c r="M1928" s="11">
        <v>0.10000000000000001</v>
      </c>
      <c r="N1928" s="5" t="e">
        <f>IF(AND(M1928&gt;#REF!,Cartera!O1928="Guaraníes"),"Rendimiento significativo",IF(AND(M1928&gt;#REF!,Cartera!O1928="Dólares americanos"),"Rendimiento significativo","Rendimiento no significativo"))</f>
        <v>#REF!</v>
      </c>
      <c r="O1928" s="5" t="s">
        <v>41</v>
      </c>
      <c r="P1928" s="12">
        <v>821917.80820000009</v>
      </c>
      <c r="Q1928" s="12">
        <f>IF(O1928="Guaraníes",P1928,P1928*#REF!)</f>
        <v>821917.80820000009</v>
      </c>
      <c r="R1928" s="12" t="e">
        <f>IF(O1928="Guaraníes",P1928/#REF!,P1928)</f>
        <v>#REF!</v>
      </c>
      <c r="S1928" s="5" t="s">
        <v>52</v>
      </c>
      <c r="T1928" s="5">
        <v>9243</v>
      </c>
      <c r="W1928" s="5" t="s">
        <v>65</v>
      </c>
      <c r="X1928" s="5">
        <v>0</v>
      </c>
      <c r="Y1928" s="5">
        <v>0</v>
      </c>
      <c r="Z1928" s="5">
        <v>8219.1780820000004</v>
      </c>
      <c r="AA1928" s="5">
        <v>100</v>
      </c>
      <c r="AB1928" s="5">
        <v>821917.80819999997</v>
      </c>
      <c r="AC1928" s="5" t="str">
        <f t="shared" si="94"/>
        <v>Bonos</v>
      </c>
      <c r="AD1928" s="5" t="s">
        <v>43</v>
      </c>
      <c r="AE1928" s="5">
        <f t="shared" si="92"/>
        <v>1</v>
      </c>
      <c r="AF1928" s="5">
        <f t="shared" si="93"/>
        <v>2021</v>
      </c>
    </row>
    <row r="1929" s="5" customFormat="1" ht="13">
      <c r="A1929" s="5" t="s">
        <v>44</v>
      </c>
      <c r="B1929" s="5" t="s">
        <v>44</v>
      </c>
      <c r="C1929" s="5" t="s">
        <v>164</v>
      </c>
      <c r="D1929" s="5" t="s">
        <v>21</v>
      </c>
      <c r="E1929" s="5" t="s">
        <v>44</v>
      </c>
      <c r="F1929" s="5" t="s">
        <v>68</v>
      </c>
      <c r="G1929" s="5" t="s">
        <v>141</v>
      </c>
      <c r="H1929" s="9" t="s">
        <v>167</v>
      </c>
      <c r="I1929" s="10"/>
      <c r="J1929" s="10">
        <v>44225</v>
      </c>
      <c r="K1929" s="5" t="s">
        <v>124</v>
      </c>
      <c r="L1929" s="5" t="s">
        <v>58</v>
      </c>
      <c r="M1929" s="11">
        <v>0.092499999999999999</v>
      </c>
      <c r="N1929" s="5" t="e">
        <f>IF(AND(M1929&gt;#REF!,Cartera!O1929="Guaraníes"),"Rendimiento significativo",IF(AND(M1929&gt;#REF!,Cartera!O1929="Dólares americanos"),"Rendimiento significativo","Rendimiento no significativo"))</f>
        <v>#REF!</v>
      </c>
      <c r="O1929" s="5" t="s">
        <v>41</v>
      </c>
      <c r="P1929" s="12">
        <v>760273.97259999998</v>
      </c>
      <c r="Q1929" s="12">
        <f>IF(O1929="Guaraníes",P1929,P1929*#REF!)</f>
        <v>760273.97259999998</v>
      </c>
      <c r="R1929" s="12" t="e">
        <f>IF(O1929="Guaraníes",P1929/#REF!,P1929)</f>
        <v>#REF!</v>
      </c>
      <c r="S1929" s="5" t="s">
        <v>52</v>
      </c>
      <c r="T1929" s="5">
        <v>9243</v>
      </c>
      <c r="W1929" s="5" t="s">
        <v>65</v>
      </c>
      <c r="X1929" s="5">
        <v>0</v>
      </c>
      <c r="Y1929" s="5">
        <v>0</v>
      </c>
      <c r="Z1929" s="5">
        <v>7602.7397259999998</v>
      </c>
      <c r="AA1929" s="5">
        <v>100</v>
      </c>
      <c r="AB1929" s="5">
        <v>760273.97259999998</v>
      </c>
      <c r="AC1929" s="5" t="str">
        <f t="shared" si="94"/>
        <v>Bonos</v>
      </c>
      <c r="AD1929" s="5" t="s">
        <v>43</v>
      </c>
      <c r="AE1929" s="5">
        <f t="shared" si="92"/>
        <v>1</v>
      </c>
      <c r="AF1929" s="5">
        <f t="shared" si="93"/>
        <v>2021</v>
      </c>
    </row>
    <row r="1930" s="5" customFormat="1" ht="13">
      <c r="A1930" s="5" t="s">
        <v>44</v>
      </c>
      <c r="B1930" s="5" t="s">
        <v>44</v>
      </c>
      <c r="C1930" s="5" t="s">
        <v>156</v>
      </c>
      <c r="D1930" s="5" t="s">
        <v>21</v>
      </c>
      <c r="E1930" s="5" t="s">
        <v>44</v>
      </c>
      <c r="F1930" s="5" t="s">
        <v>68</v>
      </c>
      <c r="G1930" s="5" t="s">
        <v>141</v>
      </c>
      <c r="H1930" s="9" t="s">
        <v>392</v>
      </c>
      <c r="I1930" s="10"/>
      <c r="J1930" s="10">
        <v>44244</v>
      </c>
      <c r="K1930" s="5" t="s">
        <v>158</v>
      </c>
      <c r="L1930" s="5" t="s">
        <v>58</v>
      </c>
      <c r="M1930" s="11">
        <v>0.14000000000000001</v>
      </c>
      <c r="N1930" s="5" t="e">
        <f>IF(AND(M1930&gt;#REF!,Cartera!O1930="Guaraníes"),"Rendimiento significativo",IF(AND(M1930&gt;#REF!,Cartera!O1930="Dólares americanos"),"Rendimiento significativo","Rendimiento no significativo"))</f>
        <v>#REF!</v>
      </c>
      <c r="O1930" s="5" t="s">
        <v>41</v>
      </c>
      <c r="P1930" s="12">
        <v>1090753.4246699999</v>
      </c>
      <c r="Q1930" s="12">
        <f>IF(O1930="Guaraníes",P1930,P1930*#REF!)</f>
        <v>1090753.4246699999</v>
      </c>
      <c r="R1930" s="12" t="e">
        <f>IF(O1930="Guaraníes",P1930/#REF!,P1930)</f>
        <v>#REF!</v>
      </c>
      <c r="S1930" s="5" t="s">
        <v>52</v>
      </c>
      <c r="T1930" s="5">
        <v>9243</v>
      </c>
      <c r="W1930" s="5" t="s">
        <v>65</v>
      </c>
      <c r="X1930" s="5">
        <v>0</v>
      </c>
      <c r="Y1930" s="5">
        <v>0</v>
      </c>
      <c r="Z1930" s="5">
        <v>31164.383561999999</v>
      </c>
      <c r="AA1930" s="5">
        <v>35</v>
      </c>
      <c r="AB1930" s="5">
        <v>1090753.4246700001</v>
      </c>
      <c r="AC1930" s="5" t="str">
        <f t="shared" si="94"/>
        <v>Bonos</v>
      </c>
      <c r="AD1930" s="5" t="s">
        <v>43</v>
      </c>
      <c r="AE1930" s="5">
        <f t="shared" si="92"/>
        <v>2</v>
      </c>
      <c r="AF1930" s="5">
        <f t="shared" si="93"/>
        <v>2021</v>
      </c>
    </row>
    <row r="1931" s="5" customFormat="1" ht="13">
      <c r="A1931" s="5" t="s">
        <v>44</v>
      </c>
      <c r="B1931" s="5" t="s">
        <v>44</v>
      </c>
      <c r="C1931" s="5" t="s">
        <v>164</v>
      </c>
      <c r="D1931" s="5" t="s">
        <v>21</v>
      </c>
      <c r="E1931" s="5" t="s">
        <v>44</v>
      </c>
      <c r="F1931" s="5" t="s">
        <v>68</v>
      </c>
      <c r="G1931" s="5" t="s">
        <v>141</v>
      </c>
      <c r="H1931" s="9" t="s">
        <v>165</v>
      </c>
      <c r="I1931" s="10"/>
      <c r="J1931" s="10">
        <v>44253</v>
      </c>
      <c r="K1931" s="5" t="s">
        <v>124</v>
      </c>
      <c r="L1931" s="5" t="s">
        <v>58</v>
      </c>
      <c r="M1931" s="11">
        <v>0.10000000000000001</v>
      </c>
      <c r="N1931" s="5" t="e">
        <f>IF(AND(M1931&gt;#REF!,Cartera!O1931="Guaraníes"),"Rendimiento significativo",IF(AND(M1931&gt;#REF!,Cartera!O1931="Dólares americanos"),"Rendimiento significativo","Rendimiento no significativo"))</f>
        <v>#REF!</v>
      </c>
      <c r="O1931" s="5" t="s">
        <v>41</v>
      </c>
      <c r="P1931" s="12">
        <v>767123.28769999999</v>
      </c>
      <c r="Q1931" s="12">
        <f>IF(O1931="Guaraníes",P1931,P1931*#REF!)</f>
        <v>767123.28769999999</v>
      </c>
      <c r="R1931" s="12" t="e">
        <f>IF(O1931="Guaraníes",P1931/#REF!,P1931)</f>
        <v>#REF!</v>
      </c>
      <c r="S1931" s="5" t="s">
        <v>52</v>
      </c>
      <c r="T1931" s="5">
        <v>9243</v>
      </c>
      <c r="W1931" s="5" t="s">
        <v>65</v>
      </c>
      <c r="X1931" s="5">
        <v>0</v>
      </c>
      <c r="Y1931" s="5">
        <v>0</v>
      </c>
      <c r="Z1931" s="5">
        <v>7671.2328770000004</v>
      </c>
      <c r="AA1931" s="5">
        <v>100</v>
      </c>
      <c r="AB1931" s="5">
        <v>767123.28769999999</v>
      </c>
      <c r="AC1931" s="5" t="str">
        <f t="shared" si="94"/>
        <v>Bonos</v>
      </c>
      <c r="AD1931" s="5" t="s">
        <v>43</v>
      </c>
      <c r="AE1931" s="5">
        <f t="shared" si="92"/>
        <v>2</v>
      </c>
      <c r="AF1931" s="5">
        <f t="shared" si="93"/>
        <v>2021</v>
      </c>
    </row>
    <row r="1932" s="5" customFormat="1" ht="13">
      <c r="A1932" s="5" t="s">
        <v>44</v>
      </c>
      <c r="B1932" s="5" t="s">
        <v>44</v>
      </c>
      <c r="C1932" s="5" t="s">
        <v>164</v>
      </c>
      <c r="D1932" s="5" t="s">
        <v>21</v>
      </c>
      <c r="E1932" s="5" t="s">
        <v>44</v>
      </c>
      <c r="F1932" s="5" t="s">
        <v>68</v>
      </c>
      <c r="G1932" s="5" t="s">
        <v>141</v>
      </c>
      <c r="H1932" s="9" t="s">
        <v>167</v>
      </c>
      <c r="I1932" s="10"/>
      <c r="J1932" s="10">
        <v>44253</v>
      </c>
      <c r="K1932" s="5" t="s">
        <v>124</v>
      </c>
      <c r="L1932" s="5" t="s">
        <v>58</v>
      </c>
      <c r="M1932" s="11">
        <v>0.092499999999999999</v>
      </c>
      <c r="N1932" s="5" t="e">
        <f>IF(AND(M1932&gt;#REF!,Cartera!O1932="Guaraníes"),"Rendimiento significativo",IF(AND(M1932&gt;#REF!,Cartera!O1932="Dólares americanos"),"Rendimiento significativo","Rendimiento no significativo"))</f>
        <v>#REF!</v>
      </c>
      <c r="O1932" s="5" t="s">
        <v>41</v>
      </c>
      <c r="P1932" s="12">
        <v>709589.04110000003</v>
      </c>
      <c r="Q1932" s="12">
        <f>IF(O1932="Guaraníes",P1932,P1932*#REF!)</f>
        <v>709589.04110000003</v>
      </c>
      <c r="R1932" s="12" t="e">
        <f>IF(O1932="Guaraníes",P1932/#REF!,P1932)</f>
        <v>#REF!</v>
      </c>
      <c r="S1932" s="5" t="s">
        <v>52</v>
      </c>
      <c r="T1932" s="5">
        <v>9243</v>
      </c>
      <c r="W1932" s="5" t="s">
        <v>65</v>
      </c>
      <c r="X1932" s="5">
        <v>0</v>
      </c>
      <c r="Y1932" s="5">
        <v>0</v>
      </c>
      <c r="Z1932" s="5">
        <v>7095.8904110000003</v>
      </c>
      <c r="AA1932" s="5">
        <v>100</v>
      </c>
      <c r="AB1932" s="5">
        <v>709589.04110000003</v>
      </c>
      <c r="AC1932" s="5" t="str">
        <f t="shared" si="94"/>
        <v>Bonos</v>
      </c>
      <c r="AD1932" s="5" t="s">
        <v>43</v>
      </c>
      <c r="AE1932" s="5">
        <f t="shared" si="92"/>
        <v>2</v>
      </c>
      <c r="AF1932" s="5">
        <f t="shared" si="93"/>
        <v>2021</v>
      </c>
    </row>
    <row r="1933" s="5" customFormat="1" ht="13">
      <c r="A1933" s="5" t="s">
        <v>44</v>
      </c>
      <c r="B1933" s="5" t="s">
        <v>44</v>
      </c>
      <c r="C1933" s="5" t="s">
        <v>389</v>
      </c>
      <c r="D1933" s="5" t="s">
        <v>21</v>
      </c>
      <c r="E1933" s="5" t="s">
        <v>44</v>
      </c>
      <c r="F1933" s="5" t="s">
        <v>68</v>
      </c>
      <c r="G1933" s="5" t="s">
        <v>141</v>
      </c>
      <c r="H1933" s="9" t="s">
        <v>390</v>
      </c>
      <c r="I1933" s="10"/>
      <c r="J1933" s="10">
        <v>44258</v>
      </c>
      <c r="K1933" s="5" t="s">
        <v>391</v>
      </c>
      <c r="L1933" s="5" t="s">
        <v>58</v>
      </c>
      <c r="M1933" s="11">
        <v>0.1125</v>
      </c>
      <c r="N1933" s="5" t="e">
        <f>IF(AND(M1933&gt;#REF!,Cartera!O1933="Guaraníes"),"Rendimiento significativo",IF(AND(M1933&gt;#REF!,Cartera!O1933="Dólares americanos"),"Rendimiento significativo","Rendimiento no significativo"))</f>
        <v>#REF!</v>
      </c>
      <c r="O1933" s="5" t="s">
        <v>41</v>
      </c>
      <c r="P1933" s="12">
        <v>841438.35615000001</v>
      </c>
      <c r="Q1933" s="12">
        <f>IF(O1933="Guaraníes",P1933,P1933*#REF!)</f>
        <v>841438.35615000001</v>
      </c>
      <c r="R1933" s="12" t="e">
        <f>IF(O1933="Guaraníes",P1933/#REF!,P1933)</f>
        <v>#REF!</v>
      </c>
      <c r="S1933" s="5" t="s">
        <v>52</v>
      </c>
      <c r="T1933" s="5">
        <v>9243</v>
      </c>
      <c r="W1933" s="5" t="s">
        <v>65</v>
      </c>
      <c r="X1933" s="5">
        <v>0</v>
      </c>
      <c r="Y1933" s="5">
        <v>0</v>
      </c>
      <c r="Z1933" s="5">
        <v>28047.945205</v>
      </c>
      <c r="AA1933" s="5">
        <v>30</v>
      </c>
      <c r="AB1933" s="5">
        <v>841438.35615000001</v>
      </c>
      <c r="AC1933" s="5" t="str">
        <f t="shared" si="94"/>
        <v>Bonos</v>
      </c>
      <c r="AD1933" s="5" t="s">
        <v>43</v>
      </c>
      <c r="AE1933" s="5">
        <f t="shared" si="92"/>
        <v>3</v>
      </c>
      <c r="AF1933" s="5">
        <f t="shared" si="93"/>
        <v>2021</v>
      </c>
    </row>
    <row r="1934" s="5" customFormat="1" ht="13">
      <c r="A1934" s="5" t="s">
        <v>44</v>
      </c>
      <c r="B1934" s="5" t="s">
        <v>44</v>
      </c>
      <c r="C1934" s="5" t="s">
        <v>164</v>
      </c>
      <c r="D1934" s="5" t="s">
        <v>21</v>
      </c>
      <c r="E1934" s="5" t="s">
        <v>44</v>
      </c>
      <c r="F1934" s="5" t="s">
        <v>68</v>
      </c>
      <c r="G1934" s="5" t="s">
        <v>141</v>
      </c>
      <c r="H1934" s="9" t="s">
        <v>165</v>
      </c>
      <c r="I1934" s="10"/>
      <c r="J1934" s="10">
        <v>44286</v>
      </c>
      <c r="K1934" s="5" t="s">
        <v>124</v>
      </c>
      <c r="L1934" s="5" t="s">
        <v>58</v>
      </c>
      <c r="M1934" s="11">
        <v>0.10000000000000001</v>
      </c>
      <c r="N1934" s="5" t="e">
        <f>IF(AND(M1934&gt;#REF!,Cartera!O1934="Guaraníes"),"Rendimiento significativo",IF(AND(M1934&gt;#REF!,Cartera!O1934="Dólares americanos"),"Rendimiento significativo","Rendimiento no significativo"))</f>
        <v>#REF!</v>
      </c>
      <c r="O1934" s="5" t="s">
        <v>41</v>
      </c>
      <c r="P1934" s="12">
        <v>904109.58900000004</v>
      </c>
      <c r="Q1934" s="12">
        <f>IF(O1934="Guaraníes",P1934,P1934*#REF!)</f>
        <v>904109.58900000004</v>
      </c>
      <c r="R1934" s="12" t="e">
        <f>IF(O1934="Guaraníes",P1934/#REF!,P1934)</f>
        <v>#REF!</v>
      </c>
      <c r="S1934" s="5" t="s">
        <v>52</v>
      </c>
      <c r="T1934" s="5">
        <v>9243</v>
      </c>
      <c r="W1934" s="5" t="s">
        <v>65</v>
      </c>
      <c r="X1934" s="5">
        <v>0</v>
      </c>
      <c r="Y1934" s="5">
        <v>0</v>
      </c>
      <c r="Z1934" s="5">
        <v>9041.0958900000005</v>
      </c>
      <c r="AA1934" s="5">
        <v>100</v>
      </c>
      <c r="AB1934" s="5">
        <v>904109.58900000004</v>
      </c>
      <c r="AC1934" s="5" t="str">
        <f t="shared" si="94"/>
        <v>Bonos</v>
      </c>
      <c r="AD1934" s="5" t="s">
        <v>43</v>
      </c>
      <c r="AE1934" s="5">
        <f t="shared" si="92"/>
        <v>3</v>
      </c>
      <c r="AF1934" s="5">
        <f t="shared" si="93"/>
        <v>2021</v>
      </c>
    </row>
    <row r="1935" s="5" customFormat="1" ht="13">
      <c r="A1935" s="5" t="s">
        <v>44</v>
      </c>
      <c r="B1935" s="5" t="s">
        <v>44</v>
      </c>
      <c r="C1935" s="5" t="s">
        <v>164</v>
      </c>
      <c r="D1935" s="5" t="s">
        <v>21</v>
      </c>
      <c r="E1935" s="5" t="s">
        <v>44</v>
      </c>
      <c r="F1935" s="5" t="s">
        <v>68</v>
      </c>
      <c r="G1935" s="5" t="s">
        <v>141</v>
      </c>
      <c r="H1935" s="9" t="s">
        <v>167</v>
      </c>
      <c r="I1935" s="10"/>
      <c r="J1935" s="10">
        <v>44286</v>
      </c>
      <c r="K1935" s="5" t="s">
        <v>124</v>
      </c>
      <c r="L1935" s="5" t="s">
        <v>58</v>
      </c>
      <c r="M1935" s="11">
        <v>0.092499999999999999</v>
      </c>
      <c r="N1935" s="5" t="e">
        <f>IF(AND(M1935&gt;#REF!,Cartera!O1935="Guaraníes"),"Rendimiento significativo",IF(AND(M1935&gt;#REF!,Cartera!O1935="Dólares americanos"),"Rendimiento significativo","Rendimiento no significativo"))</f>
        <v>#REF!</v>
      </c>
      <c r="O1935" s="5" t="s">
        <v>41</v>
      </c>
      <c r="P1935" s="12">
        <v>836301.36989999993</v>
      </c>
      <c r="Q1935" s="12">
        <f>IF(O1935="Guaraníes",P1935,P1935*#REF!)</f>
        <v>836301.36989999993</v>
      </c>
      <c r="R1935" s="12" t="e">
        <f>IF(O1935="Guaraníes",P1935/#REF!,P1935)</f>
        <v>#REF!</v>
      </c>
      <c r="S1935" s="5" t="s">
        <v>52</v>
      </c>
      <c r="T1935" s="5">
        <v>9243</v>
      </c>
      <c r="W1935" s="5" t="s">
        <v>65</v>
      </c>
      <c r="X1935" s="5">
        <v>0</v>
      </c>
      <c r="Y1935" s="5">
        <v>0</v>
      </c>
      <c r="Z1935" s="5">
        <v>8363.0136989999992</v>
      </c>
      <c r="AA1935" s="5">
        <v>100</v>
      </c>
      <c r="AB1935" s="5">
        <v>836301.36990000005</v>
      </c>
      <c r="AC1935" s="5" t="str">
        <f t="shared" si="94"/>
        <v>Bonos</v>
      </c>
      <c r="AD1935" s="5" t="s">
        <v>43</v>
      </c>
      <c r="AE1935" s="5">
        <f t="shared" si="92"/>
        <v>3</v>
      </c>
      <c r="AF1935" s="5">
        <f t="shared" si="93"/>
        <v>2021</v>
      </c>
    </row>
    <row r="1936" s="5" customFormat="1" ht="13">
      <c r="A1936" s="5" t="s">
        <v>44</v>
      </c>
      <c r="B1936" s="5" t="s">
        <v>44</v>
      </c>
      <c r="C1936" s="5" t="s">
        <v>381</v>
      </c>
      <c r="D1936" s="5" t="s">
        <v>21</v>
      </c>
      <c r="E1936" s="5" t="s">
        <v>44</v>
      </c>
      <c r="F1936" s="5" t="s">
        <v>68</v>
      </c>
      <c r="G1936" s="5" t="s">
        <v>141</v>
      </c>
      <c r="H1936" s="9" t="s">
        <v>382</v>
      </c>
      <c r="I1936" s="10"/>
      <c r="J1936" s="10">
        <v>44301</v>
      </c>
      <c r="K1936" s="5" t="s">
        <v>383</v>
      </c>
      <c r="L1936" s="5" t="s">
        <v>58</v>
      </c>
      <c r="M1936" s="11">
        <v>0.1225</v>
      </c>
      <c r="N1936" s="5" t="e">
        <f>IF(AND(M1936&gt;#REF!,Cartera!O1936="Guaraníes"),"Rendimiento significativo",IF(AND(M1936&gt;#REF!,Cartera!O1936="Dólares americanos"),"Rendimiento significativo","Rendimiento no significativo"))</f>
        <v>#REF!</v>
      </c>
      <c r="O1936" s="5" t="s">
        <v>41</v>
      </c>
      <c r="P1936" s="12">
        <v>1527054.7945000001</v>
      </c>
      <c r="Q1936" s="12">
        <f>IF(O1936="Guaraníes",P1936,P1936*#REF!)</f>
        <v>1527054.7945000001</v>
      </c>
      <c r="R1936" s="12" t="e">
        <f>IF(O1936="Guaraníes",P1936/#REF!,P1936)</f>
        <v>#REF!</v>
      </c>
      <c r="S1936" s="5" t="s">
        <v>52</v>
      </c>
      <c r="T1936" s="5">
        <v>9243</v>
      </c>
      <c r="W1936" s="5" t="s">
        <v>65</v>
      </c>
      <c r="X1936" s="5">
        <v>0</v>
      </c>
      <c r="Y1936" s="5">
        <v>0</v>
      </c>
      <c r="Z1936" s="5">
        <v>30541.095890000001</v>
      </c>
      <c r="AA1936" s="5">
        <v>50</v>
      </c>
      <c r="AB1936" s="5">
        <v>1527054.7945000001</v>
      </c>
      <c r="AC1936" s="5" t="str">
        <f t="shared" si="94"/>
        <v>Bonos</v>
      </c>
      <c r="AD1936" s="5" t="s">
        <v>43</v>
      </c>
      <c r="AE1936" s="5">
        <f t="shared" si="92"/>
        <v>4</v>
      </c>
      <c r="AF1936" s="5">
        <f t="shared" si="93"/>
        <v>2021</v>
      </c>
    </row>
    <row r="1937" s="5" customFormat="1" ht="13">
      <c r="A1937" s="5" t="s">
        <v>44</v>
      </c>
      <c r="B1937" s="5" t="s">
        <v>44</v>
      </c>
      <c r="C1937" s="5" t="s">
        <v>164</v>
      </c>
      <c r="D1937" s="5" t="s">
        <v>21</v>
      </c>
      <c r="E1937" s="5" t="s">
        <v>44</v>
      </c>
      <c r="F1937" s="5" t="s">
        <v>68</v>
      </c>
      <c r="G1937" s="5" t="s">
        <v>141</v>
      </c>
      <c r="H1937" s="9" t="s">
        <v>165</v>
      </c>
      <c r="I1937" s="10"/>
      <c r="J1937" s="10">
        <v>44316</v>
      </c>
      <c r="K1937" s="5" t="s">
        <v>124</v>
      </c>
      <c r="L1937" s="5" t="s">
        <v>58</v>
      </c>
      <c r="M1937" s="11">
        <v>0.10000000000000001</v>
      </c>
      <c r="N1937" s="5" t="e">
        <f>IF(AND(M1937&gt;#REF!,Cartera!O1937="Guaraníes"),"Rendimiento significativo",IF(AND(M1937&gt;#REF!,Cartera!O1937="Dólares americanos"),"Rendimiento significativo","Rendimiento no significativo"))</f>
        <v>#REF!</v>
      </c>
      <c r="O1937" s="5" t="s">
        <v>41</v>
      </c>
      <c r="P1937" s="12">
        <v>821917.80820000009</v>
      </c>
      <c r="Q1937" s="12">
        <f>IF(O1937="Guaraníes",P1937,P1937*#REF!)</f>
        <v>821917.80820000009</v>
      </c>
      <c r="R1937" s="12" t="e">
        <f>IF(O1937="Guaraníes",P1937/#REF!,P1937)</f>
        <v>#REF!</v>
      </c>
      <c r="S1937" s="5" t="s">
        <v>52</v>
      </c>
      <c r="T1937" s="5">
        <v>9243</v>
      </c>
      <c r="W1937" s="5" t="s">
        <v>65</v>
      </c>
      <c r="X1937" s="5">
        <v>0</v>
      </c>
      <c r="Y1937" s="5">
        <v>0</v>
      </c>
      <c r="Z1937" s="5">
        <v>8219.1780820000004</v>
      </c>
      <c r="AA1937" s="5">
        <v>100</v>
      </c>
      <c r="AB1937" s="5">
        <v>821917.80819999997</v>
      </c>
      <c r="AC1937" s="5" t="str">
        <f t="shared" si="94"/>
        <v>Bonos</v>
      </c>
      <c r="AD1937" s="5" t="s">
        <v>43</v>
      </c>
      <c r="AE1937" s="5">
        <f t="shared" si="92"/>
        <v>4</v>
      </c>
      <c r="AF1937" s="5">
        <f t="shared" si="93"/>
        <v>2021</v>
      </c>
    </row>
    <row r="1938" s="5" customFormat="1" ht="13">
      <c r="A1938" s="5" t="s">
        <v>44</v>
      </c>
      <c r="B1938" s="5" t="s">
        <v>44</v>
      </c>
      <c r="C1938" s="5" t="s">
        <v>164</v>
      </c>
      <c r="D1938" s="5" t="s">
        <v>21</v>
      </c>
      <c r="E1938" s="5" t="s">
        <v>44</v>
      </c>
      <c r="F1938" s="5" t="s">
        <v>68</v>
      </c>
      <c r="G1938" s="5" t="s">
        <v>141</v>
      </c>
      <c r="H1938" s="9" t="s">
        <v>167</v>
      </c>
      <c r="I1938" s="10"/>
      <c r="J1938" s="10">
        <v>44316</v>
      </c>
      <c r="K1938" s="5" t="s">
        <v>124</v>
      </c>
      <c r="L1938" s="5" t="s">
        <v>58</v>
      </c>
      <c r="M1938" s="11">
        <v>0.092499999999999999</v>
      </c>
      <c r="N1938" s="5" t="e">
        <f>IF(AND(M1938&gt;#REF!,Cartera!O1938="Guaraníes"),"Rendimiento significativo",IF(AND(M1938&gt;#REF!,Cartera!O1938="Dólares americanos"),"Rendimiento significativo","Rendimiento no significativo"))</f>
        <v>#REF!</v>
      </c>
      <c r="O1938" s="5" t="s">
        <v>41</v>
      </c>
      <c r="P1938" s="12">
        <v>760273.97259999998</v>
      </c>
      <c r="Q1938" s="12">
        <f>IF(O1938="Guaraníes",P1938,P1938*#REF!)</f>
        <v>760273.97259999998</v>
      </c>
      <c r="R1938" s="12" t="e">
        <f>IF(O1938="Guaraníes",P1938/#REF!,P1938)</f>
        <v>#REF!</v>
      </c>
      <c r="S1938" s="5" t="s">
        <v>52</v>
      </c>
      <c r="T1938" s="5">
        <v>9243</v>
      </c>
      <c r="W1938" s="5" t="s">
        <v>65</v>
      </c>
      <c r="X1938" s="5">
        <v>0</v>
      </c>
      <c r="Y1938" s="5">
        <v>0</v>
      </c>
      <c r="Z1938" s="5">
        <v>7602.7397259999998</v>
      </c>
      <c r="AA1938" s="5">
        <v>100</v>
      </c>
      <c r="AB1938" s="5">
        <v>760273.97259999998</v>
      </c>
      <c r="AC1938" s="5" t="str">
        <f t="shared" si="94"/>
        <v>Bonos</v>
      </c>
      <c r="AD1938" s="5" t="s">
        <v>43</v>
      </c>
      <c r="AE1938" s="5">
        <f t="shared" ref="AE1938:AE2001" si="95">IFERROR((MONTH(J1938)),0)</f>
        <v>4</v>
      </c>
      <c r="AF1938" s="5">
        <f t="shared" ref="AF1938:AF2001" si="96">IFERROR((YEAR(J1938)),0)</f>
        <v>2021</v>
      </c>
    </row>
    <row r="1939" s="5" customFormat="1" ht="13">
      <c r="A1939" s="5" t="s">
        <v>44</v>
      </c>
      <c r="B1939" s="5" t="s">
        <v>44</v>
      </c>
      <c r="C1939" s="5" t="s">
        <v>156</v>
      </c>
      <c r="D1939" s="5" t="s">
        <v>21</v>
      </c>
      <c r="E1939" s="5" t="s">
        <v>44</v>
      </c>
      <c r="F1939" s="5" t="s">
        <v>68</v>
      </c>
      <c r="G1939" s="5" t="s">
        <v>141</v>
      </c>
      <c r="H1939" s="9" t="s">
        <v>392</v>
      </c>
      <c r="I1939" s="10"/>
      <c r="J1939" s="10">
        <v>44335</v>
      </c>
      <c r="K1939" s="5" t="s">
        <v>158</v>
      </c>
      <c r="L1939" s="5" t="s">
        <v>58</v>
      </c>
      <c r="M1939" s="11">
        <v>0.14000000000000001</v>
      </c>
      <c r="N1939" s="5" t="e">
        <f>IF(AND(M1939&gt;#REF!,Cartera!O1939="Guaraníes"),"Rendimiento significativo",IF(AND(M1939&gt;#REF!,Cartera!O1939="Dólares americanos"),"Rendimiento significativo","Rendimiento no significativo"))</f>
        <v>#REF!</v>
      </c>
      <c r="O1939" s="5" t="s">
        <v>41</v>
      </c>
      <c r="P1939" s="12">
        <v>1090753.4246699999</v>
      </c>
      <c r="Q1939" s="12">
        <f>IF(O1939="Guaraníes",P1939,P1939*#REF!)</f>
        <v>1090753.4246699999</v>
      </c>
      <c r="R1939" s="12" t="e">
        <f>IF(O1939="Guaraníes",P1939/#REF!,P1939)</f>
        <v>#REF!</v>
      </c>
      <c r="S1939" s="5" t="s">
        <v>52</v>
      </c>
      <c r="T1939" s="5">
        <v>9243</v>
      </c>
      <c r="W1939" s="5" t="s">
        <v>65</v>
      </c>
      <c r="X1939" s="5">
        <v>0</v>
      </c>
      <c r="Y1939" s="5">
        <v>0</v>
      </c>
      <c r="Z1939" s="5">
        <v>31164.383561999999</v>
      </c>
      <c r="AA1939" s="5">
        <v>35</v>
      </c>
      <c r="AB1939" s="5">
        <v>1090753.4246700001</v>
      </c>
      <c r="AC1939" s="5" t="str">
        <f t="shared" si="94"/>
        <v>Bonos</v>
      </c>
      <c r="AD1939" s="5" t="s">
        <v>43</v>
      </c>
      <c r="AE1939" s="5">
        <f t="shared" si="95"/>
        <v>5</v>
      </c>
      <c r="AF1939" s="5">
        <f t="shared" si="96"/>
        <v>2021</v>
      </c>
    </row>
    <row r="1940" s="5" customFormat="1" ht="13">
      <c r="A1940" s="5" t="s">
        <v>44</v>
      </c>
      <c r="B1940" s="5" t="s">
        <v>44</v>
      </c>
      <c r="C1940" s="5" t="s">
        <v>164</v>
      </c>
      <c r="D1940" s="5" t="s">
        <v>21</v>
      </c>
      <c r="E1940" s="5" t="s">
        <v>44</v>
      </c>
      <c r="F1940" s="5" t="s">
        <v>68</v>
      </c>
      <c r="G1940" s="5" t="s">
        <v>141</v>
      </c>
      <c r="H1940" s="9" t="s">
        <v>165</v>
      </c>
      <c r="I1940" s="10"/>
      <c r="J1940" s="10">
        <v>44347</v>
      </c>
      <c r="K1940" s="5" t="s">
        <v>124</v>
      </c>
      <c r="L1940" s="5" t="s">
        <v>58</v>
      </c>
      <c r="M1940" s="11">
        <v>0.10000000000000001</v>
      </c>
      <c r="N1940" s="5" t="e">
        <f>IF(AND(M1940&gt;#REF!,Cartera!O1940="Guaraníes"),"Rendimiento significativo",IF(AND(M1940&gt;#REF!,Cartera!O1940="Dólares americanos"),"Rendimiento significativo","Rendimiento no significativo"))</f>
        <v>#REF!</v>
      </c>
      <c r="O1940" s="5" t="s">
        <v>41</v>
      </c>
      <c r="P1940" s="12">
        <v>849315.06850000005</v>
      </c>
      <c r="Q1940" s="12">
        <f>IF(O1940="Guaraníes",P1940,P1940*#REF!)</f>
        <v>849315.06850000005</v>
      </c>
      <c r="R1940" s="12" t="e">
        <f>IF(O1940="Guaraníes",P1940/#REF!,P1940)</f>
        <v>#REF!</v>
      </c>
      <c r="S1940" s="5" t="s">
        <v>52</v>
      </c>
      <c r="T1940" s="5">
        <v>9243</v>
      </c>
      <c r="W1940" s="5" t="s">
        <v>65</v>
      </c>
      <c r="X1940" s="5">
        <v>0</v>
      </c>
      <c r="Y1940" s="5">
        <v>0</v>
      </c>
      <c r="Z1940" s="5">
        <v>8493.1506850000005</v>
      </c>
      <c r="AA1940" s="5">
        <v>100</v>
      </c>
      <c r="AB1940" s="5">
        <v>849315.06850000005</v>
      </c>
      <c r="AC1940" s="5" t="str">
        <f t="shared" si="94"/>
        <v>Bonos</v>
      </c>
      <c r="AD1940" s="5" t="s">
        <v>43</v>
      </c>
      <c r="AE1940" s="5">
        <f t="shared" si="95"/>
        <v>5</v>
      </c>
      <c r="AF1940" s="5">
        <f t="shared" si="96"/>
        <v>2021</v>
      </c>
    </row>
    <row r="1941" s="5" customFormat="1" ht="13">
      <c r="A1941" s="5" t="s">
        <v>44</v>
      </c>
      <c r="B1941" s="5" t="s">
        <v>44</v>
      </c>
      <c r="C1941" s="5" t="s">
        <v>164</v>
      </c>
      <c r="D1941" s="5" t="s">
        <v>21</v>
      </c>
      <c r="E1941" s="5" t="s">
        <v>44</v>
      </c>
      <c r="F1941" s="5" t="s">
        <v>68</v>
      </c>
      <c r="G1941" s="5" t="s">
        <v>141</v>
      </c>
      <c r="H1941" s="9" t="s">
        <v>167</v>
      </c>
      <c r="I1941" s="10"/>
      <c r="J1941" s="10">
        <v>44347</v>
      </c>
      <c r="K1941" s="5" t="s">
        <v>124</v>
      </c>
      <c r="L1941" s="5" t="s">
        <v>58</v>
      </c>
      <c r="M1941" s="11">
        <v>0.092499999999999999</v>
      </c>
      <c r="N1941" s="5" t="e">
        <f>IF(AND(M1941&gt;#REF!,Cartera!O1941="Guaraníes"),"Rendimiento significativo",IF(AND(M1941&gt;#REF!,Cartera!O1941="Dólares americanos"),"Rendimiento significativo","Rendimiento no significativo"))</f>
        <v>#REF!</v>
      </c>
      <c r="O1941" s="5" t="s">
        <v>41</v>
      </c>
      <c r="P1941" s="12">
        <v>785616.43839999998</v>
      </c>
      <c r="Q1941" s="12">
        <f>IF(O1941="Guaraníes",P1941,P1941*#REF!)</f>
        <v>785616.43839999998</v>
      </c>
      <c r="R1941" s="12" t="e">
        <f>IF(O1941="Guaraníes",P1941/#REF!,P1941)</f>
        <v>#REF!</v>
      </c>
      <c r="S1941" s="5" t="s">
        <v>52</v>
      </c>
      <c r="T1941" s="5">
        <v>9243</v>
      </c>
      <c r="W1941" s="5" t="s">
        <v>65</v>
      </c>
      <c r="X1941" s="5">
        <v>0</v>
      </c>
      <c r="Y1941" s="5">
        <v>0</v>
      </c>
      <c r="Z1941" s="5">
        <v>7856.1643839999997</v>
      </c>
      <c r="AA1941" s="5">
        <v>100</v>
      </c>
      <c r="AB1941" s="5">
        <v>785616.43839999998</v>
      </c>
      <c r="AC1941" s="5" t="str">
        <f t="shared" si="94"/>
        <v>Bonos</v>
      </c>
      <c r="AD1941" s="5" t="s">
        <v>43</v>
      </c>
      <c r="AE1941" s="5">
        <f t="shared" si="95"/>
        <v>5</v>
      </c>
      <c r="AF1941" s="5">
        <f t="shared" si="96"/>
        <v>2021</v>
      </c>
    </row>
    <row r="1942" s="5" customFormat="1" ht="13">
      <c r="A1942" s="5" t="s">
        <v>44</v>
      </c>
      <c r="B1942" s="5" t="s">
        <v>44</v>
      </c>
      <c r="C1942" s="5" t="s">
        <v>389</v>
      </c>
      <c r="D1942" s="5" t="s">
        <v>21</v>
      </c>
      <c r="E1942" s="5" t="s">
        <v>44</v>
      </c>
      <c r="F1942" s="5" t="s">
        <v>68</v>
      </c>
      <c r="G1942" s="5" t="s">
        <v>141</v>
      </c>
      <c r="H1942" s="9" t="s">
        <v>390</v>
      </c>
      <c r="I1942" s="10"/>
      <c r="J1942" s="10">
        <v>44349</v>
      </c>
      <c r="K1942" s="5" t="s">
        <v>391</v>
      </c>
      <c r="L1942" s="5" t="s">
        <v>58</v>
      </c>
      <c r="M1942" s="11">
        <v>0.1125</v>
      </c>
      <c r="N1942" s="5" t="e">
        <f>IF(AND(M1942&gt;#REF!,Cartera!O1942="Guaraníes"),"Rendimiento significativo",IF(AND(M1942&gt;#REF!,Cartera!O1942="Dólares americanos"),"Rendimiento significativo","Rendimiento no significativo"))</f>
        <v>#REF!</v>
      </c>
      <c r="O1942" s="5" t="s">
        <v>41</v>
      </c>
      <c r="P1942" s="12">
        <v>841438.35615000001</v>
      </c>
      <c r="Q1942" s="12">
        <f>IF(O1942="Guaraníes",P1942,P1942*#REF!)</f>
        <v>841438.35615000001</v>
      </c>
      <c r="R1942" s="12" t="e">
        <f>IF(O1942="Guaraníes",P1942/#REF!,P1942)</f>
        <v>#REF!</v>
      </c>
      <c r="S1942" s="5" t="s">
        <v>52</v>
      </c>
      <c r="T1942" s="5">
        <v>9243</v>
      </c>
      <c r="W1942" s="5" t="s">
        <v>65</v>
      </c>
      <c r="X1942" s="5">
        <v>0</v>
      </c>
      <c r="Y1942" s="5">
        <v>0</v>
      </c>
      <c r="Z1942" s="5">
        <v>28047.945205</v>
      </c>
      <c r="AA1942" s="5">
        <v>30</v>
      </c>
      <c r="AB1942" s="5">
        <v>841438.35615000001</v>
      </c>
      <c r="AC1942" s="5" t="str">
        <f t="shared" si="94"/>
        <v>Bonos</v>
      </c>
      <c r="AD1942" s="5" t="s">
        <v>43</v>
      </c>
      <c r="AE1942" s="5">
        <f t="shared" si="95"/>
        <v>6</v>
      </c>
      <c r="AF1942" s="5">
        <f t="shared" si="96"/>
        <v>2021</v>
      </c>
    </row>
    <row r="1943" s="5" customFormat="1" ht="13">
      <c r="A1943" s="5" t="s">
        <v>44</v>
      </c>
      <c r="B1943" s="5" t="s">
        <v>44</v>
      </c>
      <c r="C1943" s="5" t="s">
        <v>189</v>
      </c>
      <c r="D1943" s="5" t="s">
        <v>21</v>
      </c>
      <c r="E1943" s="5" t="s">
        <v>44</v>
      </c>
      <c r="F1943" s="5" t="s">
        <v>190</v>
      </c>
      <c r="G1943" s="5" t="s">
        <v>141</v>
      </c>
      <c r="H1943" s="9" t="s">
        <v>191</v>
      </c>
      <c r="I1943" s="10"/>
      <c r="J1943" s="10">
        <v>44372</v>
      </c>
      <c r="K1943" s="5" t="s">
        <v>77</v>
      </c>
      <c r="L1943" s="5" t="s">
        <v>58</v>
      </c>
      <c r="M1943" s="11">
        <v>0.089999999999999997</v>
      </c>
      <c r="N1943" s="5" t="e">
        <f>IF(AND(M1943&gt;#REF!,Cartera!O1943="Guaraníes"),"Rendimiento significativo",IF(AND(M1943&gt;#REF!,Cartera!O1943="Dólares americanos"),"Rendimiento significativo","Rendimiento no significativo"))</f>
        <v>#REF!</v>
      </c>
      <c r="O1943" s="5" t="s">
        <v>41</v>
      </c>
      <c r="P1943" s="12">
        <v>6731506.8480000002</v>
      </c>
      <c r="Q1943" s="12">
        <f>IF(O1943="Guaraníes",P1943,P1943*#REF!)</f>
        <v>6731506.8480000002</v>
      </c>
      <c r="R1943" s="12" t="e">
        <f>IF(O1943="Guaraníes",P1943/#REF!,P1943)</f>
        <v>#REF!</v>
      </c>
      <c r="S1943" s="5" t="s">
        <v>52</v>
      </c>
      <c r="T1943" s="5">
        <v>9243</v>
      </c>
      <c r="W1943" s="5" t="s">
        <v>65</v>
      </c>
      <c r="X1943" s="5">
        <v>0</v>
      </c>
      <c r="Y1943" s="5">
        <v>0</v>
      </c>
      <c r="Z1943" s="5">
        <v>22438.356159999999</v>
      </c>
      <c r="AA1943" s="5">
        <v>300</v>
      </c>
      <c r="AB1943" s="5">
        <v>6731506.8490000004</v>
      </c>
      <c r="AC1943" s="5" t="str">
        <f t="shared" si="94"/>
        <v>Bonos</v>
      </c>
      <c r="AD1943" s="5" t="s">
        <v>43</v>
      </c>
      <c r="AE1943" s="5">
        <f t="shared" si="95"/>
        <v>6</v>
      </c>
      <c r="AF1943" s="5">
        <f t="shared" si="96"/>
        <v>2021</v>
      </c>
    </row>
    <row r="1944" s="5" customFormat="1" ht="13">
      <c r="A1944" s="5" t="s">
        <v>44</v>
      </c>
      <c r="B1944" s="5" t="s">
        <v>44</v>
      </c>
      <c r="C1944" s="5" t="s">
        <v>164</v>
      </c>
      <c r="D1944" s="5" t="s">
        <v>21</v>
      </c>
      <c r="E1944" s="5" t="s">
        <v>44</v>
      </c>
      <c r="F1944" s="5" t="s">
        <v>68</v>
      </c>
      <c r="G1944" s="5" t="s">
        <v>141</v>
      </c>
      <c r="H1944" s="9" t="s">
        <v>165</v>
      </c>
      <c r="I1944" s="10"/>
      <c r="J1944" s="10">
        <v>44377</v>
      </c>
      <c r="K1944" s="5" t="s">
        <v>124</v>
      </c>
      <c r="L1944" s="5" t="s">
        <v>58</v>
      </c>
      <c r="M1944" s="11">
        <v>0.10000000000000001</v>
      </c>
      <c r="N1944" s="5" t="e">
        <f>IF(AND(M1944&gt;#REF!,Cartera!O1944="Guaraníes"),"Rendimiento significativo",IF(AND(M1944&gt;#REF!,Cartera!O1944="Dólares americanos"),"Rendimiento significativo","Rendimiento no significativo"))</f>
        <v>#REF!</v>
      </c>
      <c r="O1944" s="5" t="s">
        <v>41</v>
      </c>
      <c r="P1944" s="12">
        <v>821917.80820000009</v>
      </c>
      <c r="Q1944" s="12">
        <f>IF(O1944="Guaraníes",P1944,P1944*#REF!)</f>
        <v>821917.80820000009</v>
      </c>
      <c r="R1944" s="12" t="e">
        <f>IF(O1944="Guaraníes",P1944/#REF!,P1944)</f>
        <v>#REF!</v>
      </c>
      <c r="S1944" s="5" t="s">
        <v>52</v>
      </c>
      <c r="T1944" s="5">
        <v>9243</v>
      </c>
      <c r="W1944" s="5" t="s">
        <v>65</v>
      </c>
      <c r="X1944" s="5">
        <v>0</v>
      </c>
      <c r="Y1944" s="5">
        <v>0</v>
      </c>
      <c r="Z1944" s="5">
        <v>8219.1780820000004</v>
      </c>
      <c r="AA1944" s="5">
        <v>100</v>
      </c>
      <c r="AB1944" s="5">
        <v>821917.80819999997</v>
      </c>
      <c r="AC1944" s="5" t="str">
        <f t="shared" si="94"/>
        <v>Bonos</v>
      </c>
      <c r="AD1944" s="5" t="s">
        <v>43</v>
      </c>
      <c r="AE1944" s="5">
        <f t="shared" si="95"/>
        <v>6</v>
      </c>
      <c r="AF1944" s="5">
        <f t="shared" si="96"/>
        <v>2021</v>
      </c>
    </row>
    <row r="1945" s="5" customFormat="1" ht="13">
      <c r="A1945" s="5" t="s">
        <v>44</v>
      </c>
      <c r="B1945" s="5" t="s">
        <v>44</v>
      </c>
      <c r="C1945" s="5" t="s">
        <v>164</v>
      </c>
      <c r="D1945" s="5" t="s">
        <v>21</v>
      </c>
      <c r="E1945" s="5" t="s">
        <v>44</v>
      </c>
      <c r="F1945" s="5" t="s">
        <v>68</v>
      </c>
      <c r="G1945" s="5" t="s">
        <v>141</v>
      </c>
      <c r="H1945" s="9" t="s">
        <v>167</v>
      </c>
      <c r="I1945" s="10"/>
      <c r="J1945" s="10">
        <v>44377</v>
      </c>
      <c r="K1945" s="5" t="s">
        <v>124</v>
      </c>
      <c r="L1945" s="5" t="s">
        <v>58</v>
      </c>
      <c r="M1945" s="11">
        <v>0.092499999999999999</v>
      </c>
      <c r="N1945" s="5" t="e">
        <f>IF(AND(M1945&gt;#REF!,Cartera!O1945="Guaraníes"),"Rendimiento significativo",IF(AND(M1945&gt;#REF!,Cartera!O1945="Dólares americanos"),"Rendimiento significativo","Rendimiento no significativo"))</f>
        <v>#REF!</v>
      </c>
      <c r="O1945" s="5" t="s">
        <v>41</v>
      </c>
      <c r="P1945" s="12">
        <v>760273.97259999998</v>
      </c>
      <c r="Q1945" s="12">
        <f>IF(O1945="Guaraníes",P1945,P1945*#REF!)</f>
        <v>760273.97259999998</v>
      </c>
      <c r="R1945" s="12" t="e">
        <f>IF(O1945="Guaraníes",P1945/#REF!,P1945)</f>
        <v>#REF!</v>
      </c>
      <c r="S1945" s="5" t="s">
        <v>52</v>
      </c>
      <c r="T1945" s="5">
        <v>9243</v>
      </c>
      <c r="W1945" s="5" t="s">
        <v>65</v>
      </c>
      <c r="X1945" s="5">
        <v>0</v>
      </c>
      <c r="Y1945" s="5">
        <v>0</v>
      </c>
      <c r="Z1945" s="5">
        <v>7602.7397259999998</v>
      </c>
      <c r="AA1945" s="5">
        <v>100</v>
      </c>
      <c r="AB1945" s="5">
        <v>760273.97259999998</v>
      </c>
      <c r="AC1945" s="5" t="str">
        <f t="shared" si="94"/>
        <v>Bonos</v>
      </c>
      <c r="AD1945" s="5" t="s">
        <v>43</v>
      </c>
      <c r="AE1945" s="5">
        <f t="shared" si="95"/>
        <v>6</v>
      </c>
      <c r="AF1945" s="5">
        <f t="shared" si="96"/>
        <v>2021</v>
      </c>
    </row>
    <row r="1946" s="5" customFormat="1" ht="13">
      <c r="A1946" s="5" t="s">
        <v>44</v>
      </c>
      <c r="B1946" s="5" t="s">
        <v>44</v>
      </c>
      <c r="C1946" s="5" t="s">
        <v>381</v>
      </c>
      <c r="D1946" s="5" t="s">
        <v>21</v>
      </c>
      <c r="E1946" s="5" t="s">
        <v>44</v>
      </c>
      <c r="F1946" s="5" t="s">
        <v>68</v>
      </c>
      <c r="G1946" s="5" t="s">
        <v>141</v>
      </c>
      <c r="H1946" s="9" t="s">
        <v>382</v>
      </c>
      <c r="I1946" s="10"/>
      <c r="J1946" s="10">
        <v>44392</v>
      </c>
      <c r="K1946" s="5" t="s">
        <v>383</v>
      </c>
      <c r="L1946" s="5" t="s">
        <v>58</v>
      </c>
      <c r="M1946" s="11">
        <v>0.1225</v>
      </c>
      <c r="N1946" s="5" t="e">
        <f>IF(AND(M1946&gt;#REF!,Cartera!O1946="Guaraníes"),"Rendimiento significativo",IF(AND(M1946&gt;#REF!,Cartera!O1946="Dólares americanos"),"Rendimiento significativo","Rendimiento no significativo"))</f>
        <v>#REF!</v>
      </c>
      <c r="O1946" s="5" t="s">
        <v>41</v>
      </c>
      <c r="P1946" s="12">
        <v>1527054.7945000001</v>
      </c>
      <c r="Q1946" s="12">
        <f>IF(O1946="Guaraníes",P1946,P1946*#REF!)</f>
        <v>1527054.7945000001</v>
      </c>
      <c r="R1946" s="12" t="e">
        <f>IF(O1946="Guaraníes",P1946/#REF!,P1946)</f>
        <v>#REF!</v>
      </c>
      <c r="S1946" s="5" t="s">
        <v>52</v>
      </c>
      <c r="T1946" s="5">
        <v>9243</v>
      </c>
      <c r="W1946" s="5" t="s">
        <v>65</v>
      </c>
      <c r="X1946" s="5">
        <v>0</v>
      </c>
      <c r="Y1946" s="5">
        <v>0</v>
      </c>
      <c r="Z1946" s="5">
        <v>30541.095890000001</v>
      </c>
      <c r="AA1946" s="5">
        <v>50</v>
      </c>
      <c r="AB1946" s="5">
        <v>1527054.7945000001</v>
      </c>
      <c r="AC1946" s="5" t="str">
        <f t="shared" si="94"/>
        <v>Bonos</v>
      </c>
      <c r="AD1946" s="5" t="s">
        <v>43</v>
      </c>
      <c r="AE1946" s="5">
        <f t="shared" si="95"/>
        <v>7</v>
      </c>
      <c r="AF1946" s="5">
        <f t="shared" si="96"/>
        <v>2021</v>
      </c>
    </row>
    <row r="1947" s="5" customFormat="1" ht="13">
      <c r="A1947" s="5" t="s">
        <v>44</v>
      </c>
      <c r="B1947" s="5" t="s">
        <v>44</v>
      </c>
      <c r="C1947" s="5" t="s">
        <v>164</v>
      </c>
      <c r="D1947" s="5" t="s">
        <v>21</v>
      </c>
      <c r="E1947" s="5" t="s">
        <v>44</v>
      </c>
      <c r="F1947" s="5" t="s">
        <v>68</v>
      </c>
      <c r="G1947" s="5" t="s">
        <v>141</v>
      </c>
      <c r="H1947" s="9" t="s">
        <v>165</v>
      </c>
      <c r="I1947" s="10"/>
      <c r="J1947" s="10">
        <v>44407</v>
      </c>
      <c r="K1947" s="5" t="s">
        <v>124</v>
      </c>
      <c r="L1947" s="5" t="s">
        <v>58</v>
      </c>
      <c r="M1947" s="11">
        <v>0.10000000000000001</v>
      </c>
      <c r="N1947" s="5" t="e">
        <f>IF(AND(M1947&gt;#REF!,Cartera!O1947="Guaraníes"),"Rendimiento significativo",IF(AND(M1947&gt;#REF!,Cartera!O1947="Dólares americanos"),"Rendimiento significativo","Rendimiento no significativo"))</f>
        <v>#REF!</v>
      </c>
      <c r="O1947" s="5" t="s">
        <v>41</v>
      </c>
      <c r="P1947" s="12">
        <v>821917.80820000009</v>
      </c>
      <c r="Q1947" s="12">
        <f>IF(O1947="Guaraníes",P1947,P1947*#REF!)</f>
        <v>821917.80820000009</v>
      </c>
      <c r="R1947" s="12" t="e">
        <f>IF(O1947="Guaraníes",P1947/#REF!,P1947)</f>
        <v>#REF!</v>
      </c>
      <c r="S1947" s="5" t="s">
        <v>52</v>
      </c>
      <c r="T1947" s="5">
        <v>9243</v>
      </c>
      <c r="W1947" s="5" t="s">
        <v>65</v>
      </c>
      <c r="X1947" s="5">
        <v>0</v>
      </c>
      <c r="Y1947" s="5">
        <v>0</v>
      </c>
      <c r="Z1947" s="5">
        <v>8219.1780820000004</v>
      </c>
      <c r="AA1947" s="5">
        <v>100</v>
      </c>
      <c r="AB1947" s="5">
        <v>821917.80819999997</v>
      </c>
      <c r="AC1947" s="5" t="str">
        <f t="shared" si="94"/>
        <v>Bonos</v>
      </c>
      <c r="AD1947" s="5" t="s">
        <v>43</v>
      </c>
      <c r="AE1947" s="5">
        <f t="shared" si="95"/>
        <v>7</v>
      </c>
      <c r="AF1947" s="5">
        <f t="shared" si="96"/>
        <v>2021</v>
      </c>
    </row>
    <row r="1948" s="5" customFormat="1" ht="13">
      <c r="A1948" s="5" t="s">
        <v>44</v>
      </c>
      <c r="B1948" s="5" t="s">
        <v>44</v>
      </c>
      <c r="C1948" s="5" t="s">
        <v>164</v>
      </c>
      <c r="D1948" s="5" t="s">
        <v>21</v>
      </c>
      <c r="E1948" s="5" t="s">
        <v>44</v>
      </c>
      <c r="F1948" s="5" t="s">
        <v>68</v>
      </c>
      <c r="G1948" s="5" t="s">
        <v>141</v>
      </c>
      <c r="H1948" s="9" t="s">
        <v>167</v>
      </c>
      <c r="I1948" s="10"/>
      <c r="J1948" s="10">
        <v>44407</v>
      </c>
      <c r="K1948" s="5" t="s">
        <v>124</v>
      </c>
      <c r="L1948" s="5" t="s">
        <v>58</v>
      </c>
      <c r="M1948" s="11">
        <v>0.092499999999999999</v>
      </c>
      <c r="N1948" s="5" t="e">
        <f>IF(AND(M1948&gt;#REF!,Cartera!O1948="Guaraníes"),"Rendimiento significativo",IF(AND(M1948&gt;#REF!,Cartera!O1948="Dólares americanos"),"Rendimiento significativo","Rendimiento no significativo"))</f>
        <v>#REF!</v>
      </c>
      <c r="O1948" s="5" t="s">
        <v>41</v>
      </c>
      <c r="P1948" s="12">
        <v>760273.97259999998</v>
      </c>
      <c r="Q1948" s="12">
        <f>IF(O1948="Guaraníes",P1948,P1948*#REF!)</f>
        <v>760273.97259999998</v>
      </c>
      <c r="R1948" s="12" t="e">
        <f>IF(O1948="Guaraníes",P1948/#REF!,P1948)</f>
        <v>#REF!</v>
      </c>
      <c r="S1948" s="5" t="s">
        <v>52</v>
      </c>
      <c r="T1948" s="5">
        <v>9243</v>
      </c>
      <c r="W1948" s="5" t="s">
        <v>65</v>
      </c>
      <c r="X1948" s="5">
        <v>0</v>
      </c>
      <c r="Y1948" s="5">
        <v>0</v>
      </c>
      <c r="Z1948" s="5">
        <v>7602.7397259999998</v>
      </c>
      <c r="AA1948" s="5">
        <v>100</v>
      </c>
      <c r="AB1948" s="5">
        <v>760273.97259999998</v>
      </c>
      <c r="AC1948" s="5" t="str">
        <f t="shared" si="94"/>
        <v>Bonos</v>
      </c>
      <c r="AD1948" s="5" t="s">
        <v>43</v>
      </c>
      <c r="AE1948" s="5">
        <f t="shared" si="95"/>
        <v>7</v>
      </c>
      <c r="AF1948" s="5">
        <f t="shared" si="96"/>
        <v>2021</v>
      </c>
    </row>
    <row r="1949" s="5" customFormat="1" ht="13">
      <c r="A1949" s="5" t="s">
        <v>44</v>
      </c>
      <c r="B1949" s="5" t="s">
        <v>44</v>
      </c>
      <c r="C1949" s="5" t="s">
        <v>156</v>
      </c>
      <c r="D1949" s="5" t="s">
        <v>21</v>
      </c>
      <c r="E1949" s="5" t="s">
        <v>44</v>
      </c>
      <c r="F1949" s="5" t="s">
        <v>68</v>
      </c>
      <c r="G1949" s="5" t="s">
        <v>141</v>
      </c>
      <c r="H1949" s="9" t="s">
        <v>392</v>
      </c>
      <c r="I1949" s="10"/>
      <c r="J1949" s="10">
        <v>44426</v>
      </c>
      <c r="K1949" s="5" t="s">
        <v>158</v>
      </c>
      <c r="L1949" s="5" t="s">
        <v>58</v>
      </c>
      <c r="M1949" s="11">
        <v>0.14000000000000001</v>
      </c>
      <c r="N1949" s="5" t="e">
        <f>IF(AND(M1949&gt;#REF!,Cartera!O1949="Guaraníes"),"Rendimiento significativo",IF(AND(M1949&gt;#REF!,Cartera!O1949="Dólares americanos"),"Rendimiento significativo","Rendimiento no significativo"))</f>
        <v>#REF!</v>
      </c>
      <c r="O1949" s="5" t="s">
        <v>41</v>
      </c>
      <c r="P1949" s="12">
        <v>1090753.4246699999</v>
      </c>
      <c r="Q1949" s="12">
        <f>IF(O1949="Guaraníes",P1949,P1949*#REF!)</f>
        <v>1090753.4246699999</v>
      </c>
      <c r="R1949" s="12" t="e">
        <f>IF(O1949="Guaraníes",P1949/#REF!,P1949)</f>
        <v>#REF!</v>
      </c>
      <c r="S1949" s="5" t="s">
        <v>52</v>
      </c>
      <c r="T1949" s="5">
        <v>9243</v>
      </c>
      <c r="W1949" s="5" t="s">
        <v>65</v>
      </c>
      <c r="X1949" s="5">
        <v>0</v>
      </c>
      <c r="Y1949" s="5">
        <v>0</v>
      </c>
      <c r="Z1949" s="5">
        <v>31164.383561999999</v>
      </c>
      <c r="AA1949" s="5">
        <v>35</v>
      </c>
      <c r="AB1949" s="5">
        <v>1090753.4246700001</v>
      </c>
      <c r="AC1949" s="5" t="str">
        <f t="shared" si="94"/>
        <v>Bonos</v>
      </c>
      <c r="AD1949" s="5" t="s">
        <v>43</v>
      </c>
      <c r="AE1949" s="5">
        <f t="shared" si="95"/>
        <v>8</v>
      </c>
      <c r="AF1949" s="5">
        <f t="shared" si="96"/>
        <v>2021</v>
      </c>
    </row>
    <row r="1950" s="5" customFormat="1" ht="13">
      <c r="A1950" s="5" t="s">
        <v>44</v>
      </c>
      <c r="B1950" s="5" t="s">
        <v>44</v>
      </c>
      <c r="C1950" s="5" t="s">
        <v>164</v>
      </c>
      <c r="D1950" s="5" t="s">
        <v>21</v>
      </c>
      <c r="E1950" s="5" t="s">
        <v>44</v>
      </c>
      <c r="F1950" s="5" t="s">
        <v>68</v>
      </c>
      <c r="G1950" s="5" t="s">
        <v>141</v>
      </c>
      <c r="H1950" s="9" t="s">
        <v>165</v>
      </c>
      <c r="I1950" s="10"/>
      <c r="J1950" s="10">
        <v>44439</v>
      </c>
      <c r="K1950" s="5" t="s">
        <v>124</v>
      </c>
      <c r="L1950" s="5" t="s">
        <v>58</v>
      </c>
      <c r="M1950" s="11">
        <v>0.10000000000000001</v>
      </c>
      <c r="N1950" s="5" t="e">
        <f>IF(AND(M1950&gt;#REF!,Cartera!O1950="Guaraníes"),"Rendimiento significativo",IF(AND(M1950&gt;#REF!,Cartera!O1950="Dólares americanos"),"Rendimiento significativo","Rendimiento no significativo"))</f>
        <v>#REF!</v>
      </c>
      <c r="O1950" s="5" t="s">
        <v>41</v>
      </c>
      <c r="P1950" s="12">
        <v>876712.32880000002</v>
      </c>
      <c r="Q1950" s="12">
        <f>IF(O1950="Guaraníes",P1950,P1950*#REF!)</f>
        <v>876712.32880000002</v>
      </c>
      <c r="R1950" s="12" t="e">
        <f>IF(O1950="Guaraníes",P1950/#REF!,P1950)</f>
        <v>#REF!</v>
      </c>
      <c r="S1950" s="5" t="s">
        <v>52</v>
      </c>
      <c r="T1950" s="5">
        <v>9243</v>
      </c>
      <c r="W1950" s="5" t="s">
        <v>65</v>
      </c>
      <c r="X1950" s="5">
        <v>0</v>
      </c>
      <c r="Y1950" s="5">
        <v>0</v>
      </c>
      <c r="Z1950" s="5">
        <v>8767.1232880000007</v>
      </c>
      <c r="AA1950" s="5">
        <v>100</v>
      </c>
      <c r="AB1950" s="5">
        <v>876712.32880000002</v>
      </c>
      <c r="AC1950" s="5" t="str">
        <f t="shared" si="94"/>
        <v>Bonos</v>
      </c>
      <c r="AD1950" s="5" t="s">
        <v>43</v>
      </c>
      <c r="AE1950" s="5">
        <f t="shared" si="95"/>
        <v>8</v>
      </c>
      <c r="AF1950" s="5">
        <f t="shared" si="96"/>
        <v>2021</v>
      </c>
    </row>
    <row r="1951" s="5" customFormat="1" ht="13">
      <c r="A1951" s="5" t="s">
        <v>44</v>
      </c>
      <c r="B1951" s="5" t="s">
        <v>44</v>
      </c>
      <c r="C1951" s="5" t="s">
        <v>164</v>
      </c>
      <c r="D1951" s="5" t="s">
        <v>21</v>
      </c>
      <c r="E1951" s="5" t="s">
        <v>44</v>
      </c>
      <c r="F1951" s="5" t="s">
        <v>68</v>
      </c>
      <c r="G1951" s="5" t="s">
        <v>141</v>
      </c>
      <c r="H1951" s="9" t="s">
        <v>167</v>
      </c>
      <c r="I1951" s="10"/>
      <c r="J1951" s="10">
        <v>44439</v>
      </c>
      <c r="K1951" s="5" t="s">
        <v>124</v>
      </c>
      <c r="L1951" s="5" t="s">
        <v>58</v>
      </c>
      <c r="M1951" s="11">
        <v>0.092499999999999999</v>
      </c>
      <c r="N1951" s="5" t="e">
        <f>IF(AND(M1951&gt;#REF!,Cartera!O1951="Guaraníes"),"Rendimiento significativo",IF(AND(M1951&gt;#REF!,Cartera!O1951="Dólares americanos"),"Rendimiento significativo","Rendimiento no significativo"))</f>
        <v>#REF!</v>
      </c>
      <c r="O1951" s="5" t="s">
        <v>41</v>
      </c>
      <c r="P1951" s="12">
        <v>810958.90410000004</v>
      </c>
      <c r="Q1951" s="12">
        <f>IF(O1951="Guaraníes",P1951,P1951*#REF!)</f>
        <v>810958.90410000004</v>
      </c>
      <c r="R1951" s="12" t="e">
        <f>IF(O1951="Guaraníes",P1951/#REF!,P1951)</f>
        <v>#REF!</v>
      </c>
      <c r="S1951" s="5" t="s">
        <v>52</v>
      </c>
      <c r="T1951" s="5">
        <v>9243</v>
      </c>
      <c r="W1951" s="5" t="s">
        <v>65</v>
      </c>
      <c r="X1951" s="5">
        <v>0</v>
      </c>
      <c r="Y1951" s="5">
        <v>0</v>
      </c>
      <c r="Z1951" s="5">
        <v>8109.5890410000002</v>
      </c>
      <c r="AA1951" s="5">
        <v>100</v>
      </c>
      <c r="AB1951" s="5">
        <v>810958.90410000004</v>
      </c>
      <c r="AC1951" s="5" t="str">
        <f t="shared" si="94"/>
        <v>Bonos</v>
      </c>
      <c r="AD1951" s="5" t="s">
        <v>43</v>
      </c>
      <c r="AE1951" s="5">
        <f t="shared" si="95"/>
        <v>8</v>
      </c>
      <c r="AF1951" s="5">
        <f t="shared" si="96"/>
        <v>2021</v>
      </c>
    </row>
    <row r="1952" s="5" customFormat="1" ht="13">
      <c r="A1952" s="5" t="s">
        <v>44</v>
      </c>
      <c r="B1952" s="5" t="s">
        <v>44</v>
      </c>
      <c r="C1952" s="5" t="s">
        <v>389</v>
      </c>
      <c r="D1952" s="5" t="s">
        <v>21</v>
      </c>
      <c r="E1952" s="5" t="s">
        <v>44</v>
      </c>
      <c r="F1952" s="5" t="s">
        <v>68</v>
      </c>
      <c r="G1952" s="5" t="s">
        <v>141</v>
      </c>
      <c r="H1952" s="9" t="s">
        <v>390</v>
      </c>
      <c r="I1952" s="10"/>
      <c r="J1952" s="10">
        <v>44440</v>
      </c>
      <c r="K1952" s="5" t="s">
        <v>391</v>
      </c>
      <c r="L1952" s="5" t="s">
        <v>58</v>
      </c>
      <c r="M1952" s="11">
        <v>0.1125</v>
      </c>
      <c r="N1952" s="5" t="e">
        <f>IF(AND(M1952&gt;#REF!,Cartera!O1952="Guaraníes"),"Rendimiento significativo",IF(AND(M1952&gt;#REF!,Cartera!O1952="Dólares americanos"),"Rendimiento significativo","Rendimiento no significativo"))</f>
        <v>#REF!</v>
      </c>
      <c r="O1952" s="5" t="s">
        <v>41</v>
      </c>
      <c r="P1952" s="12">
        <v>841438.35615000001</v>
      </c>
      <c r="Q1952" s="12">
        <f>IF(O1952="Guaraníes",P1952,P1952*#REF!)</f>
        <v>841438.35615000001</v>
      </c>
      <c r="R1952" s="12" t="e">
        <f>IF(O1952="Guaraníes",P1952/#REF!,P1952)</f>
        <v>#REF!</v>
      </c>
      <c r="S1952" s="5" t="s">
        <v>52</v>
      </c>
      <c r="T1952" s="5">
        <v>9243</v>
      </c>
      <c r="W1952" s="5" t="s">
        <v>65</v>
      </c>
      <c r="X1952" s="5">
        <v>0</v>
      </c>
      <c r="Y1952" s="5">
        <v>0</v>
      </c>
      <c r="Z1952" s="5">
        <v>28047.945205</v>
      </c>
      <c r="AA1952" s="5">
        <v>30</v>
      </c>
      <c r="AB1952" s="5">
        <v>841438.35615000001</v>
      </c>
      <c r="AC1952" s="5" t="str">
        <f t="shared" si="94"/>
        <v>Bonos</v>
      </c>
      <c r="AD1952" s="5" t="s">
        <v>43</v>
      </c>
      <c r="AE1952" s="5">
        <f t="shared" si="95"/>
        <v>9</v>
      </c>
      <c r="AF1952" s="5">
        <f t="shared" si="96"/>
        <v>2021</v>
      </c>
    </row>
    <row r="1953" s="5" customFormat="1" ht="13">
      <c r="A1953" s="5" t="s">
        <v>44</v>
      </c>
      <c r="B1953" s="5" t="s">
        <v>44</v>
      </c>
      <c r="C1953" s="5" t="s">
        <v>189</v>
      </c>
      <c r="D1953" s="5" t="s">
        <v>21</v>
      </c>
      <c r="E1953" s="5" t="s">
        <v>44</v>
      </c>
      <c r="F1953" s="5" t="s">
        <v>190</v>
      </c>
      <c r="G1953" s="5" t="s">
        <v>141</v>
      </c>
      <c r="H1953" s="9" t="s">
        <v>191</v>
      </c>
      <c r="I1953" s="10"/>
      <c r="J1953" s="10">
        <v>44463</v>
      </c>
      <c r="K1953" s="5" t="s">
        <v>77</v>
      </c>
      <c r="L1953" s="5" t="s">
        <v>58</v>
      </c>
      <c r="M1953" s="11">
        <v>0.089999999999999997</v>
      </c>
      <c r="N1953" s="5" t="e">
        <f>IF(AND(M1953&gt;#REF!,Cartera!O1953="Guaraníes"),"Rendimiento significativo",IF(AND(M1953&gt;#REF!,Cartera!O1953="Dólares americanos"),"Rendimiento significativo","Rendimiento no significativo"))</f>
        <v>#REF!</v>
      </c>
      <c r="O1953" s="5" t="s">
        <v>41</v>
      </c>
      <c r="P1953" s="12">
        <v>6731506.8480000002</v>
      </c>
      <c r="Q1953" s="12">
        <f>IF(O1953="Guaraníes",P1953,P1953*#REF!)</f>
        <v>6731506.8480000002</v>
      </c>
      <c r="R1953" s="12" t="e">
        <f>IF(O1953="Guaraníes",P1953/#REF!,P1953)</f>
        <v>#REF!</v>
      </c>
      <c r="S1953" s="5" t="s">
        <v>52</v>
      </c>
      <c r="T1953" s="5">
        <v>9243</v>
      </c>
      <c r="W1953" s="5" t="s">
        <v>65</v>
      </c>
      <c r="X1953" s="5">
        <v>0</v>
      </c>
      <c r="Y1953" s="5">
        <v>0</v>
      </c>
      <c r="Z1953" s="5">
        <v>22438.356159999999</v>
      </c>
      <c r="AA1953" s="5">
        <v>300</v>
      </c>
      <c r="AB1953" s="5">
        <v>6731506.8490000004</v>
      </c>
      <c r="AC1953" s="5" t="str">
        <f t="shared" si="94"/>
        <v>Bonos</v>
      </c>
      <c r="AD1953" s="5" t="s">
        <v>43</v>
      </c>
      <c r="AE1953" s="5">
        <f t="shared" si="95"/>
        <v>9</v>
      </c>
      <c r="AF1953" s="5">
        <f t="shared" si="96"/>
        <v>2021</v>
      </c>
    </row>
    <row r="1954" s="5" customFormat="1" ht="13">
      <c r="A1954" s="5" t="s">
        <v>44</v>
      </c>
      <c r="B1954" s="5" t="s">
        <v>44</v>
      </c>
      <c r="C1954" s="5" t="s">
        <v>164</v>
      </c>
      <c r="D1954" s="5" t="s">
        <v>21</v>
      </c>
      <c r="E1954" s="5" t="s">
        <v>44</v>
      </c>
      <c r="F1954" s="5" t="s">
        <v>68</v>
      </c>
      <c r="G1954" s="5" t="s">
        <v>141</v>
      </c>
      <c r="H1954" s="9" t="s">
        <v>165</v>
      </c>
      <c r="I1954" s="10"/>
      <c r="J1954" s="10">
        <v>44469</v>
      </c>
      <c r="K1954" s="5" t="s">
        <v>124</v>
      </c>
      <c r="L1954" s="5" t="s">
        <v>58</v>
      </c>
      <c r="M1954" s="11">
        <v>0.10000000000000001</v>
      </c>
      <c r="N1954" s="5" t="e">
        <f>IF(AND(M1954&gt;#REF!,Cartera!O1954="Guaraníes"),"Rendimiento significativo",IF(AND(M1954&gt;#REF!,Cartera!O1954="Dólares americanos"),"Rendimiento significativo","Rendimiento no significativo"))</f>
        <v>#REF!</v>
      </c>
      <c r="O1954" s="5" t="s">
        <v>41</v>
      </c>
      <c r="P1954" s="12">
        <v>821917.80820000009</v>
      </c>
      <c r="Q1954" s="12">
        <f>IF(O1954="Guaraníes",P1954,P1954*#REF!)</f>
        <v>821917.80820000009</v>
      </c>
      <c r="R1954" s="12" t="e">
        <f>IF(O1954="Guaraníes",P1954/#REF!,P1954)</f>
        <v>#REF!</v>
      </c>
      <c r="S1954" s="5" t="s">
        <v>52</v>
      </c>
      <c r="T1954" s="5">
        <v>9243</v>
      </c>
      <c r="W1954" s="5" t="s">
        <v>65</v>
      </c>
      <c r="X1954" s="5">
        <v>0</v>
      </c>
      <c r="Y1954" s="5">
        <v>0</v>
      </c>
      <c r="Z1954" s="5">
        <v>8219.1780820000004</v>
      </c>
      <c r="AA1954" s="5">
        <v>100</v>
      </c>
      <c r="AB1954" s="5">
        <v>821917.80819999997</v>
      </c>
      <c r="AC1954" s="5" t="str">
        <f t="shared" si="94"/>
        <v>Bonos</v>
      </c>
      <c r="AD1954" s="5" t="s">
        <v>43</v>
      </c>
      <c r="AE1954" s="5">
        <f t="shared" si="95"/>
        <v>9</v>
      </c>
      <c r="AF1954" s="5">
        <f t="shared" si="96"/>
        <v>2021</v>
      </c>
    </row>
    <row r="1955" s="5" customFormat="1" ht="13">
      <c r="A1955" s="5" t="s">
        <v>44</v>
      </c>
      <c r="B1955" s="5" t="s">
        <v>44</v>
      </c>
      <c r="C1955" s="5" t="s">
        <v>164</v>
      </c>
      <c r="D1955" s="5" t="s">
        <v>21</v>
      </c>
      <c r="E1955" s="5" t="s">
        <v>44</v>
      </c>
      <c r="F1955" s="5" t="s">
        <v>68</v>
      </c>
      <c r="G1955" s="5" t="s">
        <v>141</v>
      </c>
      <c r="H1955" s="9" t="s">
        <v>167</v>
      </c>
      <c r="I1955" s="10"/>
      <c r="J1955" s="10">
        <v>44469</v>
      </c>
      <c r="K1955" s="5" t="s">
        <v>124</v>
      </c>
      <c r="L1955" s="5" t="s">
        <v>58</v>
      </c>
      <c r="M1955" s="11">
        <v>0.092499999999999999</v>
      </c>
      <c r="N1955" s="5" t="e">
        <f>IF(AND(M1955&gt;#REF!,Cartera!O1955="Guaraníes"),"Rendimiento significativo",IF(AND(M1955&gt;#REF!,Cartera!O1955="Dólares americanos"),"Rendimiento significativo","Rendimiento no significativo"))</f>
        <v>#REF!</v>
      </c>
      <c r="O1955" s="5" t="s">
        <v>41</v>
      </c>
      <c r="P1955" s="12">
        <v>760273.97259999998</v>
      </c>
      <c r="Q1955" s="12">
        <f>IF(O1955="Guaraníes",P1955,P1955*#REF!)</f>
        <v>760273.97259999998</v>
      </c>
      <c r="R1955" s="12" t="e">
        <f>IF(O1955="Guaraníes",P1955/#REF!,P1955)</f>
        <v>#REF!</v>
      </c>
      <c r="S1955" s="5" t="s">
        <v>52</v>
      </c>
      <c r="T1955" s="5">
        <v>9243</v>
      </c>
      <c r="W1955" s="5" t="s">
        <v>65</v>
      </c>
      <c r="X1955" s="5">
        <v>0</v>
      </c>
      <c r="Y1955" s="5">
        <v>0</v>
      </c>
      <c r="Z1955" s="5">
        <v>7602.7397259999998</v>
      </c>
      <c r="AA1955" s="5">
        <v>100</v>
      </c>
      <c r="AB1955" s="5">
        <v>760273.97259999998</v>
      </c>
      <c r="AC1955" s="5" t="str">
        <f t="shared" si="94"/>
        <v>Bonos</v>
      </c>
      <c r="AD1955" s="5" t="s">
        <v>43</v>
      </c>
      <c r="AE1955" s="5">
        <f t="shared" si="95"/>
        <v>9</v>
      </c>
      <c r="AF1955" s="5">
        <f t="shared" si="96"/>
        <v>2021</v>
      </c>
    </row>
    <row r="1956" s="5" customFormat="1" ht="13">
      <c r="A1956" s="5" t="s">
        <v>44</v>
      </c>
      <c r="B1956" s="5" t="s">
        <v>44</v>
      </c>
      <c r="C1956" s="5" t="s">
        <v>381</v>
      </c>
      <c r="D1956" s="5" t="s">
        <v>21</v>
      </c>
      <c r="E1956" s="5" t="s">
        <v>44</v>
      </c>
      <c r="F1956" s="5" t="s">
        <v>68</v>
      </c>
      <c r="G1956" s="5" t="s">
        <v>141</v>
      </c>
      <c r="H1956" s="9" t="s">
        <v>382</v>
      </c>
      <c r="I1956" s="10"/>
      <c r="J1956" s="10">
        <v>44483</v>
      </c>
      <c r="K1956" s="5" t="s">
        <v>383</v>
      </c>
      <c r="L1956" s="5" t="s">
        <v>58</v>
      </c>
      <c r="M1956" s="11">
        <v>0.1225</v>
      </c>
      <c r="N1956" s="5" t="e">
        <f>IF(AND(M1956&gt;#REF!,Cartera!O1956="Guaraníes"),"Rendimiento significativo",IF(AND(M1956&gt;#REF!,Cartera!O1956="Dólares americanos"),"Rendimiento significativo","Rendimiento no significativo"))</f>
        <v>#REF!</v>
      </c>
      <c r="O1956" s="5" t="s">
        <v>41</v>
      </c>
      <c r="P1956" s="12">
        <v>1527054.7945000001</v>
      </c>
      <c r="Q1956" s="12">
        <f>IF(O1956="Guaraníes",P1956,P1956*#REF!)</f>
        <v>1527054.7945000001</v>
      </c>
      <c r="R1956" s="12" t="e">
        <f>IF(O1956="Guaraníes",P1956/#REF!,P1956)</f>
        <v>#REF!</v>
      </c>
      <c r="S1956" s="5" t="s">
        <v>52</v>
      </c>
      <c r="T1956" s="5">
        <v>9243</v>
      </c>
      <c r="W1956" s="5" t="s">
        <v>65</v>
      </c>
      <c r="X1956" s="5">
        <v>0</v>
      </c>
      <c r="Y1956" s="5">
        <v>0</v>
      </c>
      <c r="Z1956" s="5">
        <v>30541.095890000001</v>
      </c>
      <c r="AA1956" s="5">
        <v>50</v>
      </c>
      <c r="AB1956" s="5">
        <v>1527054.7945000001</v>
      </c>
      <c r="AC1956" s="5" t="str">
        <f t="shared" si="94"/>
        <v>Bonos</v>
      </c>
      <c r="AD1956" s="5" t="s">
        <v>43</v>
      </c>
      <c r="AE1956" s="5">
        <f t="shared" si="95"/>
        <v>10</v>
      </c>
      <c r="AF1956" s="5">
        <f t="shared" si="96"/>
        <v>2021</v>
      </c>
    </row>
    <row r="1957" s="5" customFormat="1" ht="13">
      <c r="A1957" s="5" t="s">
        <v>44</v>
      </c>
      <c r="B1957" s="5" t="s">
        <v>44</v>
      </c>
      <c r="C1957" s="5" t="s">
        <v>164</v>
      </c>
      <c r="D1957" s="5" t="s">
        <v>21</v>
      </c>
      <c r="E1957" s="5" t="s">
        <v>44</v>
      </c>
      <c r="F1957" s="5" t="s">
        <v>68</v>
      </c>
      <c r="G1957" s="5" t="s">
        <v>141</v>
      </c>
      <c r="H1957" s="9" t="s">
        <v>165</v>
      </c>
      <c r="I1957" s="10"/>
      <c r="J1957" s="10">
        <v>44498</v>
      </c>
      <c r="K1957" s="5" t="s">
        <v>124</v>
      </c>
      <c r="L1957" s="5" t="s">
        <v>58</v>
      </c>
      <c r="M1957" s="11">
        <v>0.10000000000000001</v>
      </c>
      <c r="N1957" s="5" t="e">
        <f>IF(AND(M1957&gt;#REF!,Cartera!O1957="Guaraníes"),"Rendimiento significativo",IF(AND(M1957&gt;#REF!,Cartera!O1957="Dólares americanos"),"Rendimiento significativo","Rendimiento no significativo"))</f>
        <v>#REF!</v>
      </c>
      <c r="O1957" s="5" t="s">
        <v>41</v>
      </c>
      <c r="P1957" s="12">
        <v>794520.54790000001</v>
      </c>
      <c r="Q1957" s="12">
        <f>IF(O1957="Guaraníes",P1957,P1957*#REF!)</f>
        <v>794520.54790000001</v>
      </c>
      <c r="R1957" s="12" t="e">
        <f>IF(O1957="Guaraníes",P1957/#REF!,P1957)</f>
        <v>#REF!</v>
      </c>
      <c r="S1957" s="5" t="s">
        <v>52</v>
      </c>
      <c r="T1957" s="5">
        <v>9243</v>
      </c>
      <c r="W1957" s="5" t="s">
        <v>65</v>
      </c>
      <c r="X1957" s="5">
        <v>0</v>
      </c>
      <c r="Y1957" s="5">
        <v>0</v>
      </c>
      <c r="Z1957" s="5">
        <v>7945.2054790000002</v>
      </c>
      <c r="AA1957" s="5">
        <v>100</v>
      </c>
      <c r="AB1957" s="5">
        <v>794520.54790000001</v>
      </c>
      <c r="AC1957" s="5" t="str">
        <f t="shared" si="94"/>
        <v>Bonos</v>
      </c>
      <c r="AD1957" s="5" t="s">
        <v>43</v>
      </c>
      <c r="AE1957" s="5">
        <f t="shared" si="95"/>
        <v>10</v>
      </c>
      <c r="AF1957" s="5">
        <f t="shared" si="96"/>
        <v>2021</v>
      </c>
    </row>
    <row r="1958" s="5" customFormat="1" ht="13">
      <c r="A1958" s="5" t="s">
        <v>44</v>
      </c>
      <c r="B1958" s="5" t="s">
        <v>44</v>
      </c>
      <c r="C1958" s="5" t="s">
        <v>164</v>
      </c>
      <c r="D1958" s="5" t="s">
        <v>21</v>
      </c>
      <c r="E1958" s="5" t="s">
        <v>44</v>
      </c>
      <c r="F1958" s="5" t="s">
        <v>68</v>
      </c>
      <c r="G1958" s="5" t="s">
        <v>141</v>
      </c>
      <c r="H1958" s="9" t="s">
        <v>167</v>
      </c>
      <c r="I1958" s="10"/>
      <c r="J1958" s="10">
        <v>44498</v>
      </c>
      <c r="K1958" s="5" t="s">
        <v>124</v>
      </c>
      <c r="L1958" s="5" t="s">
        <v>58</v>
      </c>
      <c r="M1958" s="11">
        <v>0.092499999999999999</v>
      </c>
      <c r="N1958" s="5" t="e">
        <f>IF(AND(M1958&gt;#REF!,Cartera!O1958="Guaraníes"),"Rendimiento significativo",IF(AND(M1958&gt;#REF!,Cartera!O1958="Dólares americanos"),"Rendimiento significativo","Rendimiento no significativo"))</f>
        <v>#REF!</v>
      </c>
      <c r="O1958" s="5" t="s">
        <v>41</v>
      </c>
      <c r="P1958" s="12">
        <v>734931.50679999997</v>
      </c>
      <c r="Q1958" s="12">
        <f>IF(O1958="Guaraníes",P1958,P1958*#REF!)</f>
        <v>734931.50679999997</v>
      </c>
      <c r="R1958" s="12" t="e">
        <f>IF(O1958="Guaraníes",P1958/#REF!,P1958)</f>
        <v>#REF!</v>
      </c>
      <c r="S1958" s="5" t="s">
        <v>52</v>
      </c>
      <c r="T1958" s="5">
        <v>9243</v>
      </c>
      <c r="W1958" s="5" t="s">
        <v>65</v>
      </c>
      <c r="X1958" s="5">
        <v>0</v>
      </c>
      <c r="Y1958" s="5">
        <v>0</v>
      </c>
      <c r="Z1958" s="5">
        <v>7349.3150679999999</v>
      </c>
      <c r="AA1958" s="5">
        <v>100</v>
      </c>
      <c r="AB1958" s="5">
        <v>734931.50679999997</v>
      </c>
      <c r="AC1958" s="5" t="str">
        <f t="shared" si="94"/>
        <v>Bonos</v>
      </c>
      <c r="AD1958" s="5" t="s">
        <v>43</v>
      </c>
      <c r="AE1958" s="5">
        <f t="shared" si="95"/>
        <v>10</v>
      </c>
      <c r="AF1958" s="5">
        <f t="shared" si="96"/>
        <v>2021</v>
      </c>
    </row>
    <row r="1959" s="5" customFormat="1" ht="13">
      <c r="A1959" s="5" t="s">
        <v>44</v>
      </c>
      <c r="B1959" s="5" t="s">
        <v>44</v>
      </c>
      <c r="C1959" s="5" t="s">
        <v>156</v>
      </c>
      <c r="D1959" s="5" t="s">
        <v>21</v>
      </c>
      <c r="E1959" s="5" t="s">
        <v>44</v>
      </c>
      <c r="F1959" s="5" t="s">
        <v>68</v>
      </c>
      <c r="G1959" s="5" t="s">
        <v>141</v>
      </c>
      <c r="H1959" s="9" t="s">
        <v>392</v>
      </c>
      <c r="I1959" s="10"/>
      <c r="J1959" s="10">
        <v>44517</v>
      </c>
      <c r="K1959" s="5" t="s">
        <v>158</v>
      </c>
      <c r="L1959" s="5" t="s">
        <v>58</v>
      </c>
      <c r="M1959" s="11">
        <v>0.14000000000000001</v>
      </c>
      <c r="N1959" s="5" t="e">
        <f>IF(AND(M1959&gt;#REF!,Cartera!O1959="Guaraníes"),"Rendimiento significativo",IF(AND(M1959&gt;#REF!,Cartera!O1959="Dólares americanos"),"Rendimiento significativo","Rendimiento no significativo"))</f>
        <v>#REF!</v>
      </c>
      <c r="O1959" s="5" t="s">
        <v>41</v>
      </c>
      <c r="P1959" s="12">
        <v>1090753.4246699999</v>
      </c>
      <c r="Q1959" s="12">
        <f>IF(O1959="Guaraníes",P1959,P1959*#REF!)</f>
        <v>1090753.4246699999</v>
      </c>
      <c r="R1959" s="12" t="e">
        <f>IF(O1959="Guaraníes",P1959/#REF!,P1959)</f>
        <v>#REF!</v>
      </c>
      <c r="S1959" s="5" t="s">
        <v>52</v>
      </c>
      <c r="T1959" s="5">
        <v>9243</v>
      </c>
      <c r="W1959" s="5" t="s">
        <v>65</v>
      </c>
      <c r="X1959" s="5">
        <v>0</v>
      </c>
      <c r="Y1959" s="5">
        <v>0</v>
      </c>
      <c r="Z1959" s="5">
        <v>31164.383561999999</v>
      </c>
      <c r="AA1959" s="5">
        <v>35</v>
      </c>
      <c r="AB1959" s="5">
        <v>1090753.4246700001</v>
      </c>
      <c r="AC1959" s="5" t="str">
        <f t="shared" si="94"/>
        <v>Bonos</v>
      </c>
      <c r="AD1959" s="5" t="s">
        <v>43</v>
      </c>
      <c r="AE1959" s="5">
        <f t="shared" si="95"/>
        <v>11</v>
      </c>
      <c r="AF1959" s="5">
        <f t="shared" si="96"/>
        <v>2021</v>
      </c>
    </row>
    <row r="1960" s="5" customFormat="1" ht="13">
      <c r="A1960" s="5" t="s">
        <v>44</v>
      </c>
      <c r="B1960" s="5" t="s">
        <v>44</v>
      </c>
      <c r="C1960" s="5" t="s">
        <v>164</v>
      </c>
      <c r="D1960" s="5" t="s">
        <v>21</v>
      </c>
      <c r="E1960" s="5" t="s">
        <v>44</v>
      </c>
      <c r="F1960" s="5" t="s">
        <v>68</v>
      </c>
      <c r="G1960" s="5" t="s">
        <v>141</v>
      </c>
      <c r="H1960" s="9" t="s">
        <v>165</v>
      </c>
      <c r="I1960" s="10"/>
      <c r="J1960" s="10">
        <v>44530</v>
      </c>
      <c r="K1960" s="5" t="s">
        <v>124</v>
      </c>
      <c r="L1960" s="5" t="s">
        <v>58</v>
      </c>
      <c r="M1960" s="11">
        <v>0.10000000000000001</v>
      </c>
      <c r="N1960" s="5" t="e">
        <f>IF(AND(M1960&gt;#REF!,Cartera!O1960="Guaraníes"),"Rendimiento significativo",IF(AND(M1960&gt;#REF!,Cartera!O1960="Dólares americanos"),"Rendimiento significativo","Rendimiento no significativo"))</f>
        <v>#REF!</v>
      </c>
      <c r="O1960" s="5" t="s">
        <v>41</v>
      </c>
      <c r="P1960" s="12">
        <v>876712.32880000002</v>
      </c>
      <c r="Q1960" s="12">
        <f>IF(O1960="Guaraníes",P1960,P1960*#REF!)</f>
        <v>876712.32880000002</v>
      </c>
      <c r="R1960" s="12" t="e">
        <f>IF(O1960="Guaraníes",P1960/#REF!,P1960)</f>
        <v>#REF!</v>
      </c>
      <c r="S1960" s="5" t="s">
        <v>52</v>
      </c>
      <c r="T1960" s="5">
        <v>9243</v>
      </c>
      <c r="W1960" s="5" t="s">
        <v>65</v>
      </c>
      <c r="X1960" s="5">
        <v>0</v>
      </c>
      <c r="Y1960" s="5">
        <v>0</v>
      </c>
      <c r="Z1960" s="5">
        <v>8767.1232880000007</v>
      </c>
      <c r="AA1960" s="5">
        <v>100</v>
      </c>
      <c r="AB1960" s="5">
        <v>876712.32880000002</v>
      </c>
      <c r="AC1960" s="5" t="str">
        <f t="shared" si="94"/>
        <v>Bonos</v>
      </c>
      <c r="AD1960" s="5" t="s">
        <v>43</v>
      </c>
      <c r="AE1960" s="5">
        <f t="shared" si="95"/>
        <v>11</v>
      </c>
      <c r="AF1960" s="5">
        <f t="shared" si="96"/>
        <v>2021</v>
      </c>
    </row>
    <row r="1961" s="5" customFormat="1" ht="13">
      <c r="A1961" s="5" t="s">
        <v>44</v>
      </c>
      <c r="B1961" s="5" t="s">
        <v>44</v>
      </c>
      <c r="C1961" s="5" t="s">
        <v>164</v>
      </c>
      <c r="D1961" s="5" t="s">
        <v>21</v>
      </c>
      <c r="E1961" s="5" t="s">
        <v>44</v>
      </c>
      <c r="F1961" s="5" t="s">
        <v>68</v>
      </c>
      <c r="G1961" s="5" t="s">
        <v>141</v>
      </c>
      <c r="H1961" s="9" t="s">
        <v>167</v>
      </c>
      <c r="I1961" s="10"/>
      <c r="J1961" s="10">
        <v>44530</v>
      </c>
      <c r="K1961" s="5" t="s">
        <v>124</v>
      </c>
      <c r="L1961" s="5" t="s">
        <v>58</v>
      </c>
      <c r="M1961" s="11">
        <v>0.092499999999999999</v>
      </c>
      <c r="N1961" s="5" t="e">
        <f>IF(AND(M1961&gt;#REF!,Cartera!O1961="Guaraníes"),"Rendimiento significativo",IF(AND(M1961&gt;#REF!,Cartera!O1961="Dólares americanos"),"Rendimiento significativo","Rendimiento no significativo"))</f>
        <v>#REF!</v>
      </c>
      <c r="O1961" s="5" t="s">
        <v>41</v>
      </c>
      <c r="P1961" s="12">
        <v>810958.90410000004</v>
      </c>
      <c r="Q1961" s="12">
        <f>IF(O1961="Guaraníes",P1961,P1961*#REF!)</f>
        <v>810958.90410000004</v>
      </c>
      <c r="R1961" s="12" t="e">
        <f>IF(O1961="Guaraníes",P1961/#REF!,P1961)</f>
        <v>#REF!</v>
      </c>
      <c r="S1961" s="5" t="s">
        <v>52</v>
      </c>
      <c r="T1961" s="5">
        <v>9243</v>
      </c>
      <c r="W1961" s="5" t="s">
        <v>65</v>
      </c>
      <c r="X1961" s="5">
        <v>0</v>
      </c>
      <c r="Y1961" s="5">
        <v>0</v>
      </c>
      <c r="Z1961" s="5">
        <v>8109.5890410000002</v>
      </c>
      <c r="AA1961" s="5">
        <v>100</v>
      </c>
      <c r="AB1961" s="5">
        <v>810958.90410000004</v>
      </c>
      <c r="AC1961" s="5" t="str">
        <f t="shared" si="94"/>
        <v>Bonos</v>
      </c>
      <c r="AD1961" s="5" t="s">
        <v>43</v>
      </c>
      <c r="AE1961" s="5">
        <f t="shared" si="95"/>
        <v>11</v>
      </c>
      <c r="AF1961" s="5">
        <f t="shared" si="96"/>
        <v>2021</v>
      </c>
    </row>
    <row r="1962" s="5" customFormat="1" ht="13">
      <c r="A1962" s="5" t="s">
        <v>44</v>
      </c>
      <c r="B1962" s="5" t="s">
        <v>44</v>
      </c>
      <c r="C1962" s="5" t="s">
        <v>389</v>
      </c>
      <c r="D1962" s="5" t="s">
        <v>21</v>
      </c>
      <c r="E1962" s="5" t="s">
        <v>44</v>
      </c>
      <c r="F1962" s="5" t="s">
        <v>68</v>
      </c>
      <c r="G1962" s="5" t="s">
        <v>141</v>
      </c>
      <c r="H1962" s="9" t="s">
        <v>390</v>
      </c>
      <c r="I1962" s="10"/>
      <c r="J1962" s="10">
        <v>44531</v>
      </c>
      <c r="K1962" s="5" t="s">
        <v>391</v>
      </c>
      <c r="L1962" s="5" t="s">
        <v>58</v>
      </c>
      <c r="M1962" s="11">
        <v>0.1125</v>
      </c>
      <c r="N1962" s="5" t="e">
        <f>IF(AND(M1962&gt;#REF!,Cartera!O1962="Guaraníes"),"Rendimiento significativo",IF(AND(M1962&gt;#REF!,Cartera!O1962="Dólares americanos"),"Rendimiento significativo","Rendimiento no significativo"))</f>
        <v>#REF!</v>
      </c>
      <c r="O1962" s="5" t="s">
        <v>41</v>
      </c>
      <c r="P1962" s="12">
        <v>841438.35615000001</v>
      </c>
      <c r="Q1962" s="12">
        <f>IF(O1962="Guaraníes",P1962,P1962*#REF!)</f>
        <v>841438.35615000001</v>
      </c>
      <c r="R1962" s="12" t="e">
        <f>IF(O1962="Guaraníes",P1962/#REF!,P1962)</f>
        <v>#REF!</v>
      </c>
      <c r="S1962" s="5" t="s">
        <v>52</v>
      </c>
      <c r="T1962" s="5">
        <v>9243</v>
      </c>
      <c r="W1962" s="5" t="s">
        <v>65</v>
      </c>
      <c r="X1962" s="5">
        <v>0</v>
      </c>
      <c r="Y1962" s="5">
        <v>0</v>
      </c>
      <c r="Z1962" s="5">
        <v>28047.945205</v>
      </c>
      <c r="AA1962" s="5">
        <v>30</v>
      </c>
      <c r="AB1962" s="5">
        <v>841438.35615000001</v>
      </c>
      <c r="AC1962" s="5" t="str">
        <f t="shared" si="94"/>
        <v>Bonos</v>
      </c>
      <c r="AD1962" s="5" t="s">
        <v>43</v>
      </c>
      <c r="AE1962" s="5">
        <f t="shared" si="95"/>
        <v>12</v>
      </c>
      <c r="AF1962" s="5">
        <f t="shared" si="96"/>
        <v>2021</v>
      </c>
    </row>
    <row r="1963" s="5" customFormat="1" ht="13">
      <c r="A1963" s="5" t="s">
        <v>44</v>
      </c>
      <c r="B1963" s="5" t="s">
        <v>44</v>
      </c>
      <c r="C1963" s="5" t="s">
        <v>164</v>
      </c>
      <c r="D1963" s="5" t="s">
        <v>21</v>
      </c>
      <c r="E1963" s="5" t="s">
        <v>44</v>
      </c>
      <c r="F1963" s="5" t="s">
        <v>68</v>
      </c>
      <c r="G1963" s="5" t="s">
        <v>141</v>
      </c>
      <c r="H1963" s="9" t="s">
        <v>393</v>
      </c>
      <c r="I1963" s="10"/>
      <c r="J1963" s="10">
        <v>44536</v>
      </c>
      <c r="K1963" s="5" t="s">
        <v>124</v>
      </c>
      <c r="L1963" s="5" t="s">
        <v>58</v>
      </c>
      <c r="M1963" s="11">
        <v>0.087499999999999994</v>
      </c>
      <c r="N1963" s="5" t="e">
        <f>IF(AND(M1963&gt;#REF!,Cartera!O1963="Guaraníes"),"Rendimiento significativo",IF(AND(M1963&gt;#REF!,Cartera!O1963="Dólares americanos"),"Rendimiento significativo","Rendimiento no significativo"))</f>
        <v>#REF!</v>
      </c>
      <c r="O1963" s="5" t="s">
        <v>41</v>
      </c>
      <c r="P1963" s="12">
        <v>10907534.2465</v>
      </c>
      <c r="Q1963" s="12">
        <f>IF(O1963="Guaraníes",P1963,P1963*#REF!)</f>
        <v>10907534.2465</v>
      </c>
      <c r="R1963" s="12" t="e">
        <f>IF(O1963="Guaraníes",P1963/#REF!,P1963)</f>
        <v>#REF!</v>
      </c>
      <c r="S1963" s="5" t="s">
        <v>52</v>
      </c>
      <c r="T1963" s="5">
        <v>9243</v>
      </c>
      <c r="W1963" s="5" t="s">
        <v>65</v>
      </c>
      <c r="X1963" s="5">
        <v>0</v>
      </c>
      <c r="Y1963" s="5">
        <v>0</v>
      </c>
      <c r="Z1963" s="5">
        <v>21815.068492999999</v>
      </c>
      <c r="AA1963" s="5">
        <v>500</v>
      </c>
      <c r="AB1963" s="5">
        <v>10907534.2465</v>
      </c>
      <c r="AC1963" s="5" t="str">
        <f t="shared" si="94"/>
        <v>Bonos</v>
      </c>
      <c r="AD1963" s="5" t="s">
        <v>43</v>
      </c>
      <c r="AE1963" s="5">
        <f t="shared" si="95"/>
        <v>12</v>
      </c>
      <c r="AF1963" s="5">
        <f t="shared" si="96"/>
        <v>2021</v>
      </c>
    </row>
    <row r="1964" s="5" customFormat="1" ht="13">
      <c r="A1964" s="5" t="s">
        <v>44</v>
      </c>
      <c r="B1964" s="5" t="s">
        <v>44</v>
      </c>
      <c r="C1964" s="5" t="s">
        <v>189</v>
      </c>
      <c r="D1964" s="5" t="s">
        <v>21</v>
      </c>
      <c r="E1964" s="5" t="s">
        <v>44</v>
      </c>
      <c r="F1964" s="5" t="s">
        <v>190</v>
      </c>
      <c r="G1964" s="5" t="s">
        <v>141</v>
      </c>
      <c r="H1964" s="9" t="s">
        <v>191</v>
      </c>
      <c r="I1964" s="10"/>
      <c r="J1964" s="10">
        <v>44554</v>
      </c>
      <c r="K1964" s="5" t="s">
        <v>77</v>
      </c>
      <c r="L1964" s="5" t="s">
        <v>58</v>
      </c>
      <c r="M1964" s="11">
        <v>0.089999999999999997</v>
      </c>
      <c r="N1964" s="5" t="e">
        <f>IF(AND(M1964&gt;#REF!,Cartera!O1964="Guaraníes"),"Rendimiento significativo",IF(AND(M1964&gt;#REF!,Cartera!O1964="Dólares americanos"),"Rendimiento significativo","Rendimiento no significativo"))</f>
        <v>#REF!</v>
      </c>
      <c r="O1964" s="5" t="s">
        <v>41</v>
      </c>
      <c r="P1964" s="12">
        <v>6731506.8480000002</v>
      </c>
      <c r="Q1964" s="12">
        <f>IF(O1964="Guaraníes",P1964,P1964*#REF!)</f>
        <v>6731506.8480000002</v>
      </c>
      <c r="R1964" s="12" t="e">
        <f>IF(O1964="Guaraníes",P1964/#REF!,P1964)</f>
        <v>#REF!</v>
      </c>
      <c r="S1964" s="5" t="s">
        <v>52</v>
      </c>
      <c r="T1964" s="5">
        <v>9243</v>
      </c>
      <c r="W1964" s="5" t="s">
        <v>65</v>
      </c>
      <c r="X1964" s="5">
        <v>0</v>
      </c>
      <c r="Y1964" s="5">
        <v>0</v>
      </c>
      <c r="Z1964" s="5">
        <v>22438.356159999999</v>
      </c>
      <c r="AA1964" s="5">
        <v>300</v>
      </c>
      <c r="AB1964" s="5">
        <v>6731506.8490000004</v>
      </c>
      <c r="AC1964" s="5" t="str">
        <f t="shared" si="94"/>
        <v>Bonos</v>
      </c>
      <c r="AD1964" s="5" t="s">
        <v>43</v>
      </c>
      <c r="AE1964" s="5">
        <f t="shared" si="95"/>
        <v>12</v>
      </c>
      <c r="AF1964" s="5">
        <f t="shared" si="96"/>
        <v>2021</v>
      </c>
    </row>
    <row r="1965" s="5" customFormat="1" ht="13">
      <c r="A1965" s="5" t="s">
        <v>44</v>
      </c>
      <c r="B1965" s="5" t="s">
        <v>44</v>
      </c>
      <c r="C1965" s="5" t="s">
        <v>164</v>
      </c>
      <c r="D1965" s="5" t="s">
        <v>21</v>
      </c>
      <c r="E1965" s="5" t="s">
        <v>44</v>
      </c>
      <c r="F1965" s="5" t="s">
        <v>68</v>
      </c>
      <c r="G1965" s="5" t="s">
        <v>141</v>
      </c>
      <c r="H1965" s="9" t="s">
        <v>165</v>
      </c>
      <c r="I1965" s="10"/>
      <c r="J1965" s="10">
        <v>44560</v>
      </c>
      <c r="K1965" s="5" t="s">
        <v>124</v>
      </c>
      <c r="L1965" s="5" t="s">
        <v>58</v>
      </c>
      <c r="M1965" s="11">
        <v>0.10000000000000001</v>
      </c>
      <c r="N1965" s="5" t="e">
        <f>IF(AND(M1965&gt;#REF!,Cartera!O1965="Guaraníes"),"Rendimiento significativo",IF(AND(M1965&gt;#REF!,Cartera!O1965="Dólares americanos"),"Rendimiento significativo","Rendimiento no significativo"))</f>
        <v>#REF!</v>
      </c>
      <c r="O1965" s="5" t="s">
        <v>41</v>
      </c>
      <c r="P1965" s="12">
        <v>821917.80820000009</v>
      </c>
      <c r="Q1965" s="12">
        <f>IF(O1965="Guaraníes",P1965,P1965*#REF!)</f>
        <v>821917.80820000009</v>
      </c>
      <c r="R1965" s="12" t="e">
        <f>IF(O1965="Guaraníes",P1965/#REF!,P1965)</f>
        <v>#REF!</v>
      </c>
      <c r="S1965" s="5" t="s">
        <v>52</v>
      </c>
      <c r="T1965" s="5">
        <v>9243</v>
      </c>
      <c r="W1965" s="5" t="s">
        <v>65</v>
      </c>
      <c r="X1965" s="5">
        <v>0</v>
      </c>
      <c r="Y1965" s="5">
        <v>0</v>
      </c>
      <c r="Z1965" s="5">
        <v>8219.1780820000004</v>
      </c>
      <c r="AA1965" s="5">
        <v>100</v>
      </c>
      <c r="AB1965" s="5">
        <v>821917.80819999997</v>
      </c>
      <c r="AC1965" s="5" t="str">
        <f t="shared" si="94"/>
        <v>Bonos</v>
      </c>
      <c r="AD1965" s="5" t="s">
        <v>43</v>
      </c>
      <c r="AE1965" s="5">
        <f t="shared" si="95"/>
        <v>12</v>
      </c>
      <c r="AF1965" s="5">
        <f t="shared" si="96"/>
        <v>2021</v>
      </c>
    </row>
    <row r="1966" s="5" customFormat="1" ht="13">
      <c r="A1966" s="5" t="s">
        <v>44</v>
      </c>
      <c r="B1966" s="5" t="s">
        <v>44</v>
      </c>
      <c r="C1966" s="5" t="s">
        <v>164</v>
      </c>
      <c r="D1966" s="5" t="s">
        <v>21</v>
      </c>
      <c r="E1966" s="5" t="s">
        <v>44</v>
      </c>
      <c r="F1966" s="5" t="s">
        <v>68</v>
      </c>
      <c r="G1966" s="5" t="s">
        <v>141</v>
      </c>
      <c r="H1966" s="9" t="s">
        <v>167</v>
      </c>
      <c r="I1966" s="10"/>
      <c r="J1966" s="10">
        <v>44560</v>
      </c>
      <c r="K1966" s="5" t="s">
        <v>124</v>
      </c>
      <c r="L1966" s="5" t="s">
        <v>58</v>
      </c>
      <c r="M1966" s="11">
        <v>0.092499999999999999</v>
      </c>
      <c r="N1966" s="5" t="e">
        <f>IF(AND(M1966&gt;#REF!,Cartera!O1966="Guaraníes"),"Rendimiento significativo",IF(AND(M1966&gt;#REF!,Cartera!O1966="Dólares americanos"),"Rendimiento significativo","Rendimiento no significativo"))</f>
        <v>#REF!</v>
      </c>
      <c r="O1966" s="5" t="s">
        <v>41</v>
      </c>
      <c r="P1966" s="12">
        <v>760273.97259999998</v>
      </c>
      <c r="Q1966" s="12">
        <f>IF(O1966="Guaraníes",P1966,P1966*#REF!)</f>
        <v>760273.97259999998</v>
      </c>
      <c r="R1966" s="12" t="e">
        <f>IF(O1966="Guaraníes",P1966/#REF!,P1966)</f>
        <v>#REF!</v>
      </c>
      <c r="S1966" s="5" t="s">
        <v>52</v>
      </c>
      <c r="T1966" s="5">
        <v>9243</v>
      </c>
      <c r="W1966" s="5" t="s">
        <v>65</v>
      </c>
      <c r="X1966" s="5">
        <v>0</v>
      </c>
      <c r="Y1966" s="5">
        <v>0</v>
      </c>
      <c r="Z1966" s="5">
        <v>7602.7397259999998</v>
      </c>
      <c r="AA1966" s="5">
        <v>100</v>
      </c>
      <c r="AB1966" s="5">
        <v>760273.97259999998</v>
      </c>
      <c r="AC1966" s="5" t="str">
        <f t="shared" si="94"/>
        <v>Bonos</v>
      </c>
      <c r="AD1966" s="5" t="s">
        <v>43</v>
      </c>
      <c r="AE1966" s="5">
        <f t="shared" si="95"/>
        <v>12</v>
      </c>
      <c r="AF1966" s="5">
        <f t="shared" si="96"/>
        <v>2021</v>
      </c>
    </row>
    <row r="1967" s="5" customFormat="1" ht="13">
      <c r="A1967" s="5" t="s">
        <v>44</v>
      </c>
      <c r="B1967" s="5" t="s">
        <v>44</v>
      </c>
      <c r="C1967" s="5" t="s">
        <v>381</v>
      </c>
      <c r="D1967" s="5" t="s">
        <v>21</v>
      </c>
      <c r="E1967" s="5" t="s">
        <v>44</v>
      </c>
      <c r="F1967" s="5" t="s">
        <v>68</v>
      </c>
      <c r="G1967" s="5" t="s">
        <v>141</v>
      </c>
      <c r="H1967" s="9" t="s">
        <v>382</v>
      </c>
      <c r="I1967" s="10"/>
      <c r="J1967" s="10">
        <v>44574</v>
      </c>
      <c r="K1967" s="5" t="s">
        <v>383</v>
      </c>
      <c r="L1967" s="5" t="s">
        <v>58</v>
      </c>
      <c r="M1967" s="11">
        <v>0.1225</v>
      </c>
      <c r="N1967" s="5" t="e">
        <f>IF(AND(M1967&gt;#REF!,Cartera!O1967="Guaraníes"),"Rendimiento significativo",IF(AND(M1967&gt;#REF!,Cartera!O1967="Dólares americanos"),"Rendimiento significativo","Rendimiento no significativo"))</f>
        <v>#REF!</v>
      </c>
      <c r="O1967" s="5" t="s">
        <v>41</v>
      </c>
      <c r="P1967" s="12">
        <v>1527054.7945000001</v>
      </c>
      <c r="Q1967" s="12">
        <f>IF(O1967="Guaraníes",P1967,P1967*#REF!)</f>
        <v>1527054.7945000001</v>
      </c>
      <c r="R1967" s="12" t="e">
        <f>IF(O1967="Guaraníes",P1967/#REF!,P1967)</f>
        <v>#REF!</v>
      </c>
      <c r="S1967" s="5" t="s">
        <v>52</v>
      </c>
      <c r="T1967" s="5">
        <v>9243</v>
      </c>
      <c r="W1967" s="5" t="s">
        <v>65</v>
      </c>
      <c r="X1967" s="5">
        <v>0</v>
      </c>
      <c r="Y1967" s="5">
        <v>0</v>
      </c>
      <c r="Z1967" s="5">
        <v>30541.095890000001</v>
      </c>
      <c r="AA1967" s="5">
        <v>50</v>
      </c>
      <c r="AB1967" s="5">
        <v>1527054.7945000001</v>
      </c>
      <c r="AC1967" s="5" t="str">
        <f t="shared" si="94"/>
        <v>Bonos</v>
      </c>
      <c r="AD1967" s="5" t="s">
        <v>43</v>
      </c>
      <c r="AE1967" s="5">
        <f t="shared" si="95"/>
        <v>1</v>
      </c>
      <c r="AF1967" s="5">
        <f t="shared" si="96"/>
        <v>2022</v>
      </c>
    </row>
    <row r="1968" s="5" customFormat="1" ht="13">
      <c r="A1968" s="5" t="s">
        <v>44</v>
      </c>
      <c r="B1968" s="5" t="s">
        <v>44</v>
      </c>
      <c r="C1968" s="5" t="s">
        <v>164</v>
      </c>
      <c r="D1968" s="5" t="s">
        <v>21</v>
      </c>
      <c r="E1968" s="5" t="s">
        <v>44</v>
      </c>
      <c r="F1968" s="5" t="s">
        <v>68</v>
      </c>
      <c r="G1968" s="5" t="s">
        <v>141</v>
      </c>
      <c r="H1968" s="9" t="s">
        <v>165</v>
      </c>
      <c r="I1968" s="10"/>
      <c r="J1968" s="10">
        <v>44592</v>
      </c>
      <c r="K1968" s="5" t="s">
        <v>124</v>
      </c>
      <c r="L1968" s="5" t="s">
        <v>58</v>
      </c>
      <c r="M1968" s="11">
        <v>0.10000000000000001</v>
      </c>
      <c r="N1968" s="5" t="e">
        <f>IF(AND(M1968&gt;#REF!,Cartera!O1968="Guaraníes"),"Rendimiento significativo",IF(AND(M1968&gt;#REF!,Cartera!O1968="Dólares americanos"),"Rendimiento significativo","Rendimiento no significativo"))</f>
        <v>#REF!</v>
      </c>
      <c r="O1968" s="5" t="s">
        <v>41</v>
      </c>
      <c r="P1968" s="12">
        <v>876712.32880000002</v>
      </c>
      <c r="Q1968" s="12">
        <f>IF(O1968="Guaraníes",P1968,P1968*#REF!)</f>
        <v>876712.32880000002</v>
      </c>
      <c r="R1968" s="12" t="e">
        <f>IF(O1968="Guaraníes",P1968/#REF!,P1968)</f>
        <v>#REF!</v>
      </c>
      <c r="S1968" s="5" t="s">
        <v>52</v>
      </c>
      <c r="T1968" s="5">
        <v>9243</v>
      </c>
      <c r="W1968" s="5" t="s">
        <v>65</v>
      </c>
      <c r="X1968" s="5">
        <v>0</v>
      </c>
      <c r="Y1968" s="5">
        <v>0</v>
      </c>
      <c r="Z1968" s="5">
        <v>8767.1232880000007</v>
      </c>
      <c r="AA1968" s="5">
        <v>100</v>
      </c>
      <c r="AB1968" s="5">
        <v>876712.32880000002</v>
      </c>
      <c r="AC1968" s="5" t="str">
        <f t="shared" si="94"/>
        <v>Bonos</v>
      </c>
      <c r="AD1968" s="5" t="s">
        <v>43</v>
      </c>
      <c r="AE1968" s="5">
        <f t="shared" si="95"/>
        <v>1</v>
      </c>
      <c r="AF1968" s="5">
        <f t="shared" si="96"/>
        <v>2022</v>
      </c>
    </row>
    <row r="1969" s="5" customFormat="1" ht="13">
      <c r="A1969" s="5" t="s">
        <v>44</v>
      </c>
      <c r="B1969" s="5" t="s">
        <v>44</v>
      </c>
      <c r="C1969" s="5" t="s">
        <v>164</v>
      </c>
      <c r="D1969" s="5" t="s">
        <v>21</v>
      </c>
      <c r="E1969" s="5" t="s">
        <v>44</v>
      </c>
      <c r="F1969" s="5" t="s">
        <v>68</v>
      </c>
      <c r="G1969" s="5" t="s">
        <v>141</v>
      </c>
      <c r="H1969" s="9" t="s">
        <v>167</v>
      </c>
      <c r="I1969" s="10"/>
      <c r="J1969" s="10">
        <v>44592</v>
      </c>
      <c r="K1969" s="5" t="s">
        <v>124</v>
      </c>
      <c r="L1969" s="5" t="s">
        <v>58</v>
      </c>
      <c r="M1969" s="11">
        <v>0.092499999999999999</v>
      </c>
      <c r="N1969" s="5" t="e">
        <f>IF(AND(M1969&gt;#REF!,Cartera!O1969="Guaraníes"),"Rendimiento significativo",IF(AND(M1969&gt;#REF!,Cartera!O1969="Dólares americanos"),"Rendimiento significativo","Rendimiento no significativo"))</f>
        <v>#REF!</v>
      </c>
      <c r="O1969" s="5" t="s">
        <v>41</v>
      </c>
      <c r="P1969" s="12">
        <v>810958.90410000004</v>
      </c>
      <c r="Q1969" s="12">
        <f>IF(O1969="Guaraníes",P1969,P1969*#REF!)</f>
        <v>810958.90410000004</v>
      </c>
      <c r="R1969" s="12" t="e">
        <f>IF(O1969="Guaraníes",P1969/#REF!,P1969)</f>
        <v>#REF!</v>
      </c>
      <c r="S1969" s="5" t="s">
        <v>52</v>
      </c>
      <c r="T1969" s="5">
        <v>9243</v>
      </c>
      <c r="W1969" s="5" t="s">
        <v>65</v>
      </c>
      <c r="X1969" s="5">
        <v>0</v>
      </c>
      <c r="Y1969" s="5">
        <v>0</v>
      </c>
      <c r="Z1969" s="5">
        <v>8109.5890410000002</v>
      </c>
      <c r="AA1969" s="5">
        <v>100</v>
      </c>
      <c r="AB1969" s="5">
        <v>810958.90410000004</v>
      </c>
      <c r="AC1969" s="5" t="str">
        <f t="shared" si="94"/>
        <v>Bonos</v>
      </c>
      <c r="AD1969" s="5" t="s">
        <v>43</v>
      </c>
      <c r="AE1969" s="5">
        <f t="shared" si="95"/>
        <v>1</v>
      </c>
      <c r="AF1969" s="5">
        <f t="shared" si="96"/>
        <v>2022</v>
      </c>
    </row>
    <row r="1970" s="5" customFormat="1" ht="13">
      <c r="A1970" s="5" t="s">
        <v>44</v>
      </c>
      <c r="B1970" s="5" t="s">
        <v>44</v>
      </c>
      <c r="C1970" s="5" t="s">
        <v>156</v>
      </c>
      <c r="D1970" s="5" t="s">
        <v>21</v>
      </c>
      <c r="E1970" s="5" t="s">
        <v>44</v>
      </c>
      <c r="F1970" s="5" t="s">
        <v>68</v>
      </c>
      <c r="G1970" s="5" t="s">
        <v>141</v>
      </c>
      <c r="H1970" s="9" t="s">
        <v>392</v>
      </c>
      <c r="I1970" s="10"/>
      <c r="J1970" s="10">
        <v>44608</v>
      </c>
      <c r="K1970" s="5" t="s">
        <v>158</v>
      </c>
      <c r="L1970" s="5" t="s">
        <v>58</v>
      </c>
      <c r="M1970" s="11">
        <v>0.14000000000000001</v>
      </c>
      <c r="N1970" s="5" t="e">
        <f>IF(AND(M1970&gt;#REF!,Cartera!O1970="Guaraníes"),"Rendimiento significativo",IF(AND(M1970&gt;#REF!,Cartera!O1970="Dólares americanos"),"Rendimiento significativo","Rendimiento no significativo"))</f>
        <v>#REF!</v>
      </c>
      <c r="O1970" s="5" t="s">
        <v>41</v>
      </c>
      <c r="P1970" s="12">
        <v>1090753.4246699999</v>
      </c>
      <c r="Q1970" s="12">
        <f>IF(O1970="Guaraníes",P1970,P1970*#REF!)</f>
        <v>1090753.4246699999</v>
      </c>
      <c r="R1970" s="12" t="e">
        <f>IF(O1970="Guaraníes",P1970/#REF!,P1970)</f>
        <v>#REF!</v>
      </c>
      <c r="S1970" s="5" t="s">
        <v>52</v>
      </c>
      <c r="T1970" s="5">
        <v>9243</v>
      </c>
      <c r="W1970" s="5" t="s">
        <v>65</v>
      </c>
      <c r="X1970" s="5">
        <v>0</v>
      </c>
      <c r="Y1970" s="5">
        <v>0</v>
      </c>
      <c r="Z1970" s="5">
        <v>31164.383561999999</v>
      </c>
      <c r="AA1970" s="5">
        <v>35</v>
      </c>
      <c r="AB1970" s="5">
        <v>1090753.4246700001</v>
      </c>
      <c r="AC1970" s="5" t="str">
        <f t="shared" si="94"/>
        <v>Bonos</v>
      </c>
      <c r="AD1970" s="5" t="s">
        <v>43</v>
      </c>
      <c r="AE1970" s="5">
        <f t="shared" si="95"/>
        <v>2</v>
      </c>
      <c r="AF1970" s="5">
        <f t="shared" si="96"/>
        <v>2022</v>
      </c>
    </row>
    <row r="1971" s="5" customFormat="1" ht="13">
      <c r="A1971" s="5" t="s">
        <v>44</v>
      </c>
      <c r="B1971" s="5" t="s">
        <v>44</v>
      </c>
      <c r="C1971" s="5" t="s">
        <v>164</v>
      </c>
      <c r="D1971" s="5" t="s">
        <v>21</v>
      </c>
      <c r="E1971" s="5" t="s">
        <v>44</v>
      </c>
      <c r="F1971" s="5" t="s">
        <v>68</v>
      </c>
      <c r="G1971" s="5" t="s">
        <v>141</v>
      </c>
      <c r="H1971" s="9" t="s">
        <v>165</v>
      </c>
      <c r="I1971" s="10"/>
      <c r="J1971" s="10">
        <v>44620</v>
      </c>
      <c r="K1971" s="5" t="s">
        <v>124</v>
      </c>
      <c r="L1971" s="5" t="s">
        <v>58</v>
      </c>
      <c r="M1971" s="11">
        <v>0.10000000000000001</v>
      </c>
      <c r="N1971" s="5" t="e">
        <f>IF(AND(M1971&gt;#REF!,Cartera!O1971="Guaraníes"),"Rendimiento significativo",IF(AND(M1971&gt;#REF!,Cartera!O1971="Dólares americanos"),"Rendimiento significativo","Rendimiento no significativo"))</f>
        <v>#REF!</v>
      </c>
      <c r="O1971" s="5" t="s">
        <v>41</v>
      </c>
      <c r="P1971" s="12">
        <v>767123.28769999999</v>
      </c>
      <c r="Q1971" s="12">
        <f>IF(O1971="Guaraníes",P1971,P1971*#REF!)</f>
        <v>767123.28769999999</v>
      </c>
      <c r="R1971" s="12" t="e">
        <f>IF(O1971="Guaraníes",P1971/#REF!,P1971)</f>
        <v>#REF!</v>
      </c>
      <c r="S1971" s="5" t="s">
        <v>52</v>
      </c>
      <c r="T1971" s="5">
        <v>9243</v>
      </c>
      <c r="W1971" s="5" t="s">
        <v>65</v>
      </c>
      <c r="X1971" s="5">
        <v>0</v>
      </c>
      <c r="Y1971" s="5">
        <v>0</v>
      </c>
      <c r="Z1971" s="5">
        <v>7671.2328770000004</v>
      </c>
      <c r="AA1971" s="5">
        <v>100</v>
      </c>
      <c r="AB1971" s="5">
        <v>767123.28769999999</v>
      </c>
      <c r="AC1971" s="5" t="str">
        <f t="shared" si="94"/>
        <v>Bonos</v>
      </c>
      <c r="AD1971" s="5" t="s">
        <v>43</v>
      </c>
      <c r="AE1971" s="5">
        <f t="shared" si="95"/>
        <v>2</v>
      </c>
      <c r="AF1971" s="5">
        <f t="shared" si="96"/>
        <v>2022</v>
      </c>
    </row>
    <row r="1972" s="5" customFormat="1" ht="13">
      <c r="A1972" s="5" t="s">
        <v>44</v>
      </c>
      <c r="B1972" s="5" t="s">
        <v>44</v>
      </c>
      <c r="C1972" s="5" t="s">
        <v>164</v>
      </c>
      <c r="D1972" s="5" t="s">
        <v>21</v>
      </c>
      <c r="E1972" s="5" t="s">
        <v>44</v>
      </c>
      <c r="F1972" s="5" t="s">
        <v>68</v>
      </c>
      <c r="G1972" s="5" t="s">
        <v>141</v>
      </c>
      <c r="H1972" s="9" t="s">
        <v>167</v>
      </c>
      <c r="I1972" s="10"/>
      <c r="J1972" s="10">
        <v>44620</v>
      </c>
      <c r="K1972" s="5" t="s">
        <v>124</v>
      </c>
      <c r="L1972" s="5" t="s">
        <v>58</v>
      </c>
      <c r="M1972" s="11">
        <v>0.092499999999999999</v>
      </c>
      <c r="N1972" s="5" t="e">
        <f>IF(AND(M1972&gt;#REF!,Cartera!O1972="Guaraníes"),"Rendimiento significativo",IF(AND(M1972&gt;#REF!,Cartera!O1972="Dólares americanos"),"Rendimiento significativo","Rendimiento no significativo"))</f>
        <v>#REF!</v>
      </c>
      <c r="O1972" s="5" t="s">
        <v>41</v>
      </c>
      <c r="P1972" s="12">
        <v>709589.04110000003</v>
      </c>
      <c r="Q1972" s="12">
        <f>IF(O1972="Guaraníes",P1972,P1972*#REF!)</f>
        <v>709589.04110000003</v>
      </c>
      <c r="R1972" s="12" t="e">
        <f>IF(O1972="Guaraníes",P1972/#REF!,P1972)</f>
        <v>#REF!</v>
      </c>
      <c r="S1972" s="5" t="s">
        <v>52</v>
      </c>
      <c r="T1972" s="5">
        <v>9243</v>
      </c>
      <c r="W1972" s="5" t="s">
        <v>65</v>
      </c>
      <c r="X1972" s="5">
        <v>0</v>
      </c>
      <c r="Y1972" s="5">
        <v>0</v>
      </c>
      <c r="Z1972" s="5">
        <v>7095.8904110000003</v>
      </c>
      <c r="AA1972" s="5">
        <v>100</v>
      </c>
      <c r="AB1972" s="5">
        <v>709589.04110000003</v>
      </c>
      <c r="AC1972" s="5" t="str">
        <f t="shared" si="94"/>
        <v>Bonos</v>
      </c>
      <c r="AD1972" s="5" t="s">
        <v>43</v>
      </c>
      <c r="AE1972" s="5">
        <f t="shared" si="95"/>
        <v>2</v>
      </c>
      <c r="AF1972" s="5">
        <f t="shared" si="96"/>
        <v>2022</v>
      </c>
    </row>
    <row r="1973" s="5" customFormat="1" ht="13">
      <c r="A1973" s="5" t="s">
        <v>44</v>
      </c>
      <c r="B1973" s="5" t="s">
        <v>44</v>
      </c>
      <c r="C1973" s="5" t="s">
        <v>389</v>
      </c>
      <c r="D1973" s="5" t="s">
        <v>21</v>
      </c>
      <c r="E1973" s="5" t="s">
        <v>44</v>
      </c>
      <c r="F1973" s="5" t="s">
        <v>68</v>
      </c>
      <c r="G1973" s="5" t="s">
        <v>141</v>
      </c>
      <c r="H1973" s="9" t="s">
        <v>390</v>
      </c>
      <c r="I1973" s="10"/>
      <c r="J1973" s="10">
        <v>44622</v>
      </c>
      <c r="K1973" s="5" t="s">
        <v>391</v>
      </c>
      <c r="L1973" s="5" t="s">
        <v>58</v>
      </c>
      <c r="M1973" s="11">
        <v>0.1125</v>
      </c>
      <c r="N1973" s="5" t="e">
        <f>IF(AND(M1973&gt;#REF!,Cartera!O1973="Guaraníes"),"Rendimiento significativo",IF(AND(M1973&gt;#REF!,Cartera!O1973="Dólares americanos"),"Rendimiento significativo","Rendimiento no significativo"))</f>
        <v>#REF!</v>
      </c>
      <c r="O1973" s="5" t="s">
        <v>41</v>
      </c>
      <c r="P1973" s="12">
        <v>841438.35615000001</v>
      </c>
      <c r="Q1973" s="12">
        <f>IF(O1973="Guaraníes",P1973,P1973*#REF!)</f>
        <v>841438.35615000001</v>
      </c>
      <c r="R1973" s="12" t="e">
        <f>IF(O1973="Guaraníes",P1973/#REF!,P1973)</f>
        <v>#REF!</v>
      </c>
      <c r="S1973" s="5" t="s">
        <v>52</v>
      </c>
      <c r="T1973" s="5">
        <v>9243</v>
      </c>
      <c r="W1973" s="5" t="s">
        <v>65</v>
      </c>
      <c r="X1973" s="5">
        <v>0</v>
      </c>
      <c r="Y1973" s="5">
        <v>0</v>
      </c>
      <c r="Z1973" s="5">
        <v>28047.945205</v>
      </c>
      <c r="AA1973" s="5">
        <v>30</v>
      </c>
      <c r="AB1973" s="5">
        <v>841438.35615000001</v>
      </c>
      <c r="AC1973" s="5" t="str">
        <f t="shared" si="94"/>
        <v>Bonos</v>
      </c>
      <c r="AD1973" s="5" t="s">
        <v>43</v>
      </c>
      <c r="AE1973" s="5">
        <f t="shared" si="95"/>
        <v>3</v>
      </c>
      <c r="AF1973" s="5">
        <f t="shared" si="96"/>
        <v>2022</v>
      </c>
    </row>
    <row r="1974" s="5" customFormat="1" ht="13">
      <c r="A1974" s="5" t="s">
        <v>44</v>
      </c>
      <c r="B1974" s="5" t="s">
        <v>44</v>
      </c>
      <c r="C1974" s="5" t="s">
        <v>164</v>
      </c>
      <c r="D1974" s="5" t="s">
        <v>21</v>
      </c>
      <c r="E1974" s="5" t="s">
        <v>44</v>
      </c>
      <c r="F1974" s="5" t="s">
        <v>68</v>
      </c>
      <c r="G1974" s="5" t="s">
        <v>141</v>
      </c>
      <c r="H1974" s="9" t="s">
        <v>393</v>
      </c>
      <c r="I1974" s="10"/>
      <c r="J1974" s="10">
        <v>44627</v>
      </c>
      <c r="K1974" s="5" t="s">
        <v>124</v>
      </c>
      <c r="L1974" s="5" t="s">
        <v>58</v>
      </c>
      <c r="M1974" s="11">
        <v>0.087499999999999994</v>
      </c>
      <c r="N1974" s="5" t="e">
        <f>IF(AND(M1974&gt;#REF!,Cartera!O1974="Guaraníes"),"Rendimiento significativo",IF(AND(M1974&gt;#REF!,Cartera!O1974="Dólares americanos"),"Rendimiento significativo","Rendimiento no significativo"))</f>
        <v>#REF!</v>
      </c>
      <c r="O1974" s="5" t="s">
        <v>41</v>
      </c>
      <c r="P1974" s="12">
        <v>10907534.2465</v>
      </c>
      <c r="Q1974" s="12">
        <f>IF(O1974="Guaraníes",P1974,P1974*#REF!)</f>
        <v>10907534.2465</v>
      </c>
      <c r="R1974" s="12" t="e">
        <f>IF(O1974="Guaraníes",P1974/#REF!,P1974)</f>
        <v>#REF!</v>
      </c>
      <c r="S1974" s="5" t="s">
        <v>52</v>
      </c>
      <c r="T1974" s="5">
        <v>9243</v>
      </c>
      <c r="W1974" s="5" t="s">
        <v>65</v>
      </c>
      <c r="X1974" s="5">
        <v>0</v>
      </c>
      <c r="Y1974" s="5">
        <v>0</v>
      </c>
      <c r="Z1974" s="5">
        <v>21815.068492999999</v>
      </c>
      <c r="AA1974" s="5">
        <v>500</v>
      </c>
      <c r="AB1974" s="5">
        <v>10907534.2465</v>
      </c>
      <c r="AC1974" s="5" t="str">
        <f t="shared" si="94"/>
        <v>Bonos</v>
      </c>
      <c r="AD1974" s="5" t="s">
        <v>43</v>
      </c>
      <c r="AE1974" s="5">
        <f t="shared" si="95"/>
        <v>3</v>
      </c>
      <c r="AF1974" s="5">
        <f t="shared" si="96"/>
        <v>2022</v>
      </c>
    </row>
    <row r="1975" s="5" customFormat="1" ht="13">
      <c r="A1975" s="5" t="s">
        <v>44</v>
      </c>
      <c r="B1975" s="5" t="s">
        <v>44</v>
      </c>
      <c r="C1975" s="5" t="s">
        <v>189</v>
      </c>
      <c r="D1975" s="5" t="s">
        <v>21</v>
      </c>
      <c r="E1975" s="5" t="s">
        <v>44</v>
      </c>
      <c r="F1975" s="5" t="s">
        <v>190</v>
      </c>
      <c r="G1975" s="5" t="s">
        <v>141</v>
      </c>
      <c r="H1975" s="9" t="s">
        <v>191</v>
      </c>
      <c r="I1975" s="10"/>
      <c r="J1975" s="10">
        <v>44645</v>
      </c>
      <c r="K1975" s="5" t="s">
        <v>77</v>
      </c>
      <c r="L1975" s="5" t="s">
        <v>58</v>
      </c>
      <c r="M1975" s="11">
        <v>0.089999999999999997</v>
      </c>
      <c r="N1975" s="5" t="e">
        <f>IF(AND(M1975&gt;#REF!,Cartera!O1975="Guaraníes"),"Rendimiento significativo",IF(AND(M1975&gt;#REF!,Cartera!O1975="Dólares americanos"),"Rendimiento significativo","Rendimiento no significativo"))</f>
        <v>#REF!</v>
      </c>
      <c r="O1975" s="5" t="s">
        <v>41</v>
      </c>
      <c r="P1975" s="12">
        <v>6731506.8480000002</v>
      </c>
      <c r="Q1975" s="12">
        <f>IF(O1975="Guaraníes",P1975,P1975*#REF!)</f>
        <v>6731506.8480000002</v>
      </c>
      <c r="R1975" s="12" t="e">
        <f>IF(O1975="Guaraníes",P1975/#REF!,P1975)</f>
        <v>#REF!</v>
      </c>
      <c r="S1975" s="5" t="s">
        <v>52</v>
      </c>
      <c r="T1975" s="5">
        <v>9243</v>
      </c>
      <c r="W1975" s="5" t="s">
        <v>65</v>
      </c>
      <c r="X1975" s="5">
        <v>0</v>
      </c>
      <c r="Y1975" s="5">
        <v>0</v>
      </c>
      <c r="Z1975" s="5">
        <v>22438.356159999999</v>
      </c>
      <c r="AA1975" s="5">
        <v>300</v>
      </c>
      <c r="AB1975" s="5">
        <v>6731506.8490000004</v>
      </c>
      <c r="AC1975" s="5" t="str">
        <f t="shared" ref="AC1975:AC2038" si="97">IF(ISNUMBER(SEARCH("Acciones",L1975)),"Acciones",IF(ISNUMBER(SEARCH("Bono",L1975)),"Bonos",IF(ISNUMBER(SEARCH("CDA",L1975)),"CDA",IF(ISNUMBER(SEARCH("Fondo",L1975)),"Fondo",0))))</f>
        <v>Bonos</v>
      </c>
      <c r="AD1975" s="5" t="s">
        <v>43</v>
      </c>
      <c r="AE1975" s="5">
        <f t="shared" si="95"/>
        <v>3</v>
      </c>
      <c r="AF1975" s="5">
        <f t="shared" si="96"/>
        <v>2022</v>
      </c>
    </row>
    <row r="1976" s="5" customFormat="1" ht="13">
      <c r="A1976" s="5" t="s">
        <v>44</v>
      </c>
      <c r="B1976" s="5" t="s">
        <v>44</v>
      </c>
      <c r="C1976" s="5" t="s">
        <v>164</v>
      </c>
      <c r="D1976" s="5" t="s">
        <v>21</v>
      </c>
      <c r="E1976" s="5" t="s">
        <v>44</v>
      </c>
      <c r="F1976" s="5" t="s">
        <v>68</v>
      </c>
      <c r="G1976" s="5" t="s">
        <v>141</v>
      </c>
      <c r="H1976" s="9" t="s">
        <v>165</v>
      </c>
      <c r="I1976" s="10"/>
      <c r="J1976" s="10">
        <v>44651</v>
      </c>
      <c r="K1976" s="5" t="s">
        <v>124</v>
      </c>
      <c r="L1976" s="5" t="s">
        <v>58</v>
      </c>
      <c r="M1976" s="11">
        <v>0.10000000000000001</v>
      </c>
      <c r="N1976" s="5" t="e">
        <f>IF(AND(M1976&gt;#REF!,Cartera!O1976="Guaraníes"),"Rendimiento significativo",IF(AND(M1976&gt;#REF!,Cartera!O1976="Dólares americanos"),"Rendimiento significativo","Rendimiento no significativo"))</f>
        <v>#REF!</v>
      </c>
      <c r="O1976" s="5" t="s">
        <v>41</v>
      </c>
      <c r="P1976" s="12">
        <v>849315.06850000005</v>
      </c>
      <c r="Q1976" s="12">
        <f>IF(O1976="Guaraníes",P1976,P1976*#REF!)</f>
        <v>849315.06850000005</v>
      </c>
      <c r="R1976" s="12" t="e">
        <f>IF(O1976="Guaraníes",P1976/#REF!,P1976)</f>
        <v>#REF!</v>
      </c>
      <c r="S1976" s="5" t="s">
        <v>52</v>
      </c>
      <c r="T1976" s="5">
        <v>9243</v>
      </c>
      <c r="W1976" s="5" t="s">
        <v>65</v>
      </c>
      <c r="X1976" s="5">
        <v>0</v>
      </c>
      <c r="Y1976" s="5">
        <v>0</v>
      </c>
      <c r="Z1976" s="5">
        <v>8493.1506850000005</v>
      </c>
      <c r="AA1976" s="5">
        <v>100</v>
      </c>
      <c r="AB1976" s="5">
        <v>849315.06850000005</v>
      </c>
      <c r="AC1976" s="5" t="str">
        <f t="shared" si="97"/>
        <v>Bonos</v>
      </c>
      <c r="AD1976" s="5" t="s">
        <v>43</v>
      </c>
      <c r="AE1976" s="5">
        <f t="shared" si="95"/>
        <v>3</v>
      </c>
      <c r="AF1976" s="5">
        <f t="shared" si="96"/>
        <v>2022</v>
      </c>
    </row>
    <row r="1977" s="5" customFormat="1" ht="13">
      <c r="A1977" s="5" t="s">
        <v>44</v>
      </c>
      <c r="B1977" s="5" t="s">
        <v>44</v>
      </c>
      <c r="C1977" s="5" t="s">
        <v>164</v>
      </c>
      <c r="D1977" s="5" t="s">
        <v>21</v>
      </c>
      <c r="E1977" s="5" t="s">
        <v>44</v>
      </c>
      <c r="F1977" s="5" t="s">
        <v>68</v>
      </c>
      <c r="G1977" s="5" t="s">
        <v>141</v>
      </c>
      <c r="H1977" s="9" t="s">
        <v>167</v>
      </c>
      <c r="I1977" s="10"/>
      <c r="J1977" s="10">
        <v>44651</v>
      </c>
      <c r="K1977" s="5" t="s">
        <v>124</v>
      </c>
      <c r="L1977" s="5" t="s">
        <v>58</v>
      </c>
      <c r="M1977" s="11">
        <v>0.092499999999999999</v>
      </c>
      <c r="N1977" s="5" t="e">
        <f>IF(AND(M1977&gt;#REF!,Cartera!O1977="Guaraníes"),"Rendimiento significativo",IF(AND(M1977&gt;#REF!,Cartera!O1977="Dólares americanos"),"Rendimiento significativo","Rendimiento no significativo"))</f>
        <v>#REF!</v>
      </c>
      <c r="O1977" s="5" t="s">
        <v>41</v>
      </c>
      <c r="P1977" s="12">
        <v>785616.43839999998</v>
      </c>
      <c r="Q1977" s="12">
        <f>IF(O1977="Guaraníes",P1977,P1977*#REF!)</f>
        <v>785616.43839999998</v>
      </c>
      <c r="R1977" s="12" t="e">
        <f>IF(O1977="Guaraníes",P1977/#REF!,P1977)</f>
        <v>#REF!</v>
      </c>
      <c r="S1977" s="5" t="s">
        <v>52</v>
      </c>
      <c r="T1977" s="5">
        <v>9243</v>
      </c>
      <c r="W1977" s="5" t="s">
        <v>65</v>
      </c>
      <c r="X1977" s="5">
        <v>0</v>
      </c>
      <c r="Y1977" s="5">
        <v>0</v>
      </c>
      <c r="Z1977" s="5">
        <v>7856.1643839999997</v>
      </c>
      <c r="AA1977" s="5">
        <v>100</v>
      </c>
      <c r="AB1977" s="5">
        <v>785616.43839999998</v>
      </c>
      <c r="AC1977" s="5" t="str">
        <f t="shared" si="97"/>
        <v>Bonos</v>
      </c>
      <c r="AD1977" s="5" t="s">
        <v>43</v>
      </c>
      <c r="AE1977" s="5">
        <f t="shared" si="95"/>
        <v>3</v>
      </c>
      <c r="AF1977" s="5">
        <f t="shared" si="96"/>
        <v>2022</v>
      </c>
    </row>
    <row r="1978" s="5" customFormat="1" ht="13">
      <c r="A1978" s="5" t="s">
        <v>44</v>
      </c>
      <c r="B1978" s="5" t="s">
        <v>44</v>
      </c>
      <c r="C1978" s="5" t="s">
        <v>381</v>
      </c>
      <c r="D1978" s="5" t="s">
        <v>21</v>
      </c>
      <c r="E1978" s="5" t="s">
        <v>44</v>
      </c>
      <c r="F1978" s="5" t="s">
        <v>68</v>
      </c>
      <c r="G1978" s="5" t="s">
        <v>141</v>
      </c>
      <c r="H1978" s="9" t="s">
        <v>382</v>
      </c>
      <c r="I1978" s="10"/>
      <c r="J1978" s="10">
        <v>44665</v>
      </c>
      <c r="K1978" s="5" t="s">
        <v>383</v>
      </c>
      <c r="L1978" s="5" t="s">
        <v>58</v>
      </c>
      <c r="M1978" s="11">
        <v>0.1225</v>
      </c>
      <c r="N1978" s="5" t="e">
        <f>IF(AND(M1978&gt;#REF!,Cartera!O1978="Guaraníes"),"Rendimiento significativo",IF(AND(M1978&gt;#REF!,Cartera!O1978="Dólares americanos"),"Rendimiento significativo","Rendimiento no significativo"))</f>
        <v>#REF!</v>
      </c>
      <c r="O1978" s="5" t="s">
        <v>41</v>
      </c>
      <c r="P1978" s="12">
        <v>1527054.7945000001</v>
      </c>
      <c r="Q1978" s="12">
        <f>IF(O1978="Guaraníes",P1978,P1978*#REF!)</f>
        <v>1527054.7945000001</v>
      </c>
      <c r="R1978" s="12" t="e">
        <f>IF(O1978="Guaraníes",P1978/#REF!,P1978)</f>
        <v>#REF!</v>
      </c>
      <c r="S1978" s="5" t="s">
        <v>52</v>
      </c>
      <c r="T1978" s="5">
        <v>9243</v>
      </c>
      <c r="W1978" s="5" t="s">
        <v>65</v>
      </c>
      <c r="X1978" s="5">
        <v>0</v>
      </c>
      <c r="Y1978" s="5">
        <v>0</v>
      </c>
      <c r="Z1978" s="5">
        <v>30541.095890000001</v>
      </c>
      <c r="AA1978" s="5">
        <v>50</v>
      </c>
      <c r="AB1978" s="5">
        <v>1527054.7945000001</v>
      </c>
      <c r="AC1978" s="5" t="str">
        <f t="shared" si="97"/>
        <v>Bonos</v>
      </c>
      <c r="AD1978" s="5" t="s">
        <v>43</v>
      </c>
      <c r="AE1978" s="5">
        <f t="shared" si="95"/>
        <v>4</v>
      </c>
      <c r="AF1978" s="5">
        <f t="shared" si="96"/>
        <v>2022</v>
      </c>
    </row>
    <row r="1979" s="5" customFormat="1" ht="13">
      <c r="A1979" s="5" t="s">
        <v>44</v>
      </c>
      <c r="B1979" s="5" t="s">
        <v>44</v>
      </c>
      <c r="C1979" s="5" t="s">
        <v>164</v>
      </c>
      <c r="D1979" s="5" t="s">
        <v>21</v>
      </c>
      <c r="E1979" s="5" t="s">
        <v>44</v>
      </c>
      <c r="F1979" s="5" t="s">
        <v>68</v>
      </c>
      <c r="G1979" s="5" t="s">
        <v>141</v>
      </c>
      <c r="H1979" s="9" t="s">
        <v>165</v>
      </c>
      <c r="I1979" s="10"/>
      <c r="J1979" s="10">
        <v>44680</v>
      </c>
      <c r="K1979" s="5" t="s">
        <v>124</v>
      </c>
      <c r="L1979" s="5" t="s">
        <v>58</v>
      </c>
      <c r="M1979" s="11">
        <v>0.10000000000000001</v>
      </c>
      <c r="N1979" s="5" t="e">
        <f>IF(AND(M1979&gt;#REF!,Cartera!O1979="Guaraníes"),"Rendimiento significativo",IF(AND(M1979&gt;#REF!,Cartera!O1979="Dólares americanos"),"Rendimiento significativo","Rendimiento no significativo"))</f>
        <v>#REF!</v>
      </c>
      <c r="O1979" s="5" t="s">
        <v>41</v>
      </c>
      <c r="P1979" s="12">
        <v>794520.54790000001</v>
      </c>
      <c r="Q1979" s="12">
        <f>IF(O1979="Guaraníes",P1979,P1979*#REF!)</f>
        <v>794520.54790000001</v>
      </c>
      <c r="R1979" s="12" t="e">
        <f>IF(O1979="Guaraníes",P1979/#REF!,P1979)</f>
        <v>#REF!</v>
      </c>
      <c r="S1979" s="5" t="s">
        <v>52</v>
      </c>
      <c r="T1979" s="5">
        <v>9243</v>
      </c>
      <c r="W1979" s="5" t="s">
        <v>65</v>
      </c>
      <c r="X1979" s="5">
        <v>0</v>
      </c>
      <c r="Y1979" s="5">
        <v>0</v>
      </c>
      <c r="Z1979" s="5">
        <v>7945.2054790000002</v>
      </c>
      <c r="AA1979" s="5">
        <v>100</v>
      </c>
      <c r="AB1979" s="5">
        <v>794520.54790000001</v>
      </c>
      <c r="AC1979" s="5" t="str">
        <f t="shared" si="97"/>
        <v>Bonos</v>
      </c>
      <c r="AD1979" s="5" t="s">
        <v>43</v>
      </c>
      <c r="AE1979" s="5">
        <f t="shared" si="95"/>
        <v>4</v>
      </c>
      <c r="AF1979" s="5">
        <f t="shared" si="96"/>
        <v>2022</v>
      </c>
    </row>
    <row r="1980" s="5" customFormat="1" ht="13">
      <c r="A1980" s="5" t="s">
        <v>44</v>
      </c>
      <c r="B1980" s="5" t="s">
        <v>44</v>
      </c>
      <c r="C1980" s="5" t="s">
        <v>164</v>
      </c>
      <c r="D1980" s="5" t="s">
        <v>21</v>
      </c>
      <c r="E1980" s="5" t="s">
        <v>44</v>
      </c>
      <c r="F1980" s="5" t="s">
        <v>68</v>
      </c>
      <c r="G1980" s="5" t="s">
        <v>141</v>
      </c>
      <c r="H1980" s="9" t="s">
        <v>167</v>
      </c>
      <c r="I1980" s="10"/>
      <c r="J1980" s="10">
        <v>44680</v>
      </c>
      <c r="K1980" s="5" t="s">
        <v>124</v>
      </c>
      <c r="L1980" s="5" t="s">
        <v>58</v>
      </c>
      <c r="M1980" s="11">
        <v>0.092499999999999999</v>
      </c>
      <c r="N1980" s="5" t="e">
        <f>IF(AND(M1980&gt;#REF!,Cartera!O1980="Guaraníes"),"Rendimiento significativo",IF(AND(M1980&gt;#REF!,Cartera!O1980="Dólares americanos"),"Rendimiento significativo","Rendimiento no significativo"))</f>
        <v>#REF!</v>
      </c>
      <c r="O1980" s="5" t="s">
        <v>41</v>
      </c>
      <c r="P1980" s="12">
        <v>734931.50679999997</v>
      </c>
      <c r="Q1980" s="12">
        <f>IF(O1980="Guaraníes",P1980,P1980*#REF!)</f>
        <v>734931.50679999997</v>
      </c>
      <c r="R1980" s="12" t="e">
        <f>IF(O1980="Guaraníes",P1980/#REF!,P1980)</f>
        <v>#REF!</v>
      </c>
      <c r="S1980" s="5" t="s">
        <v>52</v>
      </c>
      <c r="T1980" s="5">
        <v>9243</v>
      </c>
      <c r="W1980" s="5" t="s">
        <v>65</v>
      </c>
      <c r="X1980" s="5">
        <v>0</v>
      </c>
      <c r="Y1980" s="5">
        <v>0</v>
      </c>
      <c r="Z1980" s="5">
        <v>7349.3150679999999</v>
      </c>
      <c r="AA1980" s="5">
        <v>100</v>
      </c>
      <c r="AB1980" s="5">
        <v>734931.50679999997</v>
      </c>
      <c r="AC1980" s="5" t="str">
        <f t="shared" si="97"/>
        <v>Bonos</v>
      </c>
      <c r="AD1980" s="5" t="s">
        <v>43</v>
      </c>
      <c r="AE1980" s="5">
        <f t="shared" si="95"/>
        <v>4</v>
      </c>
      <c r="AF1980" s="5">
        <f t="shared" si="96"/>
        <v>2022</v>
      </c>
    </row>
    <row r="1981" s="5" customFormat="1" ht="13">
      <c r="A1981" s="5" t="s">
        <v>44</v>
      </c>
      <c r="B1981" s="5" t="s">
        <v>44</v>
      </c>
      <c r="C1981" s="5" t="s">
        <v>156</v>
      </c>
      <c r="D1981" s="5" t="s">
        <v>21</v>
      </c>
      <c r="E1981" s="5" t="s">
        <v>44</v>
      </c>
      <c r="F1981" s="5" t="s">
        <v>68</v>
      </c>
      <c r="G1981" s="5" t="s">
        <v>141</v>
      </c>
      <c r="H1981" s="9" t="s">
        <v>392</v>
      </c>
      <c r="I1981" s="10"/>
      <c r="J1981" s="10">
        <v>44698</v>
      </c>
      <c r="K1981" s="5" t="s">
        <v>158</v>
      </c>
      <c r="L1981" s="5" t="s">
        <v>58</v>
      </c>
      <c r="M1981" s="11">
        <v>0.14000000000000001</v>
      </c>
      <c r="N1981" s="5" t="e">
        <f>IF(AND(M1981&gt;#REF!,Cartera!O1981="Guaraníes"),"Rendimiento significativo",IF(AND(M1981&gt;#REF!,Cartera!O1981="Dólares americanos"),"Rendimiento significativo","Rendimiento no significativo"))</f>
        <v>#REF!</v>
      </c>
      <c r="O1981" s="5" t="s">
        <v>41</v>
      </c>
      <c r="P1981" s="12">
        <v>1078767.1232799999</v>
      </c>
      <c r="Q1981" s="12">
        <f>IF(O1981="Guaraníes",P1981,P1981*#REF!)</f>
        <v>1078767.1232799999</v>
      </c>
      <c r="R1981" s="12" t="e">
        <f>IF(O1981="Guaraníes",P1981/#REF!,P1981)</f>
        <v>#REF!</v>
      </c>
      <c r="S1981" s="5" t="s">
        <v>52</v>
      </c>
      <c r="T1981" s="5">
        <v>9243</v>
      </c>
      <c r="W1981" s="5" t="s">
        <v>65</v>
      </c>
      <c r="X1981" s="5">
        <v>0</v>
      </c>
      <c r="Y1981" s="5">
        <v>0</v>
      </c>
      <c r="Z1981" s="5">
        <v>30821.917807999998</v>
      </c>
      <c r="AA1981" s="5">
        <v>35</v>
      </c>
      <c r="AB1981" s="5">
        <v>1078767.1232799999</v>
      </c>
      <c r="AC1981" s="5" t="str">
        <f t="shared" si="97"/>
        <v>Bonos</v>
      </c>
      <c r="AD1981" s="5" t="s">
        <v>43</v>
      </c>
      <c r="AE1981" s="5">
        <f t="shared" si="95"/>
        <v>5</v>
      </c>
      <c r="AF1981" s="5">
        <f t="shared" si="96"/>
        <v>2022</v>
      </c>
    </row>
    <row r="1982" s="5" customFormat="1" ht="13">
      <c r="A1982" s="5" t="s">
        <v>44</v>
      </c>
      <c r="B1982" s="5" t="s">
        <v>44</v>
      </c>
      <c r="C1982" s="5" t="s">
        <v>164</v>
      </c>
      <c r="D1982" s="5" t="s">
        <v>21</v>
      </c>
      <c r="E1982" s="5" t="s">
        <v>44</v>
      </c>
      <c r="F1982" s="5" t="s">
        <v>68</v>
      </c>
      <c r="G1982" s="5" t="s">
        <v>141</v>
      </c>
      <c r="H1982" s="9" t="s">
        <v>165</v>
      </c>
      <c r="I1982" s="10"/>
      <c r="J1982" s="10">
        <v>44712</v>
      </c>
      <c r="K1982" s="5" t="s">
        <v>124</v>
      </c>
      <c r="L1982" s="5" t="s">
        <v>58</v>
      </c>
      <c r="M1982" s="11">
        <v>0.10000000000000001</v>
      </c>
      <c r="N1982" s="5" t="e">
        <f>IF(AND(M1982&gt;#REF!,Cartera!O1982="Guaraníes"),"Rendimiento significativo",IF(AND(M1982&gt;#REF!,Cartera!O1982="Dólares americanos"),"Rendimiento significativo","Rendimiento no significativo"))</f>
        <v>#REF!</v>
      </c>
      <c r="O1982" s="5" t="s">
        <v>41</v>
      </c>
      <c r="P1982" s="12">
        <v>876712.32880000002</v>
      </c>
      <c r="Q1982" s="12">
        <f>IF(O1982="Guaraníes",P1982,P1982*#REF!)</f>
        <v>876712.32880000002</v>
      </c>
      <c r="R1982" s="12" t="e">
        <f>IF(O1982="Guaraníes",P1982/#REF!,P1982)</f>
        <v>#REF!</v>
      </c>
      <c r="S1982" s="5" t="s">
        <v>52</v>
      </c>
      <c r="T1982" s="5">
        <v>9243</v>
      </c>
      <c r="W1982" s="5" t="s">
        <v>65</v>
      </c>
      <c r="X1982" s="5">
        <v>0</v>
      </c>
      <c r="Y1982" s="5">
        <v>0</v>
      </c>
      <c r="Z1982" s="5">
        <v>8767.1232880000007</v>
      </c>
      <c r="AA1982" s="5">
        <v>100</v>
      </c>
      <c r="AB1982" s="5">
        <v>876712.32880000002</v>
      </c>
      <c r="AC1982" s="5" t="str">
        <f t="shared" si="97"/>
        <v>Bonos</v>
      </c>
      <c r="AD1982" s="5" t="s">
        <v>43</v>
      </c>
      <c r="AE1982" s="5">
        <f t="shared" si="95"/>
        <v>5</v>
      </c>
      <c r="AF1982" s="5">
        <f t="shared" si="96"/>
        <v>2022</v>
      </c>
    </row>
    <row r="1983" s="5" customFormat="1" ht="13">
      <c r="A1983" s="5" t="s">
        <v>44</v>
      </c>
      <c r="B1983" s="5" t="s">
        <v>44</v>
      </c>
      <c r="C1983" s="5" t="s">
        <v>164</v>
      </c>
      <c r="D1983" s="5" t="s">
        <v>21</v>
      </c>
      <c r="E1983" s="5" t="s">
        <v>44</v>
      </c>
      <c r="F1983" s="5" t="s">
        <v>68</v>
      </c>
      <c r="G1983" s="5" t="s">
        <v>141</v>
      </c>
      <c r="H1983" s="9" t="s">
        <v>167</v>
      </c>
      <c r="I1983" s="10"/>
      <c r="J1983" s="10">
        <v>44712</v>
      </c>
      <c r="K1983" s="5" t="s">
        <v>124</v>
      </c>
      <c r="L1983" s="5" t="s">
        <v>58</v>
      </c>
      <c r="M1983" s="11">
        <v>0.092499999999999999</v>
      </c>
      <c r="N1983" s="5" t="e">
        <f>IF(AND(M1983&gt;#REF!,Cartera!O1983="Guaraníes"),"Rendimiento significativo",IF(AND(M1983&gt;#REF!,Cartera!O1983="Dólares americanos"),"Rendimiento significativo","Rendimiento no significativo"))</f>
        <v>#REF!</v>
      </c>
      <c r="O1983" s="5" t="s">
        <v>41</v>
      </c>
      <c r="P1983" s="12">
        <v>810958.90410000004</v>
      </c>
      <c r="Q1983" s="12">
        <f>IF(O1983="Guaraníes",P1983,P1983*#REF!)</f>
        <v>810958.90410000004</v>
      </c>
      <c r="R1983" s="12" t="e">
        <f>IF(O1983="Guaraníes",P1983/#REF!,P1983)</f>
        <v>#REF!</v>
      </c>
      <c r="S1983" s="5" t="s">
        <v>52</v>
      </c>
      <c r="T1983" s="5">
        <v>9243</v>
      </c>
      <c r="W1983" s="5" t="s">
        <v>65</v>
      </c>
      <c r="X1983" s="5">
        <v>0</v>
      </c>
      <c r="Y1983" s="5">
        <v>0</v>
      </c>
      <c r="Z1983" s="5">
        <v>8109.5890410000002</v>
      </c>
      <c r="AA1983" s="5">
        <v>100</v>
      </c>
      <c r="AB1983" s="5">
        <v>810958.90410000004</v>
      </c>
      <c r="AC1983" s="5" t="str">
        <f t="shared" si="97"/>
        <v>Bonos</v>
      </c>
      <c r="AD1983" s="5" t="s">
        <v>43</v>
      </c>
      <c r="AE1983" s="5">
        <f t="shared" si="95"/>
        <v>5</v>
      </c>
      <c r="AF1983" s="5">
        <f t="shared" si="96"/>
        <v>2022</v>
      </c>
    </row>
    <row r="1984" s="5" customFormat="1" ht="13">
      <c r="A1984" s="5" t="s">
        <v>44</v>
      </c>
      <c r="B1984" s="5" t="s">
        <v>44</v>
      </c>
      <c r="C1984" s="5" t="s">
        <v>389</v>
      </c>
      <c r="D1984" s="5" t="s">
        <v>21</v>
      </c>
      <c r="E1984" s="5" t="s">
        <v>44</v>
      </c>
      <c r="F1984" s="5" t="s">
        <v>68</v>
      </c>
      <c r="G1984" s="5" t="s">
        <v>141</v>
      </c>
      <c r="H1984" s="9" t="s">
        <v>390</v>
      </c>
      <c r="I1984" s="10"/>
      <c r="J1984" s="10">
        <v>44713</v>
      </c>
      <c r="K1984" s="5" t="s">
        <v>391</v>
      </c>
      <c r="L1984" s="5" t="s">
        <v>58</v>
      </c>
      <c r="M1984" s="11">
        <v>0.1125</v>
      </c>
      <c r="N1984" s="5" t="e">
        <f>IF(AND(M1984&gt;#REF!,Cartera!O1984="Guaraníes"),"Rendimiento significativo",IF(AND(M1984&gt;#REF!,Cartera!O1984="Dólares americanos"),"Rendimiento significativo","Rendimiento no significativo"))</f>
        <v>#REF!</v>
      </c>
      <c r="O1984" s="5" t="s">
        <v>41</v>
      </c>
      <c r="P1984" s="12">
        <v>841438.35615000001</v>
      </c>
      <c r="Q1984" s="12">
        <f>IF(O1984="Guaraníes",P1984,P1984*#REF!)</f>
        <v>841438.35615000001</v>
      </c>
      <c r="R1984" s="12" t="e">
        <f>IF(O1984="Guaraníes",P1984/#REF!,P1984)</f>
        <v>#REF!</v>
      </c>
      <c r="S1984" s="5" t="s">
        <v>52</v>
      </c>
      <c r="T1984" s="5">
        <v>9243</v>
      </c>
      <c r="W1984" s="5" t="s">
        <v>65</v>
      </c>
      <c r="X1984" s="5">
        <v>0</v>
      </c>
      <c r="Y1984" s="5">
        <v>0</v>
      </c>
      <c r="Z1984" s="5">
        <v>28047.945205</v>
      </c>
      <c r="AA1984" s="5">
        <v>30</v>
      </c>
      <c r="AB1984" s="5">
        <v>841438.35615000001</v>
      </c>
      <c r="AC1984" s="5" t="str">
        <f t="shared" si="97"/>
        <v>Bonos</v>
      </c>
      <c r="AD1984" s="5" t="s">
        <v>43</v>
      </c>
      <c r="AE1984" s="5">
        <f t="shared" si="95"/>
        <v>6</v>
      </c>
      <c r="AF1984" s="5">
        <f t="shared" si="96"/>
        <v>2022</v>
      </c>
    </row>
    <row r="1985" s="5" customFormat="1" ht="13">
      <c r="A1985" s="5" t="s">
        <v>44</v>
      </c>
      <c r="B1985" s="5" t="s">
        <v>44</v>
      </c>
      <c r="C1985" s="5" t="s">
        <v>164</v>
      </c>
      <c r="D1985" s="5" t="s">
        <v>21</v>
      </c>
      <c r="E1985" s="5" t="s">
        <v>44</v>
      </c>
      <c r="F1985" s="5" t="s">
        <v>68</v>
      </c>
      <c r="G1985" s="5" t="s">
        <v>141</v>
      </c>
      <c r="H1985" s="9" t="s">
        <v>393</v>
      </c>
      <c r="I1985" s="10"/>
      <c r="J1985" s="10">
        <v>44718</v>
      </c>
      <c r="K1985" s="5" t="s">
        <v>124</v>
      </c>
      <c r="L1985" s="5" t="s">
        <v>58</v>
      </c>
      <c r="M1985" s="11">
        <v>0.087499999999999994</v>
      </c>
      <c r="N1985" s="5" t="e">
        <f>IF(AND(M1985&gt;#REF!,Cartera!O1985="Guaraníes"),"Rendimiento significativo",IF(AND(M1985&gt;#REF!,Cartera!O1985="Dólares americanos"),"Rendimiento significativo","Rendimiento no significativo"))</f>
        <v>#REF!</v>
      </c>
      <c r="O1985" s="5" t="s">
        <v>41</v>
      </c>
      <c r="P1985" s="12">
        <v>10907534.2465</v>
      </c>
      <c r="Q1985" s="12">
        <f>IF(O1985="Guaraníes",P1985,P1985*#REF!)</f>
        <v>10907534.2465</v>
      </c>
      <c r="R1985" s="12" t="e">
        <f>IF(O1985="Guaraníes",P1985/#REF!,P1985)</f>
        <v>#REF!</v>
      </c>
      <c r="S1985" s="5" t="s">
        <v>52</v>
      </c>
      <c r="T1985" s="5">
        <v>9243</v>
      </c>
      <c r="W1985" s="5" t="s">
        <v>65</v>
      </c>
      <c r="X1985" s="5">
        <v>0</v>
      </c>
      <c r="Y1985" s="5">
        <v>0</v>
      </c>
      <c r="Z1985" s="5">
        <v>21815.068492999999</v>
      </c>
      <c r="AA1985" s="5">
        <v>500</v>
      </c>
      <c r="AB1985" s="5">
        <v>10907534.2465</v>
      </c>
      <c r="AC1985" s="5" t="str">
        <f t="shared" si="97"/>
        <v>Bonos</v>
      </c>
      <c r="AD1985" s="5" t="s">
        <v>43</v>
      </c>
      <c r="AE1985" s="5">
        <f t="shared" si="95"/>
        <v>6</v>
      </c>
      <c r="AF1985" s="5">
        <f t="shared" si="96"/>
        <v>2022</v>
      </c>
    </row>
    <row r="1986" s="5" customFormat="1" ht="13">
      <c r="A1986" s="5" t="s">
        <v>44</v>
      </c>
      <c r="B1986" s="5" t="s">
        <v>44</v>
      </c>
      <c r="C1986" s="5" t="s">
        <v>189</v>
      </c>
      <c r="D1986" s="5" t="s">
        <v>21</v>
      </c>
      <c r="E1986" s="5" t="s">
        <v>44</v>
      </c>
      <c r="F1986" s="5" t="s">
        <v>190</v>
      </c>
      <c r="G1986" s="5" t="s">
        <v>141</v>
      </c>
      <c r="H1986" s="9" t="s">
        <v>191</v>
      </c>
      <c r="I1986" s="10"/>
      <c r="J1986" s="10">
        <v>44736</v>
      </c>
      <c r="K1986" s="5" t="s">
        <v>77</v>
      </c>
      <c r="L1986" s="5" t="s">
        <v>58</v>
      </c>
      <c r="M1986" s="11">
        <v>0.089999999999999997</v>
      </c>
      <c r="N1986" s="5" t="e">
        <f>IF(AND(M1986&gt;#REF!,Cartera!O1986="Guaraníes"),"Rendimiento significativo",IF(AND(M1986&gt;#REF!,Cartera!O1986="Dólares americanos"),"Rendimiento significativo","Rendimiento no significativo"))</f>
        <v>#REF!</v>
      </c>
      <c r="O1986" s="5" t="s">
        <v>41</v>
      </c>
      <c r="P1986" s="12">
        <v>6731506.8480000002</v>
      </c>
      <c r="Q1986" s="12">
        <f>IF(O1986="Guaraníes",P1986,P1986*#REF!)</f>
        <v>6731506.8480000002</v>
      </c>
      <c r="R1986" s="12" t="e">
        <f>IF(O1986="Guaraníes",P1986/#REF!,P1986)</f>
        <v>#REF!</v>
      </c>
      <c r="S1986" s="5" t="s">
        <v>52</v>
      </c>
      <c r="T1986" s="5">
        <v>9243</v>
      </c>
      <c r="W1986" s="5" t="s">
        <v>65</v>
      </c>
      <c r="X1986" s="5">
        <v>0</v>
      </c>
      <c r="Y1986" s="5">
        <v>0</v>
      </c>
      <c r="Z1986" s="5">
        <v>22438.356159999999</v>
      </c>
      <c r="AA1986" s="5">
        <v>300</v>
      </c>
      <c r="AB1986" s="5">
        <v>6731506.8490000004</v>
      </c>
      <c r="AC1986" s="5" t="str">
        <f t="shared" si="97"/>
        <v>Bonos</v>
      </c>
      <c r="AD1986" s="5" t="s">
        <v>43</v>
      </c>
      <c r="AE1986" s="5">
        <f t="shared" si="95"/>
        <v>6</v>
      </c>
      <c r="AF1986" s="5">
        <f t="shared" si="96"/>
        <v>2022</v>
      </c>
    </row>
    <row r="1987" s="5" customFormat="1" ht="13">
      <c r="A1987" s="5" t="s">
        <v>44</v>
      </c>
      <c r="B1987" s="5" t="s">
        <v>44</v>
      </c>
      <c r="C1987" s="5" t="s">
        <v>164</v>
      </c>
      <c r="D1987" s="5" t="s">
        <v>21</v>
      </c>
      <c r="E1987" s="5" t="s">
        <v>44</v>
      </c>
      <c r="F1987" s="5" t="s">
        <v>68</v>
      </c>
      <c r="G1987" s="5" t="s">
        <v>141</v>
      </c>
      <c r="H1987" s="9" t="s">
        <v>165</v>
      </c>
      <c r="I1987" s="10"/>
      <c r="J1987" s="10">
        <v>44742</v>
      </c>
      <c r="K1987" s="5" t="s">
        <v>124</v>
      </c>
      <c r="L1987" s="5" t="s">
        <v>58</v>
      </c>
      <c r="M1987" s="11">
        <v>0.10000000000000001</v>
      </c>
      <c r="N1987" s="5" t="e">
        <f>IF(AND(M1987&gt;#REF!,Cartera!O1987="Guaraníes"),"Rendimiento significativo",IF(AND(M1987&gt;#REF!,Cartera!O1987="Dólares americanos"),"Rendimiento significativo","Rendimiento no significativo"))</f>
        <v>#REF!</v>
      </c>
      <c r="O1987" s="5" t="s">
        <v>41</v>
      </c>
      <c r="P1987" s="12">
        <v>821917.80820000009</v>
      </c>
      <c r="Q1987" s="12">
        <f>IF(O1987="Guaraníes",P1987,P1987*#REF!)</f>
        <v>821917.80820000009</v>
      </c>
      <c r="R1987" s="12" t="e">
        <f>IF(O1987="Guaraníes",P1987/#REF!,P1987)</f>
        <v>#REF!</v>
      </c>
      <c r="S1987" s="5" t="s">
        <v>52</v>
      </c>
      <c r="T1987" s="5">
        <v>9243</v>
      </c>
      <c r="W1987" s="5" t="s">
        <v>65</v>
      </c>
      <c r="X1987" s="5">
        <v>0</v>
      </c>
      <c r="Y1987" s="5">
        <v>0</v>
      </c>
      <c r="Z1987" s="5">
        <v>8219.1780820000004</v>
      </c>
      <c r="AA1987" s="5">
        <v>100</v>
      </c>
      <c r="AB1987" s="5">
        <v>821917.80819999997</v>
      </c>
      <c r="AC1987" s="5" t="str">
        <f t="shared" si="97"/>
        <v>Bonos</v>
      </c>
      <c r="AD1987" s="5" t="s">
        <v>43</v>
      </c>
      <c r="AE1987" s="5">
        <f t="shared" si="95"/>
        <v>6</v>
      </c>
      <c r="AF1987" s="5">
        <f t="shared" si="96"/>
        <v>2022</v>
      </c>
    </row>
    <row r="1988" s="5" customFormat="1" ht="13">
      <c r="A1988" s="5" t="s">
        <v>44</v>
      </c>
      <c r="B1988" s="5" t="s">
        <v>44</v>
      </c>
      <c r="C1988" s="5" t="s">
        <v>164</v>
      </c>
      <c r="D1988" s="5" t="s">
        <v>21</v>
      </c>
      <c r="E1988" s="5" t="s">
        <v>44</v>
      </c>
      <c r="F1988" s="5" t="s">
        <v>68</v>
      </c>
      <c r="G1988" s="5" t="s">
        <v>141</v>
      </c>
      <c r="H1988" s="9" t="s">
        <v>167</v>
      </c>
      <c r="I1988" s="10"/>
      <c r="J1988" s="10">
        <v>44742</v>
      </c>
      <c r="K1988" s="5" t="s">
        <v>124</v>
      </c>
      <c r="L1988" s="5" t="s">
        <v>58</v>
      </c>
      <c r="M1988" s="11">
        <v>0.092499999999999999</v>
      </c>
      <c r="N1988" s="5" t="e">
        <f>IF(AND(M1988&gt;#REF!,Cartera!O1988="Guaraníes"),"Rendimiento significativo",IF(AND(M1988&gt;#REF!,Cartera!O1988="Dólares americanos"),"Rendimiento significativo","Rendimiento no significativo"))</f>
        <v>#REF!</v>
      </c>
      <c r="O1988" s="5" t="s">
        <v>41</v>
      </c>
      <c r="P1988" s="12">
        <v>760273.97259999998</v>
      </c>
      <c r="Q1988" s="12">
        <f>IF(O1988="Guaraníes",P1988,P1988*#REF!)</f>
        <v>760273.97259999998</v>
      </c>
      <c r="R1988" s="12" t="e">
        <f>IF(O1988="Guaraníes",P1988/#REF!,P1988)</f>
        <v>#REF!</v>
      </c>
      <c r="S1988" s="5" t="s">
        <v>52</v>
      </c>
      <c r="T1988" s="5">
        <v>9243</v>
      </c>
      <c r="W1988" s="5" t="s">
        <v>65</v>
      </c>
      <c r="X1988" s="5">
        <v>0</v>
      </c>
      <c r="Y1988" s="5">
        <v>0</v>
      </c>
      <c r="Z1988" s="5">
        <v>7602.7397259999998</v>
      </c>
      <c r="AA1988" s="5">
        <v>100</v>
      </c>
      <c r="AB1988" s="5">
        <v>760273.97259999998</v>
      </c>
      <c r="AC1988" s="5" t="str">
        <f t="shared" si="97"/>
        <v>Bonos</v>
      </c>
      <c r="AD1988" s="5" t="s">
        <v>43</v>
      </c>
      <c r="AE1988" s="5">
        <f t="shared" si="95"/>
        <v>6</v>
      </c>
      <c r="AF1988" s="5">
        <f t="shared" si="96"/>
        <v>2022</v>
      </c>
    </row>
    <row r="1989" s="5" customFormat="1" ht="13">
      <c r="A1989" s="5">
        <v>12316</v>
      </c>
      <c r="B1989" s="5" t="s">
        <v>78</v>
      </c>
      <c r="C1989" s="5" t="s">
        <v>183</v>
      </c>
      <c r="D1989" s="5" t="s">
        <v>21</v>
      </c>
      <c r="E1989" s="5" t="s">
        <v>34</v>
      </c>
      <c r="F1989" s="5" t="s">
        <v>184</v>
      </c>
      <c r="H1989" s="9">
        <v>6389</v>
      </c>
      <c r="I1989" s="10"/>
      <c r="J1989" s="10">
        <v>46153</v>
      </c>
      <c r="K1989" s="5" t="s">
        <v>124</v>
      </c>
      <c r="L1989" s="5" t="s">
        <v>82</v>
      </c>
      <c r="M1989" s="11">
        <v>0.079000000000000001</v>
      </c>
      <c r="N1989" s="5" t="e">
        <f>IF(AND(M1989&gt;#REF!,Cartera!O1989="Guaraníes"),"Rendimiento significativo",IF(AND(M1989&gt;#REF!,Cartera!O1989="Dólares americanos"),"Rendimiento significativo","Rendimiento no significativo"))</f>
        <v>#REF!</v>
      </c>
      <c r="O1989" s="5" t="s">
        <v>41</v>
      </c>
      <c r="P1989" s="12">
        <v>9848020</v>
      </c>
      <c r="Q1989" s="12">
        <f>IF(O1989="Guaraníes",P1989,P1989*#REF!)</f>
        <v>9848020</v>
      </c>
      <c r="R1989" s="12" t="e">
        <f>IF(O1989="Guaraníes",P1989/#REF!,P1989)</f>
        <v>#REF!</v>
      </c>
      <c r="S1989" s="5" t="s">
        <v>42</v>
      </c>
      <c r="V1989" s="5">
        <v>9848020</v>
      </c>
      <c r="W1989" s="5" t="s">
        <v>387</v>
      </c>
      <c r="AC1989" s="5" t="str">
        <f t="shared" si="97"/>
        <v>CDA</v>
      </c>
      <c r="AD1989" s="5" t="s">
        <v>43</v>
      </c>
      <c r="AE1989" s="5">
        <f t="shared" si="95"/>
        <v>5</v>
      </c>
      <c r="AF1989" s="5">
        <f t="shared" si="96"/>
        <v>2026</v>
      </c>
    </row>
    <row r="1990" s="5" customFormat="1" ht="13">
      <c r="A1990" s="5">
        <v>12302</v>
      </c>
      <c r="B1990" s="5" t="s">
        <v>98</v>
      </c>
      <c r="C1990" s="5" t="s">
        <v>85</v>
      </c>
      <c r="D1990" s="5" t="s">
        <v>20</v>
      </c>
      <c r="E1990" s="5" t="s">
        <v>34</v>
      </c>
      <c r="F1990" s="5" t="s">
        <v>68</v>
      </c>
      <c r="G1990" s="5" t="s">
        <v>86</v>
      </c>
      <c r="H1990" s="9" t="s">
        <v>87</v>
      </c>
      <c r="I1990" s="10"/>
      <c r="J1990" s="10">
        <v>47129</v>
      </c>
      <c r="K1990" s="5" t="s">
        <v>39</v>
      </c>
      <c r="L1990" s="5" t="s">
        <v>58</v>
      </c>
      <c r="M1990" s="11">
        <v>0.059999999999999998</v>
      </c>
      <c r="N1990" s="5" t="e">
        <f>IF(AND(M1990&gt;#REF!,Cartera!O1990="Guaraníes"),"Rendimiento significativo",IF(AND(M1990&gt;#REF!,Cartera!O1990="Dólares americanos"),"Rendimiento significativo","Rendimiento no significativo"))</f>
        <v>#REF!</v>
      </c>
      <c r="O1990" s="5" t="s">
        <v>51</v>
      </c>
      <c r="P1990" s="13">
        <v>50000</v>
      </c>
      <c r="Q1990" s="12" t="e">
        <f>IF(O1990="Guaraníes",P1990,P1990*#REF!)</f>
        <v>#REF!</v>
      </c>
      <c r="R1990" s="12">
        <f>IF(O1990="Guaraníes",P1990/#REF!,P1990)</f>
        <v>50000</v>
      </c>
      <c r="S1990" s="5" t="s">
        <v>42</v>
      </c>
      <c r="T1990" s="5">
        <v>10834</v>
      </c>
      <c r="W1990" s="5" t="s">
        <v>394</v>
      </c>
      <c r="X1990" s="5">
        <v>0</v>
      </c>
      <c r="Y1990" s="5">
        <v>0</v>
      </c>
      <c r="Z1990" s="5">
        <v>14.958904</v>
      </c>
      <c r="AA1990" s="5">
        <v>50</v>
      </c>
      <c r="AB1990" s="5">
        <v>747.9452</v>
      </c>
      <c r="AC1990" s="5" t="str">
        <f t="shared" si="97"/>
        <v>Bonos</v>
      </c>
      <c r="AD1990" s="5" t="s">
        <v>43</v>
      </c>
      <c r="AE1990" s="5">
        <f t="shared" si="95"/>
        <v>1</v>
      </c>
      <c r="AF1990" s="5">
        <f t="shared" si="96"/>
        <v>2029</v>
      </c>
    </row>
    <row r="1991" s="5" customFormat="1" ht="13">
      <c r="A1991" s="5" t="s">
        <v>44</v>
      </c>
      <c r="B1991" s="5" t="s">
        <v>44</v>
      </c>
      <c r="C1991" s="5" t="s">
        <v>156</v>
      </c>
      <c r="D1991" s="5" t="s">
        <v>21</v>
      </c>
      <c r="E1991" s="5" t="s">
        <v>44</v>
      </c>
      <c r="F1991" s="5" t="s">
        <v>68</v>
      </c>
      <c r="G1991" s="5" t="s">
        <v>141</v>
      </c>
      <c r="H1991" s="9" t="s">
        <v>392</v>
      </c>
      <c r="I1991" s="10"/>
      <c r="J1991" s="10">
        <v>44790</v>
      </c>
      <c r="K1991" s="5" t="s">
        <v>158</v>
      </c>
      <c r="L1991" s="5" t="s">
        <v>58</v>
      </c>
      <c r="M1991" s="11">
        <v>0.14000000000000001</v>
      </c>
      <c r="N1991" s="5" t="e">
        <f>IF(AND(M1991&gt;#REF!,Cartera!O1991="Guaraníes"),"Rendimiento significativo",IF(AND(M1991&gt;#REF!,Cartera!O1991="Dólares americanos"),"Rendimiento significativo","Rendimiento no significativo"))</f>
        <v>#REF!</v>
      </c>
      <c r="O1991" s="5" t="s">
        <v>41</v>
      </c>
      <c r="P1991" s="12">
        <v>1102739.726025</v>
      </c>
      <c r="Q1991" s="12">
        <f>IF(O1991="Guaraníes",P1991,P1991*#REF!)</f>
        <v>1102739.726025</v>
      </c>
      <c r="R1991" s="12" t="e">
        <f>IF(O1991="Guaraníes",P1991/#REF!,P1991)</f>
        <v>#REF!</v>
      </c>
      <c r="S1991" s="5" t="s">
        <v>52</v>
      </c>
      <c r="T1991" s="5">
        <v>9243</v>
      </c>
      <c r="W1991" s="5" t="s">
        <v>65</v>
      </c>
      <c r="X1991" s="5">
        <v>0</v>
      </c>
      <c r="Y1991" s="5">
        <v>0</v>
      </c>
      <c r="Z1991" s="5">
        <v>31506.849314999999</v>
      </c>
      <c r="AA1991" s="5">
        <v>35</v>
      </c>
      <c r="AB1991" s="5">
        <v>1102739.726025</v>
      </c>
      <c r="AC1991" s="5" t="str">
        <f t="shared" si="97"/>
        <v>Bonos</v>
      </c>
      <c r="AD1991" s="5" t="s">
        <v>43</v>
      </c>
      <c r="AE1991" s="5">
        <f t="shared" si="95"/>
        <v>8</v>
      </c>
      <c r="AF1991" s="5">
        <f t="shared" si="96"/>
        <v>2022</v>
      </c>
    </row>
    <row r="1992" s="5" customFormat="1" ht="13">
      <c r="A1992" s="5" t="s">
        <v>44</v>
      </c>
      <c r="B1992" s="5" t="s">
        <v>44</v>
      </c>
      <c r="C1992" s="5" t="s">
        <v>389</v>
      </c>
      <c r="D1992" s="5" t="s">
        <v>21</v>
      </c>
      <c r="E1992" s="5" t="s">
        <v>44</v>
      </c>
      <c r="F1992" s="5" t="s">
        <v>68</v>
      </c>
      <c r="G1992" s="5" t="s">
        <v>141</v>
      </c>
      <c r="H1992" s="9" t="s">
        <v>390</v>
      </c>
      <c r="I1992" s="10"/>
      <c r="J1992" s="10">
        <v>44804</v>
      </c>
      <c r="K1992" s="5" t="s">
        <v>391</v>
      </c>
      <c r="L1992" s="5" t="s">
        <v>58</v>
      </c>
      <c r="M1992" s="11">
        <v>0.1125</v>
      </c>
      <c r="N1992" s="5" t="e">
        <f>IF(AND(M1992&gt;#REF!,Cartera!O1992="Guaraníes"),"Rendimiento significativo",IF(AND(M1992&gt;#REF!,Cartera!O1992="Dólares americanos"),"Rendimiento significativo","Rendimiento no significativo"))</f>
        <v>#REF!</v>
      </c>
      <c r="O1992" s="5" t="s">
        <v>41</v>
      </c>
      <c r="P1992" s="12">
        <v>841438.35615000001</v>
      </c>
      <c r="Q1992" s="12">
        <f>IF(O1992="Guaraníes",P1992,P1992*#REF!)</f>
        <v>841438.35615000001</v>
      </c>
      <c r="R1992" s="12" t="e">
        <f>IF(O1992="Guaraníes",P1992/#REF!,P1992)</f>
        <v>#REF!</v>
      </c>
      <c r="S1992" s="5" t="s">
        <v>52</v>
      </c>
      <c r="T1992" s="5">
        <v>9243</v>
      </c>
      <c r="W1992" s="5" t="s">
        <v>65</v>
      </c>
      <c r="X1992" s="5">
        <v>0</v>
      </c>
      <c r="Y1992" s="5">
        <v>0</v>
      </c>
      <c r="Z1992" s="5">
        <v>28047.945205</v>
      </c>
      <c r="AA1992" s="5">
        <v>30</v>
      </c>
      <c r="AB1992" s="5">
        <v>841438.35615000001</v>
      </c>
      <c r="AC1992" s="5" t="str">
        <f t="shared" si="97"/>
        <v>Bonos</v>
      </c>
      <c r="AD1992" s="5" t="s">
        <v>43</v>
      </c>
      <c r="AE1992" s="5">
        <f t="shared" si="95"/>
        <v>8</v>
      </c>
      <c r="AF1992" s="5">
        <f t="shared" si="96"/>
        <v>2022</v>
      </c>
    </row>
    <row r="1993" s="5" customFormat="1" ht="13">
      <c r="A1993" s="5" t="s">
        <v>44</v>
      </c>
      <c r="B1993" s="5" t="s">
        <v>44</v>
      </c>
      <c r="C1993" s="5" t="s">
        <v>164</v>
      </c>
      <c r="D1993" s="5" t="s">
        <v>21</v>
      </c>
      <c r="E1993" s="5" t="s">
        <v>44</v>
      </c>
      <c r="F1993" s="5" t="s">
        <v>68</v>
      </c>
      <c r="G1993" s="5" t="s">
        <v>141</v>
      </c>
      <c r="H1993" s="9" t="s">
        <v>165</v>
      </c>
      <c r="I1993" s="10"/>
      <c r="J1993" s="10">
        <v>44804</v>
      </c>
      <c r="K1993" s="5" t="s">
        <v>124</v>
      </c>
      <c r="L1993" s="5" t="s">
        <v>58</v>
      </c>
      <c r="M1993" s="11">
        <v>0.10000000000000001</v>
      </c>
      <c r="N1993" s="5" t="e">
        <f>IF(AND(M1993&gt;#REF!,Cartera!O1993="Guaraníes"),"Rendimiento significativo",IF(AND(M1993&gt;#REF!,Cartera!O1993="Dólares americanos"),"Rendimiento significativo","Rendimiento no significativo"))</f>
        <v>#REF!</v>
      </c>
      <c r="O1993" s="5" t="s">
        <v>41</v>
      </c>
      <c r="P1993" s="12">
        <v>904109.58900000004</v>
      </c>
      <c r="Q1993" s="12">
        <f>IF(O1993="Guaraníes",P1993,P1993*#REF!)</f>
        <v>904109.58900000004</v>
      </c>
      <c r="R1993" s="12" t="e">
        <f>IF(O1993="Guaraníes",P1993/#REF!,P1993)</f>
        <v>#REF!</v>
      </c>
      <c r="S1993" s="5" t="s">
        <v>52</v>
      </c>
      <c r="T1993" s="5">
        <v>9243</v>
      </c>
      <c r="W1993" s="5" t="s">
        <v>65</v>
      </c>
      <c r="X1993" s="5">
        <v>0</v>
      </c>
      <c r="Y1993" s="5">
        <v>0</v>
      </c>
      <c r="Z1993" s="5">
        <v>9041.0958900000005</v>
      </c>
      <c r="AA1993" s="5">
        <v>100</v>
      </c>
      <c r="AB1993" s="5">
        <v>904109.58900000004</v>
      </c>
      <c r="AC1993" s="5" t="str">
        <f t="shared" si="97"/>
        <v>Bonos</v>
      </c>
      <c r="AD1993" s="5" t="s">
        <v>43</v>
      </c>
      <c r="AE1993" s="5">
        <f t="shared" si="95"/>
        <v>8</v>
      </c>
      <c r="AF1993" s="5">
        <f t="shared" si="96"/>
        <v>2022</v>
      </c>
    </row>
    <row r="1994" s="5" customFormat="1" ht="13">
      <c r="A1994" s="5" t="s">
        <v>44</v>
      </c>
      <c r="B1994" s="5" t="s">
        <v>44</v>
      </c>
      <c r="C1994" s="5" t="s">
        <v>164</v>
      </c>
      <c r="D1994" s="5" t="s">
        <v>21</v>
      </c>
      <c r="E1994" s="5" t="s">
        <v>44</v>
      </c>
      <c r="F1994" s="5" t="s">
        <v>68</v>
      </c>
      <c r="G1994" s="5" t="s">
        <v>141</v>
      </c>
      <c r="H1994" s="9" t="s">
        <v>167</v>
      </c>
      <c r="I1994" s="10"/>
      <c r="J1994" s="10">
        <v>44804</v>
      </c>
      <c r="K1994" s="5" t="s">
        <v>124</v>
      </c>
      <c r="L1994" s="5" t="s">
        <v>58</v>
      </c>
      <c r="M1994" s="11">
        <v>0.092499999999999999</v>
      </c>
      <c r="N1994" s="5" t="e">
        <f>IF(AND(M1994&gt;#REF!,Cartera!O1994="Guaraníes"),"Rendimiento significativo",IF(AND(M1994&gt;#REF!,Cartera!O1994="Dólares americanos"),"Rendimiento significativo","Rendimiento no significativo"))</f>
        <v>#REF!</v>
      </c>
      <c r="O1994" s="5" t="s">
        <v>41</v>
      </c>
      <c r="P1994" s="12">
        <v>836301.36989999993</v>
      </c>
      <c r="Q1994" s="12">
        <f>IF(O1994="Guaraníes",P1994,P1994*#REF!)</f>
        <v>836301.36989999993</v>
      </c>
      <c r="R1994" s="12" t="e">
        <f>IF(O1994="Guaraníes",P1994/#REF!,P1994)</f>
        <v>#REF!</v>
      </c>
      <c r="S1994" s="5" t="s">
        <v>52</v>
      </c>
      <c r="T1994" s="5">
        <v>9243</v>
      </c>
      <c r="W1994" s="5" t="s">
        <v>65</v>
      </c>
      <c r="X1994" s="5">
        <v>0</v>
      </c>
      <c r="Y1994" s="5">
        <v>0</v>
      </c>
      <c r="Z1994" s="5">
        <v>8363.0136989999992</v>
      </c>
      <c r="AA1994" s="5">
        <v>100</v>
      </c>
      <c r="AB1994" s="5">
        <v>836301.36990000005</v>
      </c>
      <c r="AC1994" s="5" t="str">
        <f t="shared" si="97"/>
        <v>Bonos</v>
      </c>
      <c r="AD1994" s="5" t="s">
        <v>43</v>
      </c>
      <c r="AE1994" s="5">
        <f t="shared" si="95"/>
        <v>8</v>
      </c>
      <c r="AF1994" s="5">
        <f t="shared" si="96"/>
        <v>2022</v>
      </c>
    </row>
    <row r="1995" s="5" customFormat="1" ht="13">
      <c r="A1995" s="5" t="s">
        <v>44</v>
      </c>
      <c r="B1995" s="5" t="s">
        <v>44</v>
      </c>
      <c r="C1995" s="5" t="s">
        <v>164</v>
      </c>
      <c r="D1995" s="5" t="s">
        <v>21</v>
      </c>
      <c r="E1995" s="5" t="s">
        <v>44</v>
      </c>
      <c r="F1995" s="5" t="s">
        <v>68</v>
      </c>
      <c r="G1995" s="5" t="s">
        <v>141</v>
      </c>
      <c r="H1995" s="9" t="s">
        <v>393</v>
      </c>
      <c r="I1995" s="10"/>
      <c r="J1995" s="10">
        <v>44809</v>
      </c>
      <c r="K1995" s="5" t="s">
        <v>124</v>
      </c>
      <c r="L1995" s="5" t="s">
        <v>58</v>
      </c>
      <c r="M1995" s="11">
        <v>0.087499999999999994</v>
      </c>
      <c r="N1995" s="5" t="e">
        <f>IF(AND(M1995&gt;#REF!,Cartera!O1995="Guaraníes"),"Rendimiento significativo",IF(AND(M1995&gt;#REF!,Cartera!O1995="Dólares americanos"),"Rendimiento significativo","Rendimiento no significativo"))</f>
        <v>#REF!</v>
      </c>
      <c r="O1995" s="5" t="s">
        <v>41</v>
      </c>
      <c r="P1995" s="12">
        <v>10907534.2465</v>
      </c>
      <c r="Q1995" s="12">
        <f>IF(O1995="Guaraníes",P1995,P1995*#REF!)</f>
        <v>10907534.2465</v>
      </c>
      <c r="R1995" s="12" t="e">
        <f>IF(O1995="Guaraníes",P1995/#REF!,P1995)</f>
        <v>#REF!</v>
      </c>
      <c r="S1995" s="5" t="s">
        <v>52</v>
      </c>
      <c r="T1995" s="5">
        <v>9243</v>
      </c>
      <c r="W1995" s="5" t="s">
        <v>65</v>
      </c>
      <c r="X1995" s="5">
        <v>0</v>
      </c>
      <c r="Y1995" s="5">
        <v>0</v>
      </c>
      <c r="Z1995" s="5">
        <v>21815.068492999999</v>
      </c>
      <c r="AA1995" s="5">
        <v>500</v>
      </c>
      <c r="AB1995" s="5">
        <v>10907534.2465</v>
      </c>
      <c r="AC1995" s="5" t="str">
        <f t="shared" si="97"/>
        <v>Bonos</v>
      </c>
      <c r="AD1995" s="5" t="s">
        <v>43</v>
      </c>
      <c r="AE1995" s="5">
        <f t="shared" si="95"/>
        <v>9</v>
      </c>
      <c r="AF1995" s="5">
        <f t="shared" si="96"/>
        <v>2022</v>
      </c>
    </row>
    <row r="1996" s="5" customFormat="1" ht="13">
      <c r="A1996" s="5" t="s">
        <v>44</v>
      </c>
      <c r="B1996" s="5" t="s">
        <v>44</v>
      </c>
      <c r="C1996" s="5" t="s">
        <v>189</v>
      </c>
      <c r="D1996" s="5" t="s">
        <v>21</v>
      </c>
      <c r="E1996" s="5" t="s">
        <v>44</v>
      </c>
      <c r="F1996" s="5" t="s">
        <v>190</v>
      </c>
      <c r="G1996" s="5" t="s">
        <v>141</v>
      </c>
      <c r="H1996" s="9" t="s">
        <v>191</v>
      </c>
      <c r="I1996" s="10"/>
      <c r="J1996" s="10">
        <v>44827</v>
      </c>
      <c r="K1996" s="5" t="s">
        <v>77</v>
      </c>
      <c r="L1996" s="5" t="s">
        <v>58</v>
      </c>
      <c r="M1996" s="11">
        <v>0.089999999999999997</v>
      </c>
      <c r="N1996" s="5" t="e">
        <f>IF(AND(M1996&gt;#REF!,Cartera!O1996="Guaraníes"),"Rendimiento significativo",IF(AND(M1996&gt;#REF!,Cartera!O1996="Dólares americanos"),"Rendimiento significativo","Rendimiento no significativo"))</f>
        <v>#REF!</v>
      </c>
      <c r="O1996" s="5" t="s">
        <v>41</v>
      </c>
      <c r="P1996" s="12">
        <v>6731506.8480000002</v>
      </c>
      <c r="Q1996" s="12">
        <f>IF(O1996="Guaraníes",P1996,P1996*#REF!)</f>
        <v>6731506.8480000002</v>
      </c>
      <c r="R1996" s="12" t="e">
        <f>IF(O1996="Guaraníes",P1996/#REF!,P1996)</f>
        <v>#REF!</v>
      </c>
      <c r="S1996" s="5" t="s">
        <v>52</v>
      </c>
      <c r="T1996" s="5">
        <v>9243</v>
      </c>
      <c r="W1996" s="5" t="s">
        <v>65</v>
      </c>
      <c r="X1996" s="5">
        <v>0</v>
      </c>
      <c r="Y1996" s="5">
        <v>0</v>
      </c>
      <c r="Z1996" s="5">
        <v>22438.356159999999</v>
      </c>
      <c r="AA1996" s="5">
        <v>300</v>
      </c>
      <c r="AB1996" s="5">
        <v>6731506.8490000004</v>
      </c>
      <c r="AC1996" s="5" t="str">
        <f t="shared" si="97"/>
        <v>Bonos</v>
      </c>
      <c r="AD1996" s="5" t="s">
        <v>43</v>
      </c>
      <c r="AE1996" s="5">
        <f t="shared" si="95"/>
        <v>9</v>
      </c>
      <c r="AF1996" s="5">
        <f t="shared" si="96"/>
        <v>2022</v>
      </c>
    </row>
    <row r="1997" s="5" customFormat="1" ht="13">
      <c r="A1997" s="5" t="s">
        <v>44</v>
      </c>
      <c r="B1997" s="5" t="s">
        <v>44</v>
      </c>
      <c r="C1997" s="5" t="s">
        <v>164</v>
      </c>
      <c r="D1997" s="5" t="s">
        <v>21</v>
      </c>
      <c r="E1997" s="5" t="s">
        <v>44</v>
      </c>
      <c r="F1997" s="5" t="s">
        <v>68</v>
      </c>
      <c r="G1997" s="5" t="s">
        <v>141</v>
      </c>
      <c r="H1997" s="9" t="s">
        <v>165</v>
      </c>
      <c r="I1997" s="10"/>
      <c r="J1997" s="10">
        <v>44834</v>
      </c>
      <c r="K1997" s="5" t="s">
        <v>124</v>
      </c>
      <c r="L1997" s="5" t="s">
        <v>58</v>
      </c>
      <c r="M1997" s="11">
        <v>0.10000000000000001</v>
      </c>
      <c r="N1997" s="5" t="e">
        <f>IF(AND(M1997&gt;#REF!,Cartera!O1997="Guaraníes"),"Rendimiento significativo",IF(AND(M1997&gt;#REF!,Cartera!O1997="Dólares americanos"),"Rendimiento significativo","Rendimiento no significativo"))</f>
        <v>#REF!</v>
      </c>
      <c r="O1997" s="5" t="s">
        <v>41</v>
      </c>
      <c r="P1997" s="12">
        <v>821917.80820000009</v>
      </c>
      <c r="Q1997" s="12">
        <f>IF(O1997="Guaraníes",P1997,P1997*#REF!)</f>
        <v>821917.80820000009</v>
      </c>
      <c r="R1997" s="12" t="e">
        <f>IF(O1997="Guaraníes",P1997/#REF!,P1997)</f>
        <v>#REF!</v>
      </c>
      <c r="S1997" s="5" t="s">
        <v>52</v>
      </c>
      <c r="T1997" s="5">
        <v>9243</v>
      </c>
      <c r="W1997" s="5" t="s">
        <v>65</v>
      </c>
      <c r="X1997" s="5">
        <v>0</v>
      </c>
      <c r="Y1997" s="5">
        <v>0</v>
      </c>
      <c r="Z1997" s="5">
        <v>8219.1780820000004</v>
      </c>
      <c r="AA1997" s="5">
        <v>100</v>
      </c>
      <c r="AB1997" s="5">
        <v>821917.80819999997</v>
      </c>
      <c r="AC1997" s="5" t="str">
        <f t="shared" si="97"/>
        <v>Bonos</v>
      </c>
      <c r="AD1997" s="5" t="s">
        <v>43</v>
      </c>
      <c r="AE1997" s="5">
        <f t="shared" si="95"/>
        <v>9</v>
      </c>
      <c r="AF1997" s="5">
        <f t="shared" si="96"/>
        <v>2022</v>
      </c>
    </row>
    <row r="1998" s="5" customFormat="1" ht="13">
      <c r="A1998" s="5" t="s">
        <v>44</v>
      </c>
      <c r="B1998" s="5" t="s">
        <v>44</v>
      </c>
      <c r="C1998" s="5" t="s">
        <v>164</v>
      </c>
      <c r="D1998" s="5" t="s">
        <v>21</v>
      </c>
      <c r="E1998" s="5" t="s">
        <v>44</v>
      </c>
      <c r="F1998" s="5" t="s">
        <v>68</v>
      </c>
      <c r="G1998" s="5" t="s">
        <v>141</v>
      </c>
      <c r="H1998" s="9" t="s">
        <v>167</v>
      </c>
      <c r="I1998" s="10"/>
      <c r="J1998" s="10">
        <v>44834</v>
      </c>
      <c r="K1998" s="5" t="s">
        <v>124</v>
      </c>
      <c r="L1998" s="5" t="s">
        <v>58</v>
      </c>
      <c r="M1998" s="11">
        <v>0.092499999999999999</v>
      </c>
      <c r="N1998" s="5" t="e">
        <f>IF(AND(M1998&gt;#REF!,Cartera!O1998="Guaraníes"),"Rendimiento significativo",IF(AND(M1998&gt;#REF!,Cartera!O1998="Dólares americanos"),"Rendimiento significativo","Rendimiento no significativo"))</f>
        <v>#REF!</v>
      </c>
      <c r="O1998" s="5" t="s">
        <v>41</v>
      </c>
      <c r="P1998" s="12">
        <v>760273.97259999998</v>
      </c>
      <c r="Q1998" s="12">
        <f>IF(O1998="Guaraníes",P1998,P1998*#REF!)</f>
        <v>760273.97259999998</v>
      </c>
      <c r="R1998" s="12" t="e">
        <f>IF(O1998="Guaraníes",P1998/#REF!,P1998)</f>
        <v>#REF!</v>
      </c>
      <c r="S1998" s="5" t="s">
        <v>52</v>
      </c>
      <c r="T1998" s="5">
        <v>9243</v>
      </c>
      <c r="W1998" s="5" t="s">
        <v>65</v>
      </c>
      <c r="X1998" s="5">
        <v>0</v>
      </c>
      <c r="Y1998" s="5">
        <v>0</v>
      </c>
      <c r="Z1998" s="5">
        <v>7602.7397259999998</v>
      </c>
      <c r="AA1998" s="5">
        <v>100</v>
      </c>
      <c r="AB1998" s="5">
        <v>760273.97259999998</v>
      </c>
      <c r="AC1998" s="5" t="str">
        <f t="shared" si="97"/>
        <v>Bonos</v>
      </c>
      <c r="AD1998" s="5" t="s">
        <v>43</v>
      </c>
      <c r="AE1998" s="5">
        <f t="shared" si="95"/>
        <v>9</v>
      </c>
      <c r="AF1998" s="5">
        <f t="shared" si="96"/>
        <v>2022</v>
      </c>
    </row>
    <row r="1999" s="5" customFormat="1" ht="13">
      <c r="A1999" s="5" t="s">
        <v>44</v>
      </c>
      <c r="B1999" s="5" t="s">
        <v>44</v>
      </c>
      <c r="C1999" s="5" t="s">
        <v>381</v>
      </c>
      <c r="D1999" s="5" t="s">
        <v>20</v>
      </c>
      <c r="E1999" s="5" t="s">
        <v>44</v>
      </c>
      <c r="F1999" s="5" t="s">
        <v>68</v>
      </c>
      <c r="G1999" s="5" t="s">
        <v>141</v>
      </c>
      <c r="H1999" s="9" t="s">
        <v>382</v>
      </c>
      <c r="I1999" s="10">
        <v>44082</v>
      </c>
      <c r="J1999" s="10">
        <v>44851</v>
      </c>
      <c r="K1999" s="5" t="s">
        <v>383</v>
      </c>
      <c r="L1999" s="5" t="s">
        <v>58</v>
      </c>
      <c r="M1999" s="11">
        <v>0.1225</v>
      </c>
      <c r="N1999" s="5" t="e">
        <f>IF(AND(M1999&gt;#REF!,Cartera!O1999="Guaraníes"),"Rendimiento significativo",IF(AND(M1999&gt;#REF!,Cartera!O1999="Dólares americanos"),"Rendimiento significativo","Rendimiento no significativo"))</f>
        <v>#REF!</v>
      </c>
      <c r="O1999" s="5" t="s">
        <v>41</v>
      </c>
      <c r="P1999" s="12">
        <v>50000000</v>
      </c>
      <c r="Q1999" s="12">
        <f>IF(O1999="Guaraníes",P1999,P1999*#REF!)</f>
        <v>50000000</v>
      </c>
      <c r="R1999" s="12" t="e">
        <f>IF(O1999="Guaraníes",P1999/#REF!,P1999)</f>
        <v>#REF!</v>
      </c>
      <c r="S1999" s="5" t="s">
        <v>52</v>
      </c>
      <c r="AC1999" s="5" t="str">
        <f t="shared" si="97"/>
        <v>Bonos</v>
      </c>
      <c r="AD1999" s="5" t="s">
        <v>43</v>
      </c>
      <c r="AE1999" s="5">
        <f t="shared" si="95"/>
        <v>10</v>
      </c>
      <c r="AF1999" s="5">
        <f t="shared" si="96"/>
        <v>2022</v>
      </c>
    </row>
    <row r="2000" s="5" customFormat="1" ht="13">
      <c r="A2000" s="5" t="s">
        <v>44</v>
      </c>
      <c r="B2000" s="5" t="s">
        <v>44</v>
      </c>
      <c r="C2000" s="5" t="s">
        <v>164</v>
      </c>
      <c r="D2000" s="5" t="s">
        <v>21</v>
      </c>
      <c r="E2000" s="5" t="s">
        <v>44</v>
      </c>
      <c r="F2000" s="5" t="s">
        <v>68</v>
      </c>
      <c r="G2000" s="5" t="s">
        <v>141</v>
      </c>
      <c r="H2000" s="9" t="s">
        <v>165</v>
      </c>
      <c r="I2000" s="10"/>
      <c r="J2000" s="10">
        <v>44865</v>
      </c>
      <c r="K2000" s="5" t="s">
        <v>124</v>
      </c>
      <c r="L2000" s="5" t="s">
        <v>58</v>
      </c>
      <c r="M2000" s="11">
        <v>0.10000000000000001</v>
      </c>
      <c r="N2000" s="5" t="e">
        <f>IF(AND(M2000&gt;#REF!,Cartera!O2000="Guaraníes"),"Rendimiento significativo",IF(AND(M2000&gt;#REF!,Cartera!O2000="Dólares americanos"),"Rendimiento significativo","Rendimiento no significativo"))</f>
        <v>#REF!</v>
      </c>
      <c r="O2000" s="5" t="s">
        <v>41</v>
      </c>
      <c r="P2000" s="12">
        <v>849315.06850000005</v>
      </c>
      <c r="Q2000" s="12">
        <f>IF(O2000="Guaraníes",P2000,P2000*#REF!)</f>
        <v>849315.06850000005</v>
      </c>
      <c r="R2000" s="12" t="e">
        <f>IF(O2000="Guaraníes",P2000/#REF!,P2000)</f>
        <v>#REF!</v>
      </c>
      <c r="S2000" s="5" t="s">
        <v>52</v>
      </c>
      <c r="T2000" s="5">
        <v>9243</v>
      </c>
      <c r="W2000" s="5" t="s">
        <v>65</v>
      </c>
      <c r="X2000" s="5">
        <v>0</v>
      </c>
      <c r="Y2000" s="5">
        <v>0</v>
      </c>
      <c r="Z2000" s="5">
        <v>8493.1506850000005</v>
      </c>
      <c r="AA2000" s="5">
        <v>100</v>
      </c>
      <c r="AB2000" s="5">
        <v>849315.06850000005</v>
      </c>
      <c r="AC2000" s="5" t="str">
        <f t="shared" si="97"/>
        <v>Bonos</v>
      </c>
      <c r="AD2000" s="5" t="s">
        <v>43</v>
      </c>
      <c r="AE2000" s="5">
        <f t="shared" si="95"/>
        <v>10</v>
      </c>
      <c r="AF2000" s="5">
        <f t="shared" si="96"/>
        <v>2022</v>
      </c>
    </row>
    <row r="2001" s="5" customFormat="1" ht="13">
      <c r="A2001" s="5" t="s">
        <v>44</v>
      </c>
      <c r="B2001" s="5" t="s">
        <v>44</v>
      </c>
      <c r="C2001" s="5" t="s">
        <v>164</v>
      </c>
      <c r="D2001" s="5" t="s">
        <v>21</v>
      </c>
      <c r="E2001" s="5" t="s">
        <v>44</v>
      </c>
      <c r="F2001" s="5" t="s">
        <v>68</v>
      </c>
      <c r="G2001" s="5" t="s">
        <v>141</v>
      </c>
      <c r="H2001" s="9" t="s">
        <v>167</v>
      </c>
      <c r="I2001" s="10"/>
      <c r="J2001" s="10">
        <v>44865</v>
      </c>
      <c r="K2001" s="5" t="s">
        <v>124</v>
      </c>
      <c r="L2001" s="5" t="s">
        <v>58</v>
      </c>
      <c r="M2001" s="11">
        <v>0.092499999999999999</v>
      </c>
      <c r="N2001" s="5" t="e">
        <f>IF(AND(M2001&gt;#REF!,Cartera!O2001="Guaraníes"),"Rendimiento significativo",IF(AND(M2001&gt;#REF!,Cartera!O2001="Dólares americanos"),"Rendimiento significativo","Rendimiento no significativo"))</f>
        <v>#REF!</v>
      </c>
      <c r="O2001" s="5" t="s">
        <v>41</v>
      </c>
      <c r="P2001" s="12">
        <v>785616.43839999998</v>
      </c>
      <c r="Q2001" s="12">
        <f>IF(O2001="Guaraníes",P2001,P2001*#REF!)</f>
        <v>785616.43839999998</v>
      </c>
      <c r="R2001" s="12" t="e">
        <f>IF(O2001="Guaraníes",P2001/#REF!,P2001)</f>
        <v>#REF!</v>
      </c>
      <c r="S2001" s="5" t="s">
        <v>52</v>
      </c>
      <c r="T2001" s="5">
        <v>9243</v>
      </c>
      <c r="W2001" s="5" t="s">
        <v>65</v>
      </c>
      <c r="X2001" s="5">
        <v>0</v>
      </c>
      <c r="Y2001" s="5">
        <v>0</v>
      </c>
      <c r="Z2001" s="5">
        <v>7856.1643839999997</v>
      </c>
      <c r="AA2001" s="5">
        <v>100</v>
      </c>
      <c r="AB2001" s="5">
        <v>785616.43839999998</v>
      </c>
      <c r="AC2001" s="5" t="str">
        <f t="shared" si="97"/>
        <v>Bonos</v>
      </c>
      <c r="AD2001" s="5" t="s">
        <v>43</v>
      </c>
      <c r="AE2001" s="5">
        <f t="shared" si="95"/>
        <v>10</v>
      </c>
      <c r="AF2001" s="5">
        <f t="shared" si="96"/>
        <v>2022</v>
      </c>
    </row>
    <row r="2002" s="5" customFormat="1" ht="13">
      <c r="A2002" s="5" t="s">
        <v>44</v>
      </c>
      <c r="B2002" s="5" t="s">
        <v>44</v>
      </c>
      <c r="C2002" s="5" t="s">
        <v>156</v>
      </c>
      <c r="D2002" s="5" t="s">
        <v>21</v>
      </c>
      <c r="E2002" s="5" t="s">
        <v>44</v>
      </c>
      <c r="F2002" s="5" t="s">
        <v>68</v>
      </c>
      <c r="G2002" s="5" t="s">
        <v>141</v>
      </c>
      <c r="H2002" s="9" t="s">
        <v>392</v>
      </c>
      <c r="I2002" s="10"/>
      <c r="J2002" s="10">
        <v>44881</v>
      </c>
      <c r="K2002" s="5" t="s">
        <v>158</v>
      </c>
      <c r="L2002" s="5" t="s">
        <v>58</v>
      </c>
      <c r="M2002" s="11">
        <v>0.14000000000000001</v>
      </c>
      <c r="N2002" s="5" t="e">
        <f>IF(AND(M2002&gt;#REF!,Cartera!O2002="Guaraníes"),"Rendimiento significativo",IF(AND(M2002&gt;#REF!,Cartera!O2002="Dólares americanos"),"Rendimiento significativo","Rendimiento no significativo"))</f>
        <v>#REF!</v>
      </c>
      <c r="O2002" s="5" t="s">
        <v>41</v>
      </c>
      <c r="P2002" s="12">
        <v>1090753.4246699999</v>
      </c>
      <c r="Q2002" s="12">
        <f>IF(O2002="Guaraníes",P2002,P2002*#REF!)</f>
        <v>1090753.4246699999</v>
      </c>
      <c r="R2002" s="12" t="e">
        <f>IF(O2002="Guaraníes",P2002/#REF!,P2002)</f>
        <v>#REF!</v>
      </c>
      <c r="S2002" s="5" t="s">
        <v>52</v>
      </c>
      <c r="T2002" s="5">
        <v>9243</v>
      </c>
      <c r="W2002" s="5" t="s">
        <v>65</v>
      </c>
      <c r="X2002" s="5">
        <v>0</v>
      </c>
      <c r="Y2002" s="5">
        <v>0</v>
      </c>
      <c r="Z2002" s="5">
        <v>31164.383561999999</v>
      </c>
      <c r="AA2002" s="5">
        <v>35</v>
      </c>
      <c r="AB2002" s="5">
        <v>1090753.4246700001</v>
      </c>
      <c r="AC2002" s="5" t="str">
        <f t="shared" si="97"/>
        <v>Bonos</v>
      </c>
      <c r="AD2002" s="5" t="s">
        <v>43</v>
      </c>
      <c r="AE2002" s="5">
        <f t="shared" ref="AE2002:AE2065" si="98">IFERROR((MONTH(J2002)),0)</f>
        <v>11</v>
      </c>
      <c r="AF2002" s="5">
        <f t="shared" ref="AF2002:AF2065" si="99">IFERROR((YEAR(J2002)),0)</f>
        <v>2022</v>
      </c>
    </row>
    <row r="2003" s="5" customFormat="1" ht="13">
      <c r="A2003" s="5" t="s">
        <v>44</v>
      </c>
      <c r="B2003" s="5" t="s">
        <v>44</v>
      </c>
      <c r="C2003" s="5" t="s">
        <v>389</v>
      </c>
      <c r="D2003" s="5" t="s">
        <v>21</v>
      </c>
      <c r="E2003" s="5" t="s">
        <v>44</v>
      </c>
      <c r="F2003" s="5" t="s">
        <v>68</v>
      </c>
      <c r="G2003" s="5" t="s">
        <v>141</v>
      </c>
      <c r="H2003" s="9" t="s">
        <v>390</v>
      </c>
      <c r="I2003" s="10"/>
      <c r="J2003" s="10">
        <v>44895</v>
      </c>
      <c r="K2003" s="5" t="s">
        <v>391</v>
      </c>
      <c r="L2003" s="5" t="s">
        <v>58</v>
      </c>
      <c r="M2003" s="11">
        <v>0.1125</v>
      </c>
      <c r="N2003" s="5" t="e">
        <f>IF(AND(M2003&gt;#REF!,Cartera!O2003="Guaraníes"),"Rendimiento significativo",IF(AND(M2003&gt;#REF!,Cartera!O2003="Dólares americanos"),"Rendimiento significativo","Rendimiento no significativo"))</f>
        <v>#REF!</v>
      </c>
      <c r="O2003" s="5" t="s">
        <v>41</v>
      </c>
      <c r="P2003" s="12">
        <v>841438.35615000001</v>
      </c>
      <c r="Q2003" s="12">
        <f>IF(O2003="Guaraníes",P2003,P2003*#REF!)</f>
        <v>841438.35615000001</v>
      </c>
      <c r="R2003" s="12" t="e">
        <f>IF(O2003="Guaraníes",P2003/#REF!,P2003)</f>
        <v>#REF!</v>
      </c>
      <c r="S2003" s="5" t="s">
        <v>52</v>
      </c>
      <c r="T2003" s="5">
        <v>9243</v>
      </c>
      <c r="W2003" s="5" t="s">
        <v>65</v>
      </c>
      <c r="X2003" s="5">
        <v>0</v>
      </c>
      <c r="Y2003" s="5">
        <v>0</v>
      </c>
      <c r="Z2003" s="5">
        <v>28047.945205</v>
      </c>
      <c r="AA2003" s="5">
        <v>30</v>
      </c>
      <c r="AB2003" s="5">
        <v>841438.35615000001</v>
      </c>
      <c r="AC2003" s="5" t="str">
        <f t="shared" si="97"/>
        <v>Bonos</v>
      </c>
      <c r="AD2003" s="5" t="s">
        <v>43</v>
      </c>
      <c r="AE2003" s="5">
        <f t="shared" si="98"/>
        <v>11</v>
      </c>
      <c r="AF2003" s="5">
        <f t="shared" si="99"/>
        <v>2022</v>
      </c>
    </row>
    <row r="2004" s="5" customFormat="1" ht="13">
      <c r="A2004" s="5" t="s">
        <v>44</v>
      </c>
      <c r="B2004" s="5" t="s">
        <v>44</v>
      </c>
      <c r="C2004" s="5" t="s">
        <v>164</v>
      </c>
      <c r="D2004" s="5" t="s">
        <v>21</v>
      </c>
      <c r="E2004" s="5" t="s">
        <v>44</v>
      </c>
      <c r="F2004" s="5" t="s">
        <v>68</v>
      </c>
      <c r="G2004" s="5" t="s">
        <v>141</v>
      </c>
      <c r="H2004" s="9" t="s">
        <v>165</v>
      </c>
      <c r="I2004" s="10"/>
      <c r="J2004" s="10">
        <v>44895</v>
      </c>
      <c r="K2004" s="5" t="s">
        <v>124</v>
      </c>
      <c r="L2004" s="5" t="s">
        <v>58</v>
      </c>
      <c r="M2004" s="11">
        <v>0.10000000000000001</v>
      </c>
      <c r="N2004" s="5" t="e">
        <f>IF(AND(M2004&gt;#REF!,Cartera!O2004="Guaraníes"),"Rendimiento significativo",IF(AND(M2004&gt;#REF!,Cartera!O2004="Dólares americanos"),"Rendimiento significativo","Rendimiento no significativo"))</f>
        <v>#REF!</v>
      </c>
      <c r="O2004" s="5" t="s">
        <v>41</v>
      </c>
      <c r="P2004" s="12">
        <v>821917.80820000009</v>
      </c>
      <c r="Q2004" s="12">
        <f>IF(O2004="Guaraníes",P2004,P2004*#REF!)</f>
        <v>821917.80820000009</v>
      </c>
      <c r="R2004" s="12" t="e">
        <f>IF(O2004="Guaraníes",P2004/#REF!,P2004)</f>
        <v>#REF!</v>
      </c>
      <c r="S2004" s="5" t="s">
        <v>52</v>
      </c>
      <c r="T2004" s="5">
        <v>9243</v>
      </c>
      <c r="W2004" s="5" t="s">
        <v>65</v>
      </c>
      <c r="X2004" s="5">
        <v>0</v>
      </c>
      <c r="Y2004" s="5">
        <v>0</v>
      </c>
      <c r="Z2004" s="5">
        <v>8219.1780820000004</v>
      </c>
      <c r="AA2004" s="5">
        <v>100</v>
      </c>
      <c r="AB2004" s="5">
        <v>821917.80819999997</v>
      </c>
      <c r="AC2004" s="5" t="str">
        <f t="shared" si="97"/>
        <v>Bonos</v>
      </c>
      <c r="AD2004" s="5" t="s">
        <v>43</v>
      </c>
      <c r="AE2004" s="5">
        <f t="shared" si="98"/>
        <v>11</v>
      </c>
      <c r="AF2004" s="5">
        <f t="shared" si="99"/>
        <v>2022</v>
      </c>
    </row>
    <row r="2005" s="5" customFormat="1" ht="13">
      <c r="A2005" s="5" t="s">
        <v>44</v>
      </c>
      <c r="B2005" s="5" t="s">
        <v>44</v>
      </c>
      <c r="C2005" s="5" t="s">
        <v>164</v>
      </c>
      <c r="D2005" s="5" t="s">
        <v>21</v>
      </c>
      <c r="E2005" s="5" t="s">
        <v>44</v>
      </c>
      <c r="F2005" s="5" t="s">
        <v>68</v>
      </c>
      <c r="G2005" s="5" t="s">
        <v>141</v>
      </c>
      <c r="H2005" s="9" t="s">
        <v>167</v>
      </c>
      <c r="I2005" s="10"/>
      <c r="J2005" s="10">
        <v>44895</v>
      </c>
      <c r="K2005" s="5" t="s">
        <v>124</v>
      </c>
      <c r="L2005" s="5" t="s">
        <v>58</v>
      </c>
      <c r="M2005" s="11">
        <v>0.092499999999999999</v>
      </c>
      <c r="N2005" s="5" t="e">
        <f>IF(AND(M2005&gt;#REF!,Cartera!O2005="Guaraníes"),"Rendimiento significativo",IF(AND(M2005&gt;#REF!,Cartera!O2005="Dólares americanos"),"Rendimiento significativo","Rendimiento no significativo"))</f>
        <v>#REF!</v>
      </c>
      <c r="O2005" s="5" t="s">
        <v>41</v>
      </c>
      <c r="P2005" s="12">
        <v>760273.97259999998</v>
      </c>
      <c r="Q2005" s="12">
        <f>IF(O2005="Guaraníes",P2005,P2005*#REF!)</f>
        <v>760273.97259999998</v>
      </c>
      <c r="R2005" s="12" t="e">
        <f>IF(O2005="Guaraníes",P2005/#REF!,P2005)</f>
        <v>#REF!</v>
      </c>
      <c r="S2005" s="5" t="s">
        <v>52</v>
      </c>
      <c r="T2005" s="5">
        <v>9243</v>
      </c>
      <c r="W2005" s="5" t="s">
        <v>65</v>
      </c>
      <c r="X2005" s="5">
        <v>0</v>
      </c>
      <c r="Y2005" s="5">
        <v>0</v>
      </c>
      <c r="Z2005" s="5">
        <v>7602.7397259999998</v>
      </c>
      <c r="AA2005" s="5">
        <v>100</v>
      </c>
      <c r="AB2005" s="5">
        <v>760273.97259999998</v>
      </c>
      <c r="AC2005" s="5" t="str">
        <f t="shared" si="97"/>
        <v>Bonos</v>
      </c>
      <c r="AD2005" s="5" t="s">
        <v>43</v>
      </c>
      <c r="AE2005" s="5">
        <f t="shared" si="98"/>
        <v>11</v>
      </c>
      <c r="AF2005" s="5">
        <f t="shared" si="99"/>
        <v>2022</v>
      </c>
    </row>
    <row r="2006" s="5" customFormat="1" ht="13">
      <c r="A2006" s="5" t="s">
        <v>44</v>
      </c>
      <c r="B2006" s="5" t="s">
        <v>44</v>
      </c>
      <c r="C2006" s="5" t="s">
        <v>164</v>
      </c>
      <c r="D2006" s="5" t="s">
        <v>21</v>
      </c>
      <c r="E2006" s="5" t="s">
        <v>44</v>
      </c>
      <c r="F2006" s="5" t="s">
        <v>68</v>
      </c>
      <c r="G2006" s="5" t="s">
        <v>141</v>
      </c>
      <c r="H2006" s="9" t="s">
        <v>393</v>
      </c>
      <c r="I2006" s="10"/>
      <c r="J2006" s="10">
        <v>44900</v>
      </c>
      <c r="K2006" s="5" t="s">
        <v>124</v>
      </c>
      <c r="L2006" s="5" t="s">
        <v>58</v>
      </c>
      <c r="M2006" s="11">
        <v>0.087499999999999994</v>
      </c>
      <c r="N2006" s="5" t="e">
        <f>IF(AND(M2006&gt;#REF!,Cartera!O2006="Guaraníes"),"Rendimiento significativo",IF(AND(M2006&gt;#REF!,Cartera!O2006="Dólares americanos"),"Rendimiento significativo","Rendimiento no significativo"))</f>
        <v>#REF!</v>
      </c>
      <c r="O2006" s="5" t="s">
        <v>41</v>
      </c>
      <c r="P2006" s="12">
        <v>10907534.2465</v>
      </c>
      <c r="Q2006" s="12">
        <f>IF(O2006="Guaraníes",P2006,P2006*#REF!)</f>
        <v>10907534.2465</v>
      </c>
      <c r="R2006" s="12" t="e">
        <f>IF(O2006="Guaraníes",P2006/#REF!,P2006)</f>
        <v>#REF!</v>
      </c>
      <c r="S2006" s="5" t="s">
        <v>52</v>
      </c>
      <c r="T2006" s="5">
        <v>9243</v>
      </c>
      <c r="W2006" s="5" t="s">
        <v>65</v>
      </c>
      <c r="X2006" s="5">
        <v>0</v>
      </c>
      <c r="Y2006" s="5">
        <v>0</v>
      </c>
      <c r="Z2006" s="5">
        <v>21815.068492999999</v>
      </c>
      <c r="AA2006" s="5">
        <v>500</v>
      </c>
      <c r="AB2006" s="5">
        <v>10907534.2465</v>
      </c>
      <c r="AC2006" s="5" t="str">
        <f t="shared" si="97"/>
        <v>Bonos</v>
      </c>
      <c r="AD2006" s="5" t="s">
        <v>43</v>
      </c>
      <c r="AE2006" s="5">
        <f t="shared" si="98"/>
        <v>12</v>
      </c>
      <c r="AF2006" s="5">
        <f t="shared" si="99"/>
        <v>2022</v>
      </c>
    </row>
    <row r="2007" s="5" customFormat="1" ht="13">
      <c r="A2007" s="5" t="s">
        <v>44</v>
      </c>
      <c r="B2007" s="5" t="s">
        <v>44</v>
      </c>
      <c r="C2007" s="5" t="s">
        <v>189</v>
      </c>
      <c r="D2007" s="5" t="s">
        <v>21</v>
      </c>
      <c r="E2007" s="5" t="s">
        <v>44</v>
      </c>
      <c r="F2007" s="5" t="s">
        <v>190</v>
      </c>
      <c r="G2007" s="5" t="s">
        <v>141</v>
      </c>
      <c r="H2007" s="9" t="s">
        <v>191</v>
      </c>
      <c r="I2007" s="10"/>
      <c r="J2007" s="10">
        <v>44918</v>
      </c>
      <c r="K2007" s="5" t="s">
        <v>77</v>
      </c>
      <c r="L2007" s="5" t="s">
        <v>58</v>
      </c>
      <c r="M2007" s="11">
        <v>0.089999999999999997</v>
      </c>
      <c r="N2007" s="5" t="e">
        <f>IF(AND(M2007&gt;#REF!,Cartera!O2007="Guaraníes"),"Rendimiento significativo",IF(AND(M2007&gt;#REF!,Cartera!O2007="Dólares americanos"),"Rendimiento significativo","Rendimiento no significativo"))</f>
        <v>#REF!</v>
      </c>
      <c r="O2007" s="5" t="s">
        <v>41</v>
      </c>
      <c r="P2007" s="12">
        <v>6731506.8480000002</v>
      </c>
      <c r="Q2007" s="12">
        <f>IF(O2007="Guaraníes",P2007,P2007*#REF!)</f>
        <v>6731506.8480000002</v>
      </c>
      <c r="R2007" s="12" t="e">
        <f>IF(O2007="Guaraníes",P2007/#REF!,P2007)</f>
        <v>#REF!</v>
      </c>
      <c r="S2007" s="5" t="s">
        <v>52</v>
      </c>
      <c r="T2007" s="5">
        <v>9243</v>
      </c>
      <c r="W2007" s="5" t="s">
        <v>65</v>
      </c>
      <c r="X2007" s="5">
        <v>0</v>
      </c>
      <c r="Y2007" s="5">
        <v>0</v>
      </c>
      <c r="Z2007" s="5">
        <v>22438.356159999999</v>
      </c>
      <c r="AA2007" s="5">
        <v>300</v>
      </c>
      <c r="AB2007" s="5">
        <v>6731506.8490000004</v>
      </c>
      <c r="AC2007" s="5" t="str">
        <f t="shared" si="97"/>
        <v>Bonos</v>
      </c>
      <c r="AD2007" s="5" t="s">
        <v>43</v>
      </c>
      <c r="AE2007" s="5">
        <f t="shared" si="98"/>
        <v>12</v>
      </c>
      <c r="AF2007" s="5">
        <f t="shared" si="99"/>
        <v>2022</v>
      </c>
    </row>
    <row r="2008" s="5" customFormat="1" ht="13">
      <c r="A2008" s="5" t="s">
        <v>44</v>
      </c>
      <c r="B2008" s="5" t="s">
        <v>44</v>
      </c>
      <c r="C2008" s="5" t="s">
        <v>164</v>
      </c>
      <c r="D2008" s="5" t="s">
        <v>21</v>
      </c>
      <c r="E2008" s="5" t="s">
        <v>44</v>
      </c>
      <c r="F2008" s="5" t="s">
        <v>68</v>
      </c>
      <c r="G2008" s="5" t="s">
        <v>141</v>
      </c>
      <c r="H2008" s="9" t="s">
        <v>165</v>
      </c>
      <c r="I2008" s="10"/>
      <c r="J2008" s="10">
        <v>44925</v>
      </c>
      <c r="K2008" s="5" t="s">
        <v>124</v>
      </c>
      <c r="L2008" s="5" t="s">
        <v>58</v>
      </c>
      <c r="M2008" s="11">
        <v>0.10000000000000001</v>
      </c>
      <c r="N2008" s="5" t="e">
        <f>IF(AND(M2008&gt;#REF!,Cartera!O2008="Guaraníes"),"Rendimiento significativo",IF(AND(M2008&gt;#REF!,Cartera!O2008="Dólares americanos"),"Rendimiento significativo","Rendimiento no significativo"))</f>
        <v>#REF!</v>
      </c>
      <c r="O2008" s="5" t="s">
        <v>41</v>
      </c>
      <c r="P2008" s="12">
        <v>821917.80820000009</v>
      </c>
      <c r="Q2008" s="12">
        <f>IF(O2008="Guaraníes",P2008,P2008*#REF!)</f>
        <v>821917.80820000009</v>
      </c>
      <c r="R2008" s="12" t="e">
        <f>IF(O2008="Guaraníes",P2008/#REF!,P2008)</f>
        <v>#REF!</v>
      </c>
      <c r="S2008" s="5" t="s">
        <v>52</v>
      </c>
      <c r="T2008" s="5">
        <v>9243</v>
      </c>
      <c r="W2008" s="5" t="s">
        <v>65</v>
      </c>
      <c r="X2008" s="5">
        <v>0</v>
      </c>
      <c r="Y2008" s="5">
        <v>0</v>
      </c>
      <c r="Z2008" s="5">
        <v>8219.1780820000004</v>
      </c>
      <c r="AA2008" s="5">
        <v>100</v>
      </c>
      <c r="AB2008" s="5">
        <v>821917.80819999997</v>
      </c>
      <c r="AC2008" s="5" t="str">
        <f t="shared" si="97"/>
        <v>Bonos</v>
      </c>
      <c r="AD2008" s="5" t="s">
        <v>43</v>
      </c>
      <c r="AE2008" s="5">
        <f t="shared" si="98"/>
        <v>12</v>
      </c>
      <c r="AF2008" s="5">
        <f t="shared" si="99"/>
        <v>2022</v>
      </c>
    </row>
    <row r="2009" s="5" customFormat="1" ht="13">
      <c r="A2009" s="5" t="s">
        <v>44</v>
      </c>
      <c r="B2009" s="5" t="s">
        <v>44</v>
      </c>
      <c r="C2009" s="5" t="s">
        <v>164</v>
      </c>
      <c r="D2009" s="5" t="s">
        <v>21</v>
      </c>
      <c r="E2009" s="5" t="s">
        <v>44</v>
      </c>
      <c r="F2009" s="5" t="s">
        <v>68</v>
      </c>
      <c r="G2009" s="5" t="s">
        <v>141</v>
      </c>
      <c r="H2009" s="9" t="s">
        <v>167</v>
      </c>
      <c r="I2009" s="10"/>
      <c r="J2009" s="10">
        <v>44925</v>
      </c>
      <c r="K2009" s="5" t="s">
        <v>124</v>
      </c>
      <c r="L2009" s="5" t="s">
        <v>58</v>
      </c>
      <c r="M2009" s="11">
        <v>0.092499999999999999</v>
      </c>
      <c r="N2009" s="5" t="e">
        <f>IF(AND(M2009&gt;#REF!,Cartera!O2009="Guaraníes"),"Rendimiento significativo",IF(AND(M2009&gt;#REF!,Cartera!O2009="Dólares americanos"),"Rendimiento significativo","Rendimiento no significativo"))</f>
        <v>#REF!</v>
      </c>
      <c r="O2009" s="5" t="s">
        <v>41</v>
      </c>
      <c r="P2009" s="12">
        <v>760273.97259999998</v>
      </c>
      <c r="Q2009" s="12">
        <f>IF(O2009="Guaraníes",P2009,P2009*#REF!)</f>
        <v>760273.97259999998</v>
      </c>
      <c r="R2009" s="12" t="e">
        <f>IF(O2009="Guaraníes",P2009/#REF!,P2009)</f>
        <v>#REF!</v>
      </c>
      <c r="S2009" s="5" t="s">
        <v>52</v>
      </c>
      <c r="T2009" s="5">
        <v>9243</v>
      </c>
      <c r="W2009" s="5" t="s">
        <v>65</v>
      </c>
      <c r="X2009" s="5">
        <v>0</v>
      </c>
      <c r="Y2009" s="5">
        <v>0</v>
      </c>
      <c r="Z2009" s="5">
        <v>7602.7397259999998</v>
      </c>
      <c r="AA2009" s="5">
        <v>100</v>
      </c>
      <c r="AB2009" s="5">
        <v>760273.97259999998</v>
      </c>
      <c r="AC2009" s="5" t="str">
        <f t="shared" si="97"/>
        <v>Bonos</v>
      </c>
      <c r="AD2009" s="5" t="s">
        <v>43</v>
      </c>
      <c r="AE2009" s="5">
        <f t="shared" si="98"/>
        <v>12</v>
      </c>
      <c r="AF2009" s="5">
        <f t="shared" si="99"/>
        <v>2022</v>
      </c>
    </row>
    <row r="2010" s="5" customFormat="1" ht="13">
      <c r="A2010" s="5" t="s">
        <v>44</v>
      </c>
      <c r="B2010" s="5" t="s">
        <v>44</v>
      </c>
      <c r="C2010" s="5" t="s">
        <v>164</v>
      </c>
      <c r="D2010" s="5" t="s">
        <v>21</v>
      </c>
      <c r="E2010" s="5" t="s">
        <v>44</v>
      </c>
      <c r="F2010" s="5" t="s">
        <v>68</v>
      </c>
      <c r="G2010" s="5" t="s">
        <v>141</v>
      </c>
      <c r="H2010" s="9" t="s">
        <v>165</v>
      </c>
      <c r="I2010" s="10"/>
      <c r="J2010" s="10">
        <v>44957</v>
      </c>
      <c r="K2010" s="5" t="s">
        <v>124</v>
      </c>
      <c r="L2010" s="5" t="s">
        <v>58</v>
      </c>
      <c r="M2010" s="11">
        <v>0.10000000000000001</v>
      </c>
      <c r="N2010" s="5" t="e">
        <f>IF(AND(M2010&gt;#REF!,Cartera!O2010="Guaraníes"),"Rendimiento significativo",IF(AND(M2010&gt;#REF!,Cartera!O2010="Dólares americanos"),"Rendimiento significativo","Rendimiento no significativo"))</f>
        <v>#REF!</v>
      </c>
      <c r="O2010" s="5" t="s">
        <v>41</v>
      </c>
      <c r="P2010" s="12">
        <v>876712.32880000002</v>
      </c>
      <c r="Q2010" s="12">
        <f>IF(O2010="Guaraníes",P2010,P2010*#REF!)</f>
        <v>876712.32880000002</v>
      </c>
      <c r="R2010" s="12" t="e">
        <f>IF(O2010="Guaraníes",P2010/#REF!,P2010)</f>
        <v>#REF!</v>
      </c>
      <c r="S2010" s="5" t="s">
        <v>52</v>
      </c>
      <c r="T2010" s="5">
        <v>9243</v>
      </c>
      <c r="W2010" s="5" t="s">
        <v>65</v>
      </c>
      <c r="X2010" s="5">
        <v>0</v>
      </c>
      <c r="Y2010" s="5">
        <v>0</v>
      </c>
      <c r="Z2010" s="5">
        <v>8767.1232880000007</v>
      </c>
      <c r="AA2010" s="5">
        <v>100</v>
      </c>
      <c r="AB2010" s="5">
        <v>876712.32880000002</v>
      </c>
      <c r="AC2010" s="5" t="str">
        <f t="shared" si="97"/>
        <v>Bonos</v>
      </c>
      <c r="AD2010" s="5" t="s">
        <v>43</v>
      </c>
      <c r="AE2010" s="5">
        <f t="shared" si="98"/>
        <v>1</v>
      </c>
      <c r="AF2010" s="5">
        <f t="shared" si="99"/>
        <v>2023</v>
      </c>
    </row>
    <row r="2011" s="5" customFormat="1" ht="13">
      <c r="A2011" s="5" t="s">
        <v>44</v>
      </c>
      <c r="B2011" s="5" t="s">
        <v>44</v>
      </c>
      <c r="C2011" s="5" t="s">
        <v>164</v>
      </c>
      <c r="D2011" s="5" t="s">
        <v>21</v>
      </c>
      <c r="E2011" s="5" t="s">
        <v>44</v>
      </c>
      <c r="F2011" s="5" t="s">
        <v>68</v>
      </c>
      <c r="G2011" s="5" t="s">
        <v>141</v>
      </c>
      <c r="H2011" s="9" t="s">
        <v>167</v>
      </c>
      <c r="I2011" s="10"/>
      <c r="J2011" s="10">
        <v>44957</v>
      </c>
      <c r="K2011" s="5" t="s">
        <v>124</v>
      </c>
      <c r="L2011" s="5" t="s">
        <v>58</v>
      </c>
      <c r="M2011" s="11">
        <v>0.092499999999999999</v>
      </c>
      <c r="N2011" s="5" t="e">
        <f>IF(AND(M2011&gt;#REF!,Cartera!O2011="Guaraníes"),"Rendimiento significativo",IF(AND(M2011&gt;#REF!,Cartera!O2011="Dólares americanos"),"Rendimiento significativo","Rendimiento no significativo"))</f>
        <v>#REF!</v>
      </c>
      <c r="O2011" s="5" t="s">
        <v>41</v>
      </c>
      <c r="P2011" s="12">
        <v>810958.90410000004</v>
      </c>
      <c r="Q2011" s="12">
        <f>IF(O2011="Guaraníes",P2011,P2011*#REF!)</f>
        <v>810958.90410000004</v>
      </c>
      <c r="R2011" s="12" t="e">
        <f>IF(O2011="Guaraníes",P2011/#REF!,P2011)</f>
        <v>#REF!</v>
      </c>
      <c r="S2011" s="5" t="s">
        <v>52</v>
      </c>
      <c r="T2011" s="5">
        <v>9243</v>
      </c>
      <c r="W2011" s="5" t="s">
        <v>65</v>
      </c>
      <c r="X2011" s="5">
        <v>0</v>
      </c>
      <c r="Y2011" s="5">
        <v>0</v>
      </c>
      <c r="Z2011" s="5">
        <v>8109.5890410000002</v>
      </c>
      <c r="AA2011" s="5">
        <v>100</v>
      </c>
      <c r="AB2011" s="5">
        <v>810958.90410000004</v>
      </c>
      <c r="AC2011" s="5" t="str">
        <f t="shared" si="97"/>
        <v>Bonos</v>
      </c>
      <c r="AD2011" s="5" t="s">
        <v>43</v>
      </c>
      <c r="AE2011" s="5">
        <f t="shared" si="98"/>
        <v>1</v>
      </c>
      <c r="AF2011" s="5">
        <f t="shared" si="99"/>
        <v>2023</v>
      </c>
    </row>
    <row r="2012" s="5" customFormat="1" ht="13">
      <c r="A2012" s="5" t="s">
        <v>44</v>
      </c>
      <c r="B2012" s="5" t="s">
        <v>44</v>
      </c>
      <c r="C2012" s="5" t="s">
        <v>156</v>
      </c>
      <c r="D2012" s="5" t="s">
        <v>21</v>
      </c>
      <c r="E2012" s="5" t="s">
        <v>44</v>
      </c>
      <c r="F2012" s="5" t="s">
        <v>68</v>
      </c>
      <c r="G2012" s="5" t="s">
        <v>141</v>
      </c>
      <c r="H2012" s="9" t="s">
        <v>392</v>
      </c>
      <c r="I2012" s="10"/>
      <c r="J2012" s="10">
        <v>44971</v>
      </c>
      <c r="K2012" s="5" t="s">
        <v>158</v>
      </c>
      <c r="L2012" s="5" t="s">
        <v>58</v>
      </c>
      <c r="M2012" s="11">
        <v>0.14000000000000001</v>
      </c>
      <c r="N2012" s="5" t="e">
        <f>IF(AND(M2012&gt;#REF!,Cartera!O2012="Guaraníes"),"Rendimiento significativo",IF(AND(M2012&gt;#REF!,Cartera!O2012="Dólares americanos"),"Rendimiento significativo","Rendimiento no significativo"))</f>
        <v>#REF!</v>
      </c>
      <c r="O2012" s="5" t="s">
        <v>41</v>
      </c>
      <c r="P2012" s="12">
        <v>1078767.1232799999</v>
      </c>
      <c r="Q2012" s="12">
        <f>IF(O2012="Guaraníes",P2012,P2012*#REF!)</f>
        <v>1078767.1232799999</v>
      </c>
      <c r="R2012" s="12" t="e">
        <f>IF(O2012="Guaraníes",P2012/#REF!,P2012)</f>
        <v>#REF!</v>
      </c>
      <c r="S2012" s="5" t="s">
        <v>52</v>
      </c>
      <c r="T2012" s="5">
        <v>9243</v>
      </c>
      <c r="W2012" s="5" t="s">
        <v>65</v>
      </c>
      <c r="X2012" s="5">
        <v>0</v>
      </c>
      <c r="Y2012" s="5">
        <v>0</v>
      </c>
      <c r="Z2012" s="5">
        <v>30821.917807999998</v>
      </c>
      <c r="AA2012" s="5">
        <v>35</v>
      </c>
      <c r="AB2012" s="5">
        <v>1078767.1232799999</v>
      </c>
      <c r="AC2012" s="5" t="str">
        <f t="shared" si="97"/>
        <v>Bonos</v>
      </c>
      <c r="AD2012" s="5" t="s">
        <v>43</v>
      </c>
      <c r="AE2012" s="5">
        <f t="shared" si="98"/>
        <v>2</v>
      </c>
      <c r="AF2012" s="5">
        <f t="shared" si="99"/>
        <v>2023</v>
      </c>
    </row>
    <row r="2013" s="5" customFormat="1" ht="13">
      <c r="A2013" s="5" t="s">
        <v>44</v>
      </c>
      <c r="B2013" s="5" t="s">
        <v>44</v>
      </c>
      <c r="C2013" s="5" t="s">
        <v>164</v>
      </c>
      <c r="D2013" s="5" t="s">
        <v>21</v>
      </c>
      <c r="E2013" s="5" t="s">
        <v>44</v>
      </c>
      <c r="F2013" s="5" t="s">
        <v>68</v>
      </c>
      <c r="G2013" s="5" t="s">
        <v>141</v>
      </c>
      <c r="H2013" s="9" t="s">
        <v>165</v>
      </c>
      <c r="I2013" s="10"/>
      <c r="J2013" s="10">
        <v>44985</v>
      </c>
      <c r="K2013" s="5" t="s">
        <v>124</v>
      </c>
      <c r="L2013" s="5" t="s">
        <v>58</v>
      </c>
      <c r="M2013" s="11">
        <v>0.10000000000000001</v>
      </c>
      <c r="N2013" s="5" t="e">
        <f>IF(AND(M2013&gt;#REF!,Cartera!O2013="Guaraníes"),"Rendimiento significativo",IF(AND(M2013&gt;#REF!,Cartera!O2013="Dólares americanos"),"Rendimiento significativo","Rendimiento no significativo"))</f>
        <v>#REF!</v>
      </c>
      <c r="O2013" s="5" t="s">
        <v>41</v>
      </c>
      <c r="P2013" s="12">
        <v>767123.28769999999</v>
      </c>
      <c r="Q2013" s="12">
        <f>IF(O2013="Guaraníes",P2013,P2013*#REF!)</f>
        <v>767123.28769999999</v>
      </c>
      <c r="R2013" s="12" t="e">
        <f>IF(O2013="Guaraníes",P2013/#REF!,P2013)</f>
        <v>#REF!</v>
      </c>
      <c r="S2013" s="5" t="s">
        <v>52</v>
      </c>
      <c r="T2013" s="5">
        <v>9243</v>
      </c>
      <c r="W2013" s="5" t="s">
        <v>65</v>
      </c>
      <c r="X2013" s="5">
        <v>0</v>
      </c>
      <c r="Y2013" s="5">
        <v>0</v>
      </c>
      <c r="Z2013" s="5">
        <v>7671.2328770000004</v>
      </c>
      <c r="AA2013" s="5">
        <v>100</v>
      </c>
      <c r="AB2013" s="5">
        <v>767123.28769999999</v>
      </c>
      <c r="AC2013" s="5" t="str">
        <f t="shared" si="97"/>
        <v>Bonos</v>
      </c>
      <c r="AD2013" s="5" t="s">
        <v>43</v>
      </c>
      <c r="AE2013" s="5">
        <f t="shared" si="98"/>
        <v>2</v>
      </c>
      <c r="AF2013" s="5">
        <f t="shared" si="99"/>
        <v>2023</v>
      </c>
    </row>
    <row r="2014" s="5" customFormat="1" ht="13">
      <c r="A2014" s="5" t="s">
        <v>44</v>
      </c>
      <c r="B2014" s="5" t="s">
        <v>44</v>
      </c>
      <c r="C2014" s="5" t="s">
        <v>164</v>
      </c>
      <c r="D2014" s="5" t="s">
        <v>21</v>
      </c>
      <c r="E2014" s="5" t="s">
        <v>44</v>
      </c>
      <c r="F2014" s="5" t="s">
        <v>68</v>
      </c>
      <c r="G2014" s="5" t="s">
        <v>141</v>
      </c>
      <c r="H2014" s="9" t="s">
        <v>167</v>
      </c>
      <c r="I2014" s="10"/>
      <c r="J2014" s="10">
        <v>44985</v>
      </c>
      <c r="K2014" s="5" t="s">
        <v>124</v>
      </c>
      <c r="L2014" s="5" t="s">
        <v>58</v>
      </c>
      <c r="M2014" s="11">
        <v>0.092499999999999999</v>
      </c>
      <c r="N2014" s="5" t="e">
        <f>IF(AND(M2014&gt;#REF!,Cartera!O2014="Guaraníes"),"Rendimiento significativo",IF(AND(M2014&gt;#REF!,Cartera!O2014="Dólares americanos"),"Rendimiento significativo","Rendimiento no significativo"))</f>
        <v>#REF!</v>
      </c>
      <c r="O2014" s="5" t="s">
        <v>41</v>
      </c>
      <c r="P2014" s="12">
        <v>709589.04110000003</v>
      </c>
      <c r="Q2014" s="12">
        <f>IF(O2014="Guaraníes",P2014,P2014*#REF!)</f>
        <v>709589.04110000003</v>
      </c>
      <c r="R2014" s="12" t="e">
        <f>IF(O2014="Guaraníes",P2014/#REF!,P2014)</f>
        <v>#REF!</v>
      </c>
      <c r="S2014" s="5" t="s">
        <v>52</v>
      </c>
      <c r="T2014" s="5">
        <v>9243</v>
      </c>
      <c r="W2014" s="5" t="s">
        <v>65</v>
      </c>
      <c r="X2014" s="5">
        <v>0</v>
      </c>
      <c r="Y2014" s="5">
        <v>0</v>
      </c>
      <c r="Z2014" s="5">
        <v>7095.8904110000003</v>
      </c>
      <c r="AA2014" s="5">
        <v>100</v>
      </c>
      <c r="AB2014" s="5">
        <v>709589.04110000003</v>
      </c>
      <c r="AC2014" s="5" t="str">
        <f t="shared" si="97"/>
        <v>Bonos</v>
      </c>
      <c r="AD2014" s="5" t="s">
        <v>43</v>
      </c>
      <c r="AE2014" s="5">
        <f t="shared" si="98"/>
        <v>2</v>
      </c>
      <c r="AF2014" s="5">
        <f t="shared" si="99"/>
        <v>2023</v>
      </c>
    </row>
    <row r="2015" s="5" customFormat="1" ht="13">
      <c r="A2015" s="5" t="s">
        <v>44</v>
      </c>
      <c r="B2015" s="5" t="s">
        <v>44</v>
      </c>
      <c r="C2015" s="5" t="s">
        <v>389</v>
      </c>
      <c r="D2015" s="5" t="s">
        <v>21</v>
      </c>
      <c r="E2015" s="5" t="s">
        <v>44</v>
      </c>
      <c r="F2015" s="5" t="s">
        <v>68</v>
      </c>
      <c r="G2015" s="5" t="s">
        <v>141</v>
      </c>
      <c r="H2015" s="9" t="s">
        <v>390</v>
      </c>
      <c r="I2015" s="10"/>
      <c r="J2015" s="10">
        <v>44986</v>
      </c>
      <c r="K2015" s="5" t="s">
        <v>391</v>
      </c>
      <c r="L2015" s="5" t="s">
        <v>58</v>
      </c>
      <c r="M2015" s="11">
        <v>0.1125</v>
      </c>
      <c r="N2015" s="5" t="e">
        <f>IF(AND(M2015&gt;#REF!,Cartera!O2015="Guaraníes"),"Rendimiento significativo",IF(AND(M2015&gt;#REF!,Cartera!O2015="Dólares americanos"),"Rendimiento significativo","Rendimiento no significativo"))</f>
        <v>#REF!</v>
      </c>
      <c r="O2015" s="5" t="s">
        <v>41</v>
      </c>
      <c r="P2015" s="12">
        <v>841438.35615000001</v>
      </c>
      <c r="Q2015" s="12">
        <f>IF(O2015="Guaraníes",P2015,P2015*#REF!)</f>
        <v>841438.35615000001</v>
      </c>
      <c r="R2015" s="12" t="e">
        <f>IF(O2015="Guaraníes",P2015/#REF!,P2015)</f>
        <v>#REF!</v>
      </c>
      <c r="S2015" s="5" t="s">
        <v>52</v>
      </c>
      <c r="T2015" s="5">
        <v>9243</v>
      </c>
      <c r="W2015" s="5" t="s">
        <v>65</v>
      </c>
      <c r="X2015" s="5">
        <v>0</v>
      </c>
      <c r="Y2015" s="5">
        <v>0</v>
      </c>
      <c r="Z2015" s="5">
        <v>28047.945205</v>
      </c>
      <c r="AA2015" s="5">
        <v>30</v>
      </c>
      <c r="AB2015" s="5">
        <v>841438.35615000001</v>
      </c>
      <c r="AC2015" s="5" t="str">
        <f t="shared" si="97"/>
        <v>Bonos</v>
      </c>
      <c r="AD2015" s="5" t="s">
        <v>43</v>
      </c>
      <c r="AE2015" s="5">
        <f t="shared" si="98"/>
        <v>3</v>
      </c>
      <c r="AF2015" s="5">
        <f t="shared" si="99"/>
        <v>2023</v>
      </c>
    </row>
    <row r="2016" s="5" customFormat="1" ht="13">
      <c r="A2016" s="5" t="s">
        <v>44</v>
      </c>
      <c r="B2016" s="5" t="s">
        <v>44</v>
      </c>
      <c r="C2016" s="5" t="s">
        <v>164</v>
      </c>
      <c r="D2016" s="5" t="s">
        <v>21</v>
      </c>
      <c r="E2016" s="5" t="s">
        <v>44</v>
      </c>
      <c r="F2016" s="5" t="s">
        <v>68</v>
      </c>
      <c r="G2016" s="5" t="s">
        <v>141</v>
      </c>
      <c r="H2016" s="9" t="s">
        <v>393</v>
      </c>
      <c r="I2016" s="10"/>
      <c r="J2016" s="10">
        <v>44991</v>
      </c>
      <c r="K2016" s="5" t="s">
        <v>124</v>
      </c>
      <c r="L2016" s="5" t="s">
        <v>58</v>
      </c>
      <c r="M2016" s="11">
        <v>0.087499999999999994</v>
      </c>
      <c r="N2016" s="5" t="e">
        <f>IF(AND(M2016&gt;#REF!,Cartera!O2016="Guaraníes"),"Rendimiento significativo",IF(AND(M2016&gt;#REF!,Cartera!O2016="Dólares americanos"),"Rendimiento significativo","Rendimiento no significativo"))</f>
        <v>#REF!</v>
      </c>
      <c r="O2016" s="5" t="s">
        <v>41</v>
      </c>
      <c r="P2016" s="12">
        <v>10907534.2465</v>
      </c>
      <c r="Q2016" s="12">
        <f>IF(O2016="Guaraníes",P2016,P2016*#REF!)</f>
        <v>10907534.2465</v>
      </c>
      <c r="R2016" s="12" t="e">
        <f>IF(O2016="Guaraníes",P2016/#REF!,P2016)</f>
        <v>#REF!</v>
      </c>
      <c r="S2016" s="5" t="s">
        <v>52</v>
      </c>
      <c r="T2016" s="5">
        <v>9243</v>
      </c>
      <c r="W2016" s="5" t="s">
        <v>65</v>
      </c>
      <c r="X2016" s="5">
        <v>0</v>
      </c>
      <c r="Y2016" s="5">
        <v>0</v>
      </c>
      <c r="Z2016" s="5">
        <v>21815.068492999999</v>
      </c>
      <c r="AA2016" s="5">
        <v>500</v>
      </c>
      <c r="AB2016" s="5">
        <v>10907534.2465</v>
      </c>
      <c r="AC2016" s="5" t="str">
        <f t="shared" si="97"/>
        <v>Bonos</v>
      </c>
      <c r="AD2016" s="5" t="s">
        <v>43</v>
      </c>
      <c r="AE2016" s="5">
        <f t="shared" si="98"/>
        <v>3</v>
      </c>
      <c r="AF2016" s="5">
        <f t="shared" si="99"/>
        <v>2023</v>
      </c>
    </row>
    <row r="2017" s="5" customFormat="1" ht="13">
      <c r="A2017" s="5" t="s">
        <v>44</v>
      </c>
      <c r="B2017" s="5" t="s">
        <v>44</v>
      </c>
      <c r="C2017" s="5" t="s">
        <v>189</v>
      </c>
      <c r="D2017" s="5" t="s">
        <v>21</v>
      </c>
      <c r="E2017" s="5" t="s">
        <v>44</v>
      </c>
      <c r="F2017" s="5" t="s">
        <v>190</v>
      </c>
      <c r="G2017" s="5" t="s">
        <v>141</v>
      </c>
      <c r="H2017" s="9" t="s">
        <v>191</v>
      </c>
      <c r="I2017" s="10"/>
      <c r="J2017" s="10">
        <v>45009</v>
      </c>
      <c r="K2017" s="5" t="s">
        <v>77</v>
      </c>
      <c r="L2017" s="5" t="s">
        <v>58</v>
      </c>
      <c r="M2017" s="11">
        <v>0.089999999999999997</v>
      </c>
      <c r="N2017" s="5" t="e">
        <f>IF(AND(M2017&gt;#REF!,Cartera!O2017="Guaraníes"),"Rendimiento significativo",IF(AND(M2017&gt;#REF!,Cartera!O2017="Dólares americanos"),"Rendimiento significativo","Rendimiento no significativo"))</f>
        <v>#REF!</v>
      </c>
      <c r="O2017" s="5" t="s">
        <v>41</v>
      </c>
      <c r="P2017" s="12">
        <v>6731506.8480000002</v>
      </c>
      <c r="Q2017" s="12">
        <f>IF(O2017="Guaraníes",P2017,P2017*#REF!)</f>
        <v>6731506.8480000002</v>
      </c>
      <c r="R2017" s="12" t="e">
        <f>IF(O2017="Guaraníes",P2017/#REF!,P2017)</f>
        <v>#REF!</v>
      </c>
      <c r="S2017" s="5" t="s">
        <v>52</v>
      </c>
      <c r="T2017" s="5">
        <v>9243</v>
      </c>
      <c r="W2017" s="5" t="s">
        <v>65</v>
      </c>
      <c r="X2017" s="5">
        <v>0</v>
      </c>
      <c r="Y2017" s="5">
        <v>0</v>
      </c>
      <c r="Z2017" s="5">
        <v>22438.356159999999</v>
      </c>
      <c r="AA2017" s="5">
        <v>300</v>
      </c>
      <c r="AB2017" s="5">
        <v>6731506.8490000004</v>
      </c>
      <c r="AC2017" s="5" t="str">
        <f t="shared" si="97"/>
        <v>Bonos</v>
      </c>
      <c r="AD2017" s="5" t="s">
        <v>43</v>
      </c>
      <c r="AE2017" s="5">
        <f t="shared" si="98"/>
        <v>3</v>
      </c>
      <c r="AF2017" s="5">
        <f t="shared" si="99"/>
        <v>2023</v>
      </c>
    </row>
    <row r="2018" s="5" customFormat="1" ht="13">
      <c r="A2018" s="5" t="s">
        <v>44</v>
      </c>
      <c r="B2018" s="5" t="s">
        <v>44</v>
      </c>
      <c r="C2018" s="5" t="s">
        <v>164</v>
      </c>
      <c r="D2018" s="5" t="s">
        <v>21</v>
      </c>
      <c r="E2018" s="5" t="s">
        <v>44</v>
      </c>
      <c r="F2018" s="5" t="s">
        <v>68</v>
      </c>
      <c r="G2018" s="5" t="s">
        <v>141</v>
      </c>
      <c r="H2018" s="9" t="s">
        <v>165</v>
      </c>
      <c r="I2018" s="10"/>
      <c r="J2018" s="10">
        <v>45016</v>
      </c>
      <c r="K2018" s="5" t="s">
        <v>124</v>
      </c>
      <c r="L2018" s="5" t="s">
        <v>58</v>
      </c>
      <c r="M2018" s="11">
        <v>0.10000000000000001</v>
      </c>
      <c r="N2018" s="5" t="e">
        <f>IF(AND(M2018&gt;#REF!,Cartera!O2018="Guaraníes"),"Rendimiento significativo",IF(AND(M2018&gt;#REF!,Cartera!O2018="Dólares americanos"),"Rendimiento significativo","Rendimiento no significativo"))</f>
        <v>#REF!</v>
      </c>
      <c r="O2018" s="5" t="s">
        <v>41</v>
      </c>
      <c r="P2018" s="12">
        <v>849315.06850000005</v>
      </c>
      <c r="Q2018" s="12">
        <f>IF(O2018="Guaraníes",P2018,P2018*#REF!)</f>
        <v>849315.06850000005</v>
      </c>
      <c r="R2018" s="12" t="e">
        <f>IF(O2018="Guaraníes",P2018/#REF!,P2018)</f>
        <v>#REF!</v>
      </c>
      <c r="S2018" s="5" t="s">
        <v>52</v>
      </c>
      <c r="T2018" s="5">
        <v>9243</v>
      </c>
      <c r="W2018" s="5" t="s">
        <v>65</v>
      </c>
      <c r="X2018" s="5">
        <v>0</v>
      </c>
      <c r="Y2018" s="5">
        <v>0</v>
      </c>
      <c r="Z2018" s="5">
        <v>8493.1506850000005</v>
      </c>
      <c r="AA2018" s="5">
        <v>100</v>
      </c>
      <c r="AB2018" s="5">
        <v>849315.06850000005</v>
      </c>
      <c r="AC2018" s="5" t="str">
        <f t="shared" si="97"/>
        <v>Bonos</v>
      </c>
      <c r="AD2018" s="5" t="s">
        <v>43</v>
      </c>
      <c r="AE2018" s="5">
        <f t="shared" si="98"/>
        <v>3</v>
      </c>
      <c r="AF2018" s="5">
        <f t="shared" si="99"/>
        <v>2023</v>
      </c>
    </row>
    <row r="2019" s="5" customFormat="1" ht="13">
      <c r="A2019" s="5" t="s">
        <v>44</v>
      </c>
      <c r="B2019" s="5" t="s">
        <v>44</v>
      </c>
      <c r="C2019" s="5" t="s">
        <v>164</v>
      </c>
      <c r="D2019" s="5" t="s">
        <v>21</v>
      </c>
      <c r="E2019" s="5" t="s">
        <v>44</v>
      </c>
      <c r="F2019" s="5" t="s">
        <v>68</v>
      </c>
      <c r="G2019" s="5" t="s">
        <v>141</v>
      </c>
      <c r="H2019" s="9" t="s">
        <v>167</v>
      </c>
      <c r="I2019" s="10"/>
      <c r="J2019" s="10">
        <v>45016</v>
      </c>
      <c r="K2019" s="5" t="s">
        <v>124</v>
      </c>
      <c r="L2019" s="5" t="s">
        <v>58</v>
      </c>
      <c r="M2019" s="11">
        <v>0.092499999999999999</v>
      </c>
      <c r="N2019" s="5" t="e">
        <f>IF(AND(M2019&gt;#REF!,Cartera!O2019="Guaraníes"),"Rendimiento significativo",IF(AND(M2019&gt;#REF!,Cartera!O2019="Dólares americanos"),"Rendimiento significativo","Rendimiento no significativo"))</f>
        <v>#REF!</v>
      </c>
      <c r="O2019" s="5" t="s">
        <v>41</v>
      </c>
      <c r="P2019" s="12">
        <v>785616.43839999998</v>
      </c>
      <c r="Q2019" s="12">
        <f>IF(O2019="Guaraníes",P2019,P2019*#REF!)</f>
        <v>785616.43839999998</v>
      </c>
      <c r="R2019" s="12" t="e">
        <f>IF(O2019="Guaraníes",P2019/#REF!,P2019)</f>
        <v>#REF!</v>
      </c>
      <c r="S2019" s="5" t="s">
        <v>52</v>
      </c>
      <c r="T2019" s="5">
        <v>9243</v>
      </c>
      <c r="W2019" s="5" t="s">
        <v>65</v>
      </c>
      <c r="X2019" s="5">
        <v>0</v>
      </c>
      <c r="Y2019" s="5">
        <v>0</v>
      </c>
      <c r="Z2019" s="5">
        <v>7856.1643839999997</v>
      </c>
      <c r="AA2019" s="5">
        <v>100</v>
      </c>
      <c r="AB2019" s="5">
        <v>785616.43839999998</v>
      </c>
      <c r="AC2019" s="5" t="str">
        <f t="shared" si="97"/>
        <v>Bonos</v>
      </c>
      <c r="AD2019" s="5" t="s">
        <v>43</v>
      </c>
      <c r="AE2019" s="5">
        <f t="shared" si="98"/>
        <v>3</v>
      </c>
      <c r="AF2019" s="5">
        <f t="shared" si="99"/>
        <v>2023</v>
      </c>
    </row>
    <row r="2020" s="5" customFormat="1" ht="13">
      <c r="A2020" s="5" t="s">
        <v>44</v>
      </c>
      <c r="B2020" s="5" t="s">
        <v>44</v>
      </c>
      <c r="C2020" s="5" t="s">
        <v>164</v>
      </c>
      <c r="D2020" s="5" t="s">
        <v>21</v>
      </c>
      <c r="E2020" s="5" t="s">
        <v>44</v>
      </c>
      <c r="F2020" s="5" t="s">
        <v>68</v>
      </c>
      <c r="G2020" s="5" t="s">
        <v>141</v>
      </c>
      <c r="H2020" s="9" t="s">
        <v>165</v>
      </c>
      <c r="I2020" s="10"/>
      <c r="J2020" s="10">
        <v>45044</v>
      </c>
      <c r="K2020" s="5" t="s">
        <v>124</v>
      </c>
      <c r="L2020" s="5" t="s">
        <v>58</v>
      </c>
      <c r="M2020" s="11">
        <v>0.10000000000000001</v>
      </c>
      <c r="N2020" s="5" t="e">
        <f>IF(AND(M2020&gt;#REF!,Cartera!O2020="Guaraníes"),"Rendimiento significativo",IF(AND(M2020&gt;#REF!,Cartera!O2020="Dólares americanos"),"Rendimiento significativo","Rendimiento no significativo"))</f>
        <v>#REF!</v>
      </c>
      <c r="O2020" s="5" t="s">
        <v>41</v>
      </c>
      <c r="P2020" s="12">
        <v>767123.28769999999</v>
      </c>
      <c r="Q2020" s="12">
        <f>IF(O2020="Guaraníes",P2020,P2020*#REF!)</f>
        <v>767123.28769999999</v>
      </c>
      <c r="R2020" s="12" t="e">
        <f>IF(O2020="Guaraníes",P2020/#REF!,P2020)</f>
        <v>#REF!</v>
      </c>
      <c r="S2020" s="5" t="s">
        <v>52</v>
      </c>
      <c r="T2020" s="5">
        <v>9243</v>
      </c>
      <c r="W2020" s="5" t="s">
        <v>65</v>
      </c>
      <c r="X2020" s="5">
        <v>0</v>
      </c>
      <c r="Y2020" s="5">
        <v>0</v>
      </c>
      <c r="Z2020" s="5">
        <v>7671.2328770000004</v>
      </c>
      <c r="AA2020" s="5">
        <v>100</v>
      </c>
      <c r="AB2020" s="5">
        <v>767123.28769999999</v>
      </c>
      <c r="AC2020" s="5" t="str">
        <f t="shared" si="97"/>
        <v>Bonos</v>
      </c>
      <c r="AD2020" s="5" t="s">
        <v>43</v>
      </c>
      <c r="AE2020" s="5">
        <f t="shared" si="98"/>
        <v>4</v>
      </c>
      <c r="AF2020" s="5">
        <f t="shared" si="99"/>
        <v>2023</v>
      </c>
    </row>
    <row r="2021" s="5" customFormat="1" ht="13">
      <c r="A2021" s="5" t="s">
        <v>44</v>
      </c>
      <c r="B2021" s="5" t="s">
        <v>44</v>
      </c>
      <c r="C2021" s="5" t="s">
        <v>164</v>
      </c>
      <c r="D2021" s="5" t="s">
        <v>21</v>
      </c>
      <c r="E2021" s="5" t="s">
        <v>44</v>
      </c>
      <c r="F2021" s="5" t="s">
        <v>68</v>
      </c>
      <c r="G2021" s="5" t="s">
        <v>141</v>
      </c>
      <c r="H2021" s="9" t="s">
        <v>167</v>
      </c>
      <c r="I2021" s="10"/>
      <c r="J2021" s="10">
        <v>45044</v>
      </c>
      <c r="K2021" s="5" t="s">
        <v>124</v>
      </c>
      <c r="L2021" s="5" t="s">
        <v>58</v>
      </c>
      <c r="M2021" s="11">
        <v>0.092499999999999999</v>
      </c>
      <c r="N2021" s="5" t="e">
        <f>IF(AND(M2021&gt;#REF!,Cartera!O2021="Guaraníes"),"Rendimiento significativo",IF(AND(M2021&gt;#REF!,Cartera!O2021="Dólares americanos"),"Rendimiento significativo","Rendimiento no significativo"))</f>
        <v>#REF!</v>
      </c>
      <c r="O2021" s="5" t="s">
        <v>41</v>
      </c>
      <c r="P2021" s="12">
        <v>709589.04110000003</v>
      </c>
      <c r="Q2021" s="12">
        <f>IF(O2021="Guaraníes",P2021,P2021*#REF!)</f>
        <v>709589.04110000003</v>
      </c>
      <c r="R2021" s="12" t="e">
        <f>IF(O2021="Guaraníes",P2021/#REF!,P2021)</f>
        <v>#REF!</v>
      </c>
      <c r="S2021" s="5" t="s">
        <v>52</v>
      </c>
      <c r="T2021" s="5">
        <v>9243</v>
      </c>
      <c r="W2021" s="5" t="s">
        <v>65</v>
      </c>
      <c r="X2021" s="5">
        <v>0</v>
      </c>
      <c r="Y2021" s="5">
        <v>0</v>
      </c>
      <c r="Z2021" s="5">
        <v>7095.8904110000003</v>
      </c>
      <c r="AA2021" s="5">
        <v>100</v>
      </c>
      <c r="AB2021" s="5">
        <v>709589.04110000003</v>
      </c>
      <c r="AC2021" s="5" t="str">
        <f t="shared" si="97"/>
        <v>Bonos</v>
      </c>
      <c r="AD2021" s="5" t="s">
        <v>43</v>
      </c>
      <c r="AE2021" s="5">
        <f t="shared" si="98"/>
        <v>4</v>
      </c>
      <c r="AF2021" s="5">
        <f t="shared" si="99"/>
        <v>2023</v>
      </c>
    </row>
    <row r="2022" s="5" customFormat="1" ht="13">
      <c r="A2022" s="5" t="s">
        <v>44</v>
      </c>
      <c r="B2022" s="5" t="s">
        <v>44</v>
      </c>
      <c r="C2022" s="5" t="s">
        <v>156</v>
      </c>
      <c r="D2022" s="5" t="s">
        <v>21</v>
      </c>
      <c r="E2022" s="5" t="s">
        <v>44</v>
      </c>
      <c r="F2022" s="5" t="s">
        <v>68</v>
      </c>
      <c r="G2022" s="5" t="s">
        <v>141</v>
      </c>
      <c r="H2022" s="9" t="s">
        <v>392</v>
      </c>
      <c r="I2022" s="10"/>
      <c r="J2022" s="10">
        <v>45063</v>
      </c>
      <c r="K2022" s="5" t="s">
        <v>158</v>
      </c>
      <c r="L2022" s="5" t="s">
        <v>58</v>
      </c>
      <c r="M2022" s="11">
        <v>0.14000000000000001</v>
      </c>
      <c r="N2022" s="5" t="e">
        <f>IF(AND(M2022&gt;#REF!,Cartera!O2022="Guaraníes"),"Rendimiento significativo",IF(AND(M2022&gt;#REF!,Cartera!O2022="Dólares americanos"),"Rendimiento significativo","Rendimiento no significativo"))</f>
        <v>#REF!</v>
      </c>
      <c r="O2022" s="5" t="s">
        <v>41</v>
      </c>
      <c r="P2022" s="12">
        <v>1102739.726025</v>
      </c>
      <c r="Q2022" s="12">
        <f>IF(O2022="Guaraníes",P2022,P2022*#REF!)</f>
        <v>1102739.726025</v>
      </c>
      <c r="R2022" s="12" t="e">
        <f>IF(O2022="Guaraníes",P2022/#REF!,P2022)</f>
        <v>#REF!</v>
      </c>
      <c r="S2022" s="5" t="s">
        <v>52</v>
      </c>
      <c r="T2022" s="5">
        <v>9243</v>
      </c>
      <c r="W2022" s="5" t="s">
        <v>65</v>
      </c>
      <c r="X2022" s="5">
        <v>0</v>
      </c>
      <c r="Y2022" s="5">
        <v>0</v>
      </c>
      <c r="Z2022" s="5">
        <v>31506.849314999999</v>
      </c>
      <c r="AA2022" s="5">
        <v>35</v>
      </c>
      <c r="AB2022" s="5">
        <v>1102739.726025</v>
      </c>
      <c r="AC2022" s="5" t="str">
        <f t="shared" si="97"/>
        <v>Bonos</v>
      </c>
      <c r="AD2022" s="5" t="s">
        <v>43</v>
      </c>
      <c r="AE2022" s="5">
        <f t="shared" si="98"/>
        <v>5</v>
      </c>
      <c r="AF2022" s="5">
        <f t="shared" si="99"/>
        <v>2023</v>
      </c>
    </row>
    <row r="2023" s="5" customFormat="1" ht="13">
      <c r="A2023" s="5" t="s">
        <v>44</v>
      </c>
      <c r="B2023" s="5" t="s">
        <v>44</v>
      </c>
      <c r="C2023" s="5" t="s">
        <v>389</v>
      </c>
      <c r="D2023" s="5" t="s">
        <v>21</v>
      </c>
      <c r="E2023" s="5" t="s">
        <v>44</v>
      </c>
      <c r="F2023" s="5" t="s">
        <v>68</v>
      </c>
      <c r="G2023" s="5" t="s">
        <v>141</v>
      </c>
      <c r="H2023" s="9" t="s">
        <v>390</v>
      </c>
      <c r="I2023" s="10"/>
      <c r="J2023" s="10">
        <v>45077</v>
      </c>
      <c r="K2023" s="5" t="s">
        <v>391</v>
      </c>
      <c r="L2023" s="5" t="s">
        <v>58</v>
      </c>
      <c r="M2023" s="11">
        <v>0.1125</v>
      </c>
      <c r="N2023" s="5" t="e">
        <f>IF(AND(M2023&gt;#REF!,Cartera!O2023="Guaraníes"),"Rendimiento significativo",IF(AND(M2023&gt;#REF!,Cartera!O2023="Dólares americanos"),"Rendimiento significativo","Rendimiento no significativo"))</f>
        <v>#REF!</v>
      </c>
      <c r="O2023" s="5" t="s">
        <v>41</v>
      </c>
      <c r="P2023" s="12">
        <v>841438.35615000001</v>
      </c>
      <c r="Q2023" s="12">
        <f>IF(O2023="Guaraníes",P2023,P2023*#REF!)</f>
        <v>841438.35615000001</v>
      </c>
      <c r="R2023" s="12" t="e">
        <f>IF(O2023="Guaraníes",P2023/#REF!,P2023)</f>
        <v>#REF!</v>
      </c>
      <c r="S2023" s="5" t="s">
        <v>52</v>
      </c>
      <c r="T2023" s="5">
        <v>9243</v>
      </c>
      <c r="W2023" s="5" t="s">
        <v>65</v>
      </c>
      <c r="X2023" s="5">
        <v>0</v>
      </c>
      <c r="Y2023" s="5">
        <v>0</v>
      </c>
      <c r="Z2023" s="5">
        <v>28047.945205</v>
      </c>
      <c r="AA2023" s="5">
        <v>30</v>
      </c>
      <c r="AB2023" s="5">
        <v>841438.35615000001</v>
      </c>
      <c r="AC2023" s="5" t="str">
        <f t="shared" si="97"/>
        <v>Bonos</v>
      </c>
      <c r="AD2023" s="5" t="s">
        <v>43</v>
      </c>
      <c r="AE2023" s="5">
        <f t="shared" si="98"/>
        <v>5</v>
      </c>
      <c r="AF2023" s="5">
        <f t="shared" si="99"/>
        <v>2023</v>
      </c>
    </row>
    <row r="2024" s="5" customFormat="1" ht="13">
      <c r="A2024" s="5" t="s">
        <v>44</v>
      </c>
      <c r="B2024" s="5" t="s">
        <v>44</v>
      </c>
      <c r="C2024" s="5" t="s">
        <v>164</v>
      </c>
      <c r="D2024" s="5" t="s">
        <v>21</v>
      </c>
      <c r="E2024" s="5" t="s">
        <v>44</v>
      </c>
      <c r="F2024" s="5" t="s">
        <v>68</v>
      </c>
      <c r="G2024" s="5" t="s">
        <v>141</v>
      </c>
      <c r="H2024" s="9" t="s">
        <v>165</v>
      </c>
      <c r="I2024" s="10"/>
      <c r="J2024" s="10">
        <v>45077</v>
      </c>
      <c r="K2024" s="5" t="s">
        <v>124</v>
      </c>
      <c r="L2024" s="5" t="s">
        <v>58</v>
      </c>
      <c r="M2024" s="11">
        <v>0.10000000000000001</v>
      </c>
      <c r="N2024" s="5" t="e">
        <f>IF(AND(M2024&gt;#REF!,Cartera!O2024="Guaraníes"),"Rendimiento significativo",IF(AND(M2024&gt;#REF!,Cartera!O2024="Dólares americanos"),"Rendimiento significativo","Rendimiento no significativo"))</f>
        <v>#REF!</v>
      </c>
      <c r="O2024" s="5" t="s">
        <v>41</v>
      </c>
      <c r="P2024" s="12">
        <v>904109.58900000004</v>
      </c>
      <c r="Q2024" s="12">
        <f>IF(O2024="Guaraníes",P2024,P2024*#REF!)</f>
        <v>904109.58900000004</v>
      </c>
      <c r="R2024" s="12" t="e">
        <f>IF(O2024="Guaraníes",P2024/#REF!,P2024)</f>
        <v>#REF!</v>
      </c>
      <c r="S2024" s="5" t="s">
        <v>52</v>
      </c>
      <c r="T2024" s="5">
        <v>9243</v>
      </c>
      <c r="W2024" s="5" t="s">
        <v>65</v>
      </c>
      <c r="X2024" s="5">
        <v>0</v>
      </c>
      <c r="Y2024" s="5">
        <v>0</v>
      </c>
      <c r="Z2024" s="5">
        <v>9041.0958900000005</v>
      </c>
      <c r="AA2024" s="5">
        <v>100</v>
      </c>
      <c r="AB2024" s="5">
        <v>904109.58900000004</v>
      </c>
      <c r="AC2024" s="5" t="str">
        <f t="shared" si="97"/>
        <v>Bonos</v>
      </c>
      <c r="AD2024" s="5" t="s">
        <v>43</v>
      </c>
      <c r="AE2024" s="5">
        <f t="shared" si="98"/>
        <v>5</v>
      </c>
      <c r="AF2024" s="5">
        <f t="shared" si="99"/>
        <v>2023</v>
      </c>
    </row>
    <row r="2025" s="5" customFormat="1" ht="13">
      <c r="A2025" s="5" t="s">
        <v>44</v>
      </c>
      <c r="B2025" s="5" t="s">
        <v>44</v>
      </c>
      <c r="C2025" s="5" t="s">
        <v>164</v>
      </c>
      <c r="D2025" s="5" t="s">
        <v>21</v>
      </c>
      <c r="E2025" s="5" t="s">
        <v>44</v>
      </c>
      <c r="F2025" s="5" t="s">
        <v>68</v>
      </c>
      <c r="G2025" s="5" t="s">
        <v>141</v>
      </c>
      <c r="H2025" s="9" t="s">
        <v>167</v>
      </c>
      <c r="I2025" s="10"/>
      <c r="J2025" s="10">
        <v>45077</v>
      </c>
      <c r="K2025" s="5" t="s">
        <v>124</v>
      </c>
      <c r="L2025" s="5" t="s">
        <v>58</v>
      </c>
      <c r="M2025" s="11">
        <v>0.092499999999999999</v>
      </c>
      <c r="N2025" s="5" t="e">
        <f>IF(AND(M2025&gt;#REF!,Cartera!O2025="Guaraníes"),"Rendimiento significativo",IF(AND(M2025&gt;#REF!,Cartera!O2025="Dólares americanos"),"Rendimiento significativo","Rendimiento no significativo"))</f>
        <v>#REF!</v>
      </c>
      <c r="O2025" s="5" t="s">
        <v>41</v>
      </c>
      <c r="P2025" s="12">
        <v>836301.36989999993</v>
      </c>
      <c r="Q2025" s="12">
        <f>IF(O2025="Guaraníes",P2025,P2025*#REF!)</f>
        <v>836301.36989999993</v>
      </c>
      <c r="R2025" s="12" t="e">
        <f>IF(O2025="Guaraníes",P2025/#REF!,P2025)</f>
        <v>#REF!</v>
      </c>
      <c r="S2025" s="5" t="s">
        <v>52</v>
      </c>
      <c r="T2025" s="5">
        <v>9243</v>
      </c>
      <c r="W2025" s="5" t="s">
        <v>65</v>
      </c>
      <c r="X2025" s="5">
        <v>0</v>
      </c>
      <c r="Y2025" s="5">
        <v>0</v>
      </c>
      <c r="Z2025" s="5">
        <v>8363.0136989999992</v>
      </c>
      <c r="AA2025" s="5">
        <v>100</v>
      </c>
      <c r="AB2025" s="5">
        <v>836301.36990000005</v>
      </c>
      <c r="AC2025" s="5" t="str">
        <f t="shared" si="97"/>
        <v>Bonos</v>
      </c>
      <c r="AD2025" s="5" t="s">
        <v>43</v>
      </c>
      <c r="AE2025" s="5">
        <f t="shared" si="98"/>
        <v>5</v>
      </c>
      <c r="AF2025" s="5">
        <f t="shared" si="99"/>
        <v>2023</v>
      </c>
    </row>
    <row r="2026" s="5" customFormat="1" ht="13">
      <c r="A2026" s="5" t="s">
        <v>44</v>
      </c>
      <c r="B2026" s="5" t="s">
        <v>44</v>
      </c>
      <c r="C2026" s="5" t="s">
        <v>164</v>
      </c>
      <c r="D2026" s="5" t="s">
        <v>21</v>
      </c>
      <c r="E2026" s="5" t="s">
        <v>44</v>
      </c>
      <c r="F2026" s="5" t="s">
        <v>68</v>
      </c>
      <c r="G2026" s="5" t="s">
        <v>141</v>
      </c>
      <c r="H2026" s="9" t="s">
        <v>393</v>
      </c>
      <c r="I2026" s="10"/>
      <c r="J2026" s="10">
        <v>45082</v>
      </c>
      <c r="K2026" s="5" t="s">
        <v>124</v>
      </c>
      <c r="L2026" s="5" t="s">
        <v>58</v>
      </c>
      <c r="M2026" s="11">
        <v>0.087499999999999994</v>
      </c>
      <c r="N2026" s="5" t="e">
        <f>IF(AND(M2026&gt;#REF!,Cartera!O2026="Guaraníes"),"Rendimiento significativo",IF(AND(M2026&gt;#REF!,Cartera!O2026="Dólares americanos"),"Rendimiento significativo","Rendimiento no significativo"))</f>
        <v>#REF!</v>
      </c>
      <c r="O2026" s="5" t="s">
        <v>41</v>
      </c>
      <c r="P2026" s="12">
        <v>10907534.2465</v>
      </c>
      <c r="Q2026" s="12">
        <f>IF(O2026="Guaraníes",P2026,P2026*#REF!)</f>
        <v>10907534.2465</v>
      </c>
      <c r="R2026" s="12" t="e">
        <f>IF(O2026="Guaraníes",P2026/#REF!,P2026)</f>
        <v>#REF!</v>
      </c>
      <c r="S2026" s="5" t="s">
        <v>52</v>
      </c>
      <c r="T2026" s="5">
        <v>9243</v>
      </c>
      <c r="W2026" s="5" t="s">
        <v>65</v>
      </c>
      <c r="X2026" s="5">
        <v>0</v>
      </c>
      <c r="Y2026" s="5">
        <v>0</v>
      </c>
      <c r="Z2026" s="5">
        <v>21815.068492999999</v>
      </c>
      <c r="AA2026" s="5">
        <v>500</v>
      </c>
      <c r="AB2026" s="5">
        <v>10907534.2465</v>
      </c>
      <c r="AC2026" s="5" t="str">
        <f t="shared" si="97"/>
        <v>Bonos</v>
      </c>
      <c r="AD2026" s="5" t="s">
        <v>43</v>
      </c>
      <c r="AE2026" s="5">
        <f t="shared" si="98"/>
        <v>6</v>
      </c>
      <c r="AF2026" s="5">
        <f t="shared" si="99"/>
        <v>2023</v>
      </c>
    </row>
    <row r="2027" s="5" customFormat="1" ht="13">
      <c r="A2027" s="5" t="s">
        <v>44</v>
      </c>
      <c r="B2027" s="5" t="s">
        <v>44</v>
      </c>
      <c r="C2027" s="5" t="s">
        <v>189</v>
      </c>
      <c r="D2027" s="5" t="s">
        <v>21</v>
      </c>
      <c r="E2027" s="5" t="s">
        <v>44</v>
      </c>
      <c r="F2027" s="5" t="s">
        <v>190</v>
      </c>
      <c r="G2027" s="5" t="s">
        <v>141</v>
      </c>
      <c r="H2027" s="9" t="s">
        <v>191</v>
      </c>
      <c r="I2027" s="10"/>
      <c r="J2027" s="10">
        <v>45100</v>
      </c>
      <c r="K2027" s="5" t="s">
        <v>77</v>
      </c>
      <c r="L2027" s="5" t="s">
        <v>58</v>
      </c>
      <c r="M2027" s="11">
        <v>0.089999999999999997</v>
      </c>
      <c r="N2027" s="5" t="e">
        <f>IF(AND(M2027&gt;#REF!,Cartera!O2027="Guaraníes"),"Rendimiento significativo",IF(AND(M2027&gt;#REF!,Cartera!O2027="Dólares americanos"),"Rendimiento significativo","Rendimiento no significativo"))</f>
        <v>#REF!</v>
      </c>
      <c r="O2027" s="5" t="s">
        <v>41</v>
      </c>
      <c r="P2027" s="12">
        <v>6731506.8480000002</v>
      </c>
      <c r="Q2027" s="12">
        <f>IF(O2027="Guaraníes",P2027,P2027*#REF!)</f>
        <v>6731506.8480000002</v>
      </c>
      <c r="R2027" s="12" t="e">
        <f>IF(O2027="Guaraníes",P2027/#REF!,P2027)</f>
        <v>#REF!</v>
      </c>
      <c r="S2027" s="5" t="s">
        <v>52</v>
      </c>
      <c r="T2027" s="5">
        <v>9243</v>
      </c>
      <c r="W2027" s="5" t="s">
        <v>65</v>
      </c>
      <c r="X2027" s="5">
        <v>0</v>
      </c>
      <c r="Y2027" s="5">
        <v>0</v>
      </c>
      <c r="Z2027" s="5">
        <v>22438.356159999999</v>
      </c>
      <c r="AA2027" s="5">
        <v>300</v>
      </c>
      <c r="AB2027" s="5">
        <v>6731506.8490000004</v>
      </c>
      <c r="AC2027" s="5" t="str">
        <f t="shared" si="97"/>
        <v>Bonos</v>
      </c>
      <c r="AD2027" s="5" t="s">
        <v>43</v>
      </c>
      <c r="AE2027" s="5">
        <f t="shared" si="98"/>
        <v>6</v>
      </c>
      <c r="AF2027" s="5">
        <f t="shared" si="99"/>
        <v>2023</v>
      </c>
    </row>
    <row r="2028" s="5" customFormat="1" ht="13">
      <c r="A2028" s="5" t="s">
        <v>44</v>
      </c>
      <c r="B2028" s="5" t="s">
        <v>44</v>
      </c>
      <c r="C2028" s="5" t="s">
        <v>164</v>
      </c>
      <c r="D2028" s="5" t="s">
        <v>21</v>
      </c>
      <c r="E2028" s="5" t="s">
        <v>44</v>
      </c>
      <c r="F2028" s="5" t="s">
        <v>68</v>
      </c>
      <c r="G2028" s="5" t="s">
        <v>141</v>
      </c>
      <c r="H2028" s="9" t="s">
        <v>165</v>
      </c>
      <c r="I2028" s="10"/>
      <c r="J2028" s="10">
        <v>45107</v>
      </c>
      <c r="K2028" s="5" t="s">
        <v>124</v>
      </c>
      <c r="L2028" s="5" t="s">
        <v>58</v>
      </c>
      <c r="M2028" s="11">
        <v>0.10000000000000001</v>
      </c>
      <c r="N2028" s="5" t="e">
        <f>IF(AND(M2028&gt;#REF!,Cartera!O2028="Guaraníes"),"Rendimiento significativo",IF(AND(M2028&gt;#REF!,Cartera!O2028="Dólares americanos"),"Rendimiento significativo","Rendimiento no significativo"))</f>
        <v>#REF!</v>
      </c>
      <c r="O2028" s="5" t="s">
        <v>41</v>
      </c>
      <c r="P2028" s="12">
        <v>821917.80820000009</v>
      </c>
      <c r="Q2028" s="12">
        <f>IF(O2028="Guaraníes",P2028,P2028*#REF!)</f>
        <v>821917.80820000009</v>
      </c>
      <c r="R2028" s="12" t="e">
        <f>IF(O2028="Guaraníes",P2028/#REF!,P2028)</f>
        <v>#REF!</v>
      </c>
      <c r="S2028" s="5" t="s">
        <v>52</v>
      </c>
      <c r="T2028" s="5">
        <v>9243</v>
      </c>
      <c r="W2028" s="5" t="s">
        <v>65</v>
      </c>
      <c r="X2028" s="5">
        <v>0</v>
      </c>
      <c r="Y2028" s="5">
        <v>0</v>
      </c>
      <c r="Z2028" s="5">
        <v>8219.1780820000004</v>
      </c>
      <c r="AA2028" s="5">
        <v>100</v>
      </c>
      <c r="AB2028" s="5">
        <v>821917.80819999997</v>
      </c>
      <c r="AC2028" s="5" t="str">
        <f t="shared" si="97"/>
        <v>Bonos</v>
      </c>
      <c r="AD2028" s="5" t="s">
        <v>43</v>
      </c>
      <c r="AE2028" s="5">
        <f t="shared" si="98"/>
        <v>6</v>
      </c>
      <c r="AF2028" s="5">
        <f t="shared" si="99"/>
        <v>2023</v>
      </c>
    </row>
    <row r="2029" s="5" customFormat="1" ht="13">
      <c r="A2029" s="5" t="s">
        <v>44</v>
      </c>
      <c r="B2029" s="5" t="s">
        <v>44</v>
      </c>
      <c r="C2029" s="5" t="s">
        <v>164</v>
      </c>
      <c r="D2029" s="5" t="s">
        <v>21</v>
      </c>
      <c r="E2029" s="5" t="s">
        <v>44</v>
      </c>
      <c r="F2029" s="5" t="s">
        <v>68</v>
      </c>
      <c r="G2029" s="5" t="s">
        <v>141</v>
      </c>
      <c r="H2029" s="9" t="s">
        <v>167</v>
      </c>
      <c r="I2029" s="10"/>
      <c r="J2029" s="10">
        <v>45107</v>
      </c>
      <c r="K2029" s="5" t="s">
        <v>124</v>
      </c>
      <c r="L2029" s="5" t="s">
        <v>58</v>
      </c>
      <c r="M2029" s="11">
        <v>0.092499999999999999</v>
      </c>
      <c r="N2029" s="5" t="e">
        <f>IF(AND(M2029&gt;#REF!,Cartera!O2029="Guaraníes"),"Rendimiento significativo",IF(AND(M2029&gt;#REF!,Cartera!O2029="Dólares americanos"),"Rendimiento significativo","Rendimiento no significativo"))</f>
        <v>#REF!</v>
      </c>
      <c r="O2029" s="5" t="s">
        <v>41</v>
      </c>
      <c r="P2029" s="12">
        <v>760273.97259999998</v>
      </c>
      <c r="Q2029" s="12">
        <f>IF(O2029="Guaraníes",P2029,P2029*#REF!)</f>
        <v>760273.97259999998</v>
      </c>
      <c r="R2029" s="12" t="e">
        <f>IF(O2029="Guaraníes",P2029/#REF!,P2029)</f>
        <v>#REF!</v>
      </c>
      <c r="S2029" s="5" t="s">
        <v>52</v>
      </c>
      <c r="T2029" s="5">
        <v>9243</v>
      </c>
      <c r="W2029" s="5" t="s">
        <v>65</v>
      </c>
      <c r="X2029" s="5">
        <v>0</v>
      </c>
      <c r="Y2029" s="5">
        <v>0</v>
      </c>
      <c r="Z2029" s="5">
        <v>7602.7397259999998</v>
      </c>
      <c r="AA2029" s="5">
        <v>100</v>
      </c>
      <c r="AB2029" s="5">
        <v>760273.97259999998</v>
      </c>
      <c r="AC2029" s="5" t="str">
        <f t="shared" si="97"/>
        <v>Bonos</v>
      </c>
      <c r="AD2029" s="5" t="s">
        <v>43</v>
      </c>
      <c r="AE2029" s="5">
        <f t="shared" si="98"/>
        <v>6</v>
      </c>
      <c r="AF2029" s="5">
        <f t="shared" si="99"/>
        <v>2023</v>
      </c>
    </row>
    <row r="2030" s="5" customFormat="1" ht="13">
      <c r="A2030" s="5" t="s">
        <v>44</v>
      </c>
      <c r="B2030" s="5" t="s">
        <v>44</v>
      </c>
      <c r="C2030" s="5" t="s">
        <v>164</v>
      </c>
      <c r="D2030" s="5" t="s">
        <v>21</v>
      </c>
      <c r="E2030" s="5" t="s">
        <v>44</v>
      </c>
      <c r="F2030" s="5" t="s">
        <v>68</v>
      </c>
      <c r="G2030" s="5" t="s">
        <v>141</v>
      </c>
      <c r="H2030" s="9" t="s">
        <v>165</v>
      </c>
      <c r="I2030" s="10"/>
      <c r="J2030" s="10">
        <v>45138</v>
      </c>
      <c r="K2030" s="5" t="s">
        <v>124</v>
      </c>
      <c r="L2030" s="5" t="s">
        <v>58</v>
      </c>
      <c r="M2030" s="11">
        <v>0.10000000000000001</v>
      </c>
      <c r="N2030" s="5" t="e">
        <f>IF(AND(M2030&gt;#REF!,Cartera!O2030="Guaraníes"),"Rendimiento significativo",IF(AND(M2030&gt;#REF!,Cartera!O2030="Dólares americanos"),"Rendimiento significativo","Rendimiento no significativo"))</f>
        <v>#REF!</v>
      </c>
      <c r="O2030" s="5" t="s">
        <v>41</v>
      </c>
      <c r="P2030" s="12">
        <v>849315.06850000005</v>
      </c>
      <c r="Q2030" s="12">
        <f>IF(O2030="Guaraníes",P2030,P2030*#REF!)</f>
        <v>849315.06850000005</v>
      </c>
      <c r="R2030" s="12" t="e">
        <f>IF(O2030="Guaraníes",P2030/#REF!,P2030)</f>
        <v>#REF!</v>
      </c>
      <c r="S2030" s="5" t="s">
        <v>52</v>
      </c>
      <c r="T2030" s="5">
        <v>9243</v>
      </c>
      <c r="W2030" s="5" t="s">
        <v>65</v>
      </c>
      <c r="X2030" s="5">
        <v>0</v>
      </c>
      <c r="Y2030" s="5">
        <v>0</v>
      </c>
      <c r="Z2030" s="5">
        <v>8493.1506850000005</v>
      </c>
      <c r="AA2030" s="5">
        <v>100</v>
      </c>
      <c r="AB2030" s="5">
        <v>849315.06850000005</v>
      </c>
      <c r="AC2030" s="5" t="str">
        <f t="shared" si="97"/>
        <v>Bonos</v>
      </c>
      <c r="AD2030" s="5" t="s">
        <v>43</v>
      </c>
      <c r="AE2030" s="5">
        <f t="shared" si="98"/>
        <v>7</v>
      </c>
      <c r="AF2030" s="5">
        <f t="shared" si="99"/>
        <v>2023</v>
      </c>
    </row>
    <row r="2031" s="5" customFormat="1" ht="13">
      <c r="A2031" s="5" t="s">
        <v>44</v>
      </c>
      <c r="B2031" s="5" t="s">
        <v>44</v>
      </c>
      <c r="C2031" s="5" t="s">
        <v>164</v>
      </c>
      <c r="D2031" s="5" t="s">
        <v>21</v>
      </c>
      <c r="E2031" s="5" t="s">
        <v>44</v>
      </c>
      <c r="F2031" s="5" t="s">
        <v>68</v>
      </c>
      <c r="G2031" s="5" t="s">
        <v>141</v>
      </c>
      <c r="H2031" s="9" t="s">
        <v>167</v>
      </c>
      <c r="I2031" s="10"/>
      <c r="J2031" s="10">
        <v>45138</v>
      </c>
      <c r="K2031" s="5" t="s">
        <v>124</v>
      </c>
      <c r="L2031" s="5" t="s">
        <v>58</v>
      </c>
      <c r="M2031" s="11">
        <v>0.092499999999999999</v>
      </c>
      <c r="N2031" s="5" t="e">
        <f>IF(AND(M2031&gt;#REF!,Cartera!O2031="Guaraníes"),"Rendimiento significativo",IF(AND(M2031&gt;#REF!,Cartera!O2031="Dólares americanos"),"Rendimiento significativo","Rendimiento no significativo"))</f>
        <v>#REF!</v>
      </c>
      <c r="O2031" s="5" t="s">
        <v>41</v>
      </c>
      <c r="P2031" s="12">
        <v>785616.43839999998</v>
      </c>
      <c r="Q2031" s="12">
        <f>IF(O2031="Guaraníes",P2031,P2031*#REF!)</f>
        <v>785616.43839999998</v>
      </c>
      <c r="R2031" s="12" t="e">
        <f>IF(O2031="Guaraníes",P2031/#REF!,P2031)</f>
        <v>#REF!</v>
      </c>
      <c r="S2031" s="5" t="s">
        <v>52</v>
      </c>
      <c r="T2031" s="5">
        <v>9243</v>
      </c>
      <c r="W2031" s="5" t="s">
        <v>65</v>
      </c>
      <c r="X2031" s="5">
        <v>0</v>
      </c>
      <c r="Y2031" s="5">
        <v>0</v>
      </c>
      <c r="Z2031" s="5">
        <v>7856.1643839999997</v>
      </c>
      <c r="AA2031" s="5">
        <v>100</v>
      </c>
      <c r="AB2031" s="5">
        <v>785616.43839999998</v>
      </c>
      <c r="AC2031" s="5" t="str">
        <f t="shared" si="97"/>
        <v>Bonos</v>
      </c>
      <c r="AD2031" s="5" t="s">
        <v>43</v>
      </c>
      <c r="AE2031" s="5">
        <f t="shared" si="98"/>
        <v>7</v>
      </c>
      <c r="AF2031" s="5">
        <f t="shared" si="99"/>
        <v>2023</v>
      </c>
    </row>
    <row r="2032" s="5" customFormat="1" ht="13">
      <c r="A2032" s="5" t="s">
        <v>44</v>
      </c>
      <c r="B2032" s="5" t="s">
        <v>44</v>
      </c>
      <c r="C2032" s="5" t="s">
        <v>156</v>
      </c>
      <c r="D2032" s="5" t="s">
        <v>21</v>
      </c>
      <c r="E2032" s="5" t="s">
        <v>44</v>
      </c>
      <c r="F2032" s="5" t="s">
        <v>68</v>
      </c>
      <c r="G2032" s="5" t="s">
        <v>141</v>
      </c>
      <c r="H2032" s="9" t="s">
        <v>392</v>
      </c>
      <c r="I2032" s="10"/>
      <c r="J2032" s="10">
        <v>45156</v>
      </c>
      <c r="K2032" s="5" t="s">
        <v>158</v>
      </c>
      <c r="L2032" s="5" t="s">
        <v>58</v>
      </c>
      <c r="M2032" s="11">
        <v>0.14000000000000001</v>
      </c>
      <c r="N2032" s="5" t="e">
        <f>IF(AND(M2032&gt;#REF!,Cartera!O2032="Guaraníes"),"Rendimiento significativo",IF(AND(M2032&gt;#REF!,Cartera!O2032="Dólares americanos"),"Rendimiento significativo","Rendimiento no significativo"))</f>
        <v>#REF!</v>
      </c>
      <c r="O2032" s="5" t="s">
        <v>41</v>
      </c>
      <c r="P2032" s="12">
        <v>1114726.0273800001</v>
      </c>
      <c r="Q2032" s="12">
        <f>IF(O2032="Guaraníes",P2032,P2032*#REF!)</f>
        <v>1114726.0273800001</v>
      </c>
      <c r="R2032" s="12" t="e">
        <f>IF(O2032="Guaraníes",P2032/#REF!,P2032)</f>
        <v>#REF!</v>
      </c>
      <c r="S2032" s="5" t="s">
        <v>52</v>
      </c>
      <c r="T2032" s="5">
        <v>9243</v>
      </c>
      <c r="W2032" s="5" t="s">
        <v>65</v>
      </c>
      <c r="X2032" s="5">
        <v>0</v>
      </c>
      <c r="Y2032" s="5">
        <v>0</v>
      </c>
      <c r="Z2032" s="5">
        <v>31849.315068</v>
      </c>
      <c r="AA2032" s="5">
        <v>35</v>
      </c>
      <c r="AB2032" s="5">
        <v>1114726.0273800001</v>
      </c>
      <c r="AC2032" s="5" t="str">
        <f t="shared" si="97"/>
        <v>Bonos</v>
      </c>
      <c r="AD2032" s="5" t="s">
        <v>43</v>
      </c>
      <c r="AE2032" s="5">
        <f t="shared" si="98"/>
        <v>8</v>
      </c>
      <c r="AF2032" s="5">
        <f t="shared" si="99"/>
        <v>2023</v>
      </c>
    </row>
    <row r="2033" s="5" customFormat="1" ht="13">
      <c r="A2033" s="5" t="s">
        <v>44</v>
      </c>
      <c r="B2033" s="5" t="s">
        <v>44</v>
      </c>
      <c r="C2033" s="5" t="s">
        <v>389</v>
      </c>
      <c r="D2033" s="5" t="s">
        <v>21</v>
      </c>
      <c r="E2033" s="5" t="s">
        <v>44</v>
      </c>
      <c r="F2033" s="5" t="s">
        <v>68</v>
      </c>
      <c r="G2033" s="5" t="s">
        <v>141</v>
      </c>
      <c r="H2033" s="9" t="s">
        <v>390</v>
      </c>
      <c r="I2033" s="10"/>
      <c r="J2033" s="10">
        <v>45168</v>
      </c>
      <c r="K2033" s="5" t="s">
        <v>391</v>
      </c>
      <c r="L2033" s="5" t="s">
        <v>58</v>
      </c>
      <c r="M2033" s="11">
        <v>0.1125</v>
      </c>
      <c r="N2033" s="5" t="e">
        <f>IF(AND(M2033&gt;#REF!,Cartera!O2033="Guaraníes"),"Rendimiento significativo",IF(AND(M2033&gt;#REF!,Cartera!O2033="Dólares americanos"),"Rendimiento significativo","Rendimiento no significativo"))</f>
        <v>#REF!</v>
      </c>
      <c r="O2033" s="5" t="s">
        <v>41</v>
      </c>
      <c r="P2033" s="12">
        <v>841438.35615000001</v>
      </c>
      <c r="Q2033" s="12">
        <f>IF(O2033="Guaraníes",P2033,P2033*#REF!)</f>
        <v>841438.35615000001</v>
      </c>
      <c r="R2033" s="12" t="e">
        <f>IF(O2033="Guaraníes",P2033/#REF!,P2033)</f>
        <v>#REF!</v>
      </c>
      <c r="S2033" s="5" t="s">
        <v>52</v>
      </c>
      <c r="T2033" s="5">
        <v>9243</v>
      </c>
      <c r="W2033" s="5" t="s">
        <v>65</v>
      </c>
      <c r="X2033" s="5">
        <v>0</v>
      </c>
      <c r="Y2033" s="5">
        <v>0</v>
      </c>
      <c r="Z2033" s="5">
        <v>28047.945205</v>
      </c>
      <c r="AA2033" s="5">
        <v>30</v>
      </c>
      <c r="AB2033" s="5">
        <v>841438.35615000001</v>
      </c>
      <c r="AC2033" s="5" t="str">
        <f t="shared" si="97"/>
        <v>Bonos</v>
      </c>
      <c r="AD2033" s="5" t="s">
        <v>43</v>
      </c>
      <c r="AE2033" s="5">
        <f t="shared" si="98"/>
        <v>8</v>
      </c>
      <c r="AF2033" s="5">
        <f t="shared" si="99"/>
        <v>2023</v>
      </c>
    </row>
    <row r="2034" s="5" customFormat="1" ht="13">
      <c r="A2034" s="5" t="s">
        <v>44</v>
      </c>
      <c r="B2034" s="5" t="s">
        <v>44</v>
      </c>
      <c r="C2034" s="5" t="s">
        <v>164</v>
      </c>
      <c r="D2034" s="5" t="s">
        <v>21</v>
      </c>
      <c r="E2034" s="5" t="s">
        <v>44</v>
      </c>
      <c r="F2034" s="5" t="s">
        <v>68</v>
      </c>
      <c r="G2034" s="5" t="s">
        <v>141</v>
      </c>
      <c r="H2034" s="9" t="s">
        <v>165</v>
      </c>
      <c r="I2034" s="10"/>
      <c r="J2034" s="10">
        <v>45169</v>
      </c>
      <c r="K2034" s="5" t="s">
        <v>124</v>
      </c>
      <c r="L2034" s="5" t="s">
        <v>58</v>
      </c>
      <c r="M2034" s="11">
        <v>0.10000000000000001</v>
      </c>
      <c r="N2034" s="5" t="e">
        <f>IF(AND(M2034&gt;#REF!,Cartera!O2034="Guaraníes"),"Rendimiento significativo",IF(AND(M2034&gt;#REF!,Cartera!O2034="Dólares americanos"),"Rendimiento significativo","Rendimiento no significativo"))</f>
        <v>#REF!</v>
      </c>
      <c r="O2034" s="5" t="s">
        <v>41</v>
      </c>
      <c r="P2034" s="12">
        <v>849315.06850000005</v>
      </c>
      <c r="Q2034" s="12">
        <f>IF(O2034="Guaraníes",P2034,P2034*#REF!)</f>
        <v>849315.06850000005</v>
      </c>
      <c r="R2034" s="12" t="e">
        <f>IF(O2034="Guaraníes",P2034/#REF!,P2034)</f>
        <v>#REF!</v>
      </c>
      <c r="S2034" s="5" t="s">
        <v>52</v>
      </c>
      <c r="T2034" s="5">
        <v>9243</v>
      </c>
      <c r="W2034" s="5" t="s">
        <v>65</v>
      </c>
      <c r="X2034" s="5">
        <v>0</v>
      </c>
      <c r="Y2034" s="5">
        <v>0</v>
      </c>
      <c r="Z2034" s="5">
        <v>8493.1506850000005</v>
      </c>
      <c r="AA2034" s="5">
        <v>100</v>
      </c>
      <c r="AB2034" s="5">
        <v>849315.06850000005</v>
      </c>
      <c r="AC2034" s="5" t="str">
        <f t="shared" si="97"/>
        <v>Bonos</v>
      </c>
      <c r="AD2034" s="5" t="s">
        <v>43</v>
      </c>
      <c r="AE2034" s="5">
        <f t="shared" si="98"/>
        <v>8</v>
      </c>
      <c r="AF2034" s="5">
        <f t="shared" si="99"/>
        <v>2023</v>
      </c>
    </row>
    <row r="2035" s="5" customFormat="1" ht="13">
      <c r="A2035" s="5" t="s">
        <v>44</v>
      </c>
      <c r="B2035" s="5" t="s">
        <v>44</v>
      </c>
      <c r="C2035" s="5" t="s">
        <v>164</v>
      </c>
      <c r="D2035" s="5" t="s">
        <v>21</v>
      </c>
      <c r="E2035" s="5" t="s">
        <v>44</v>
      </c>
      <c r="F2035" s="5" t="s">
        <v>68</v>
      </c>
      <c r="G2035" s="5" t="s">
        <v>141</v>
      </c>
      <c r="H2035" s="9" t="s">
        <v>167</v>
      </c>
      <c r="I2035" s="10"/>
      <c r="J2035" s="10">
        <v>45169</v>
      </c>
      <c r="K2035" s="5" t="s">
        <v>124</v>
      </c>
      <c r="L2035" s="5" t="s">
        <v>58</v>
      </c>
      <c r="M2035" s="11">
        <v>0.092499999999999999</v>
      </c>
      <c r="N2035" s="5" t="e">
        <f>IF(AND(M2035&gt;#REF!,Cartera!O2035="Guaraníes"),"Rendimiento significativo",IF(AND(M2035&gt;#REF!,Cartera!O2035="Dólares americanos"),"Rendimiento significativo","Rendimiento no significativo"))</f>
        <v>#REF!</v>
      </c>
      <c r="O2035" s="5" t="s">
        <v>41</v>
      </c>
      <c r="P2035" s="12">
        <v>785616.43839999998</v>
      </c>
      <c r="Q2035" s="12">
        <f>IF(O2035="Guaraníes",P2035,P2035*#REF!)</f>
        <v>785616.43839999998</v>
      </c>
      <c r="R2035" s="12" t="e">
        <f>IF(O2035="Guaraníes",P2035/#REF!,P2035)</f>
        <v>#REF!</v>
      </c>
      <c r="S2035" s="5" t="s">
        <v>52</v>
      </c>
      <c r="T2035" s="5">
        <v>9243</v>
      </c>
      <c r="W2035" s="5" t="s">
        <v>65</v>
      </c>
      <c r="X2035" s="5">
        <v>0</v>
      </c>
      <c r="Y2035" s="5">
        <v>0</v>
      </c>
      <c r="Z2035" s="5">
        <v>7856.1643839999997</v>
      </c>
      <c r="AA2035" s="5">
        <v>100</v>
      </c>
      <c r="AB2035" s="5">
        <v>785616.43839999998</v>
      </c>
      <c r="AC2035" s="5" t="str">
        <f t="shared" si="97"/>
        <v>Bonos</v>
      </c>
      <c r="AD2035" s="5" t="s">
        <v>43</v>
      </c>
      <c r="AE2035" s="5">
        <f t="shared" si="98"/>
        <v>8</v>
      </c>
      <c r="AF2035" s="5">
        <f t="shared" si="99"/>
        <v>2023</v>
      </c>
    </row>
    <row r="2036" s="5" customFormat="1" ht="13">
      <c r="A2036" s="5" t="s">
        <v>44</v>
      </c>
      <c r="B2036" s="5" t="s">
        <v>44</v>
      </c>
      <c r="C2036" s="5" t="s">
        <v>164</v>
      </c>
      <c r="D2036" s="5" t="s">
        <v>21</v>
      </c>
      <c r="E2036" s="5" t="s">
        <v>44</v>
      </c>
      <c r="F2036" s="5" t="s">
        <v>68</v>
      </c>
      <c r="G2036" s="5" t="s">
        <v>141</v>
      </c>
      <c r="H2036" s="9" t="s">
        <v>393</v>
      </c>
      <c r="I2036" s="10"/>
      <c r="J2036" s="10">
        <v>45173</v>
      </c>
      <c r="K2036" s="5" t="s">
        <v>124</v>
      </c>
      <c r="L2036" s="5" t="s">
        <v>58</v>
      </c>
      <c r="M2036" s="11">
        <v>0.087499999999999994</v>
      </c>
      <c r="N2036" s="5" t="e">
        <f>IF(AND(M2036&gt;#REF!,Cartera!O2036="Guaraníes"),"Rendimiento significativo",IF(AND(M2036&gt;#REF!,Cartera!O2036="Dólares americanos"),"Rendimiento significativo","Rendimiento no significativo"))</f>
        <v>#REF!</v>
      </c>
      <c r="O2036" s="5" t="s">
        <v>41</v>
      </c>
      <c r="P2036" s="12">
        <v>10907534.2465</v>
      </c>
      <c r="Q2036" s="12">
        <f>IF(O2036="Guaraníes",P2036,P2036*#REF!)</f>
        <v>10907534.2465</v>
      </c>
      <c r="R2036" s="12" t="e">
        <f>IF(O2036="Guaraníes",P2036/#REF!,P2036)</f>
        <v>#REF!</v>
      </c>
      <c r="S2036" s="5" t="s">
        <v>52</v>
      </c>
      <c r="T2036" s="5">
        <v>9243</v>
      </c>
      <c r="W2036" s="5" t="s">
        <v>65</v>
      </c>
      <c r="X2036" s="5">
        <v>0</v>
      </c>
      <c r="Y2036" s="5">
        <v>0</v>
      </c>
      <c r="Z2036" s="5">
        <v>21815.068492999999</v>
      </c>
      <c r="AA2036" s="5">
        <v>500</v>
      </c>
      <c r="AB2036" s="5">
        <v>10907534.2465</v>
      </c>
      <c r="AC2036" s="5" t="str">
        <f t="shared" si="97"/>
        <v>Bonos</v>
      </c>
      <c r="AD2036" s="5" t="s">
        <v>43</v>
      </c>
      <c r="AE2036" s="5">
        <f t="shared" si="98"/>
        <v>9</v>
      </c>
      <c r="AF2036" s="5">
        <f t="shared" si="99"/>
        <v>2023</v>
      </c>
    </row>
    <row r="2037" s="5" customFormat="1" ht="13">
      <c r="A2037" s="5" t="s">
        <v>44</v>
      </c>
      <c r="B2037" s="5" t="s">
        <v>44</v>
      </c>
      <c r="C2037" s="5" t="s">
        <v>189</v>
      </c>
      <c r="D2037" s="5" t="s">
        <v>21</v>
      </c>
      <c r="E2037" s="5" t="s">
        <v>44</v>
      </c>
      <c r="F2037" s="5" t="s">
        <v>190</v>
      </c>
      <c r="G2037" s="5" t="s">
        <v>141</v>
      </c>
      <c r="H2037" s="9" t="s">
        <v>191</v>
      </c>
      <c r="I2037" s="10"/>
      <c r="J2037" s="10">
        <v>45191</v>
      </c>
      <c r="K2037" s="5" t="s">
        <v>77</v>
      </c>
      <c r="L2037" s="5" t="s">
        <v>58</v>
      </c>
      <c r="M2037" s="11">
        <v>0.089999999999999997</v>
      </c>
      <c r="N2037" s="5" t="e">
        <f>IF(AND(M2037&gt;#REF!,Cartera!O2037="Guaraníes"),"Rendimiento significativo",IF(AND(M2037&gt;#REF!,Cartera!O2037="Dólares americanos"),"Rendimiento significativo","Rendimiento no significativo"))</f>
        <v>#REF!</v>
      </c>
      <c r="O2037" s="5" t="s">
        <v>41</v>
      </c>
      <c r="P2037" s="12">
        <v>6731506.8480000002</v>
      </c>
      <c r="Q2037" s="12">
        <f>IF(O2037="Guaraníes",P2037,P2037*#REF!)</f>
        <v>6731506.8480000002</v>
      </c>
      <c r="R2037" s="12" t="e">
        <f>IF(O2037="Guaraníes",P2037/#REF!,P2037)</f>
        <v>#REF!</v>
      </c>
      <c r="S2037" s="5" t="s">
        <v>52</v>
      </c>
      <c r="T2037" s="5">
        <v>9243</v>
      </c>
      <c r="W2037" s="5" t="s">
        <v>65</v>
      </c>
      <c r="X2037" s="5">
        <v>0</v>
      </c>
      <c r="Y2037" s="5">
        <v>0</v>
      </c>
      <c r="Z2037" s="5">
        <v>22438.356159999999</v>
      </c>
      <c r="AA2037" s="5">
        <v>300</v>
      </c>
      <c r="AB2037" s="5">
        <v>6731506.8490000004</v>
      </c>
      <c r="AC2037" s="5" t="str">
        <f t="shared" si="97"/>
        <v>Bonos</v>
      </c>
      <c r="AD2037" s="5" t="s">
        <v>43</v>
      </c>
      <c r="AE2037" s="5">
        <f t="shared" si="98"/>
        <v>9</v>
      </c>
      <c r="AF2037" s="5">
        <f t="shared" si="99"/>
        <v>2023</v>
      </c>
    </row>
    <row r="2038" s="5" customFormat="1" ht="13">
      <c r="A2038" s="5" t="s">
        <v>44</v>
      </c>
      <c r="B2038" s="5" t="s">
        <v>44</v>
      </c>
      <c r="C2038" s="5" t="s">
        <v>164</v>
      </c>
      <c r="D2038" s="5" t="s">
        <v>21</v>
      </c>
      <c r="E2038" s="5" t="s">
        <v>44</v>
      </c>
      <c r="F2038" s="5" t="s">
        <v>68</v>
      </c>
      <c r="G2038" s="5" t="s">
        <v>141</v>
      </c>
      <c r="H2038" s="9" t="s">
        <v>165</v>
      </c>
      <c r="I2038" s="10"/>
      <c r="J2038" s="10">
        <v>45197</v>
      </c>
      <c r="K2038" s="5" t="s">
        <v>124</v>
      </c>
      <c r="L2038" s="5" t="s">
        <v>58</v>
      </c>
      <c r="M2038" s="11">
        <v>0.10000000000000001</v>
      </c>
      <c r="N2038" s="5" t="e">
        <f>IF(AND(M2038&gt;#REF!,Cartera!O2038="Guaraníes"),"Rendimiento significativo",IF(AND(M2038&gt;#REF!,Cartera!O2038="Dólares americanos"),"Rendimiento significativo","Rendimiento no significativo"))</f>
        <v>#REF!</v>
      </c>
      <c r="O2038" s="5" t="s">
        <v>41</v>
      </c>
      <c r="P2038" s="12">
        <v>767123.28769999999</v>
      </c>
      <c r="Q2038" s="12">
        <f>IF(O2038="Guaraníes",P2038,P2038*#REF!)</f>
        <v>767123.28769999999</v>
      </c>
      <c r="R2038" s="12" t="e">
        <f>IF(O2038="Guaraníes",P2038/#REF!,P2038)</f>
        <v>#REF!</v>
      </c>
      <c r="S2038" s="5" t="s">
        <v>52</v>
      </c>
      <c r="T2038" s="5">
        <v>9243</v>
      </c>
      <c r="W2038" s="5" t="s">
        <v>65</v>
      </c>
      <c r="X2038" s="5">
        <v>0</v>
      </c>
      <c r="Y2038" s="5">
        <v>0</v>
      </c>
      <c r="Z2038" s="5">
        <v>7671.2328770000004</v>
      </c>
      <c r="AA2038" s="5">
        <v>100</v>
      </c>
      <c r="AB2038" s="5">
        <v>767123.28769999999</v>
      </c>
      <c r="AC2038" s="5" t="str">
        <f t="shared" si="97"/>
        <v>Bonos</v>
      </c>
      <c r="AD2038" s="5" t="s">
        <v>43</v>
      </c>
      <c r="AE2038" s="5">
        <f t="shared" si="98"/>
        <v>9</v>
      </c>
      <c r="AF2038" s="5">
        <f t="shared" si="99"/>
        <v>2023</v>
      </c>
    </row>
    <row r="2039" s="5" customFormat="1" ht="13">
      <c r="A2039" s="5" t="s">
        <v>44</v>
      </c>
      <c r="B2039" s="5" t="s">
        <v>44</v>
      </c>
      <c r="C2039" s="5" t="s">
        <v>164</v>
      </c>
      <c r="D2039" s="5" t="s">
        <v>21</v>
      </c>
      <c r="E2039" s="5" t="s">
        <v>44</v>
      </c>
      <c r="F2039" s="5" t="s">
        <v>68</v>
      </c>
      <c r="G2039" s="5" t="s">
        <v>141</v>
      </c>
      <c r="H2039" s="9" t="s">
        <v>167</v>
      </c>
      <c r="I2039" s="10"/>
      <c r="J2039" s="10">
        <v>45198</v>
      </c>
      <c r="K2039" s="5" t="s">
        <v>124</v>
      </c>
      <c r="L2039" s="5" t="s">
        <v>58</v>
      </c>
      <c r="M2039" s="11">
        <v>0.092499999999999999</v>
      </c>
      <c r="N2039" s="5" t="e">
        <f>IF(AND(M2039&gt;#REF!,Cartera!O2039="Guaraníes"),"Rendimiento significativo",IF(AND(M2039&gt;#REF!,Cartera!O2039="Dólares americanos"),"Rendimiento significativo","Rendimiento no significativo"))</f>
        <v>#REF!</v>
      </c>
      <c r="O2039" s="5" t="s">
        <v>41</v>
      </c>
      <c r="P2039" s="12">
        <v>734931.50679999997</v>
      </c>
      <c r="Q2039" s="12">
        <f>IF(O2039="Guaraníes",P2039,P2039*#REF!)</f>
        <v>734931.50679999997</v>
      </c>
      <c r="R2039" s="12" t="e">
        <f>IF(O2039="Guaraníes",P2039/#REF!,P2039)</f>
        <v>#REF!</v>
      </c>
      <c r="S2039" s="5" t="s">
        <v>52</v>
      </c>
      <c r="T2039" s="5">
        <v>9243</v>
      </c>
      <c r="W2039" s="5" t="s">
        <v>65</v>
      </c>
      <c r="X2039" s="5">
        <v>0</v>
      </c>
      <c r="Y2039" s="5">
        <v>0</v>
      </c>
      <c r="Z2039" s="5">
        <v>7349.3150679999999</v>
      </c>
      <c r="AA2039" s="5">
        <v>100</v>
      </c>
      <c r="AB2039" s="5">
        <v>734931.50679999997</v>
      </c>
      <c r="AC2039" s="5" t="str">
        <f t="shared" ref="AC2039:AC2102" si="100">IF(ISNUMBER(SEARCH("Acciones",L2039)),"Acciones",IF(ISNUMBER(SEARCH("Bono",L2039)),"Bonos",IF(ISNUMBER(SEARCH("CDA",L2039)),"CDA",IF(ISNUMBER(SEARCH("Fondo",L2039)),"Fondo",0))))</f>
        <v>Bonos</v>
      </c>
      <c r="AD2039" s="5" t="s">
        <v>43</v>
      </c>
      <c r="AE2039" s="5">
        <f t="shared" si="98"/>
        <v>9</v>
      </c>
      <c r="AF2039" s="5">
        <f t="shared" si="99"/>
        <v>2023</v>
      </c>
    </row>
    <row r="2040" s="5" customFormat="1" ht="13">
      <c r="A2040" s="5" t="s">
        <v>44</v>
      </c>
      <c r="B2040" s="5" t="s">
        <v>44</v>
      </c>
      <c r="C2040" s="5" t="s">
        <v>164</v>
      </c>
      <c r="D2040" s="5" t="s">
        <v>21</v>
      </c>
      <c r="E2040" s="5" t="s">
        <v>44</v>
      </c>
      <c r="F2040" s="5" t="s">
        <v>68</v>
      </c>
      <c r="G2040" s="5" t="s">
        <v>141</v>
      </c>
      <c r="H2040" s="9" t="s">
        <v>165</v>
      </c>
      <c r="I2040" s="10"/>
      <c r="J2040" s="10">
        <v>45230</v>
      </c>
      <c r="K2040" s="5" t="s">
        <v>124</v>
      </c>
      <c r="L2040" s="5" t="s">
        <v>58</v>
      </c>
      <c r="M2040" s="11">
        <v>0.10000000000000001</v>
      </c>
      <c r="N2040" s="5" t="e">
        <f>IF(AND(M2040&gt;#REF!,Cartera!O2040="Guaraníes"),"Rendimiento significativo",IF(AND(M2040&gt;#REF!,Cartera!O2040="Dólares americanos"),"Rendimiento significativo","Rendimiento no significativo"))</f>
        <v>#REF!</v>
      </c>
      <c r="O2040" s="5" t="s">
        <v>41</v>
      </c>
      <c r="P2040" s="12">
        <v>904109.58900000004</v>
      </c>
      <c r="Q2040" s="12">
        <f>IF(O2040="Guaraníes",P2040,P2040*#REF!)</f>
        <v>904109.58900000004</v>
      </c>
      <c r="R2040" s="12" t="e">
        <f>IF(O2040="Guaraníes",P2040/#REF!,P2040)</f>
        <v>#REF!</v>
      </c>
      <c r="S2040" s="5" t="s">
        <v>52</v>
      </c>
      <c r="T2040" s="5">
        <v>9243</v>
      </c>
      <c r="W2040" s="5" t="s">
        <v>65</v>
      </c>
      <c r="X2040" s="5">
        <v>0</v>
      </c>
      <c r="Y2040" s="5">
        <v>0</v>
      </c>
      <c r="Z2040" s="5">
        <v>9041.0958900000005</v>
      </c>
      <c r="AA2040" s="5">
        <v>100</v>
      </c>
      <c r="AB2040" s="5">
        <v>904109.58900000004</v>
      </c>
      <c r="AC2040" s="5" t="str">
        <f t="shared" si="100"/>
        <v>Bonos</v>
      </c>
      <c r="AD2040" s="5" t="s">
        <v>43</v>
      </c>
      <c r="AE2040" s="5">
        <f t="shared" si="98"/>
        <v>10</v>
      </c>
      <c r="AF2040" s="5">
        <f t="shared" si="99"/>
        <v>2023</v>
      </c>
    </row>
    <row r="2041" s="5" customFormat="1" ht="13">
      <c r="A2041" s="5" t="s">
        <v>44</v>
      </c>
      <c r="B2041" s="5" t="s">
        <v>44</v>
      </c>
      <c r="C2041" s="5" t="s">
        <v>164</v>
      </c>
      <c r="D2041" s="5" t="s">
        <v>21</v>
      </c>
      <c r="E2041" s="5" t="s">
        <v>44</v>
      </c>
      <c r="F2041" s="5" t="s">
        <v>68</v>
      </c>
      <c r="G2041" s="5" t="s">
        <v>141</v>
      </c>
      <c r="H2041" s="9" t="s">
        <v>167</v>
      </c>
      <c r="I2041" s="10"/>
      <c r="J2041" s="10">
        <v>45230</v>
      </c>
      <c r="K2041" s="5" t="s">
        <v>124</v>
      </c>
      <c r="L2041" s="5" t="s">
        <v>58</v>
      </c>
      <c r="M2041" s="11">
        <v>0.092499999999999999</v>
      </c>
      <c r="N2041" s="5" t="e">
        <f>IF(AND(M2041&gt;#REF!,Cartera!O2041="Guaraníes"),"Rendimiento significativo",IF(AND(M2041&gt;#REF!,Cartera!O2041="Dólares americanos"),"Rendimiento significativo","Rendimiento no significativo"))</f>
        <v>#REF!</v>
      </c>
      <c r="O2041" s="5" t="s">
        <v>41</v>
      </c>
      <c r="P2041" s="12">
        <v>810958.90410000004</v>
      </c>
      <c r="Q2041" s="12">
        <f>IF(O2041="Guaraníes",P2041,P2041*#REF!)</f>
        <v>810958.90410000004</v>
      </c>
      <c r="R2041" s="12" t="e">
        <f>IF(O2041="Guaraníes",P2041/#REF!,P2041)</f>
        <v>#REF!</v>
      </c>
      <c r="S2041" s="5" t="s">
        <v>52</v>
      </c>
      <c r="T2041" s="5">
        <v>9243</v>
      </c>
      <c r="W2041" s="5" t="s">
        <v>65</v>
      </c>
      <c r="X2041" s="5">
        <v>0</v>
      </c>
      <c r="Y2041" s="5">
        <v>0</v>
      </c>
      <c r="Z2041" s="5">
        <v>8109.5890410000002</v>
      </c>
      <c r="AA2041" s="5">
        <v>100</v>
      </c>
      <c r="AB2041" s="5">
        <v>810958.90410000004</v>
      </c>
      <c r="AC2041" s="5" t="str">
        <f t="shared" si="100"/>
        <v>Bonos</v>
      </c>
      <c r="AD2041" s="5" t="s">
        <v>43</v>
      </c>
      <c r="AE2041" s="5">
        <f t="shared" si="98"/>
        <v>10</v>
      </c>
      <c r="AF2041" s="5">
        <f t="shared" si="99"/>
        <v>2023</v>
      </c>
    </row>
    <row r="2042" s="5" customFormat="1" ht="13">
      <c r="A2042" s="5" t="s">
        <v>44</v>
      </c>
      <c r="B2042" s="5" t="s">
        <v>44</v>
      </c>
      <c r="C2042" s="5" t="s">
        <v>156</v>
      </c>
      <c r="D2042" s="5" t="s">
        <v>21</v>
      </c>
      <c r="E2042" s="5" t="s">
        <v>44</v>
      </c>
      <c r="F2042" s="5" t="s">
        <v>68</v>
      </c>
      <c r="G2042" s="5" t="s">
        <v>141</v>
      </c>
      <c r="H2042" s="9" t="s">
        <v>392</v>
      </c>
      <c r="I2042" s="10"/>
      <c r="J2042" s="10">
        <v>45250</v>
      </c>
      <c r="K2042" s="5" t="s">
        <v>158</v>
      </c>
      <c r="L2042" s="5" t="s">
        <v>58</v>
      </c>
      <c r="M2042" s="11">
        <v>0.14000000000000001</v>
      </c>
      <c r="N2042" s="5" t="e">
        <f>IF(AND(M2042&gt;#REF!,Cartera!O2042="Guaraníes"),"Rendimiento significativo",IF(AND(M2042&gt;#REF!,Cartera!O2042="Dólares americanos"),"Rendimiento significativo","Rendimiento no significativo"))</f>
        <v>#REF!</v>
      </c>
      <c r="O2042" s="5" t="s">
        <v>41</v>
      </c>
      <c r="P2042" s="12">
        <v>1126712.32877</v>
      </c>
      <c r="Q2042" s="12">
        <f>IF(O2042="Guaraníes",P2042,P2042*#REF!)</f>
        <v>1126712.32877</v>
      </c>
      <c r="R2042" s="12" t="e">
        <f>IF(O2042="Guaraníes",P2042/#REF!,P2042)</f>
        <v>#REF!</v>
      </c>
      <c r="S2042" s="5" t="s">
        <v>52</v>
      </c>
      <c r="T2042" s="5">
        <v>9243</v>
      </c>
      <c r="W2042" s="5" t="s">
        <v>65</v>
      </c>
      <c r="X2042" s="5">
        <v>0</v>
      </c>
      <c r="Y2042" s="5">
        <v>0</v>
      </c>
      <c r="Z2042" s="5">
        <v>32191.780822000001</v>
      </c>
      <c r="AA2042" s="5">
        <v>35</v>
      </c>
      <c r="AB2042" s="5">
        <v>1126712.32877</v>
      </c>
      <c r="AC2042" s="5" t="str">
        <f t="shared" si="100"/>
        <v>Bonos</v>
      </c>
      <c r="AD2042" s="5" t="s">
        <v>43</v>
      </c>
      <c r="AE2042" s="5">
        <f t="shared" si="98"/>
        <v>11</v>
      </c>
      <c r="AF2042" s="5">
        <f t="shared" si="99"/>
        <v>2023</v>
      </c>
    </row>
    <row r="2043" s="5" customFormat="1" ht="13">
      <c r="A2043" s="5" t="s">
        <v>44</v>
      </c>
      <c r="B2043" s="5" t="s">
        <v>44</v>
      </c>
      <c r="C2043" s="5" t="s">
        <v>389</v>
      </c>
      <c r="D2043" s="5" t="s">
        <v>21</v>
      </c>
      <c r="E2043" s="5" t="s">
        <v>44</v>
      </c>
      <c r="F2043" s="5" t="s">
        <v>68</v>
      </c>
      <c r="G2043" s="5" t="s">
        <v>141</v>
      </c>
      <c r="H2043" s="9" t="s">
        <v>390</v>
      </c>
      <c r="I2043" s="10"/>
      <c r="J2043" s="10">
        <v>45259</v>
      </c>
      <c r="K2043" s="5" t="s">
        <v>391</v>
      </c>
      <c r="L2043" s="5" t="s">
        <v>58</v>
      </c>
      <c r="M2043" s="11">
        <v>0.1125</v>
      </c>
      <c r="N2043" s="5" t="e">
        <f>IF(AND(M2043&gt;#REF!,Cartera!O2043="Guaraníes"),"Rendimiento significativo",IF(AND(M2043&gt;#REF!,Cartera!O2043="Dólares americanos"),"Rendimiento significativo","Rendimiento no significativo"))</f>
        <v>#REF!</v>
      </c>
      <c r="O2043" s="5" t="s">
        <v>41</v>
      </c>
      <c r="P2043" s="12">
        <v>841438.35615000001</v>
      </c>
      <c r="Q2043" s="12">
        <f>IF(O2043="Guaraníes",P2043,P2043*#REF!)</f>
        <v>841438.35615000001</v>
      </c>
      <c r="R2043" s="12" t="e">
        <f>IF(O2043="Guaraníes",P2043/#REF!,P2043)</f>
        <v>#REF!</v>
      </c>
      <c r="S2043" s="5" t="s">
        <v>52</v>
      </c>
      <c r="T2043" s="5">
        <v>9243</v>
      </c>
      <c r="W2043" s="5" t="s">
        <v>65</v>
      </c>
      <c r="X2043" s="5">
        <v>0</v>
      </c>
      <c r="Y2043" s="5">
        <v>0</v>
      </c>
      <c r="Z2043" s="5">
        <v>28047.945205</v>
      </c>
      <c r="AA2043" s="5">
        <v>30</v>
      </c>
      <c r="AB2043" s="5">
        <v>841438.35615000001</v>
      </c>
      <c r="AC2043" s="5" t="str">
        <f t="shared" si="100"/>
        <v>Bonos</v>
      </c>
      <c r="AD2043" s="5" t="s">
        <v>43</v>
      </c>
      <c r="AE2043" s="5">
        <f t="shared" si="98"/>
        <v>11</v>
      </c>
      <c r="AF2043" s="5">
        <f t="shared" si="99"/>
        <v>2023</v>
      </c>
    </row>
    <row r="2044" s="5" customFormat="1" ht="13">
      <c r="A2044" s="5" t="s">
        <v>44</v>
      </c>
      <c r="B2044" s="5" t="s">
        <v>44</v>
      </c>
      <c r="C2044" s="5" t="s">
        <v>164</v>
      </c>
      <c r="D2044" s="5" t="s">
        <v>21</v>
      </c>
      <c r="E2044" s="5" t="s">
        <v>44</v>
      </c>
      <c r="F2044" s="5" t="s">
        <v>68</v>
      </c>
      <c r="G2044" s="5" t="s">
        <v>141</v>
      </c>
      <c r="H2044" s="9" t="s">
        <v>165</v>
      </c>
      <c r="I2044" s="10"/>
      <c r="J2044" s="10">
        <v>45260</v>
      </c>
      <c r="K2044" s="5" t="s">
        <v>124</v>
      </c>
      <c r="L2044" s="5" t="s">
        <v>58</v>
      </c>
      <c r="M2044" s="11">
        <v>0.10000000000000001</v>
      </c>
      <c r="N2044" s="5" t="e">
        <f>IF(AND(M2044&gt;#REF!,Cartera!O2044="Guaraníes"),"Rendimiento significativo",IF(AND(M2044&gt;#REF!,Cartera!O2044="Dólares americanos"),"Rendimiento significativo","Rendimiento no significativo"))</f>
        <v>#REF!</v>
      </c>
      <c r="O2044" s="5" t="s">
        <v>41</v>
      </c>
      <c r="P2044" s="12">
        <v>821917.80820000009</v>
      </c>
      <c r="Q2044" s="12">
        <f>IF(O2044="Guaraníes",P2044,P2044*#REF!)</f>
        <v>821917.80820000009</v>
      </c>
      <c r="R2044" s="12" t="e">
        <f>IF(O2044="Guaraníes",P2044/#REF!,P2044)</f>
        <v>#REF!</v>
      </c>
      <c r="S2044" s="5" t="s">
        <v>52</v>
      </c>
      <c r="T2044" s="5">
        <v>9243</v>
      </c>
      <c r="W2044" s="5" t="s">
        <v>65</v>
      </c>
      <c r="X2044" s="5">
        <v>0</v>
      </c>
      <c r="Y2044" s="5">
        <v>0</v>
      </c>
      <c r="Z2044" s="5">
        <v>8219.1780820000004</v>
      </c>
      <c r="AA2044" s="5">
        <v>100</v>
      </c>
      <c r="AB2044" s="5">
        <v>821917.80819999997</v>
      </c>
      <c r="AC2044" s="5" t="str">
        <f t="shared" si="100"/>
        <v>Bonos</v>
      </c>
      <c r="AD2044" s="5" t="s">
        <v>43</v>
      </c>
      <c r="AE2044" s="5">
        <f t="shared" si="98"/>
        <v>11</v>
      </c>
      <c r="AF2044" s="5">
        <f t="shared" si="99"/>
        <v>2023</v>
      </c>
    </row>
    <row r="2045" s="5" customFormat="1" ht="13">
      <c r="A2045" s="5" t="s">
        <v>44</v>
      </c>
      <c r="B2045" s="5" t="s">
        <v>44</v>
      </c>
      <c r="C2045" s="5" t="s">
        <v>164</v>
      </c>
      <c r="D2045" s="5" t="s">
        <v>21</v>
      </c>
      <c r="E2045" s="5" t="s">
        <v>44</v>
      </c>
      <c r="F2045" s="5" t="s">
        <v>68</v>
      </c>
      <c r="G2045" s="5" t="s">
        <v>141</v>
      </c>
      <c r="H2045" s="9" t="s">
        <v>167</v>
      </c>
      <c r="I2045" s="10"/>
      <c r="J2045" s="10">
        <v>45260</v>
      </c>
      <c r="K2045" s="5" t="s">
        <v>124</v>
      </c>
      <c r="L2045" s="5" t="s">
        <v>58</v>
      </c>
      <c r="M2045" s="11">
        <v>0.092499999999999999</v>
      </c>
      <c r="N2045" s="5" t="e">
        <f>IF(AND(M2045&gt;#REF!,Cartera!O2045="Guaraníes"),"Rendimiento significativo",IF(AND(M2045&gt;#REF!,Cartera!O2045="Dólares americanos"),"Rendimiento significativo","Rendimiento no significativo"))</f>
        <v>#REF!</v>
      </c>
      <c r="O2045" s="5" t="s">
        <v>41</v>
      </c>
      <c r="P2045" s="12">
        <v>760273.97259999998</v>
      </c>
      <c r="Q2045" s="12">
        <f>IF(O2045="Guaraníes",P2045,P2045*#REF!)</f>
        <v>760273.97259999998</v>
      </c>
      <c r="R2045" s="12" t="e">
        <f>IF(O2045="Guaraníes",P2045/#REF!,P2045)</f>
        <v>#REF!</v>
      </c>
      <c r="S2045" s="5" t="s">
        <v>52</v>
      </c>
      <c r="T2045" s="5">
        <v>9243</v>
      </c>
      <c r="W2045" s="5" t="s">
        <v>65</v>
      </c>
      <c r="X2045" s="5">
        <v>0</v>
      </c>
      <c r="Y2045" s="5">
        <v>0</v>
      </c>
      <c r="Z2045" s="5">
        <v>7602.7397259999998</v>
      </c>
      <c r="AA2045" s="5">
        <v>100</v>
      </c>
      <c r="AB2045" s="5">
        <v>760273.97259999998</v>
      </c>
      <c r="AC2045" s="5" t="str">
        <f t="shared" si="100"/>
        <v>Bonos</v>
      </c>
      <c r="AD2045" s="5" t="s">
        <v>43</v>
      </c>
      <c r="AE2045" s="5">
        <f t="shared" si="98"/>
        <v>11</v>
      </c>
      <c r="AF2045" s="5">
        <f t="shared" si="99"/>
        <v>2023</v>
      </c>
    </row>
    <row r="2046" s="5" customFormat="1" ht="13">
      <c r="A2046" s="5" t="s">
        <v>44</v>
      </c>
      <c r="B2046" s="5" t="s">
        <v>44</v>
      </c>
      <c r="C2046" s="5" t="s">
        <v>164</v>
      </c>
      <c r="D2046" s="5" t="s">
        <v>21</v>
      </c>
      <c r="E2046" s="5" t="s">
        <v>44</v>
      </c>
      <c r="F2046" s="5" t="s">
        <v>68</v>
      </c>
      <c r="G2046" s="5" t="s">
        <v>141</v>
      </c>
      <c r="H2046" s="9" t="s">
        <v>393</v>
      </c>
      <c r="I2046" s="10"/>
      <c r="J2046" s="10">
        <v>45264</v>
      </c>
      <c r="K2046" s="5" t="s">
        <v>124</v>
      </c>
      <c r="L2046" s="5" t="s">
        <v>58</v>
      </c>
      <c r="M2046" s="11">
        <v>0.087499999999999994</v>
      </c>
      <c r="N2046" s="5" t="e">
        <f>IF(AND(M2046&gt;#REF!,Cartera!O2046="Guaraníes"),"Rendimiento significativo",IF(AND(M2046&gt;#REF!,Cartera!O2046="Dólares americanos"),"Rendimiento significativo","Rendimiento no significativo"))</f>
        <v>#REF!</v>
      </c>
      <c r="O2046" s="5" t="s">
        <v>41</v>
      </c>
      <c r="P2046" s="12">
        <v>10907534.2465</v>
      </c>
      <c r="Q2046" s="12">
        <f>IF(O2046="Guaraníes",P2046,P2046*#REF!)</f>
        <v>10907534.2465</v>
      </c>
      <c r="R2046" s="12" t="e">
        <f>IF(O2046="Guaraníes",P2046/#REF!,P2046)</f>
        <v>#REF!</v>
      </c>
      <c r="S2046" s="5" t="s">
        <v>52</v>
      </c>
      <c r="T2046" s="5">
        <v>9243</v>
      </c>
      <c r="W2046" s="5" t="s">
        <v>65</v>
      </c>
      <c r="X2046" s="5">
        <v>0</v>
      </c>
      <c r="Y2046" s="5">
        <v>0</v>
      </c>
      <c r="Z2046" s="5">
        <v>21815.068492999999</v>
      </c>
      <c r="AA2046" s="5">
        <v>500</v>
      </c>
      <c r="AB2046" s="5">
        <v>10907534.2465</v>
      </c>
      <c r="AC2046" s="5" t="str">
        <f t="shared" si="100"/>
        <v>Bonos</v>
      </c>
      <c r="AD2046" s="5" t="s">
        <v>43</v>
      </c>
      <c r="AE2046" s="5">
        <f t="shared" si="98"/>
        <v>12</v>
      </c>
      <c r="AF2046" s="5">
        <f t="shared" si="99"/>
        <v>2023</v>
      </c>
    </row>
    <row r="2047" s="5" customFormat="1" ht="13">
      <c r="A2047" s="5" t="s">
        <v>44</v>
      </c>
      <c r="B2047" s="5" t="s">
        <v>44</v>
      </c>
      <c r="C2047" s="5" t="s">
        <v>189</v>
      </c>
      <c r="D2047" s="5" t="s">
        <v>21</v>
      </c>
      <c r="E2047" s="5" t="s">
        <v>44</v>
      </c>
      <c r="F2047" s="5" t="s">
        <v>190</v>
      </c>
      <c r="G2047" s="5" t="s">
        <v>141</v>
      </c>
      <c r="H2047" s="9" t="s">
        <v>191</v>
      </c>
      <c r="I2047" s="10"/>
      <c r="J2047" s="10">
        <v>45282</v>
      </c>
      <c r="K2047" s="5" t="s">
        <v>77</v>
      </c>
      <c r="L2047" s="5" t="s">
        <v>58</v>
      </c>
      <c r="M2047" s="11">
        <v>0.089999999999999997</v>
      </c>
      <c r="N2047" s="5" t="e">
        <f>IF(AND(M2047&gt;#REF!,Cartera!O2047="Guaraníes"),"Rendimiento significativo",IF(AND(M2047&gt;#REF!,Cartera!O2047="Dólares americanos"),"Rendimiento significativo","Rendimiento no significativo"))</f>
        <v>#REF!</v>
      </c>
      <c r="O2047" s="5" t="s">
        <v>41</v>
      </c>
      <c r="P2047" s="12">
        <v>6731506.8480000002</v>
      </c>
      <c r="Q2047" s="12">
        <f>IF(O2047="Guaraníes",P2047,P2047*#REF!)</f>
        <v>6731506.8480000002</v>
      </c>
      <c r="R2047" s="12" t="e">
        <f>IF(O2047="Guaraníes",P2047/#REF!,P2047)</f>
        <v>#REF!</v>
      </c>
      <c r="S2047" s="5" t="s">
        <v>52</v>
      </c>
      <c r="T2047" s="5">
        <v>9243</v>
      </c>
      <c r="W2047" s="5" t="s">
        <v>65</v>
      </c>
      <c r="X2047" s="5">
        <v>0</v>
      </c>
      <c r="Y2047" s="5">
        <v>0</v>
      </c>
      <c r="Z2047" s="5">
        <v>22438.356159999999</v>
      </c>
      <c r="AA2047" s="5">
        <v>300</v>
      </c>
      <c r="AB2047" s="5">
        <v>6731506.8490000004</v>
      </c>
      <c r="AC2047" s="5" t="str">
        <f t="shared" si="100"/>
        <v>Bonos</v>
      </c>
      <c r="AD2047" s="5" t="s">
        <v>43</v>
      </c>
      <c r="AE2047" s="5">
        <f t="shared" si="98"/>
        <v>12</v>
      </c>
      <c r="AF2047" s="5">
        <f t="shared" si="99"/>
        <v>2023</v>
      </c>
    </row>
    <row r="2048" s="5" customFormat="1" ht="13">
      <c r="A2048" s="5" t="s">
        <v>44</v>
      </c>
      <c r="B2048" s="5" t="s">
        <v>44</v>
      </c>
      <c r="C2048" s="5" t="s">
        <v>164</v>
      </c>
      <c r="D2048" s="5" t="s">
        <v>21</v>
      </c>
      <c r="E2048" s="5" t="s">
        <v>44</v>
      </c>
      <c r="F2048" s="5" t="s">
        <v>68</v>
      </c>
      <c r="G2048" s="5" t="s">
        <v>141</v>
      </c>
      <c r="H2048" s="9" t="s">
        <v>165</v>
      </c>
      <c r="I2048" s="10"/>
      <c r="J2048" s="10">
        <v>45289</v>
      </c>
      <c r="K2048" s="5" t="s">
        <v>124</v>
      </c>
      <c r="L2048" s="5" t="s">
        <v>58</v>
      </c>
      <c r="M2048" s="11">
        <v>0.10000000000000001</v>
      </c>
      <c r="N2048" s="5" t="e">
        <f>IF(AND(M2048&gt;#REF!,Cartera!O2048="Guaraníes"),"Rendimiento significativo",IF(AND(M2048&gt;#REF!,Cartera!O2048="Dólares americanos"),"Rendimiento significativo","Rendimiento no significativo"))</f>
        <v>#REF!</v>
      </c>
      <c r="O2048" s="5" t="s">
        <v>41</v>
      </c>
      <c r="P2048" s="12">
        <v>794520.54790000001</v>
      </c>
      <c r="Q2048" s="12">
        <f>IF(O2048="Guaraníes",P2048,P2048*#REF!)</f>
        <v>794520.54790000001</v>
      </c>
      <c r="R2048" s="12" t="e">
        <f>IF(O2048="Guaraníes",P2048/#REF!,P2048)</f>
        <v>#REF!</v>
      </c>
      <c r="S2048" s="5" t="s">
        <v>52</v>
      </c>
      <c r="T2048" s="5">
        <v>9243</v>
      </c>
      <c r="W2048" s="5" t="s">
        <v>65</v>
      </c>
      <c r="X2048" s="5">
        <v>0</v>
      </c>
      <c r="Y2048" s="5">
        <v>0</v>
      </c>
      <c r="Z2048" s="5">
        <v>7945.2054790000002</v>
      </c>
      <c r="AA2048" s="5">
        <v>100</v>
      </c>
      <c r="AB2048" s="5">
        <v>794520.54790000001</v>
      </c>
      <c r="AC2048" s="5" t="str">
        <f t="shared" si="100"/>
        <v>Bonos</v>
      </c>
      <c r="AD2048" s="5" t="s">
        <v>43</v>
      </c>
      <c r="AE2048" s="5">
        <f t="shared" si="98"/>
        <v>12</v>
      </c>
      <c r="AF2048" s="5">
        <f t="shared" si="99"/>
        <v>2023</v>
      </c>
    </row>
    <row r="2049" s="5" customFormat="1" ht="13">
      <c r="A2049" s="5" t="s">
        <v>44</v>
      </c>
      <c r="B2049" s="5" t="s">
        <v>44</v>
      </c>
      <c r="C2049" s="5" t="s">
        <v>164</v>
      </c>
      <c r="D2049" s="5" t="s">
        <v>21</v>
      </c>
      <c r="E2049" s="5" t="s">
        <v>44</v>
      </c>
      <c r="F2049" s="5" t="s">
        <v>68</v>
      </c>
      <c r="G2049" s="5" t="s">
        <v>141</v>
      </c>
      <c r="H2049" s="9" t="s">
        <v>167</v>
      </c>
      <c r="I2049" s="10"/>
      <c r="J2049" s="10">
        <v>45289</v>
      </c>
      <c r="K2049" s="5" t="s">
        <v>124</v>
      </c>
      <c r="L2049" s="5" t="s">
        <v>58</v>
      </c>
      <c r="M2049" s="11">
        <v>0.092499999999999999</v>
      </c>
      <c r="N2049" s="5" t="e">
        <f>IF(AND(M2049&gt;#REF!,Cartera!O2049="Guaraníes"),"Rendimiento significativo",IF(AND(M2049&gt;#REF!,Cartera!O2049="Dólares americanos"),"Rendimiento significativo","Rendimiento no significativo"))</f>
        <v>#REF!</v>
      </c>
      <c r="O2049" s="5" t="s">
        <v>41</v>
      </c>
      <c r="P2049" s="12">
        <v>734931.50679999997</v>
      </c>
      <c r="Q2049" s="12">
        <f>IF(O2049="Guaraníes",P2049,P2049*#REF!)</f>
        <v>734931.50679999997</v>
      </c>
      <c r="R2049" s="12" t="e">
        <f>IF(O2049="Guaraníes",P2049/#REF!,P2049)</f>
        <v>#REF!</v>
      </c>
      <c r="S2049" s="5" t="s">
        <v>52</v>
      </c>
      <c r="T2049" s="5">
        <v>9243</v>
      </c>
      <c r="W2049" s="5" t="s">
        <v>65</v>
      </c>
      <c r="X2049" s="5">
        <v>0</v>
      </c>
      <c r="Y2049" s="5">
        <v>0</v>
      </c>
      <c r="Z2049" s="5">
        <v>7349.3150679999999</v>
      </c>
      <c r="AA2049" s="5">
        <v>100</v>
      </c>
      <c r="AB2049" s="5">
        <v>734931.50679999997</v>
      </c>
      <c r="AC2049" s="5" t="str">
        <f t="shared" si="100"/>
        <v>Bonos</v>
      </c>
      <c r="AD2049" s="5" t="s">
        <v>43</v>
      </c>
      <c r="AE2049" s="5">
        <f t="shared" si="98"/>
        <v>12</v>
      </c>
      <c r="AF2049" s="5">
        <f t="shared" si="99"/>
        <v>2023</v>
      </c>
    </row>
    <row r="2050" s="5" customFormat="1" ht="13">
      <c r="A2050" s="5" t="s">
        <v>44</v>
      </c>
      <c r="B2050" s="5" t="s">
        <v>44</v>
      </c>
      <c r="C2050" s="5" t="s">
        <v>164</v>
      </c>
      <c r="D2050" s="5" t="s">
        <v>21</v>
      </c>
      <c r="E2050" s="5" t="s">
        <v>44</v>
      </c>
      <c r="F2050" s="5" t="s">
        <v>68</v>
      </c>
      <c r="G2050" s="5" t="s">
        <v>141</v>
      </c>
      <c r="H2050" s="9" t="s">
        <v>165</v>
      </c>
      <c r="I2050" s="10"/>
      <c r="J2050" s="10">
        <v>45322</v>
      </c>
      <c r="K2050" s="5" t="s">
        <v>124</v>
      </c>
      <c r="L2050" s="5" t="s">
        <v>58</v>
      </c>
      <c r="M2050" s="11">
        <v>0.10000000000000001</v>
      </c>
      <c r="N2050" s="5" t="e">
        <f>IF(AND(M2050&gt;#REF!,Cartera!O2050="Guaraníes"),"Rendimiento significativo",IF(AND(M2050&gt;#REF!,Cartera!O2050="Dólares americanos"),"Rendimiento significativo","Rendimiento no significativo"))</f>
        <v>#REF!</v>
      </c>
      <c r="O2050" s="5" t="s">
        <v>41</v>
      </c>
      <c r="P2050" s="12">
        <v>904109.58900000004</v>
      </c>
      <c r="Q2050" s="12">
        <f>IF(O2050="Guaraníes",P2050,P2050*#REF!)</f>
        <v>904109.58900000004</v>
      </c>
      <c r="R2050" s="12" t="e">
        <f>IF(O2050="Guaraníes",P2050/#REF!,P2050)</f>
        <v>#REF!</v>
      </c>
      <c r="S2050" s="5" t="s">
        <v>52</v>
      </c>
      <c r="T2050" s="5">
        <v>9243</v>
      </c>
      <c r="W2050" s="5" t="s">
        <v>65</v>
      </c>
      <c r="X2050" s="5">
        <v>0</v>
      </c>
      <c r="Y2050" s="5">
        <v>0</v>
      </c>
      <c r="Z2050" s="5">
        <v>9041.0958900000005</v>
      </c>
      <c r="AA2050" s="5">
        <v>100</v>
      </c>
      <c r="AB2050" s="5">
        <v>904109.58900000004</v>
      </c>
      <c r="AC2050" s="5" t="str">
        <f t="shared" si="100"/>
        <v>Bonos</v>
      </c>
      <c r="AD2050" s="5" t="s">
        <v>43</v>
      </c>
      <c r="AE2050" s="5">
        <f t="shared" si="98"/>
        <v>1</v>
      </c>
      <c r="AF2050" s="5">
        <f t="shared" si="99"/>
        <v>2024</v>
      </c>
    </row>
    <row r="2051" s="5" customFormat="1" ht="13">
      <c r="A2051" s="5" t="s">
        <v>44</v>
      </c>
      <c r="B2051" s="5" t="s">
        <v>44</v>
      </c>
      <c r="C2051" s="5" t="s">
        <v>164</v>
      </c>
      <c r="D2051" s="5" t="s">
        <v>21</v>
      </c>
      <c r="E2051" s="5" t="s">
        <v>44</v>
      </c>
      <c r="F2051" s="5" t="s">
        <v>68</v>
      </c>
      <c r="G2051" s="5" t="s">
        <v>141</v>
      </c>
      <c r="H2051" s="9" t="s">
        <v>167</v>
      </c>
      <c r="I2051" s="10"/>
      <c r="J2051" s="10">
        <v>45322</v>
      </c>
      <c r="K2051" s="5" t="s">
        <v>124</v>
      </c>
      <c r="L2051" s="5" t="s">
        <v>58</v>
      </c>
      <c r="M2051" s="11">
        <v>0.092499999999999999</v>
      </c>
      <c r="N2051" s="5" t="e">
        <f>IF(AND(M2051&gt;#REF!,Cartera!O2051="Guaraníes"),"Rendimiento significativo",IF(AND(M2051&gt;#REF!,Cartera!O2051="Dólares americanos"),"Rendimiento significativo","Rendimiento no significativo"))</f>
        <v>#REF!</v>
      </c>
      <c r="O2051" s="5" t="s">
        <v>41</v>
      </c>
      <c r="P2051" s="12">
        <v>836301.36989999993</v>
      </c>
      <c r="Q2051" s="12">
        <f>IF(O2051="Guaraníes",P2051,P2051*#REF!)</f>
        <v>836301.36989999993</v>
      </c>
      <c r="R2051" s="12" t="e">
        <f>IF(O2051="Guaraníes",P2051/#REF!,P2051)</f>
        <v>#REF!</v>
      </c>
      <c r="S2051" s="5" t="s">
        <v>52</v>
      </c>
      <c r="T2051" s="5">
        <v>9243</v>
      </c>
      <c r="W2051" s="5" t="s">
        <v>65</v>
      </c>
      <c r="X2051" s="5">
        <v>0</v>
      </c>
      <c r="Y2051" s="5">
        <v>0</v>
      </c>
      <c r="Z2051" s="5">
        <v>8363.0136989999992</v>
      </c>
      <c r="AA2051" s="5">
        <v>100</v>
      </c>
      <c r="AB2051" s="5">
        <v>836301.36990000005</v>
      </c>
      <c r="AC2051" s="5" t="str">
        <f t="shared" si="100"/>
        <v>Bonos</v>
      </c>
      <c r="AD2051" s="5" t="s">
        <v>43</v>
      </c>
      <c r="AE2051" s="5">
        <f t="shared" si="98"/>
        <v>1</v>
      </c>
      <c r="AF2051" s="5">
        <f t="shared" si="99"/>
        <v>2024</v>
      </c>
    </row>
    <row r="2052" s="5" customFormat="1" ht="13">
      <c r="A2052" s="5" t="s">
        <v>44</v>
      </c>
      <c r="B2052" s="5" t="s">
        <v>44</v>
      </c>
      <c r="C2052" s="5" t="s">
        <v>156</v>
      </c>
      <c r="D2052" s="5" t="s">
        <v>21</v>
      </c>
      <c r="E2052" s="5" t="s">
        <v>44</v>
      </c>
      <c r="F2052" s="5" t="s">
        <v>68</v>
      </c>
      <c r="G2052" s="5" t="s">
        <v>141</v>
      </c>
      <c r="H2052" s="9" t="s">
        <v>392</v>
      </c>
      <c r="I2052" s="10"/>
      <c r="J2052" s="10">
        <v>45341</v>
      </c>
      <c r="K2052" s="5" t="s">
        <v>158</v>
      </c>
      <c r="L2052" s="5" t="s">
        <v>58</v>
      </c>
      <c r="M2052" s="11">
        <v>0.14000000000000001</v>
      </c>
      <c r="N2052" s="5" t="e">
        <f>IF(AND(M2052&gt;#REF!,Cartera!O2052="Guaraníes"),"Rendimiento significativo",IF(AND(M2052&gt;#REF!,Cartera!O2052="Dólares americanos"),"Rendimiento significativo","Rendimiento no significativo"))</f>
        <v>#REF!</v>
      </c>
      <c r="O2052" s="5" t="s">
        <v>41</v>
      </c>
      <c r="P2052" s="12">
        <v>1090753.4246699999</v>
      </c>
      <c r="Q2052" s="12">
        <f>IF(O2052="Guaraníes",P2052,P2052*#REF!)</f>
        <v>1090753.4246699999</v>
      </c>
      <c r="R2052" s="12" t="e">
        <f>IF(O2052="Guaraníes",P2052/#REF!,P2052)</f>
        <v>#REF!</v>
      </c>
      <c r="S2052" s="5" t="s">
        <v>52</v>
      </c>
      <c r="T2052" s="5">
        <v>9243</v>
      </c>
      <c r="W2052" s="5" t="s">
        <v>65</v>
      </c>
      <c r="X2052" s="5">
        <v>0</v>
      </c>
      <c r="Y2052" s="5">
        <v>0</v>
      </c>
      <c r="Z2052" s="5">
        <v>31164.383561999999</v>
      </c>
      <c r="AA2052" s="5">
        <v>35</v>
      </c>
      <c r="AB2052" s="5">
        <v>1090753.4246700001</v>
      </c>
      <c r="AC2052" s="5" t="str">
        <f t="shared" si="100"/>
        <v>Bonos</v>
      </c>
      <c r="AD2052" s="5" t="s">
        <v>43</v>
      </c>
      <c r="AE2052" s="5">
        <f t="shared" si="98"/>
        <v>2</v>
      </c>
      <c r="AF2052" s="5">
        <f t="shared" si="99"/>
        <v>2024</v>
      </c>
    </row>
    <row r="2053" s="5" customFormat="1" ht="13">
      <c r="A2053" s="5" t="s">
        <v>44</v>
      </c>
      <c r="B2053" s="5" t="s">
        <v>44</v>
      </c>
      <c r="C2053" s="5" t="s">
        <v>389</v>
      </c>
      <c r="D2053" s="5" t="s">
        <v>21</v>
      </c>
      <c r="E2053" s="5" t="s">
        <v>44</v>
      </c>
      <c r="F2053" s="5" t="s">
        <v>68</v>
      </c>
      <c r="G2053" s="5" t="s">
        <v>141</v>
      </c>
      <c r="H2053" s="9" t="s">
        <v>390</v>
      </c>
      <c r="I2053" s="10"/>
      <c r="J2053" s="10">
        <v>45350</v>
      </c>
      <c r="K2053" s="5" t="s">
        <v>391</v>
      </c>
      <c r="L2053" s="5" t="s">
        <v>58</v>
      </c>
      <c r="M2053" s="11">
        <v>0.1125</v>
      </c>
      <c r="N2053" s="5" t="e">
        <f>IF(AND(M2053&gt;#REF!,Cartera!O2053="Guaraníes"),"Rendimiento significativo",IF(AND(M2053&gt;#REF!,Cartera!O2053="Dólares americanos"),"Rendimiento significativo","Rendimiento no significativo"))</f>
        <v>#REF!</v>
      </c>
      <c r="O2053" s="5" t="s">
        <v>41</v>
      </c>
      <c r="P2053" s="12">
        <v>841438.35615000001</v>
      </c>
      <c r="Q2053" s="12">
        <f>IF(O2053="Guaraníes",P2053,P2053*#REF!)</f>
        <v>841438.35615000001</v>
      </c>
      <c r="R2053" s="12" t="e">
        <f>IF(O2053="Guaraníes",P2053/#REF!,P2053)</f>
        <v>#REF!</v>
      </c>
      <c r="S2053" s="5" t="s">
        <v>52</v>
      </c>
      <c r="T2053" s="5">
        <v>9243</v>
      </c>
      <c r="W2053" s="5" t="s">
        <v>65</v>
      </c>
      <c r="X2053" s="5">
        <v>0</v>
      </c>
      <c r="Y2053" s="5">
        <v>0</v>
      </c>
      <c r="Z2053" s="5">
        <v>28047.945205</v>
      </c>
      <c r="AA2053" s="5">
        <v>30</v>
      </c>
      <c r="AB2053" s="5">
        <v>841438.35615000001</v>
      </c>
      <c r="AC2053" s="5" t="str">
        <f t="shared" si="100"/>
        <v>Bonos</v>
      </c>
      <c r="AD2053" s="5" t="s">
        <v>43</v>
      </c>
      <c r="AE2053" s="5">
        <f t="shared" si="98"/>
        <v>2</v>
      </c>
      <c r="AF2053" s="5">
        <f t="shared" si="99"/>
        <v>2024</v>
      </c>
    </row>
    <row r="2054" s="5" customFormat="1" ht="13">
      <c r="A2054" s="5" t="s">
        <v>44</v>
      </c>
      <c r="B2054" s="5" t="s">
        <v>44</v>
      </c>
      <c r="C2054" s="5" t="s">
        <v>164</v>
      </c>
      <c r="D2054" s="5" t="s">
        <v>21</v>
      </c>
      <c r="E2054" s="5" t="s">
        <v>44</v>
      </c>
      <c r="F2054" s="5" t="s">
        <v>68</v>
      </c>
      <c r="G2054" s="5" t="s">
        <v>141</v>
      </c>
      <c r="H2054" s="9" t="s">
        <v>165</v>
      </c>
      <c r="I2054" s="10"/>
      <c r="J2054" s="10">
        <v>45351</v>
      </c>
      <c r="K2054" s="5" t="s">
        <v>124</v>
      </c>
      <c r="L2054" s="5" t="s">
        <v>58</v>
      </c>
      <c r="M2054" s="11">
        <v>0.10000000000000001</v>
      </c>
      <c r="N2054" s="5" t="e">
        <f>IF(AND(M2054&gt;#REF!,Cartera!O2054="Guaraníes"),"Rendimiento significativo",IF(AND(M2054&gt;#REF!,Cartera!O2054="Dólares americanos"),"Rendimiento significativo","Rendimiento no significativo"))</f>
        <v>#REF!</v>
      </c>
      <c r="O2054" s="5" t="s">
        <v>41</v>
      </c>
      <c r="P2054" s="12">
        <v>794520.54790000001</v>
      </c>
      <c r="Q2054" s="12">
        <f>IF(O2054="Guaraníes",P2054,P2054*#REF!)</f>
        <v>794520.54790000001</v>
      </c>
      <c r="R2054" s="12" t="e">
        <f>IF(O2054="Guaraníes",P2054/#REF!,P2054)</f>
        <v>#REF!</v>
      </c>
      <c r="S2054" s="5" t="s">
        <v>52</v>
      </c>
      <c r="T2054" s="5">
        <v>9243</v>
      </c>
      <c r="W2054" s="5" t="s">
        <v>65</v>
      </c>
      <c r="X2054" s="5">
        <v>0</v>
      </c>
      <c r="Y2054" s="5">
        <v>0</v>
      </c>
      <c r="Z2054" s="5">
        <v>7945.2054790000002</v>
      </c>
      <c r="AA2054" s="5">
        <v>100</v>
      </c>
      <c r="AB2054" s="5">
        <v>794520.54790000001</v>
      </c>
      <c r="AC2054" s="5" t="str">
        <f t="shared" si="100"/>
        <v>Bonos</v>
      </c>
      <c r="AD2054" s="5" t="s">
        <v>43</v>
      </c>
      <c r="AE2054" s="5">
        <f t="shared" si="98"/>
        <v>2</v>
      </c>
      <c r="AF2054" s="5">
        <f t="shared" si="99"/>
        <v>2024</v>
      </c>
    </row>
    <row r="2055" s="5" customFormat="1" ht="13">
      <c r="A2055" s="5" t="s">
        <v>44</v>
      </c>
      <c r="B2055" s="5" t="s">
        <v>44</v>
      </c>
      <c r="C2055" s="5" t="s">
        <v>164</v>
      </c>
      <c r="D2055" s="5" t="s">
        <v>21</v>
      </c>
      <c r="E2055" s="5" t="s">
        <v>44</v>
      </c>
      <c r="F2055" s="5" t="s">
        <v>68</v>
      </c>
      <c r="G2055" s="5" t="s">
        <v>141</v>
      </c>
      <c r="H2055" s="9" t="s">
        <v>167</v>
      </c>
      <c r="I2055" s="10"/>
      <c r="J2055" s="10">
        <v>45351</v>
      </c>
      <c r="K2055" s="5" t="s">
        <v>124</v>
      </c>
      <c r="L2055" s="5" t="s">
        <v>58</v>
      </c>
      <c r="M2055" s="11">
        <v>0.092499999999999999</v>
      </c>
      <c r="N2055" s="5" t="e">
        <f>IF(AND(M2055&gt;#REF!,Cartera!O2055="Guaraníes"),"Rendimiento significativo",IF(AND(M2055&gt;#REF!,Cartera!O2055="Dólares americanos"),"Rendimiento significativo","Rendimiento no significativo"))</f>
        <v>#REF!</v>
      </c>
      <c r="O2055" s="5" t="s">
        <v>41</v>
      </c>
      <c r="P2055" s="12">
        <v>734931.50679999997</v>
      </c>
      <c r="Q2055" s="12">
        <f>IF(O2055="Guaraníes",P2055,P2055*#REF!)</f>
        <v>734931.50679999997</v>
      </c>
      <c r="R2055" s="12" t="e">
        <f>IF(O2055="Guaraníes",P2055/#REF!,P2055)</f>
        <v>#REF!</v>
      </c>
      <c r="S2055" s="5" t="s">
        <v>52</v>
      </c>
      <c r="T2055" s="5">
        <v>9243</v>
      </c>
      <c r="W2055" s="5" t="s">
        <v>65</v>
      </c>
      <c r="X2055" s="5">
        <v>0</v>
      </c>
      <c r="Y2055" s="5">
        <v>0</v>
      </c>
      <c r="Z2055" s="5">
        <v>7349.3150679999999</v>
      </c>
      <c r="AA2055" s="5">
        <v>100</v>
      </c>
      <c r="AB2055" s="5">
        <v>734931.50679999997</v>
      </c>
      <c r="AC2055" s="5" t="str">
        <f t="shared" si="100"/>
        <v>Bonos</v>
      </c>
      <c r="AD2055" s="5" t="s">
        <v>43</v>
      </c>
      <c r="AE2055" s="5">
        <f t="shared" si="98"/>
        <v>2</v>
      </c>
      <c r="AF2055" s="5">
        <f t="shared" si="99"/>
        <v>2024</v>
      </c>
    </row>
    <row r="2056" s="5" customFormat="1" ht="13">
      <c r="A2056" s="5" t="s">
        <v>44</v>
      </c>
      <c r="B2056" s="5" t="s">
        <v>44</v>
      </c>
      <c r="C2056" s="5" t="s">
        <v>164</v>
      </c>
      <c r="D2056" s="5" t="s">
        <v>21</v>
      </c>
      <c r="E2056" s="5" t="s">
        <v>44</v>
      </c>
      <c r="F2056" s="5" t="s">
        <v>68</v>
      </c>
      <c r="G2056" s="5" t="s">
        <v>141</v>
      </c>
      <c r="H2056" s="9" t="s">
        <v>393</v>
      </c>
      <c r="I2056" s="10"/>
      <c r="J2056" s="10">
        <v>45355</v>
      </c>
      <c r="K2056" s="5" t="s">
        <v>124</v>
      </c>
      <c r="L2056" s="5" t="s">
        <v>58</v>
      </c>
      <c r="M2056" s="11">
        <v>0.087499999999999994</v>
      </c>
      <c r="N2056" s="5" t="e">
        <f>IF(AND(M2056&gt;#REF!,Cartera!O2056="Guaraníes"),"Rendimiento significativo",IF(AND(M2056&gt;#REF!,Cartera!O2056="Dólares americanos"),"Rendimiento significativo","Rendimiento no significativo"))</f>
        <v>#REF!</v>
      </c>
      <c r="O2056" s="5" t="s">
        <v>41</v>
      </c>
      <c r="P2056" s="12">
        <v>10907534.2465</v>
      </c>
      <c r="Q2056" s="12">
        <f>IF(O2056="Guaraníes",P2056,P2056*#REF!)</f>
        <v>10907534.2465</v>
      </c>
      <c r="R2056" s="12" t="e">
        <f>IF(O2056="Guaraníes",P2056/#REF!,P2056)</f>
        <v>#REF!</v>
      </c>
      <c r="S2056" s="5" t="s">
        <v>52</v>
      </c>
      <c r="T2056" s="5">
        <v>9243</v>
      </c>
      <c r="W2056" s="5" t="s">
        <v>65</v>
      </c>
      <c r="X2056" s="5">
        <v>0</v>
      </c>
      <c r="Y2056" s="5">
        <v>0</v>
      </c>
      <c r="Z2056" s="5">
        <v>21815.068492999999</v>
      </c>
      <c r="AA2056" s="5">
        <v>500</v>
      </c>
      <c r="AB2056" s="5">
        <v>10907534.2465</v>
      </c>
      <c r="AC2056" s="5" t="str">
        <f t="shared" si="100"/>
        <v>Bonos</v>
      </c>
      <c r="AD2056" s="5" t="s">
        <v>43</v>
      </c>
      <c r="AE2056" s="5">
        <f t="shared" si="98"/>
        <v>3</v>
      </c>
      <c r="AF2056" s="5">
        <f t="shared" si="99"/>
        <v>2024</v>
      </c>
    </row>
    <row r="2057" s="5" customFormat="1" ht="13">
      <c r="A2057" s="5" t="s">
        <v>44</v>
      </c>
      <c r="B2057" s="5" t="s">
        <v>44</v>
      </c>
      <c r="C2057" s="5" t="s">
        <v>189</v>
      </c>
      <c r="D2057" s="5" t="s">
        <v>21</v>
      </c>
      <c r="E2057" s="5" t="s">
        <v>44</v>
      </c>
      <c r="F2057" s="5" t="s">
        <v>190</v>
      </c>
      <c r="G2057" s="5" t="s">
        <v>141</v>
      </c>
      <c r="H2057" s="9" t="s">
        <v>191</v>
      </c>
      <c r="I2057" s="10"/>
      <c r="J2057" s="10">
        <v>45373</v>
      </c>
      <c r="K2057" s="5" t="s">
        <v>77</v>
      </c>
      <c r="L2057" s="5" t="s">
        <v>58</v>
      </c>
      <c r="M2057" s="11">
        <v>0.089999999999999997</v>
      </c>
      <c r="N2057" s="5" t="e">
        <f>IF(AND(M2057&gt;#REF!,Cartera!O2057="Guaraníes"),"Rendimiento significativo",IF(AND(M2057&gt;#REF!,Cartera!O2057="Dólares americanos"),"Rendimiento significativo","Rendimiento no significativo"))</f>
        <v>#REF!</v>
      </c>
      <c r="O2057" s="5" t="s">
        <v>41</v>
      </c>
      <c r="P2057" s="12">
        <v>6731506.8480000002</v>
      </c>
      <c r="Q2057" s="12">
        <f>IF(O2057="Guaraníes",P2057,P2057*#REF!)</f>
        <v>6731506.8480000002</v>
      </c>
      <c r="R2057" s="12" t="e">
        <f>IF(O2057="Guaraníes",P2057/#REF!,P2057)</f>
        <v>#REF!</v>
      </c>
      <c r="S2057" s="5" t="s">
        <v>52</v>
      </c>
      <c r="T2057" s="5">
        <v>9243</v>
      </c>
      <c r="W2057" s="5" t="s">
        <v>65</v>
      </c>
      <c r="X2057" s="5">
        <v>0</v>
      </c>
      <c r="Y2057" s="5">
        <v>0</v>
      </c>
      <c r="Z2057" s="5">
        <v>22438.356159999999</v>
      </c>
      <c r="AA2057" s="5">
        <v>300</v>
      </c>
      <c r="AB2057" s="5">
        <v>6731506.8490000004</v>
      </c>
      <c r="AC2057" s="5" t="str">
        <f t="shared" si="100"/>
        <v>Bonos</v>
      </c>
      <c r="AD2057" s="5" t="s">
        <v>43</v>
      </c>
      <c r="AE2057" s="5">
        <f t="shared" si="98"/>
        <v>3</v>
      </c>
      <c r="AF2057" s="5">
        <f t="shared" si="99"/>
        <v>2024</v>
      </c>
    </row>
    <row r="2058" s="5" customFormat="1" ht="13">
      <c r="A2058" s="5" t="s">
        <v>44</v>
      </c>
      <c r="B2058" s="5" t="s">
        <v>44</v>
      </c>
      <c r="C2058" s="5" t="s">
        <v>164</v>
      </c>
      <c r="D2058" s="5" t="s">
        <v>21</v>
      </c>
      <c r="E2058" s="5" t="s">
        <v>44</v>
      </c>
      <c r="F2058" s="5" t="s">
        <v>68</v>
      </c>
      <c r="G2058" s="5" t="s">
        <v>141</v>
      </c>
      <c r="H2058" s="9" t="s">
        <v>165</v>
      </c>
      <c r="I2058" s="10"/>
      <c r="J2058" s="10">
        <v>45380</v>
      </c>
      <c r="K2058" s="5" t="s">
        <v>124</v>
      </c>
      <c r="L2058" s="5" t="s">
        <v>58</v>
      </c>
      <c r="M2058" s="11">
        <v>0.10000000000000001</v>
      </c>
      <c r="N2058" s="5" t="e">
        <f>IF(AND(M2058&gt;#REF!,Cartera!O2058="Guaraníes"),"Rendimiento significativo",IF(AND(M2058&gt;#REF!,Cartera!O2058="Dólares americanos"),"Rendimiento significativo","Rendimiento no significativo"))</f>
        <v>#REF!</v>
      </c>
      <c r="O2058" s="5" t="s">
        <v>41</v>
      </c>
      <c r="P2058" s="12">
        <v>794520.54790000001</v>
      </c>
      <c r="Q2058" s="12">
        <f>IF(O2058="Guaraníes",P2058,P2058*#REF!)</f>
        <v>794520.54790000001</v>
      </c>
      <c r="R2058" s="12" t="e">
        <f>IF(O2058="Guaraníes",P2058/#REF!,P2058)</f>
        <v>#REF!</v>
      </c>
      <c r="S2058" s="5" t="s">
        <v>52</v>
      </c>
      <c r="T2058" s="5">
        <v>9243</v>
      </c>
      <c r="W2058" s="5" t="s">
        <v>65</v>
      </c>
      <c r="X2058" s="5">
        <v>0</v>
      </c>
      <c r="Y2058" s="5">
        <v>0</v>
      </c>
      <c r="Z2058" s="5">
        <v>7945.2054790000002</v>
      </c>
      <c r="AA2058" s="5">
        <v>100</v>
      </c>
      <c r="AB2058" s="5">
        <v>794520.54790000001</v>
      </c>
      <c r="AC2058" s="5" t="str">
        <f t="shared" si="100"/>
        <v>Bonos</v>
      </c>
      <c r="AD2058" s="5" t="s">
        <v>43</v>
      </c>
      <c r="AE2058" s="5">
        <f t="shared" si="98"/>
        <v>3</v>
      </c>
      <c r="AF2058" s="5">
        <f t="shared" si="99"/>
        <v>2024</v>
      </c>
    </row>
    <row r="2059" s="5" customFormat="1" ht="13">
      <c r="A2059" s="5" t="s">
        <v>44</v>
      </c>
      <c r="B2059" s="5" t="s">
        <v>44</v>
      </c>
      <c r="C2059" s="5" t="s">
        <v>164</v>
      </c>
      <c r="D2059" s="5" t="s">
        <v>21</v>
      </c>
      <c r="E2059" s="5" t="s">
        <v>44</v>
      </c>
      <c r="F2059" s="5" t="s">
        <v>68</v>
      </c>
      <c r="G2059" s="5" t="s">
        <v>141</v>
      </c>
      <c r="H2059" s="9" t="s">
        <v>167</v>
      </c>
      <c r="I2059" s="10"/>
      <c r="J2059" s="10">
        <v>45380</v>
      </c>
      <c r="K2059" s="5" t="s">
        <v>124</v>
      </c>
      <c r="L2059" s="5" t="s">
        <v>58</v>
      </c>
      <c r="M2059" s="11">
        <v>0.092499999999999999</v>
      </c>
      <c r="N2059" s="5" t="e">
        <f>IF(AND(M2059&gt;#REF!,Cartera!O2059="Guaraníes"),"Rendimiento significativo",IF(AND(M2059&gt;#REF!,Cartera!O2059="Dólares americanos"),"Rendimiento significativo","Rendimiento no significativo"))</f>
        <v>#REF!</v>
      </c>
      <c r="O2059" s="5" t="s">
        <v>41</v>
      </c>
      <c r="P2059" s="12">
        <v>734931.50679999997</v>
      </c>
      <c r="Q2059" s="12">
        <f>IF(O2059="Guaraníes",P2059,P2059*#REF!)</f>
        <v>734931.50679999997</v>
      </c>
      <c r="R2059" s="12" t="e">
        <f>IF(O2059="Guaraníes",P2059/#REF!,P2059)</f>
        <v>#REF!</v>
      </c>
      <c r="S2059" s="5" t="s">
        <v>52</v>
      </c>
      <c r="T2059" s="5">
        <v>9243</v>
      </c>
      <c r="W2059" s="5" t="s">
        <v>65</v>
      </c>
      <c r="X2059" s="5">
        <v>0</v>
      </c>
      <c r="Y2059" s="5">
        <v>0</v>
      </c>
      <c r="Z2059" s="5">
        <v>7349.3150679999999</v>
      </c>
      <c r="AA2059" s="5">
        <v>100</v>
      </c>
      <c r="AB2059" s="5">
        <v>734931.50679999997</v>
      </c>
      <c r="AC2059" s="5" t="str">
        <f t="shared" si="100"/>
        <v>Bonos</v>
      </c>
      <c r="AD2059" s="5" t="s">
        <v>43</v>
      </c>
      <c r="AE2059" s="5">
        <f t="shared" si="98"/>
        <v>3</v>
      </c>
      <c r="AF2059" s="5">
        <f t="shared" si="99"/>
        <v>2024</v>
      </c>
    </row>
    <row r="2060" s="5" customFormat="1" ht="13">
      <c r="A2060" s="5" t="s">
        <v>44</v>
      </c>
      <c r="B2060" s="5" t="s">
        <v>44</v>
      </c>
      <c r="C2060" s="5" t="s">
        <v>164</v>
      </c>
      <c r="D2060" s="5" t="s">
        <v>21</v>
      </c>
      <c r="E2060" s="5" t="s">
        <v>44</v>
      </c>
      <c r="F2060" s="5" t="s">
        <v>68</v>
      </c>
      <c r="G2060" s="5" t="s">
        <v>141</v>
      </c>
      <c r="H2060" s="9" t="s">
        <v>165</v>
      </c>
      <c r="I2060" s="10"/>
      <c r="J2060" s="10">
        <v>45412</v>
      </c>
      <c r="K2060" s="5" t="s">
        <v>124</v>
      </c>
      <c r="L2060" s="5" t="s">
        <v>58</v>
      </c>
      <c r="M2060" s="11">
        <v>0.10000000000000001</v>
      </c>
      <c r="N2060" s="5" t="e">
        <f>IF(AND(M2060&gt;#REF!,Cartera!O2060="Guaraníes"),"Rendimiento significativo",IF(AND(M2060&gt;#REF!,Cartera!O2060="Dólares americanos"),"Rendimiento significativo","Rendimiento no significativo"))</f>
        <v>#REF!</v>
      </c>
      <c r="O2060" s="5" t="s">
        <v>41</v>
      </c>
      <c r="P2060" s="12">
        <v>876712.32880000002</v>
      </c>
      <c r="Q2060" s="12">
        <f>IF(O2060="Guaraníes",P2060,P2060*#REF!)</f>
        <v>876712.32880000002</v>
      </c>
      <c r="R2060" s="12" t="e">
        <f>IF(O2060="Guaraníes",P2060/#REF!,P2060)</f>
        <v>#REF!</v>
      </c>
      <c r="S2060" s="5" t="s">
        <v>52</v>
      </c>
      <c r="T2060" s="5">
        <v>9243</v>
      </c>
      <c r="W2060" s="5" t="s">
        <v>65</v>
      </c>
      <c r="X2060" s="5">
        <v>0</v>
      </c>
      <c r="Y2060" s="5">
        <v>0</v>
      </c>
      <c r="Z2060" s="5">
        <v>8767.1232880000007</v>
      </c>
      <c r="AA2060" s="5">
        <v>100</v>
      </c>
      <c r="AB2060" s="5">
        <v>876712.32880000002</v>
      </c>
      <c r="AC2060" s="5" t="str">
        <f t="shared" si="100"/>
        <v>Bonos</v>
      </c>
      <c r="AD2060" s="5" t="s">
        <v>43</v>
      </c>
      <c r="AE2060" s="5">
        <f t="shared" si="98"/>
        <v>4</v>
      </c>
      <c r="AF2060" s="5">
        <f t="shared" si="99"/>
        <v>2024</v>
      </c>
    </row>
    <row r="2061" s="5" customFormat="1" ht="13">
      <c r="A2061" s="5" t="s">
        <v>44</v>
      </c>
      <c r="B2061" s="5" t="s">
        <v>44</v>
      </c>
      <c r="C2061" s="5" t="s">
        <v>164</v>
      </c>
      <c r="D2061" s="5" t="s">
        <v>21</v>
      </c>
      <c r="E2061" s="5" t="s">
        <v>44</v>
      </c>
      <c r="F2061" s="5" t="s">
        <v>68</v>
      </c>
      <c r="G2061" s="5" t="s">
        <v>141</v>
      </c>
      <c r="H2061" s="9" t="s">
        <v>167</v>
      </c>
      <c r="I2061" s="10"/>
      <c r="J2061" s="10">
        <v>45412</v>
      </c>
      <c r="K2061" s="5" t="s">
        <v>124</v>
      </c>
      <c r="L2061" s="5" t="s">
        <v>58</v>
      </c>
      <c r="M2061" s="11">
        <v>0.092499999999999999</v>
      </c>
      <c r="N2061" s="5" t="e">
        <f>IF(AND(M2061&gt;#REF!,Cartera!O2061="Guaraníes"),"Rendimiento significativo",IF(AND(M2061&gt;#REF!,Cartera!O2061="Dólares americanos"),"Rendimiento significativo","Rendimiento no significativo"))</f>
        <v>#REF!</v>
      </c>
      <c r="O2061" s="5" t="s">
        <v>41</v>
      </c>
      <c r="P2061" s="12">
        <v>810958.90410000004</v>
      </c>
      <c r="Q2061" s="12">
        <f>IF(O2061="Guaraníes",P2061,P2061*#REF!)</f>
        <v>810958.90410000004</v>
      </c>
      <c r="R2061" s="12" t="e">
        <f>IF(O2061="Guaraníes",P2061/#REF!,P2061)</f>
        <v>#REF!</v>
      </c>
      <c r="S2061" s="5" t="s">
        <v>52</v>
      </c>
      <c r="T2061" s="5">
        <v>9243</v>
      </c>
      <c r="W2061" s="5" t="s">
        <v>65</v>
      </c>
      <c r="X2061" s="5">
        <v>0</v>
      </c>
      <c r="Y2061" s="5">
        <v>0</v>
      </c>
      <c r="Z2061" s="5">
        <v>8109.5890410000002</v>
      </c>
      <c r="AA2061" s="5">
        <v>100</v>
      </c>
      <c r="AB2061" s="5">
        <v>810958.90410000004</v>
      </c>
      <c r="AC2061" s="5" t="str">
        <f t="shared" si="100"/>
        <v>Bonos</v>
      </c>
      <c r="AD2061" s="5" t="s">
        <v>43</v>
      </c>
      <c r="AE2061" s="5">
        <f t="shared" si="98"/>
        <v>4</v>
      </c>
      <c r="AF2061" s="5">
        <f t="shared" si="99"/>
        <v>2024</v>
      </c>
    </row>
    <row r="2062" s="5" customFormat="1" ht="13">
      <c r="A2062" s="5" t="s">
        <v>44</v>
      </c>
      <c r="B2062" s="5" t="s">
        <v>44</v>
      </c>
      <c r="C2062" s="5" t="s">
        <v>156</v>
      </c>
      <c r="D2062" s="5" t="s">
        <v>21</v>
      </c>
      <c r="E2062" s="5" t="s">
        <v>44</v>
      </c>
      <c r="F2062" s="5" t="s">
        <v>68</v>
      </c>
      <c r="G2062" s="5" t="s">
        <v>141</v>
      </c>
      <c r="H2062" s="9" t="s">
        <v>392</v>
      </c>
      <c r="I2062" s="10"/>
      <c r="J2062" s="10">
        <v>45432</v>
      </c>
      <c r="K2062" s="5" t="s">
        <v>158</v>
      </c>
      <c r="L2062" s="5" t="s">
        <v>58</v>
      </c>
      <c r="M2062" s="11">
        <v>0.14000000000000001</v>
      </c>
      <c r="N2062" s="5" t="e">
        <f>IF(AND(M2062&gt;#REF!,Cartera!O2062="Guaraníes"),"Rendimiento significativo",IF(AND(M2062&gt;#REF!,Cartera!O2062="Dólares americanos"),"Rendimiento significativo","Rendimiento no significativo"))</f>
        <v>#REF!</v>
      </c>
      <c r="O2062" s="5" t="s">
        <v>41</v>
      </c>
      <c r="P2062" s="12">
        <v>1090753.4246699999</v>
      </c>
      <c r="Q2062" s="12">
        <f>IF(O2062="Guaraníes",P2062,P2062*#REF!)</f>
        <v>1090753.4246699999</v>
      </c>
      <c r="R2062" s="12" t="e">
        <f>IF(O2062="Guaraníes",P2062/#REF!,P2062)</f>
        <v>#REF!</v>
      </c>
      <c r="S2062" s="5" t="s">
        <v>52</v>
      </c>
      <c r="T2062" s="5">
        <v>9243</v>
      </c>
      <c r="W2062" s="5" t="s">
        <v>65</v>
      </c>
      <c r="X2062" s="5">
        <v>0</v>
      </c>
      <c r="Y2062" s="5">
        <v>0</v>
      </c>
      <c r="Z2062" s="5">
        <v>31164.383561999999</v>
      </c>
      <c r="AA2062" s="5">
        <v>35</v>
      </c>
      <c r="AB2062" s="5">
        <v>1090753.4246700001</v>
      </c>
      <c r="AC2062" s="5" t="str">
        <f t="shared" si="100"/>
        <v>Bonos</v>
      </c>
      <c r="AD2062" s="5" t="s">
        <v>43</v>
      </c>
      <c r="AE2062" s="5">
        <f t="shared" si="98"/>
        <v>5</v>
      </c>
      <c r="AF2062" s="5">
        <f t="shared" si="99"/>
        <v>2024</v>
      </c>
    </row>
    <row r="2063" s="5" customFormat="1" ht="13">
      <c r="A2063" s="5" t="s">
        <v>44</v>
      </c>
      <c r="B2063" s="5" t="s">
        <v>44</v>
      </c>
      <c r="C2063" s="5" t="s">
        <v>389</v>
      </c>
      <c r="D2063" s="5" t="s">
        <v>21</v>
      </c>
      <c r="E2063" s="5" t="s">
        <v>44</v>
      </c>
      <c r="F2063" s="5" t="s">
        <v>68</v>
      </c>
      <c r="G2063" s="5" t="s">
        <v>141</v>
      </c>
      <c r="H2063" s="9" t="s">
        <v>390</v>
      </c>
      <c r="I2063" s="10"/>
      <c r="J2063" s="10">
        <v>45441</v>
      </c>
      <c r="K2063" s="5" t="s">
        <v>391</v>
      </c>
      <c r="L2063" s="5" t="s">
        <v>58</v>
      </c>
      <c r="M2063" s="11">
        <v>0.1125</v>
      </c>
      <c r="N2063" s="5" t="e">
        <f>IF(AND(M2063&gt;#REF!,Cartera!O2063="Guaraníes"),"Rendimiento significativo",IF(AND(M2063&gt;#REF!,Cartera!O2063="Dólares americanos"),"Rendimiento significativo","Rendimiento no significativo"))</f>
        <v>#REF!</v>
      </c>
      <c r="O2063" s="5" t="s">
        <v>41</v>
      </c>
      <c r="P2063" s="12">
        <v>841438.35615000001</v>
      </c>
      <c r="Q2063" s="12">
        <f>IF(O2063="Guaraníes",P2063,P2063*#REF!)</f>
        <v>841438.35615000001</v>
      </c>
      <c r="R2063" s="12" t="e">
        <f>IF(O2063="Guaraníes",P2063/#REF!,P2063)</f>
        <v>#REF!</v>
      </c>
      <c r="S2063" s="5" t="s">
        <v>52</v>
      </c>
      <c r="T2063" s="5">
        <v>9243</v>
      </c>
      <c r="W2063" s="5" t="s">
        <v>65</v>
      </c>
      <c r="X2063" s="5">
        <v>0</v>
      </c>
      <c r="Y2063" s="5">
        <v>0</v>
      </c>
      <c r="Z2063" s="5">
        <v>28047.945205</v>
      </c>
      <c r="AA2063" s="5">
        <v>30</v>
      </c>
      <c r="AB2063" s="5">
        <v>841438.35615000001</v>
      </c>
      <c r="AC2063" s="5" t="str">
        <f t="shared" si="100"/>
        <v>Bonos</v>
      </c>
      <c r="AD2063" s="5" t="s">
        <v>43</v>
      </c>
      <c r="AE2063" s="5">
        <f t="shared" si="98"/>
        <v>5</v>
      </c>
      <c r="AF2063" s="5">
        <f t="shared" si="99"/>
        <v>2024</v>
      </c>
    </row>
    <row r="2064" s="5" customFormat="1" ht="13">
      <c r="A2064" s="5" t="s">
        <v>44</v>
      </c>
      <c r="B2064" s="5" t="s">
        <v>44</v>
      </c>
      <c r="C2064" s="5" t="s">
        <v>164</v>
      </c>
      <c r="D2064" s="5" t="s">
        <v>21</v>
      </c>
      <c r="E2064" s="5" t="s">
        <v>44</v>
      </c>
      <c r="F2064" s="5" t="s">
        <v>68</v>
      </c>
      <c r="G2064" s="5" t="s">
        <v>141</v>
      </c>
      <c r="H2064" s="9" t="s">
        <v>165</v>
      </c>
      <c r="I2064" s="10"/>
      <c r="J2064" s="10">
        <v>45443</v>
      </c>
      <c r="K2064" s="5" t="s">
        <v>124</v>
      </c>
      <c r="L2064" s="5" t="s">
        <v>58</v>
      </c>
      <c r="M2064" s="11">
        <v>0.10000000000000001</v>
      </c>
      <c r="N2064" s="5" t="e">
        <f>IF(AND(M2064&gt;#REF!,Cartera!O2064="Guaraníes"),"Rendimiento significativo",IF(AND(M2064&gt;#REF!,Cartera!O2064="Dólares americanos"),"Rendimiento significativo","Rendimiento no significativo"))</f>
        <v>#REF!</v>
      </c>
      <c r="O2064" s="5" t="s">
        <v>41</v>
      </c>
      <c r="P2064" s="12">
        <v>849315.06850000005</v>
      </c>
      <c r="Q2064" s="12">
        <f>IF(O2064="Guaraníes",P2064,P2064*#REF!)</f>
        <v>849315.06850000005</v>
      </c>
      <c r="R2064" s="12" t="e">
        <f>IF(O2064="Guaraníes",P2064/#REF!,P2064)</f>
        <v>#REF!</v>
      </c>
      <c r="S2064" s="5" t="s">
        <v>52</v>
      </c>
      <c r="T2064" s="5">
        <v>9243</v>
      </c>
      <c r="W2064" s="5" t="s">
        <v>65</v>
      </c>
      <c r="X2064" s="5">
        <v>0</v>
      </c>
      <c r="Y2064" s="5">
        <v>0</v>
      </c>
      <c r="Z2064" s="5">
        <v>8493.1506850000005</v>
      </c>
      <c r="AA2064" s="5">
        <v>100</v>
      </c>
      <c r="AB2064" s="5">
        <v>849315.06850000005</v>
      </c>
      <c r="AC2064" s="5" t="str">
        <f t="shared" si="100"/>
        <v>Bonos</v>
      </c>
      <c r="AD2064" s="5" t="s">
        <v>43</v>
      </c>
      <c r="AE2064" s="5">
        <f t="shared" si="98"/>
        <v>5</v>
      </c>
      <c r="AF2064" s="5">
        <f t="shared" si="99"/>
        <v>2024</v>
      </c>
    </row>
    <row r="2065" s="5" customFormat="1" ht="13">
      <c r="A2065" s="5" t="s">
        <v>44</v>
      </c>
      <c r="B2065" s="5" t="s">
        <v>44</v>
      </c>
      <c r="C2065" s="5" t="s">
        <v>164</v>
      </c>
      <c r="D2065" s="5" t="s">
        <v>21</v>
      </c>
      <c r="E2065" s="5" t="s">
        <v>44</v>
      </c>
      <c r="F2065" s="5" t="s">
        <v>68</v>
      </c>
      <c r="G2065" s="5" t="s">
        <v>141</v>
      </c>
      <c r="H2065" s="9" t="s">
        <v>167</v>
      </c>
      <c r="I2065" s="10"/>
      <c r="J2065" s="10">
        <v>45443</v>
      </c>
      <c r="K2065" s="5" t="s">
        <v>124</v>
      </c>
      <c r="L2065" s="5" t="s">
        <v>58</v>
      </c>
      <c r="M2065" s="11">
        <v>0.092499999999999999</v>
      </c>
      <c r="N2065" s="5" t="e">
        <f>IF(AND(M2065&gt;#REF!,Cartera!O2065="Guaraníes"),"Rendimiento significativo",IF(AND(M2065&gt;#REF!,Cartera!O2065="Dólares americanos"),"Rendimiento significativo","Rendimiento no significativo"))</f>
        <v>#REF!</v>
      </c>
      <c r="O2065" s="5" t="s">
        <v>41</v>
      </c>
      <c r="P2065" s="12">
        <v>785616.43839999998</v>
      </c>
      <c r="Q2065" s="12">
        <f>IF(O2065="Guaraníes",P2065,P2065*#REF!)</f>
        <v>785616.43839999998</v>
      </c>
      <c r="R2065" s="12" t="e">
        <f>IF(O2065="Guaraníes",P2065/#REF!,P2065)</f>
        <v>#REF!</v>
      </c>
      <c r="S2065" s="5" t="s">
        <v>52</v>
      </c>
      <c r="T2065" s="5">
        <v>9243</v>
      </c>
      <c r="W2065" s="5" t="s">
        <v>65</v>
      </c>
      <c r="X2065" s="5">
        <v>0</v>
      </c>
      <c r="Y2065" s="5">
        <v>0</v>
      </c>
      <c r="Z2065" s="5">
        <v>7856.1643839999997</v>
      </c>
      <c r="AA2065" s="5">
        <v>100</v>
      </c>
      <c r="AB2065" s="5">
        <v>785616.43839999998</v>
      </c>
      <c r="AC2065" s="5" t="str">
        <f t="shared" si="100"/>
        <v>Bonos</v>
      </c>
      <c r="AD2065" s="5" t="s">
        <v>43</v>
      </c>
      <c r="AE2065" s="5">
        <f t="shared" si="98"/>
        <v>5</v>
      </c>
      <c r="AF2065" s="5">
        <f t="shared" si="99"/>
        <v>2024</v>
      </c>
    </row>
    <row r="2066" s="5" customFormat="1" ht="13">
      <c r="A2066" s="5" t="s">
        <v>44</v>
      </c>
      <c r="B2066" s="5" t="s">
        <v>44</v>
      </c>
      <c r="C2066" s="5" t="s">
        <v>164</v>
      </c>
      <c r="D2066" s="5" t="s">
        <v>20</v>
      </c>
      <c r="E2066" s="5" t="s">
        <v>44</v>
      </c>
      <c r="F2066" s="5" t="s">
        <v>68</v>
      </c>
      <c r="G2066" s="5" t="s">
        <v>141</v>
      </c>
      <c r="H2066" s="9" t="s">
        <v>393</v>
      </c>
      <c r="I2066" s="10">
        <v>44453</v>
      </c>
      <c r="J2066" s="10">
        <v>45446</v>
      </c>
      <c r="K2066" s="5" t="s">
        <v>124</v>
      </c>
      <c r="L2066" s="5" t="s">
        <v>58</v>
      </c>
      <c r="M2066" s="11">
        <v>0.087499999999999994</v>
      </c>
      <c r="N2066" s="5" t="e">
        <f>IF(AND(M2066&gt;#REF!,Cartera!O2066="Guaraníes"),"Rendimiento significativo",IF(AND(M2066&gt;#REF!,Cartera!O2066="Dólares americanos"),"Rendimiento significativo","Rendimiento no significativo"))</f>
        <v>#REF!</v>
      </c>
      <c r="O2066" s="5" t="s">
        <v>41</v>
      </c>
      <c r="P2066" s="12">
        <v>500000000</v>
      </c>
      <c r="Q2066" s="12">
        <f>IF(O2066="Guaraníes",P2066,P2066*#REF!)</f>
        <v>500000000</v>
      </c>
      <c r="R2066" s="12" t="e">
        <f>IF(O2066="Guaraníes",P2066/#REF!,P2066)</f>
        <v>#REF!</v>
      </c>
      <c r="S2066" s="5" t="s">
        <v>52</v>
      </c>
      <c r="AC2066" s="5" t="str">
        <f t="shared" si="100"/>
        <v>Bonos</v>
      </c>
      <c r="AD2066" s="5" t="s">
        <v>43</v>
      </c>
      <c r="AE2066" s="5">
        <f t="shared" ref="AE2066:AE2129" si="101">IFERROR((MONTH(J2066)),0)</f>
        <v>6</v>
      </c>
      <c r="AF2066" s="5">
        <f t="shared" ref="AF2066:AF2129" si="102">IFERROR((YEAR(J2066)),0)</f>
        <v>2024</v>
      </c>
    </row>
    <row r="2067" s="5" customFormat="1" ht="13">
      <c r="A2067" s="5" t="s">
        <v>44</v>
      </c>
      <c r="B2067" s="5" t="s">
        <v>44</v>
      </c>
      <c r="C2067" s="5" t="s">
        <v>189</v>
      </c>
      <c r="D2067" s="5" t="s">
        <v>21</v>
      </c>
      <c r="E2067" s="5" t="s">
        <v>44</v>
      </c>
      <c r="F2067" s="5" t="s">
        <v>190</v>
      </c>
      <c r="G2067" s="5" t="s">
        <v>141</v>
      </c>
      <c r="H2067" s="9" t="s">
        <v>191</v>
      </c>
      <c r="I2067" s="10"/>
      <c r="J2067" s="10">
        <v>45464</v>
      </c>
      <c r="K2067" s="5" t="s">
        <v>77</v>
      </c>
      <c r="L2067" s="5" t="s">
        <v>58</v>
      </c>
      <c r="M2067" s="11">
        <v>0.089999999999999997</v>
      </c>
      <c r="N2067" s="5" t="e">
        <f>IF(AND(M2067&gt;#REF!,Cartera!O2067="Guaraníes"),"Rendimiento significativo",IF(AND(M2067&gt;#REF!,Cartera!O2067="Dólares americanos"),"Rendimiento significativo","Rendimiento no significativo"))</f>
        <v>#REF!</v>
      </c>
      <c r="O2067" s="5" t="s">
        <v>41</v>
      </c>
      <c r="P2067" s="12">
        <v>6731506.8480000002</v>
      </c>
      <c r="Q2067" s="12">
        <f>IF(O2067="Guaraníes",P2067,P2067*#REF!)</f>
        <v>6731506.8480000002</v>
      </c>
      <c r="R2067" s="12" t="e">
        <f>IF(O2067="Guaraníes",P2067/#REF!,P2067)</f>
        <v>#REF!</v>
      </c>
      <c r="S2067" s="5" t="s">
        <v>52</v>
      </c>
      <c r="T2067" s="5">
        <v>9243</v>
      </c>
      <c r="W2067" s="5" t="s">
        <v>65</v>
      </c>
      <c r="X2067" s="5">
        <v>0</v>
      </c>
      <c r="Y2067" s="5">
        <v>0</v>
      </c>
      <c r="Z2067" s="5">
        <v>22438.356159999999</v>
      </c>
      <c r="AA2067" s="5">
        <v>300</v>
      </c>
      <c r="AB2067" s="5">
        <v>6731506.8490000004</v>
      </c>
      <c r="AC2067" s="5" t="str">
        <f t="shared" si="100"/>
        <v>Bonos</v>
      </c>
      <c r="AD2067" s="5" t="s">
        <v>43</v>
      </c>
      <c r="AE2067" s="5">
        <f t="shared" si="101"/>
        <v>6</v>
      </c>
      <c r="AF2067" s="5">
        <f t="shared" si="102"/>
        <v>2024</v>
      </c>
    </row>
    <row r="2068" s="5" customFormat="1" ht="13">
      <c r="A2068" s="5" t="s">
        <v>44</v>
      </c>
      <c r="B2068" s="5" t="s">
        <v>44</v>
      </c>
      <c r="C2068" s="5" t="s">
        <v>164</v>
      </c>
      <c r="D2068" s="5" t="s">
        <v>21</v>
      </c>
      <c r="E2068" s="5" t="s">
        <v>44</v>
      </c>
      <c r="F2068" s="5" t="s">
        <v>68</v>
      </c>
      <c r="G2068" s="5" t="s">
        <v>141</v>
      </c>
      <c r="H2068" s="9" t="s">
        <v>165</v>
      </c>
      <c r="I2068" s="10"/>
      <c r="J2068" s="10">
        <v>45471</v>
      </c>
      <c r="K2068" s="5" t="s">
        <v>124</v>
      </c>
      <c r="L2068" s="5" t="s">
        <v>58</v>
      </c>
      <c r="M2068" s="11">
        <v>0.10000000000000001</v>
      </c>
      <c r="N2068" s="5" t="e">
        <f>IF(AND(M2068&gt;#REF!,Cartera!O2068="Guaraníes"),"Rendimiento significativo",IF(AND(M2068&gt;#REF!,Cartera!O2068="Dólares americanos"),"Rendimiento significativo","Rendimiento no significativo"))</f>
        <v>#REF!</v>
      </c>
      <c r="O2068" s="5" t="s">
        <v>41</v>
      </c>
      <c r="P2068" s="12">
        <v>767123.28769999999</v>
      </c>
      <c r="Q2068" s="12">
        <f>IF(O2068="Guaraníes",P2068,P2068*#REF!)</f>
        <v>767123.28769999999</v>
      </c>
      <c r="R2068" s="12" t="e">
        <f>IF(O2068="Guaraníes",P2068/#REF!,P2068)</f>
        <v>#REF!</v>
      </c>
      <c r="S2068" s="5" t="s">
        <v>52</v>
      </c>
      <c r="T2068" s="5">
        <v>9243</v>
      </c>
      <c r="W2068" s="5" t="s">
        <v>65</v>
      </c>
      <c r="X2068" s="5">
        <v>0</v>
      </c>
      <c r="Y2068" s="5">
        <v>0</v>
      </c>
      <c r="Z2068" s="5">
        <v>7671.2328770000004</v>
      </c>
      <c r="AA2068" s="5">
        <v>100</v>
      </c>
      <c r="AB2068" s="5">
        <v>767123.28769999999</v>
      </c>
      <c r="AC2068" s="5" t="str">
        <f t="shared" si="100"/>
        <v>Bonos</v>
      </c>
      <c r="AD2068" s="5" t="s">
        <v>43</v>
      </c>
      <c r="AE2068" s="5">
        <f t="shared" si="101"/>
        <v>6</v>
      </c>
      <c r="AF2068" s="5">
        <f t="shared" si="102"/>
        <v>2024</v>
      </c>
    </row>
    <row r="2069" s="5" customFormat="1" ht="13">
      <c r="A2069" s="5" t="s">
        <v>44</v>
      </c>
      <c r="B2069" s="5" t="s">
        <v>44</v>
      </c>
      <c r="C2069" s="5" t="s">
        <v>164</v>
      </c>
      <c r="D2069" s="5" t="s">
        <v>21</v>
      </c>
      <c r="E2069" s="5" t="s">
        <v>44</v>
      </c>
      <c r="F2069" s="5" t="s">
        <v>68</v>
      </c>
      <c r="G2069" s="5" t="s">
        <v>141</v>
      </c>
      <c r="H2069" s="9" t="s">
        <v>167</v>
      </c>
      <c r="I2069" s="10"/>
      <c r="J2069" s="10">
        <v>45471</v>
      </c>
      <c r="K2069" s="5" t="s">
        <v>124</v>
      </c>
      <c r="L2069" s="5" t="s">
        <v>58</v>
      </c>
      <c r="M2069" s="11">
        <v>0.092499999999999999</v>
      </c>
      <c r="N2069" s="5" t="e">
        <f>IF(AND(M2069&gt;#REF!,Cartera!O2069="Guaraníes"),"Rendimiento significativo",IF(AND(M2069&gt;#REF!,Cartera!O2069="Dólares americanos"),"Rendimiento significativo","Rendimiento no significativo"))</f>
        <v>#REF!</v>
      </c>
      <c r="O2069" s="5" t="s">
        <v>41</v>
      </c>
      <c r="P2069" s="12">
        <v>709589.04110000003</v>
      </c>
      <c r="Q2069" s="12">
        <f>IF(O2069="Guaraníes",P2069,P2069*#REF!)</f>
        <v>709589.04110000003</v>
      </c>
      <c r="R2069" s="12" t="e">
        <f>IF(O2069="Guaraníes",P2069/#REF!,P2069)</f>
        <v>#REF!</v>
      </c>
      <c r="S2069" s="5" t="s">
        <v>52</v>
      </c>
      <c r="T2069" s="5">
        <v>9243</v>
      </c>
      <c r="W2069" s="5" t="s">
        <v>65</v>
      </c>
      <c r="X2069" s="5">
        <v>0</v>
      </c>
      <c r="Y2069" s="5">
        <v>0</v>
      </c>
      <c r="Z2069" s="5">
        <v>7095.8904110000003</v>
      </c>
      <c r="AA2069" s="5">
        <v>100</v>
      </c>
      <c r="AB2069" s="5">
        <v>709589.04110000003</v>
      </c>
      <c r="AC2069" s="5" t="str">
        <f t="shared" si="100"/>
        <v>Bonos</v>
      </c>
      <c r="AD2069" s="5" t="s">
        <v>43</v>
      </c>
      <c r="AE2069" s="5">
        <f t="shared" si="101"/>
        <v>6</v>
      </c>
      <c r="AF2069" s="5">
        <f t="shared" si="102"/>
        <v>2024</v>
      </c>
    </row>
    <row r="2070" s="5" customFormat="1" ht="13">
      <c r="A2070" s="5" t="s">
        <v>44</v>
      </c>
      <c r="B2070" s="5" t="s">
        <v>44</v>
      </c>
      <c r="C2070" s="5" t="s">
        <v>164</v>
      </c>
      <c r="D2070" s="5" t="s">
        <v>21</v>
      </c>
      <c r="E2070" s="5" t="s">
        <v>44</v>
      </c>
      <c r="F2070" s="5" t="s">
        <v>68</v>
      </c>
      <c r="G2070" s="5" t="s">
        <v>141</v>
      </c>
      <c r="H2070" s="9" t="s">
        <v>165</v>
      </c>
      <c r="I2070" s="10"/>
      <c r="J2070" s="10">
        <v>45504</v>
      </c>
      <c r="K2070" s="5" t="s">
        <v>124</v>
      </c>
      <c r="L2070" s="5" t="s">
        <v>58</v>
      </c>
      <c r="M2070" s="11">
        <v>0.10000000000000001</v>
      </c>
      <c r="N2070" s="5" t="e">
        <f>IF(AND(M2070&gt;#REF!,Cartera!O2070="Guaraníes"),"Rendimiento significativo",IF(AND(M2070&gt;#REF!,Cartera!O2070="Dólares americanos"),"Rendimiento significativo","Rendimiento no significativo"))</f>
        <v>#REF!</v>
      </c>
      <c r="O2070" s="5" t="s">
        <v>41</v>
      </c>
      <c r="P2070" s="12">
        <v>904109.58900000004</v>
      </c>
      <c r="Q2070" s="12">
        <f>IF(O2070="Guaraníes",P2070,P2070*#REF!)</f>
        <v>904109.58900000004</v>
      </c>
      <c r="R2070" s="12" t="e">
        <f>IF(O2070="Guaraníes",P2070/#REF!,P2070)</f>
        <v>#REF!</v>
      </c>
      <c r="S2070" s="5" t="s">
        <v>52</v>
      </c>
      <c r="T2070" s="5">
        <v>9243</v>
      </c>
      <c r="W2070" s="5" t="s">
        <v>65</v>
      </c>
      <c r="X2070" s="5">
        <v>0</v>
      </c>
      <c r="Y2070" s="5">
        <v>0</v>
      </c>
      <c r="Z2070" s="5">
        <v>9041.0958900000005</v>
      </c>
      <c r="AA2070" s="5">
        <v>100</v>
      </c>
      <c r="AB2070" s="5">
        <v>904109.58900000004</v>
      </c>
      <c r="AC2070" s="5" t="str">
        <f t="shared" si="100"/>
        <v>Bonos</v>
      </c>
      <c r="AD2070" s="5" t="s">
        <v>43</v>
      </c>
      <c r="AE2070" s="5">
        <f t="shared" si="101"/>
        <v>7</v>
      </c>
      <c r="AF2070" s="5">
        <f t="shared" si="102"/>
        <v>2024</v>
      </c>
    </row>
    <row r="2071" s="5" customFormat="1" ht="13">
      <c r="A2071" s="5" t="s">
        <v>44</v>
      </c>
      <c r="B2071" s="5" t="s">
        <v>44</v>
      </c>
      <c r="C2071" s="5" t="s">
        <v>164</v>
      </c>
      <c r="D2071" s="5" t="s">
        <v>21</v>
      </c>
      <c r="E2071" s="5" t="s">
        <v>44</v>
      </c>
      <c r="F2071" s="5" t="s">
        <v>68</v>
      </c>
      <c r="G2071" s="5" t="s">
        <v>141</v>
      </c>
      <c r="H2071" s="9" t="s">
        <v>167</v>
      </c>
      <c r="I2071" s="10"/>
      <c r="J2071" s="10">
        <v>45504</v>
      </c>
      <c r="K2071" s="5" t="s">
        <v>124</v>
      </c>
      <c r="L2071" s="5" t="s">
        <v>58</v>
      </c>
      <c r="M2071" s="11">
        <v>0.092499999999999999</v>
      </c>
      <c r="N2071" s="5" t="e">
        <f>IF(AND(M2071&gt;#REF!,Cartera!O2071="Guaraníes"),"Rendimiento significativo",IF(AND(M2071&gt;#REF!,Cartera!O2071="Dólares americanos"),"Rendimiento significativo","Rendimiento no significativo"))</f>
        <v>#REF!</v>
      </c>
      <c r="O2071" s="5" t="s">
        <v>41</v>
      </c>
      <c r="P2071" s="12">
        <v>836301.36989999993</v>
      </c>
      <c r="Q2071" s="12">
        <f>IF(O2071="Guaraníes",P2071,P2071*#REF!)</f>
        <v>836301.36989999993</v>
      </c>
      <c r="R2071" s="12" t="e">
        <f>IF(O2071="Guaraníes",P2071/#REF!,P2071)</f>
        <v>#REF!</v>
      </c>
      <c r="S2071" s="5" t="s">
        <v>52</v>
      </c>
      <c r="T2071" s="5">
        <v>9243</v>
      </c>
      <c r="W2071" s="5" t="s">
        <v>65</v>
      </c>
      <c r="X2071" s="5">
        <v>0</v>
      </c>
      <c r="Y2071" s="5">
        <v>0</v>
      </c>
      <c r="Z2071" s="5">
        <v>8363.0136989999992</v>
      </c>
      <c r="AA2071" s="5">
        <v>100</v>
      </c>
      <c r="AB2071" s="5">
        <v>836301.36990000005</v>
      </c>
      <c r="AC2071" s="5" t="str">
        <f t="shared" si="100"/>
        <v>Bonos</v>
      </c>
      <c r="AD2071" s="5" t="s">
        <v>43</v>
      </c>
      <c r="AE2071" s="5">
        <f t="shared" si="101"/>
        <v>7</v>
      </c>
      <c r="AF2071" s="5">
        <f t="shared" si="102"/>
        <v>2024</v>
      </c>
    </row>
    <row r="2072" s="5" customFormat="1" ht="13">
      <c r="A2072" s="5" t="s">
        <v>44</v>
      </c>
      <c r="B2072" s="5" t="s">
        <v>44</v>
      </c>
      <c r="C2072" s="5" t="s">
        <v>45</v>
      </c>
      <c r="D2072" s="5" t="s">
        <v>21</v>
      </c>
      <c r="E2072" s="5" t="s">
        <v>44</v>
      </c>
      <c r="F2072" s="5" t="s">
        <v>46</v>
      </c>
      <c r="G2072" s="5" t="s">
        <v>86</v>
      </c>
      <c r="H2072" s="9" t="s">
        <v>108</v>
      </c>
      <c r="I2072" s="20">
        <v>44704</v>
      </c>
      <c r="J2072" s="10">
        <v>45523</v>
      </c>
      <c r="K2072" s="5" t="s">
        <v>49</v>
      </c>
      <c r="L2072" s="5" t="s">
        <v>58</v>
      </c>
      <c r="M2072" s="11">
        <v>0.059999999999999998</v>
      </c>
      <c r="N2072" s="5" t="e">
        <f>IF(AND(M2072&gt;#REF!,Cartera!O2072="Guaraníes"),"Rendimiento significativo",IF(AND(M2072&gt;#REF!,Cartera!O2072="Dólares americanos"),"Rendimiento significativo","Rendimiento no significativo"))</f>
        <v>#REF!</v>
      </c>
      <c r="O2072" s="5" t="s">
        <v>51</v>
      </c>
      <c r="P2072" s="13">
        <v>478.68492800000001</v>
      </c>
      <c r="Q2072" s="12" t="e">
        <f>IF(O2072="Guaraníes",P2072,P2072*#REF!)</f>
        <v>#REF!</v>
      </c>
      <c r="R2072" s="12">
        <f>IF(O2072="Guaraníes",P2072/#REF!,P2072)</f>
        <v>478.68492800000001</v>
      </c>
      <c r="S2072" s="5" t="s">
        <v>52</v>
      </c>
      <c r="AA2072" s="5">
        <v>32</v>
      </c>
      <c r="AC2072" s="5" t="str">
        <f t="shared" si="100"/>
        <v>Bonos</v>
      </c>
      <c r="AD2072" s="5" t="s">
        <v>43</v>
      </c>
      <c r="AE2072" s="5">
        <f t="shared" si="101"/>
        <v>8</v>
      </c>
      <c r="AF2072" s="5">
        <f t="shared" si="102"/>
        <v>2024</v>
      </c>
    </row>
    <row r="2073" s="5" customFormat="1" ht="13">
      <c r="A2073" s="5" t="s">
        <v>44</v>
      </c>
      <c r="B2073" s="5" t="s">
        <v>44</v>
      </c>
      <c r="C2073" s="5" t="s">
        <v>156</v>
      </c>
      <c r="D2073" s="5" t="s">
        <v>20</v>
      </c>
      <c r="E2073" s="5" t="s">
        <v>44</v>
      </c>
      <c r="F2073" s="5" t="s">
        <v>68</v>
      </c>
      <c r="G2073" s="5" t="s">
        <v>141</v>
      </c>
      <c r="H2073" s="9" t="s">
        <v>392</v>
      </c>
      <c r="I2073" s="20">
        <v>44067</v>
      </c>
      <c r="J2073" s="10">
        <v>45523</v>
      </c>
      <c r="K2073" s="5" t="s">
        <v>158</v>
      </c>
      <c r="L2073" s="5" t="s">
        <v>58</v>
      </c>
      <c r="M2073" s="11">
        <v>0.14000000000000001</v>
      </c>
      <c r="N2073" s="5" t="e">
        <f>IF(AND(M2073&gt;#REF!,Cartera!O2073="Guaraníes"),"Rendimiento significativo",IF(AND(M2073&gt;#REF!,Cartera!O2073="Dólares americanos"),"Rendimiento significativo","Rendimiento no significativo"))</f>
        <v>#REF!</v>
      </c>
      <c r="O2073" s="5" t="s">
        <v>41</v>
      </c>
      <c r="P2073" s="12">
        <v>35000000</v>
      </c>
      <c r="Q2073" s="12">
        <f>IF(O2073="Guaraníes",P2073,P2073*#REF!)</f>
        <v>35000000</v>
      </c>
      <c r="R2073" s="12" t="e">
        <f>IF(O2073="Guaraníes",P2073/#REF!,P2073)</f>
        <v>#REF!</v>
      </c>
      <c r="S2073" s="5" t="s">
        <v>52</v>
      </c>
      <c r="AC2073" s="5" t="str">
        <f t="shared" si="100"/>
        <v>Bonos</v>
      </c>
      <c r="AD2073" s="5" t="s">
        <v>43</v>
      </c>
      <c r="AE2073" s="5">
        <f t="shared" si="101"/>
        <v>8</v>
      </c>
      <c r="AF2073" s="5">
        <f t="shared" si="102"/>
        <v>2024</v>
      </c>
    </row>
    <row r="2074" s="5" customFormat="1" ht="13">
      <c r="A2074" s="5" t="s">
        <v>44</v>
      </c>
      <c r="B2074" s="5" t="s">
        <v>44</v>
      </c>
      <c r="C2074" s="5" t="s">
        <v>156</v>
      </c>
      <c r="D2074" s="5" t="s">
        <v>21</v>
      </c>
      <c r="E2074" s="5" t="s">
        <v>44</v>
      </c>
      <c r="F2074" s="5" t="s">
        <v>68</v>
      </c>
      <c r="G2074" s="5" t="s">
        <v>141</v>
      </c>
      <c r="H2074" s="9" t="s">
        <v>392</v>
      </c>
      <c r="I2074" s="20"/>
      <c r="J2074" s="10">
        <v>45523</v>
      </c>
      <c r="K2074" s="5" t="s">
        <v>158</v>
      </c>
      <c r="L2074" s="5" t="s">
        <v>58</v>
      </c>
      <c r="M2074" s="11">
        <v>0.14000000000000001</v>
      </c>
      <c r="N2074" s="5" t="e">
        <f>IF(AND(M2074&gt;#REF!,Cartera!O2074="Guaraníes"),"Rendimiento significativo",IF(AND(M2074&gt;#REF!,Cartera!O2074="Dólares americanos"),"Rendimiento significativo","Rendimiento no significativo"))</f>
        <v>#REF!</v>
      </c>
      <c r="O2074" s="5" t="s">
        <v>41</v>
      </c>
      <c r="P2074" s="12">
        <v>1090753.4246699999</v>
      </c>
      <c r="Q2074" s="12">
        <f>IF(O2074="Guaraníes",P2074,P2074*#REF!)</f>
        <v>1090753.4246699999</v>
      </c>
      <c r="R2074" s="12" t="e">
        <f>IF(O2074="Guaraníes",P2074/#REF!,P2074)</f>
        <v>#REF!</v>
      </c>
      <c r="S2074" s="5" t="s">
        <v>52</v>
      </c>
      <c r="T2074" s="5">
        <v>9243</v>
      </c>
      <c r="U2074" s="5">
        <v>35000000</v>
      </c>
      <c r="V2074" s="5">
        <v>15417465.753190003</v>
      </c>
      <c r="W2074" s="5" t="s">
        <v>65</v>
      </c>
      <c r="X2074" s="5">
        <v>100</v>
      </c>
      <c r="Y2074" s="5">
        <v>1000000</v>
      </c>
      <c r="Z2074" s="5">
        <v>1031164.383562</v>
      </c>
      <c r="AA2074" s="5">
        <v>35</v>
      </c>
      <c r="AB2074" s="5">
        <v>36090753.424670003</v>
      </c>
      <c r="AC2074" s="5" t="str">
        <f t="shared" si="100"/>
        <v>Bonos</v>
      </c>
      <c r="AD2074" s="5" t="s">
        <v>43</v>
      </c>
      <c r="AE2074" s="5">
        <f t="shared" si="101"/>
        <v>8</v>
      </c>
      <c r="AF2074" s="5">
        <f t="shared" si="102"/>
        <v>2024</v>
      </c>
    </row>
    <row r="2075" s="5" customFormat="1" ht="13">
      <c r="A2075" s="5" t="s">
        <v>44</v>
      </c>
      <c r="B2075" s="5" t="s">
        <v>44</v>
      </c>
      <c r="C2075" s="5" t="s">
        <v>176</v>
      </c>
      <c r="D2075" s="5" t="s">
        <v>21</v>
      </c>
      <c r="E2075" s="5" t="s">
        <v>44</v>
      </c>
      <c r="F2075" s="5" t="s">
        <v>68</v>
      </c>
      <c r="G2075" s="5" t="s">
        <v>91</v>
      </c>
      <c r="H2075" s="9" t="s">
        <v>177</v>
      </c>
      <c r="I2075" s="20"/>
      <c r="J2075" s="10">
        <v>45525</v>
      </c>
      <c r="K2075" s="5" t="s">
        <v>178</v>
      </c>
      <c r="L2075" s="5" t="s">
        <v>58</v>
      </c>
      <c r="M2075" s="11">
        <v>0.085000000000000006</v>
      </c>
      <c r="N2075" s="5" t="e">
        <f>IF(AND(M2075&gt;#REF!,Cartera!O2075="Guaraníes"),"Rendimiento significativo",IF(AND(M2075&gt;#REF!,Cartera!O2075="Dólares americanos"),"Rendimiento significativo","Rendimiento no significativo"))</f>
        <v>#REF!</v>
      </c>
      <c r="O2075" s="5" t="s">
        <v>51</v>
      </c>
      <c r="P2075" s="13">
        <v>560.95890000000009</v>
      </c>
      <c r="Q2075" s="12" t="e">
        <f>IF(O2075="Guaraníes",P2075,P2075*#REF!)</f>
        <v>#REF!</v>
      </c>
      <c r="R2075" s="12">
        <f>IF(O2075="Guaraníes",P2075/#REF!,P2075)</f>
        <v>560.95890000000009</v>
      </c>
      <c r="S2075" s="5" t="s">
        <v>52</v>
      </c>
      <c r="T2075" s="5">
        <v>3253</v>
      </c>
      <c r="W2075" s="5" t="s">
        <v>65</v>
      </c>
      <c r="X2075" s="5">
        <v>0</v>
      </c>
      <c r="Y2075" s="5">
        <v>0</v>
      </c>
      <c r="Z2075" s="5">
        <v>18.698630000000001</v>
      </c>
      <c r="AA2075" s="5">
        <v>30</v>
      </c>
      <c r="AB2075" s="5">
        <v>560.95889999999997</v>
      </c>
      <c r="AC2075" s="5" t="str">
        <f t="shared" si="100"/>
        <v>Bonos</v>
      </c>
      <c r="AD2075" s="5" t="s">
        <v>43</v>
      </c>
      <c r="AE2075" s="5">
        <f t="shared" si="101"/>
        <v>8</v>
      </c>
      <c r="AF2075" s="5">
        <f t="shared" si="102"/>
        <v>2024</v>
      </c>
    </row>
    <row r="2076" s="5" customFormat="1" ht="13">
      <c r="A2076" s="5">
        <v>12316</v>
      </c>
      <c r="B2076" s="5" t="s">
        <v>78</v>
      </c>
      <c r="C2076" s="5" t="s">
        <v>183</v>
      </c>
      <c r="D2076" s="5" t="s">
        <v>21</v>
      </c>
      <c r="E2076" s="5" t="s">
        <v>34</v>
      </c>
      <c r="F2076" s="5" t="s">
        <v>184</v>
      </c>
      <c r="H2076" s="9">
        <v>6390</v>
      </c>
      <c r="I2076" s="10"/>
      <c r="J2076" s="10">
        <v>46153</v>
      </c>
      <c r="K2076" s="5" t="s">
        <v>124</v>
      </c>
      <c r="L2076" s="5" t="s">
        <v>82</v>
      </c>
      <c r="M2076" s="11">
        <v>0.079000000000000001</v>
      </c>
      <c r="N2076" s="5" t="e">
        <f>IF(AND(M2076&gt;#REF!,Cartera!O2076="Guaraníes"),"Rendimiento significativo",IF(AND(M2076&gt;#REF!,Cartera!O2076="Dólares americanos"),"Rendimiento significativo","Rendimiento no significativo"))</f>
        <v>#REF!</v>
      </c>
      <c r="O2076" s="5" t="s">
        <v>41</v>
      </c>
      <c r="P2076" s="12">
        <v>9848020</v>
      </c>
      <c r="Q2076" s="12">
        <f>IF(O2076="Guaraníes",P2076,P2076*#REF!)</f>
        <v>9848020</v>
      </c>
      <c r="R2076" s="12" t="e">
        <f>IF(O2076="Guaraníes",P2076/#REF!,P2076)</f>
        <v>#REF!</v>
      </c>
      <c r="S2076" s="5" t="s">
        <v>42</v>
      </c>
      <c r="V2076" s="5">
        <v>9848020</v>
      </c>
      <c r="W2076" s="5" t="s">
        <v>387</v>
      </c>
      <c r="AC2076" s="5" t="str">
        <f t="shared" si="100"/>
        <v>CDA</v>
      </c>
      <c r="AD2076" s="5" t="s">
        <v>43</v>
      </c>
      <c r="AE2076" s="5">
        <f t="shared" si="101"/>
        <v>5</v>
      </c>
      <c r="AF2076" s="5">
        <f t="shared" si="102"/>
        <v>2026</v>
      </c>
    </row>
    <row r="2077" s="5" customFormat="1" ht="13">
      <c r="A2077" s="5" t="s">
        <v>44</v>
      </c>
      <c r="B2077" s="5" t="s">
        <v>44</v>
      </c>
      <c r="C2077" s="5" t="s">
        <v>67</v>
      </c>
      <c r="D2077" s="5" t="s">
        <v>20</v>
      </c>
      <c r="E2077" s="5" t="s">
        <v>44</v>
      </c>
      <c r="F2077" s="5" t="s">
        <v>68</v>
      </c>
      <c r="G2077" s="5" t="s">
        <v>69</v>
      </c>
      <c r="H2077" s="9" t="s">
        <v>70</v>
      </c>
      <c r="I2077" s="10"/>
      <c r="J2077" s="10">
        <v>45580</v>
      </c>
      <c r="K2077" s="5" t="s">
        <v>71</v>
      </c>
      <c r="L2077" s="5" t="s">
        <v>58</v>
      </c>
      <c r="M2077" s="11">
        <v>0.067500000000000004</v>
      </c>
      <c r="N2077" s="5" t="e">
        <f>IF(AND(M2077&gt;#REF!,Cartera!O2077="Guaraníes"),"Rendimiento significativo",IF(AND(M2077&gt;#REF!,Cartera!O2077="Dólares americanos"),"Rendimiento significativo","Rendimiento no significativo"))</f>
        <v>#REF!</v>
      </c>
      <c r="O2077" s="5" t="s">
        <v>51</v>
      </c>
      <c r="P2077" s="13">
        <v>5333.3299999999999</v>
      </c>
      <c r="Q2077" s="12" t="e">
        <f>IF(O2077="Guaraníes",P2077,P2077*#REF!)</f>
        <v>#REF!</v>
      </c>
      <c r="R2077" s="12">
        <f>IF(O2077="Guaraníes",P2077/#REF!,P2077)</f>
        <v>5333.3299999999999</v>
      </c>
      <c r="S2077" s="5" t="s">
        <v>52</v>
      </c>
      <c r="T2077" s="5">
        <v>593</v>
      </c>
      <c r="AC2077" s="5" t="str">
        <f t="shared" si="100"/>
        <v>Bonos</v>
      </c>
      <c r="AD2077" s="5" t="s">
        <v>43</v>
      </c>
      <c r="AE2077" s="5">
        <f t="shared" si="101"/>
        <v>10</v>
      </c>
      <c r="AF2077" s="5">
        <f t="shared" si="102"/>
        <v>2024</v>
      </c>
    </row>
    <row r="2078" s="5" customFormat="1" ht="13">
      <c r="A2078" s="5" t="s">
        <v>44</v>
      </c>
      <c r="B2078" s="5" t="s">
        <v>44</v>
      </c>
      <c r="C2078" s="5" t="s">
        <v>54</v>
      </c>
      <c r="D2078" s="5" t="s">
        <v>21</v>
      </c>
      <c r="E2078" s="5" t="s">
        <v>44</v>
      </c>
      <c r="F2078" s="5" t="s">
        <v>46</v>
      </c>
      <c r="G2078" s="5" t="s">
        <v>86</v>
      </c>
      <c r="H2078" s="9" t="s">
        <v>147</v>
      </c>
      <c r="I2078" s="10"/>
      <c r="J2078" s="10">
        <v>45558</v>
      </c>
      <c r="K2078" s="5" t="s">
        <v>57</v>
      </c>
      <c r="L2078" s="5" t="s">
        <v>58</v>
      </c>
      <c r="M2078" s="11">
        <v>0.12</v>
      </c>
      <c r="N2078" s="5" t="e">
        <f>IF(AND(M2078&gt;#REF!,Cartera!O2078="Guaraníes"),"Rendimiento significativo",IF(AND(M2078&gt;#REF!,Cartera!O2078="Dólares americanos"),"Rendimiento significativo","Rendimiento no significativo"))</f>
        <v>#REF!</v>
      </c>
      <c r="O2078" s="5" t="s">
        <v>41</v>
      </c>
      <c r="P2078" s="12">
        <v>2991780.8218999999</v>
      </c>
      <c r="Q2078" s="12">
        <f>IF(O2078="Guaraníes",P2078,P2078*#REF!)</f>
        <v>2991780.8218999999</v>
      </c>
      <c r="R2078" s="12" t="e">
        <f>IF(O2078="Guaraníes",P2078/#REF!,P2078)</f>
        <v>#REF!</v>
      </c>
      <c r="S2078" s="5" t="s">
        <v>52</v>
      </c>
      <c r="T2078" s="5">
        <v>10834</v>
      </c>
      <c r="W2078" s="5" t="s">
        <v>65</v>
      </c>
      <c r="X2078" s="5">
        <v>0</v>
      </c>
      <c r="Y2078" s="5">
        <v>0</v>
      </c>
      <c r="Z2078" s="5">
        <v>29917.808218999999</v>
      </c>
      <c r="AA2078" s="5">
        <v>100</v>
      </c>
      <c r="AB2078" s="5">
        <v>2991780.8218999999</v>
      </c>
      <c r="AC2078" s="5" t="str">
        <f t="shared" si="100"/>
        <v>Bonos</v>
      </c>
      <c r="AD2078" s="5" t="s">
        <v>43</v>
      </c>
      <c r="AE2078" s="5">
        <f t="shared" si="101"/>
        <v>9</v>
      </c>
      <c r="AF2078" s="5">
        <f t="shared" si="102"/>
        <v>2024</v>
      </c>
    </row>
    <row r="2079" s="5" customFormat="1" ht="13">
      <c r="A2079" s="5" t="s">
        <v>44</v>
      </c>
      <c r="B2079" s="5" t="s">
        <v>44</v>
      </c>
      <c r="C2079" s="5" t="s">
        <v>60</v>
      </c>
      <c r="D2079" s="5" t="s">
        <v>21</v>
      </c>
      <c r="E2079" s="5" t="s">
        <v>44</v>
      </c>
      <c r="F2079" s="5" t="s">
        <v>61</v>
      </c>
      <c r="H2079" s="9">
        <v>1044</v>
      </c>
      <c r="I2079" s="10"/>
      <c r="J2079" s="10">
        <v>45586</v>
      </c>
      <c r="K2079" s="5" t="s">
        <v>64</v>
      </c>
      <c r="L2079" s="5" t="s">
        <v>82</v>
      </c>
      <c r="M2079" s="11">
        <v>0.065000000000000002</v>
      </c>
      <c r="N2079" s="5" t="e">
        <f>IF(AND(M2079&gt;#REF!,Cartera!O2079="Guaraníes"),"Rendimiento significativo",IF(AND(M2079&gt;#REF!,Cartera!O2079="Dólares americanos"),"Rendimiento significativo","Rendimiento no significativo"))</f>
        <v>#REF!</v>
      </c>
      <c r="O2079" s="5" t="s">
        <v>41</v>
      </c>
      <c r="P2079" s="12">
        <v>3144217</v>
      </c>
      <c r="Q2079" s="12">
        <f>IF(O2079="Guaraníes",P2079,P2079*#REF!)</f>
        <v>3144217</v>
      </c>
      <c r="R2079" s="12" t="e">
        <f>IF(O2079="Guaraníes",P2079/#REF!,P2079)</f>
        <v>#REF!</v>
      </c>
      <c r="S2079" s="5" t="s">
        <v>52</v>
      </c>
      <c r="V2079" s="5">
        <v>3144217</v>
      </c>
      <c r="W2079" s="5" t="s">
        <v>275</v>
      </c>
      <c r="AC2079" s="5" t="str">
        <f t="shared" si="100"/>
        <v>CDA</v>
      </c>
      <c r="AD2079" s="5" t="s">
        <v>43</v>
      </c>
      <c r="AE2079" s="5">
        <f t="shared" si="101"/>
        <v>10</v>
      </c>
      <c r="AF2079" s="5">
        <f t="shared" si="102"/>
        <v>2024</v>
      </c>
    </row>
    <row r="2080" s="5" customFormat="1" ht="13">
      <c r="A2080" s="5" t="s">
        <v>44</v>
      </c>
      <c r="B2080" s="5" t="s">
        <v>44</v>
      </c>
      <c r="C2080" s="5" t="s">
        <v>60</v>
      </c>
      <c r="D2080" s="5" t="s">
        <v>20</v>
      </c>
      <c r="E2080" s="5" t="s">
        <v>44</v>
      </c>
      <c r="F2080" s="5" t="s">
        <v>61</v>
      </c>
      <c r="H2080" s="9">
        <v>1044</v>
      </c>
      <c r="I2080" s="10">
        <v>44491</v>
      </c>
      <c r="J2080" s="10">
        <v>45586</v>
      </c>
      <c r="K2080" s="5" t="s">
        <v>64</v>
      </c>
      <c r="L2080" s="5" t="s">
        <v>82</v>
      </c>
      <c r="M2080" s="11">
        <v>0.065000000000000002</v>
      </c>
      <c r="N2080" s="5" t="e">
        <f>IF(AND(M2080&gt;#REF!,Cartera!O2080="Guaraníes"),"Rendimiento significativo",IF(AND(M2080&gt;#REF!,Cartera!O2080="Dólares americanos"),"Rendimiento significativo","Rendimiento no significativo"))</f>
        <v>#REF!</v>
      </c>
      <c r="O2080" s="5" t="s">
        <v>41</v>
      </c>
      <c r="P2080" s="12">
        <v>187829451</v>
      </c>
      <c r="Q2080" s="12">
        <f>IF(O2080="Guaraníes",P2080,P2080*#REF!)</f>
        <v>187829451</v>
      </c>
      <c r="R2080" s="12" t="e">
        <f>IF(O2080="Guaraníes",P2080/#REF!,P2080)</f>
        <v>#REF!</v>
      </c>
      <c r="S2080" s="5" t="s">
        <v>52</v>
      </c>
      <c r="AC2080" s="5" t="str">
        <f t="shared" si="100"/>
        <v>CDA</v>
      </c>
      <c r="AD2080" s="5" t="s">
        <v>43</v>
      </c>
      <c r="AE2080" s="5">
        <f t="shared" si="101"/>
        <v>10</v>
      </c>
      <c r="AF2080" s="5">
        <f t="shared" si="102"/>
        <v>2024</v>
      </c>
    </row>
    <row r="2081" s="5" customFormat="1" ht="13">
      <c r="A2081" s="5" t="s">
        <v>44</v>
      </c>
      <c r="B2081" s="5" t="s">
        <v>44</v>
      </c>
      <c r="C2081" s="5" t="s">
        <v>389</v>
      </c>
      <c r="D2081" s="5" t="s">
        <v>21</v>
      </c>
      <c r="E2081" s="5" t="s">
        <v>44</v>
      </c>
      <c r="F2081" s="5" t="s">
        <v>68</v>
      </c>
      <c r="G2081" s="5" t="s">
        <v>141</v>
      </c>
      <c r="H2081" s="5" t="s">
        <v>390</v>
      </c>
      <c r="J2081" s="5">
        <v>45623</v>
      </c>
      <c r="K2081" s="5" t="s">
        <v>391</v>
      </c>
      <c r="L2081" s="5" t="s">
        <v>58</v>
      </c>
      <c r="M2081" s="5">
        <v>0.1125</v>
      </c>
      <c r="N2081" s="5" t="e">
        <f>IF(AND(M2081&gt;#REF!,Cartera!O2081="Guaraníes"),"Rendimiento significativo",IF(AND(M2081&gt;#REF!,Cartera!O2081="Dólares americanos"),"Rendimiento significativo","Rendimiento no significativo"))</f>
        <v>#REF!</v>
      </c>
      <c r="O2081" s="5" t="s">
        <v>41</v>
      </c>
      <c r="P2081" s="12">
        <v>841438.35615000001</v>
      </c>
      <c r="Q2081" s="12">
        <f>IF(O2081="Guaraníes",P2081,P2081*#REF!)</f>
        <v>841438.35615000001</v>
      </c>
      <c r="R2081" s="5" t="e">
        <f>IF(O2081="Guaraníes",P2081/#REF!,P2081)</f>
        <v>#REF!</v>
      </c>
      <c r="S2081" s="5" t="s">
        <v>52</v>
      </c>
      <c r="T2081" s="5">
        <v>9243</v>
      </c>
      <c r="W2081" s="5" t="s">
        <v>65</v>
      </c>
      <c r="X2081" s="5">
        <v>0</v>
      </c>
      <c r="Y2081" s="5">
        <v>0</v>
      </c>
      <c r="Z2081" s="5">
        <v>28047.945205</v>
      </c>
      <c r="AA2081" s="5">
        <v>30</v>
      </c>
      <c r="AB2081" s="5">
        <v>841438.35615000001</v>
      </c>
      <c r="AC2081" s="5" t="str">
        <f t="shared" si="100"/>
        <v>Bonos</v>
      </c>
      <c r="AD2081" s="5" t="s">
        <v>43</v>
      </c>
      <c r="AE2081" s="5">
        <f t="shared" si="101"/>
        <v>11</v>
      </c>
      <c r="AF2081" s="5">
        <f t="shared" si="102"/>
        <v>2024</v>
      </c>
    </row>
    <row r="2082" s="5" customFormat="1" ht="13">
      <c r="A2082" s="5" t="s">
        <v>44</v>
      </c>
      <c r="B2082" s="5" t="s">
        <v>44</v>
      </c>
      <c r="C2082" s="5" t="s">
        <v>45</v>
      </c>
      <c r="D2082" s="5" t="s">
        <v>21</v>
      </c>
      <c r="E2082" s="5" t="s">
        <v>44</v>
      </c>
      <c r="F2082" s="5" t="s">
        <v>46</v>
      </c>
      <c r="G2082" s="5" t="s">
        <v>55</v>
      </c>
      <c r="H2082" s="9" t="s">
        <v>108</v>
      </c>
      <c r="I2082" s="10">
        <v>44704</v>
      </c>
      <c r="J2082" s="10">
        <v>45614</v>
      </c>
      <c r="K2082" s="5" t="s">
        <v>49</v>
      </c>
      <c r="L2082" s="5" t="s">
        <v>58</v>
      </c>
      <c r="M2082" s="11">
        <v>0.059999999999999998</v>
      </c>
      <c r="N2082" s="5" t="e">
        <f>IF(AND(M2082&gt;#REF!,Cartera!O2082="Guaraníes"),"Rendimiento significativo",IF(AND(M2082&gt;#REF!,Cartera!O2082="Dólares americanos"),"Rendimiento significativo","Rendimiento no significativo"))</f>
        <v>#REF!</v>
      </c>
      <c r="O2082" s="5" t="s">
        <v>51</v>
      </c>
      <c r="P2082" s="13">
        <v>373.9726</v>
      </c>
      <c r="Q2082" s="12" t="e">
        <f>IF(O2082="Guaraníes",P2082,P2082*#REF!)</f>
        <v>#REF!</v>
      </c>
      <c r="R2082" s="12">
        <f>IF(O2082="Guaraníes",P2082/#REF!,P2082)</f>
        <v>373.9726</v>
      </c>
      <c r="S2082" s="5" t="s">
        <v>52</v>
      </c>
      <c r="V2082" s="5">
        <v>14.958904</v>
      </c>
      <c r="AA2082" s="5">
        <v>25</v>
      </c>
      <c r="AC2082" s="5" t="str">
        <f t="shared" si="100"/>
        <v>Bonos</v>
      </c>
      <c r="AD2082" s="5" t="s">
        <v>43</v>
      </c>
      <c r="AE2082" s="5">
        <f t="shared" si="101"/>
        <v>11</v>
      </c>
      <c r="AF2082" s="5">
        <f t="shared" si="102"/>
        <v>2024</v>
      </c>
    </row>
    <row r="2083" s="5" customFormat="1" ht="13">
      <c r="A2083" s="5" t="s">
        <v>44</v>
      </c>
      <c r="B2083" s="5" t="s">
        <v>44</v>
      </c>
      <c r="C2083" s="5" t="s">
        <v>122</v>
      </c>
      <c r="D2083" s="5" t="s">
        <v>21</v>
      </c>
      <c r="E2083" s="5" t="s">
        <v>44</v>
      </c>
      <c r="F2083" s="5" t="s">
        <v>61</v>
      </c>
      <c r="G2083" s="5" t="s">
        <v>62</v>
      </c>
      <c r="H2083" s="9" t="s">
        <v>128</v>
      </c>
      <c r="I2083" s="10"/>
      <c r="J2083" s="10">
        <v>45649</v>
      </c>
      <c r="K2083" s="5" t="s">
        <v>124</v>
      </c>
      <c r="L2083" s="5" t="s">
        <v>50</v>
      </c>
      <c r="M2083" s="11">
        <v>0.14499999999999999</v>
      </c>
      <c r="N2083" s="5" t="e">
        <f>IF(AND(M2083&gt;#REF!,Cartera!O2083="Guaraníes"),"Rendimiento significativo",IF(AND(M2083&gt;#REF!,Cartera!O2083="Dólares americanos"),"Rendimiento significativo","Rendimiento no significativo"))</f>
        <v>#REF!</v>
      </c>
      <c r="O2083" s="5" t="s">
        <v>41</v>
      </c>
      <c r="P2083" s="12">
        <v>7230136.9863</v>
      </c>
      <c r="Q2083" s="12">
        <f>IF(O2083="Guaraníes",P2083,P2083*#REF!)</f>
        <v>7230136.9863</v>
      </c>
      <c r="R2083" s="12" t="e">
        <f>IF(O2083="Guaraníes",P2083/#REF!,P2083)</f>
        <v>#REF!</v>
      </c>
      <c r="S2083" s="5" t="s">
        <v>52</v>
      </c>
      <c r="T2083" s="5">
        <v>8</v>
      </c>
      <c r="W2083" s="5" t="s">
        <v>65</v>
      </c>
      <c r="X2083" s="5">
        <v>0</v>
      </c>
      <c r="Y2083" s="5">
        <v>0</v>
      </c>
      <c r="Z2083" s="5">
        <v>72301.369863</v>
      </c>
      <c r="AA2083" s="5">
        <v>100</v>
      </c>
      <c r="AB2083" s="5">
        <v>7230136.9863</v>
      </c>
      <c r="AC2083" s="5" t="str">
        <f t="shared" si="100"/>
        <v>Bonos</v>
      </c>
      <c r="AD2083" s="5" t="s">
        <v>43</v>
      </c>
      <c r="AE2083" s="5">
        <f t="shared" si="101"/>
        <v>12</v>
      </c>
      <c r="AF2083" s="5">
        <f t="shared" si="102"/>
        <v>2024</v>
      </c>
    </row>
    <row r="2084" s="5" customFormat="1" ht="13">
      <c r="A2084" s="5" t="s">
        <v>44</v>
      </c>
      <c r="B2084" s="5" t="s">
        <v>44</v>
      </c>
      <c r="C2084" s="5" t="s">
        <v>54</v>
      </c>
      <c r="D2084" s="5" t="s">
        <v>21</v>
      </c>
      <c r="E2084" s="5" t="s">
        <v>44</v>
      </c>
      <c r="F2084" s="5" t="s">
        <v>46</v>
      </c>
      <c r="G2084" s="5" t="s">
        <v>86</v>
      </c>
      <c r="H2084" s="9" t="s">
        <v>147</v>
      </c>
      <c r="I2084" s="10"/>
      <c r="J2084" s="10">
        <v>45649</v>
      </c>
      <c r="K2084" s="5" t="s">
        <v>57</v>
      </c>
      <c r="L2084" s="5" t="s">
        <v>58</v>
      </c>
      <c r="M2084" s="11">
        <v>0.12</v>
      </c>
      <c r="N2084" s="5" t="e">
        <f>IF(AND(M2084&gt;#REF!,Cartera!O2084="Guaraníes"),"Rendimiento significativo",IF(AND(M2084&gt;#REF!,Cartera!O2084="Dólares americanos"),"Rendimiento significativo","Rendimiento no significativo"))</f>
        <v>#REF!</v>
      </c>
      <c r="O2084" s="5" t="s">
        <v>41</v>
      </c>
      <c r="P2084" s="12">
        <v>2991780.8218999999</v>
      </c>
      <c r="Q2084" s="12">
        <f>IF(O2084="Guaraníes",P2084,P2084*#REF!)</f>
        <v>2991780.8218999999</v>
      </c>
      <c r="R2084" s="12" t="e">
        <f>IF(O2084="Guaraníes",P2084/#REF!,P2084)</f>
        <v>#REF!</v>
      </c>
      <c r="S2084" s="5" t="s">
        <v>52</v>
      </c>
      <c r="T2084" s="5">
        <v>10834</v>
      </c>
      <c r="W2084" s="5" t="s">
        <v>65</v>
      </c>
      <c r="X2084" s="5">
        <v>0</v>
      </c>
      <c r="Y2084" s="5">
        <v>0</v>
      </c>
      <c r="Z2084" s="5">
        <v>29917.808218999999</v>
      </c>
      <c r="AA2084" s="5">
        <v>100</v>
      </c>
      <c r="AB2084" s="5">
        <v>2991780.8218999999</v>
      </c>
      <c r="AC2084" s="5" t="str">
        <f t="shared" si="100"/>
        <v>Bonos</v>
      </c>
      <c r="AD2084" s="5" t="s">
        <v>43</v>
      </c>
      <c r="AE2084" s="5">
        <f t="shared" si="101"/>
        <v>12</v>
      </c>
      <c r="AF2084" s="5">
        <f t="shared" si="102"/>
        <v>2024</v>
      </c>
    </row>
    <row r="2085" s="5" customFormat="1" ht="13">
      <c r="A2085" s="5" t="s">
        <v>44</v>
      </c>
      <c r="B2085" s="5" t="s">
        <v>44</v>
      </c>
      <c r="C2085" s="5" t="s">
        <v>54</v>
      </c>
      <c r="D2085" s="5" t="s">
        <v>21</v>
      </c>
      <c r="E2085" s="5" t="s">
        <v>44</v>
      </c>
      <c r="F2085" s="5" t="s">
        <v>46</v>
      </c>
      <c r="G2085" s="5" t="s">
        <v>86</v>
      </c>
      <c r="H2085" s="9" t="s">
        <v>148</v>
      </c>
      <c r="I2085" s="10"/>
      <c r="J2085" s="10">
        <v>45649</v>
      </c>
      <c r="K2085" s="5" t="s">
        <v>57</v>
      </c>
      <c r="L2085" s="5" t="s">
        <v>58</v>
      </c>
      <c r="M2085" s="11">
        <v>0.097500000000000003</v>
      </c>
      <c r="N2085" s="5" t="e">
        <f>IF(AND(M2085&gt;#REF!,Cartera!O2085="Guaraníes"),"Rendimiento significativo",IF(AND(M2085&gt;#REF!,Cartera!O2085="Dólares americanos"),"Rendimiento significativo","Rendimiento no significativo"))</f>
        <v>#REF!</v>
      </c>
      <c r="O2085" s="5" t="s">
        <v>41</v>
      </c>
      <c r="P2085" s="12">
        <v>12154109.589</v>
      </c>
      <c r="Q2085" s="12">
        <f>IF(O2085="Guaraníes",P2085,P2085*#REF!)</f>
        <v>12154109.589</v>
      </c>
      <c r="R2085" s="12" t="e">
        <f>IF(O2085="Guaraníes",P2085/#REF!,P2085)</f>
        <v>#REF!</v>
      </c>
      <c r="S2085" s="5" t="s">
        <v>52</v>
      </c>
      <c r="T2085" s="5">
        <v>10834</v>
      </c>
      <c r="W2085" s="5" t="s">
        <v>65</v>
      </c>
      <c r="X2085" s="5">
        <v>0</v>
      </c>
      <c r="Y2085" s="5">
        <v>0</v>
      </c>
      <c r="Z2085" s="5">
        <v>24308.219177999999</v>
      </c>
      <c r="AA2085" s="5">
        <v>500</v>
      </c>
      <c r="AB2085" s="5">
        <v>12154109.589</v>
      </c>
      <c r="AC2085" s="5" t="str">
        <f t="shared" si="100"/>
        <v>Bonos</v>
      </c>
      <c r="AD2085" s="5" t="s">
        <v>43</v>
      </c>
      <c r="AE2085" s="5">
        <f t="shared" si="101"/>
        <v>12</v>
      </c>
      <c r="AF2085" s="5">
        <f t="shared" si="102"/>
        <v>2024</v>
      </c>
    </row>
    <row r="2086" s="5" customFormat="1" ht="13">
      <c r="A2086" s="5">
        <v>12316</v>
      </c>
      <c r="B2086" s="5" t="s">
        <v>78</v>
      </c>
      <c r="C2086" s="5" t="s">
        <v>183</v>
      </c>
      <c r="D2086" s="5" t="s">
        <v>21</v>
      </c>
      <c r="E2086" s="5" t="s">
        <v>34</v>
      </c>
      <c r="F2086" s="5" t="s">
        <v>184</v>
      </c>
      <c r="H2086" s="9">
        <v>6391</v>
      </c>
      <c r="I2086" s="10"/>
      <c r="J2086" s="10">
        <v>46153</v>
      </c>
      <c r="K2086" s="5" t="s">
        <v>124</v>
      </c>
      <c r="L2086" s="5" t="s">
        <v>82</v>
      </c>
      <c r="M2086" s="11">
        <v>0.079000000000000001</v>
      </c>
      <c r="N2086" s="5" t="e">
        <f>IF(AND(M2086&gt;#REF!,Cartera!O2086="Guaraníes"),"Rendimiento significativo",IF(AND(M2086&gt;#REF!,Cartera!O2086="Dólares americanos"),"Rendimiento significativo","Rendimiento no significativo"))</f>
        <v>#REF!</v>
      </c>
      <c r="O2086" s="5" t="s">
        <v>41</v>
      </c>
      <c r="P2086" s="12">
        <v>9848020</v>
      </c>
      <c r="Q2086" s="12">
        <f>IF(O2086="Guaraníes",P2086,P2086*#REF!)</f>
        <v>9848020</v>
      </c>
      <c r="R2086" s="12" t="e">
        <f>IF(O2086="Guaraníes",P2086/#REF!,P2086)</f>
        <v>#REF!</v>
      </c>
      <c r="S2086" s="5" t="s">
        <v>42</v>
      </c>
      <c r="V2086" s="5">
        <v>9848020</v>
      </c>
      <c r="W2086" s="5" t="s">
        <v>387</v>
      </c>
      <c r="AC2086" s="5" t="str">
        <f t="shared" si="100"/>
        <v>CDA</v>
      </c>
      <c r="AD2086" s="5" t="s">
        <v>43</v>
      </c>
      <c r="AE2086" s="5">
        <f t="shared" si="101"/>
        <v>5</v>
      </c>
      <c r="AF2086" s="5">
        <f t="shared" si="102"/>
        <v>2026</v>
      </c>
    </row>
    <row r="2087" s="5" customFormat="1" ht="13">
      <c r="A2087" s="5">
        <v>12316</v>
      </c>
      <c r="B2087" s="5" t="s">
        <v>78</v>
      </c>
      <c r="C2087" s="5" t="s">
        <v>183</v>
      </c>
      <c r="D2087" s="5" t="s">
        <v>21</v>
      </c>
      <c r="E2087" s="5" t="s">
        <v>34</v>
      </c>
      <c r="F2087" s="5" t="s">
        <v>184</v>
      </c>
      <c r="H2087" s="9">
        <v>6388</v>
      </c>
      <c r="I2087" s="10"/>
      <c r="J2087" s="10">
        <v>46153</v>
      </c>
      <c r="K2087" s="5" t="s">
        <v>124</v>
      </c>
      <c r="L2087" s="5" t="s">
        <v>82</v>
      </c>
      <c r="M2087" s="11">
        <v>0.079000000000000001</v>
      </c>
      <c r="N2087" s="5" t="e">
        <f>IF(AND(M2087&gt;#REF!,Cartera!O2087="Guaraníes"),"Rendimiento significativo",IF(AND(M2087&gt;#REF!,Cartera!O2087="Dólares americanos"),"Rendimiento significativo","Rendimiento no significativo"))</f>
        <v>#REF!</v>
      </c>
      <c r="O2087" s="5" t="s">
        <v>41</v>
      </c>
      <c r="P2087" s="12">
        <v>9848020</v>
      </c>
      <c r="Q2087" s="12">
        <f>IF(O2087="Guaraníes",P2087,P2087*#REF!)</f>
        <v>9848020</v>
      </c>
      <c r="R2087" s="12" t="e">
        <f>IF(O2087="Guaraníes",P2087/#REF!,P2087)</f>
        <v>#REF!</v>
      </c>
      <c r="S2087" s="5" t="s">
        <v>42</v>
      </c>
      <c r="V2087" s="5">
        <v>9902130</v>
      </c>
      <c r="W2087" s="5" t="s">
        <v>395</v>
      </c>
      <c r="AC2087" s="5" t="str">
        <f t="shared" si="100"/>
        <v>CDA</v>
      </c>
      <c r="AD2087" s="5" t="s">
        <v>43</v>
      </c>
      <c r="AE2087" s="5">
        <f t="shared" si="101"/>
        <v>5</v>
      </c>
      <c r="AF2087" s="5">
        <f t="shared" si="102"/>
        <v>2026</v>
      </c>
    </row>
    <row r="2088" s="5" customFormat="1" ht="13">
      <c r="A2088" s="5" t="s">
        <v>44</v>
      </c>
      <c r="B2088" s="5" t="s">
        <v>44</v>
      </c>
      <c r="C2088" s="5" t="s">
        <v>389</v>
      </c>
      <c r="D2088" s="5" t="s">
        <v>21</v>
      </c>
      <c r="E2088" s="5" t="s">
        <v>44</v>
      </c>
      <c r="F2088" s="5" t="s">
        <v>68</v>
      </c>
      <c r="G2088" s="5" t="s">
        <v>141</v>
      </c>
      <c r="H2088" s="9" t="s">
        <v>390</v>
      </c>
      <c r="I2088" s="10"/>
      <c r="J2088" s="10">
        <v>45714</v>
      </c>
      <c r="K2088" s="5" t="s">
        <v>391</v>
      </c>
      <c r="L2088" s="5" t="s">
        <v>58</v>
      </c>
      <c r="M2088" s="11">
        <v>0.1125</v>
      </c>
      <c r="N2088" s="5" t="e">
        <f>IF(AND(M2088&gt;#REF!,Cartera!O2088="Guaraníes"),"Rendimiento significativo",IF(AND(M2088&gt;#REF!,Cartera!O2088="Dólares americanos"),"Rendimiento significativo","Rendimiento no significativo"))</f>
        <v>#REF!</v>
      </c>
      <c r="O2088" s="5" t="s">
        <v>41</v>
      </c>
      <c r="P2088" s="12">
        <v>841438.35615000001</v>
      </c>
      <c r="Q2088" s="12">
        <f>IF(O2088="Guaraníes",P2088,P2088*#REF!)</f>
        <v>841438.35615000001</v>
      </c>
      <c r="R2088" s="12" t="e">
        <f>IF(O2088="Guaraníes",P2088/#REF!,P2088)</f>
        <v>#REF!</v>
      </c>
      <c r="S2088" s="5" t="s">
        <v>52</v>
      </c>
      <c r="T2088" s="5">
        <v>9243</v>
      </c>
      <c r="W2088" s="5" t="s">
        <v>65</v>
      </c>
      <c r="X2088" s="5">
        <v>0</v>
      </c>
      <c r="Y2088" s="5">
        <v>0</v>
      </c>
      <c r="Z2088" s="5">
        <v>28047.945205</v>
      </c>
      <c r="AA2088" s="5">
        <v>30</v>
      </c>
      <c r="AB2088" s="5">
        <v>841438.35615000001</v>
      </c>
      <c r="AC2088" s="5" t="str">
        <f t="shared" si="100"/>
        <v>Bonos</v>
      </c>
      <c r="AD2088" s="5" t="s">
        <v>43</v>
      </c>
      <c r="AE2088" s="5">
        <f t="shared" si="101"/>
        <v>2</v>
      </c>
      <c r="AF2088" s="5">
        <f t="shared" si="102"/>
        <v>2025</v>
      </c>
    </row>
    <row r="2089" s="5" customFormat="1" ht="13">
      <c r="A2089" s="5">
        <v>12315</v>
      </c>
      <c r="B2089" s="5" t="s">
        <v>73</v>
      </c>
      <c r="C2089" s="5" t="s">
        <v>60</v>
      </c>
      <c r="D2089" s="5" t="s">
        <v>21</v>
      </c>
      <c r="E2089" s="5" t="s">
        <v>34</v>
      </c>
      <c r="F2089" s="5" t="s">
        <v>61</v>
      </c>
      <c r="G2089" s="5" t="s">
        <v>62</v>
      </c>
      <c r="H2089" s="9" t="s">
        <v>63</v>
      </c>
      <c r="I2089" s="10"/>
      <c r="J2089" s="10">
        <v>46154</v>
      </c>
      <c r="K2089" s="5" t="s">
        <v>64</v>
      </c>
      <c r="L2089" s="5" t="s">
        <v>50</v>
      </c>
      <c r="M2089" s="11">
        <v>0.052499999999999998</v>
      </c>
      <c r="N2089" s="5" t="e">
        <f>IF(AND(M2089&gt;#REF!,Cartera!O2089="Guaraníes"),"Rendimiento significativo",IF(AND(M2089&gt;#REF!,Cartera!O2089="Dólares americanos"),"Rendimiento significativo","Rendimiento no significativo"))</f>
        <v>#REF!</v>
      </c>
      <c r="O2089" s="5" t="s">
        <v>51</v>
      </c>
      <c r="P2089" s="13">
        <v>781.02999999999997</v>
      </c>
      <c r="Q2089" s="12" t="e">
        <f>IF(O2089="Guaraníes",P2089,P2089*#REF!)</f>
        <v>#REF!</v>
      </c>
      <c r="R2089" s="12">
        <f>IF(O2089="Guaraníes",P2089/#REF!,P2089)</f>
        <v>781.02999999999997</v>
      </c>
      <c r="S2089" s="5" t="s">
        <v>42</v>
      </c>
      <c r="T2089" s="5">
        <v>8</v>
      </c>
      <c r="U2089" s="5">
        <v>30000</v>
      </c>
      <c r="V2089" s="5">
        <v>21854044.383579999</v>
      </c>
      <c r="W2089" s="5" t="s">
        <v>65</v>
      </c>
      <c r="X2089" s="5">
        <v>100</v>
      </c>
      <c r="Y2089" s="5">
        <v>1000</v>
      </c>
      <c r="Z2089" s="5">
        <v>1026.0342470000001</v>
      </c>
      <c r="AA2089" s="5">
        <v>30</v>
      </c>
      <c r="AB2089" s="5">
        <v>30781.027409999999</v>
      </c>
      <c r="AC2089" s="5" t="str">
        <f t="shared" si="100"/>
        <v>Bonos</v>
      </c>
      <c r="AD2089" s="5" t="s">
        <v>43</v>
      </c>
      <c r="AE2089" s="5">
        <f t="shared" si="101"/>
        <v>5</v>
      </c>
      <c r="AF2089" s="5">
        <f t="shared" si="102"/>
        <v>2026</v>
      </c>
    </row>
    <row r="2090" s="5" customFormat="1" ht="13">
      <c r="A2090" s="5">
        <v>12315</v>
      </c>
      <c r="B2090" s="5" t="s">
        <v>73</v>
      </c>
      <c r="C2090" s="5" t="s">
        <v>45</v>
      </c>
      <c r="D2090" s="5" t="s">
        <v>21</v>
      </c>
      <c r="E2090" s="5" t="s">
        <v>34</v>
      </c>
      <c r="F2090" s="5" t="s">
        <v>46</v>
      </c>
      <c r="G2090" s="5" t="s">
        <v>55</v>
      </c>
      <c r="H2090" s="9" t="s">
        <v>108</v>
      </c>
      <c r="I2090" s="10">
        <v>44704</v>
      </c>
      <c r="J2090" s="10">
        <v>46160</v>
      </c>
      <c r="K2090" s="5" t="s">
        <v>49</v>
      </c>
      <c r="L2090" s="5" t="s">
        <v>58</v>
      </c>
      <c r="M2090" s="11">
        <v>0.059999999999999998</v>
      </c>
      <c r="N2090" s="5" t="e">
        <f>IF(AND(M2090&gt;#REF!,Cartera!O2090="Guaraníes"),"Rendimiento significativo",IF(AND(M2090&gt;#REF!,Cartera!O2090="Dólares americanos"),"Rendimiento significativo","Rendimiento no significativo"))</f>
        <v>#REF!</v>
      </c>
      <c r="O2090" s="5" t="s">
        <v>51</v>
      </c>
      <c r="P2090" s="13">
        <v>373.9726</v>
      </c>
      <c r="Q2090" s="12" t="e">
        <f>IF(O2090="Guaraníes",P2090,P2090*#REF!)</f>
        <v>#REF!</v>
      </c>
      <c r="R2090" s="12">
        <f>IF(O2090="Guaraníes",P2090/#REF!,P2090)</f>
        <v>373.9726</v>
      </c>
      <c r="S2090" s="5" t="s">
        <v>42</v>
      </c>
      <c r="V2090" s="5">
        <v>14.958904</v>
      </c>
      <c r="AA2090" s="5">
        <v>25</v>
      </c>
      <c r="AC2090" s="5" t="str">
        <f t="shared" si="100"/>
        <v>Bonos</v>
      </c>
      <c r="AD2090" s="5" t="s">
        <v>43</v>
      </c>
      <c r="AE2090" s="5">
        <f t="shared" si="101"/>
        <v>5</v>
      </c>
      <c r="AF2090" s="5">
        <f t="shared" si="102"/>
        <v>2026</v>
      </c>
    </row>
    <row r="2091" s="5" customFormat="1" ht="13">
      <c r="A2091" s="5">
        <v>12315</v>
      </c>
      <c r="B2091" s="5" t="s">
        <v>73</v>
      </c>
      <c r="C2091" s="5" t="s">
        <v>45</v>
      </c>
      <c r="D2091" s="5" t="s">
        <v>21</v>
      </c>
      <c r="E2091" s="5" t="s">
        <v>34</v>
      </c>
      <c r="F2091" s="5" t="s">
        <v>46</v>
      </c>
      <c r="G2091" s="5" t="s">
        <v>86</v>
      </c>
      <c r="H2091" s="9" t="s">
        <v>108</v>
      </c>
      <c r="I2091" s="10">
        <v>44704</v>
      </c>
      <c r="J2091" s="10">
        <v>46160</v>
      </c>
      <c r="K2091" s="5" t="s">
        <v>49</v>
      </c>
      <c r="L2091" s="5" t="s">
        <v>58</v>
      </c>
      <c r="M2091" s="11">
        <v>0.059999999999999998</v>
      </c>
      <c r="N2091" s="5" t="e">
        <f>IF(AND(M2091&gt;#REF!,Cartera!O2091="Guaraníes"),"Rendimiento significativo",IF(AND(M2091&gt;#REF!,Cartera!O2091="Dólares americanos"),"Rendimiento significativo","Rendimiento no significativo"))</f>
        <v>#REF!</v>
      </c>
      <c r="O2091" s="5" t="s">
        <v>51</v>
      </c>
      <c r="P2091" s="13">
        <v>478.68492800000001</v>
      </c>
      <c r="Q2091" s="12" t="e">
        <f>IF(O2091="Guaraníes",P2091,P2091*#REF!)</f>
        <v>#REF!</v>
      </c>
      <c r="R2091" s="12">
        <f>IF(O2091="Guaraníes",P2091/#REF!,P2091)</f>
        <v>478.68492800000001</v>
      </c>
      <c r="S2091" s="5" t="s">
        <v>42</v>
      </c>
      <c r="AA2091" s="5">
        <v>32</v>
      </c>
      <c r="AC2091" s="5" t="str">
        <f t="shared" si="100"/>
        <v>Bonos</v>
      </c>
      <c r="AD2091" s="5" t="s">
        <v>43</v>
      </c>
      <c r="AE2091" s="5">
        <f t="shared" si="101"/>
        <v>5</v>
      </c>
      <c r="AF2091" s="5">
        <f t="shared" si="102"/>
        <v>2026</v>
      </c>
    </row>
    <row r="2092" s="5" customFormat="1" ht="13">
      <c r="A2092" s="5">
        <v>12316</v>
      </c>
      <c r="B2092" s="5" t="s">
        <v>78</v>
      </c>
      <c r="C2092" s="5" t="s">
        <v>94</v>
      </c>
      <c r="D2092" s="5" t="s">
        <v>21</v>
      </c>
      <c r="E2092" s="5" t="s">
        <v>34</v>
      </c>
      <c r="F2092" s="5" t="s">
        <v>68</v>
      </c>
      <c r="H2092" s="9" t="s">
        <v>182</v>
      </c>
      <c r="I2092" s="10">
        <v>45530</v>
      </c>
      <c r="J2092" s="10">
        <v>46160</v>
      </c>
      <c r="L2092" s="5" t="s">
        <v>82</v>
      </c>
      <c r="M2092" s="11">
        <v>0.082500000000000004</v>
      </c>
      <c r="N2092" s="5" t="e">
        <f>IF(AND(M2092&gt;#REF!,Cartera!O2092="Guaraníes"),"Rendimiento significativo",IF(AND(M2092&gt;#REF!,Cartera!O2092="Dólares americanos"),"Rendimiento significativo","Rendimiento no significativo"))</f>
        <v>#REF!</v>
      </c>
      <c r="O2092" s="5" t="s">
        <v>41</v>
      </c>
      <c r="P2092" s="13">
        <v>4068493</v>
      </c>
      <c r="Q2092" s="12">
        <f>IF(O2092="Guaraníes",P2092,P2092*#REF!)</f>
        <v>4068493</v>
      </c>
      <c r="R2092" s="13" t="e">
        <f>IF(O2092="Guaraníes",P2092/#REF!,P2092)</f>
        <v>#REF!</v>
      </c>
      <c r="S2092" s="5" t="s">
        <v>120</v>
      </c>
      <c r="AC2092" s="5" t="str">
        <f t="shared" si="100"/>
        <v>CDA</v>
      </c>
      <c r="AD2092" s="5" t="s">
        <v>43</v>
      </c>
      <c r="AE2092" s="5">
        <f t="shared" si="101"/>
        <v>5</v>
      </c>
      <c r="AF2092" s="5">
        <f t="shared" si="102"/>
        <v>2026</v>
      </c>
    </row>
    <row r="2093" s="5" customFormat="1" ht="13">
      <c r="A2093" s="5">
        <v>12315</v>
      </c>
      <c r="B2093" s="5" t="s">
        <v>73</v>
      </c>
      <c r="C2093" s="5" t="s">
        <v>176</v>
      </c>
      <c r="D2093" s="5" t="s">
        <v>21</v>
      </c>
      <c r="E2093" s="5" t="s">
        <v>34</v>
      </c>
      <c r="F2093" s="5" t="s">
        <v>68</v>
      </c>
      <c r="G2093" s="5" t="s">
        <v>91</v>
      </c>
      <c r="H2093" s="9" t="s">
        <v>177</v>
      </c>
      <c r="I2093" s="10"/>
      <c r="J2093" s="10">
        <v>46162</v>
      </c>
      <c r="K2093" s="5" t="s">
        <v>178</v>
      </c>
      <c r="L2093" s="5" t="s">
        <v>58</v>
      </c>
      <c r="M2093" s="11">
        <v>0.085000000000000006</v>
      </c>
      <c r="N2093" s="5" t="e">
        <f>IF(AND(M2093&gt;#REF!,Cartera!O2093="Guaraníes"),"Rendimiento significativo",IF(AND(M2093&gt;#REF!,Cartera!O2093="Dólares americanos"),"Rendimiento significativo","Rendimiento no significativo"))</f>
        <v>#REF!</v>
      </c>
      <c r="O2093" s="5" t="s">
        <v>51</v>
      </c>
      <c r="P2093" s="13">
        <v>560.95890000000009</v>
      </c>
      <c r="Q2093" s="12" t="e">
        <f>IF(O2093="Guaraníes",P2093,P2093*#REF!)</f>
        <v>#REF!</v>
      </c>
      <c r="R2093" s="12">
        <f>IF(O2093="Guaraníes",P2093/#REF!,P2093)</f>
        <v>560.95890000000009</v>
      </c>
      <c r="S2093" s="5" t="s">
        <v>42</v>
      </c>
      <c r="T2093" s="5">
        <v>3253</v>
      </c>
      <c r="W2093" s="5" t="s">
        <v>65</v>
      </c>
      <c r="X2093" s="5">
        <v>0</v>
      </c>
      <c r="Y2093" s="5">
        <v>0</v>
      </c>
      <c r="Z2093" s="5">
        <v>18.698630000000001</v>
      </c>
      <c r="AA2093" s="5">
        <v>30</v>
      </c>
      <c r="AB2093" s="5">
        <v>560.95889999999997</v>
      </c>
      <c r="AC2093" s="5" t="str">
        <f t="shared" si="100"/>
        <v>Bonos</v>
      </c>
      <c r="AD2093" s="5" t="s">
        <v>43</v>
      </c>
      <c r="AE2093" s="5">
        <f t="shared" si="101"/>
        <v>5</v>
      </c>
      <c r="AF2093" s="5">
        <f t="shared" si="102"/>
        <v>2026</v>
      </c>
    </row>
    <row r="2094" s="5" customFormat="1" ht="13">
      <c r="A2094" s="5">
        <v>12315</v>
      </c>
      <c r="B2094" s="5" t="s">
        <v>73</v>
      </c>
      <c r="C2094" s="5" t="s">
        <v>60</v>
      </c>
      <c r="D2094" s="5" t="s">
        <v>21</v>
      </c>
      <c r="E2094" s="5" t="s">
        <v>34</v>
      </c>
      <c r="F2094" s="5" t="s">
        <v>68</v>
      </c>
      <c r="H2094" s="9"/>
      <c r="I2094" s="10">
        <v>45527</v>
      </c>
      <c r="J2094" s="10">
        <v>46164</v>
      </c>
      <c r="L2094" s="5" t="s">
        <v>82</v>
      </c>
      <c r="M2094" s="11">
        <v>0.057500000000000002</v>
      </c>
      <c r="N2094" s="5" t="e">
        <f>IF(AND(M2094&gt;#REF!,Cartera!O2094="Guaraníes"),"Rendimiento significativo",IF(AND(M2094&gt;#REF!,Cartera!O2094="Dólares americanos"),"Rendimiento significativo","Rendimiento no significativo"))</f>
        <v>#REF!</v>
      </c>
      <c r="O2094" s="5" t="s">
        <v>51</v>
      </c>
      <c r="P2094" s="13">
        <v>286.70999999999998</v>
      </c>
      <c r="Q2094" s="12" t="e">
        <f>IF(O2094="Guaraníes",P2094,P2094*#REF!)</f>
        <v>#REF!</v>
      </c>
      <c r="R2094" s="13">
        <f>IF(O2094="Guaraníes",P2094/#REF!,P2094)</f>
        <v>286.70999999999998</v>
      </c>
      <c r="S2094" s="5" t="s">
        <v>120</v>
      </c>
      <c r="AC2094" s="5" t="str">
        <f t="shared" si="100"/>
        <v>CDA</v>
      </c>
      <c r="AD2094" s="5" t="s">
        <v>43</v>
      </c>
      <c r="AE2094" s="5">
        <f t="shared" si="101"/>
        <v>5</v>
      </c>
      <c r="AF2094" s="5">
        <f t="shared" si="102"/>
        <v>2026</v>
      </c>
    </row>
    <row r="2095" s="5" customFormat="1" ht="13">
      <c r="A2095" s="5">
        <v>12316</v>
      </c>
      <c r="B2095" s="5" t="s">
        <v>78</v>
      </c>
      <c r="C2095" s="5" t="s">
        <v>164</v>
      </c>
      <c r="D2095" s="5" t="s">
        <v>21</v>
      </c>
      <c r="E2095" s="5" t="s">
        <v>34</v>
      </c>
      <c r="F2095" s="5" t="s">
        <v>68</v>
      </c>
      <c r="G2095" s="5" t="s">
        <v>145</v>
      </c>
      <c r="H2095" s="9" t="s">
        <v>165</v>
      </c>
      <c r="I2095" s="10"/>
      <c r="J2095" s="10">
        <v>46171</v>
      </c>
      <c r="K2095" s="5" t="s">
        <v>124</v>
      </c>
      <c r="L2095" s="5" t="s">
        <v>58</v>
      </c>
      <c r="M2095" s="11">
        <v>0.10000000000000001</v>
      </c>
      <c r="N2095" s="5" t="e">
        <f>IF(AND(M2095&gt;#REF!,Cartera!O2095="Guaraníes"),"Rendimiento significativo",IF(AND(M2095&gt;#REF!,Cartera!O2095="Dólares americanos"),"Rendimiento significativo","Rendimiento no significativo"))</f>
        <v>#REF!</v>
      </c>
      <c r="O2095" s="5" t="s">
        <v>41</v>
      </c>
      <c r="P2095" s="12">
        <v>3178082.1916</v>
      </c>
      <c r="Q2095" s="12">
        <f>IF(O2095="Guaraníes",P2095,P2095*#REF!)</f>
        <v>3178082.1916</v>
      </c>
      <c r="R2095" s="12" t="e">
        <f>IF(O2095="Guaraníes",P2095/#REF!,P2095)</f>
        <v>#REF!</v>
      </c>
      <c r="S2095" s="5" t="s">
        <v>42</v>
      </c>
      <c r="T2095" s="5">
        <v>1057</v>
      </c>
      <c r="W2095" s="5" t="s">
        <v>65</v>
      </c>
      <c r="X2095" s="5">
        <v>0</v>
      </c>
      <c r="Y2095" s="5">
        <v>0</v>
      </c>
      <c r="Z2095" s="5">
        <v>7945.2054790000002</v>
      </c>
      <c r="AA2095" s="5">
        <v>400</v>
      </c>
      <c r="AB2095" s="5">
        <v>3178082.1916</v>
      </c>
      <c r="AC2095" s="5" t="str">
        <f t="shared" si="100"/>
        <v>Bonos</v>
      </c>
      <c r="AD2095" s="5" t="s">
        <v>43</v>
      </c>
      <c r="AE2095" s="5">
        <f t="shared" si="101"/>
        <v>5</v>
      </c>
      <c r="AF2095" s="5">
        <f t="shared" si="102"/>
        <v>2026</v>
      </c>
    </row>
    <row r="2096" s="5" customFormat="1" ht="13">
      <c r="A2096" s="5" t="s">
        <v>44</v>
      </c>
      <c r="B2096" s="5" t="s">
        <v>44</v>
      </c>
      <c r="C2096" s="5" t="s">
        <v>389</v>
      </c>
      <c r="D2096" s="5" t="s">
        <v>21</v>
      </c>
      <c r="E2096" s="5" t="s">
        <v>44</v>
      </c>
      <c r="F2096" s="5" t="s">
        <v>68</v>
      </c>
      <c r="G2096" s="5" t="s">
        <v>141</v>
      </c>
      <c r="H2096" s="9" t="s">
        <v>390</v>
      </c>
      <c r="I2096" s="10"/>
      <c r="J2096" s="10">
        <v>45805</v>
      </c>
      <c r="K2096" s="5" t="s">
        <v>391</v>
      </c>
      <c r="L2096" s="5" t="s">
        <v>58</v>
      </c>
      <c r="M2096" s="11">
        <v>0.1125</v>
      </c>
      <c r="N2096" s="5" t="e">
        <f>IF(AND(M2096&gt;#REF!,Cartera!O2096="Guaraníes"),"Rendimiento significativo",IF(AND(M2096&gt;#REF!,Cartera!O2096="Dólares americanos"),"Rendimiento significativo","Rendimiento no significativo"))</f>
        <v>#REF!</v>
      </c>
      <c r="O2096" s="5" t="s">
        <v>41</v>
      </c>
      <c r="P2096" s="12">
        <v>841438.35615000001</v>
      </c>
      <c r="Q2096" s="12">
        <f>IF(O2096="Guaraníes",P2096,P2096*#REF!)</f>
        <v>841438.35615000001</v>
      </c>
      <c r="R2096" s="12" t="e">
        <f>IF(O2096="Guaraníes",P2096/#REF!,P2096)</f>
        <v>#REF!</v>
      </c>
      <c r="S2096" s="5" t="s">
        <v>52</v>
      </c>
      <c r="T2096" s="5">
        <v>9243</v>
      </c>
      <c r="W2096" s="5" t="s">
        <v>65</v>
      </c>
      <c r="X2096" s="5">
        <v>0</v>
      </c>
      <c r="Y2096" s="5">
        <v>0</v>
      </c>
      <c r="Z2096" s="5">
        <v>28047.945205</v>
      </c>
      <c r="AA2096" s="5">
        <v>30</v>
      </c>
      <c r="AB2096" s="5">
        <v>841438.35615000001</v>
      </c>
      <c r="AC2096" s="5" t="str">
        <f t="shared" si="100"/>
        <v>Bonos</v>
      </c>
      <c r="AD2096" s="5" t="s">
        <v>43</v>
      </c>
      <c r="AE2096" s="5">
        <f t="shared" si="101"/>
        <v>5</v>
      </c>
      <c r="AF2096" s="5">
        <f t="shared" si="102"/>
        <v>2025</v>
      </c>
    </row>
    <row r="2097" s="5" customFormat="1" ht="13">
      <c r="A2097" s="5">
        <v>12316</v>
      </c>
      <c r="B2097" s="5" t="s">
        <v>78</v>
      </c>
      <c r="C2097" s="5" t="s">
        <v>164</v>
      </c>
      <c r="D2097" s="5" t="s">
        <v>21</v>
      </c>
      <c r="E2097" s="5" t="s">
        <v>34</v>
      </c>
      <c r="F2097" s="5" t="s">
        <v>68</v>
      </c>
      <c r="G2097" s="5" t="s">
        <v>141</v>
      </c>
      <c r="H2097" s="9" t="s">
        <v>165</v>
      </c>
      <c r="I2097" s="10"/>
      <c r="J2097" s="10">
        <v>46171</v>
      </c>
      <c r="K2097" s="5" t="s">
        <v>124</v>
      </c>
      <c r="L2097" s="5" t="s">
        <v>58</v>
      </c>
      <c r="M2097" s="11">
        <v>0.10000000000000001</v>
      </c>
      <c r="N2097" s="5" t="e">
        <f>IF(AND(M2097&gt;#REF!,Cartera!O2097="Guaraníes"),"Rendimiento significativo",IF(AND(M2097&gt;#REF!,Cartera!O2097="Dólares americanos"),"Rendimiento significativo","Rendimiento no significativo"))</f>
        <v>#REF!</v>
      </c>
      <c r="O2097" s="5" t="s">
        <v>41</v>
      </c>
      <c r="P2097" s="12">
        <v>794520.54790000001</v>
      </c>
      <c r="Q2097" s="12">
        <f>IF(O2097="Guaraníes",P2097,P2097*#REF!)</f>
        <v>794520.54790000001</v>
      </c>
      <c r="R2097" s="12" t="e">
        <f>IF(O2097="Guaraníes",P2097/#REF!,P2097)</f>
        <v>#REF!</v>
      </c>
      <c r="S2097" s="5" t="s">
        <v>42</v>
      </c>
      <c r="T2097" s="5">
        <v>9243</v>
      </c>
      <c r="W2097" s="5" t="s">
        <v>65</v>
      </c>
      <c r="X2097" s="5">
        <v>0</v>
      </c>
      <c r="Y2097" s="5">
        <v>0</v>
      </c>
      <c r="Z2097" s="5">
        <v>7945.2054790000002</v>
      </c>
      <c r="AA2097" s="5">
        <v>100</v>
      </c>
      <c r="AB2097" s="5">
        <v>794520.54790000001</v>
      </c>
      <c r="AC2097" s="5" t="str">
        <f t="shared" si="100"/>
        <v>Bonos</v>
      </c>
      <c r="AD2097" s="5" t="s">
        <v>43</v>
      </c>
      <c r="AE2097" s="5">
        <f t="shared" si="101"/>
        <v>5</v>
      </c>
      <c r="AF2097" s="5">
        <f t="shared" si="102"/>
        <v>2026</v>
      </c>
    </row>
    <row r="2098" s="5" customFormat="1" ht="13">
      <c r="A2098" s="5">
        <v>12316</v>
      </c>
      <c r="B2098" s="5" t="s">
        <v>78</v>
      </c>
      <c r="C2098" s="5" t="s">
        <v>164</v>
      </c>
      <c r="D2098" s="5" t="s">
        <v>21</v>
      </c>
      <c r="E2098" s="5" t="s">
        <v>34</v>
      </c>
      <c r="F2098" s="5" t="s">
        <v>68</v>
      </c>
      <c r="G2098" s="5" t="s">
        <v>141</v>
      </c>
      <c r="H2098" s="9" t="s">
        <v>167</v>
      </c>
      <c r="I2098" s="10"/>
      <c r="J2098" s="10">
        <v>46171</v>
      </c>
      <c r="K2098" s="5" t="s">
        <v>124</v>
      </c>
      <c r="L2098" s="5" t="s">
        <v>58</v>
      </c>
      <c r="M2098" s="11">
        <v>0.092499999999999999</v>
      </c>
      <c r="N2098" s="5" t="e">
        <f>IF(AND(M2098&gt;#REF!,Cartera!O2098="Guaraníes"),"Rendimiento significativo",IF(AND(M2098&gt;#REF!,Cartera!O2098="Dólares americanos"),"Rendimiento significativo","Rendimiento no significativo"))</f>
        <v>#REF!</v>
      </c>
      <c r="O2098" s="5" t="s">
        <v>41</v>
      </c>
      <c r="P2098" s="12">
        <v>734931.50679999997</v>
      </c>
      <c r="Q2098" s="12">
        <f>IF(O2098="Guaraníes",P2098,P2098*#REF!)</f>
        <v>734931.50679999997</v>
      </c>
      <c r="R2098" s="12" t="e">
        <f>IF(O2098="Guaraníes",P2098/#REF!,P2098)</f>
        <v>#REF!</v>
      </c>
      <c r="S2098" s="5" t="s">
        <v>42</v>
      </c>
      <c r="T2098" s="5">
        <v>9243</v>
      </c>
      <c r="W2098" s="5" t="s">
        <v>65</v>
      </c>
      <c r="X2098" s="5">
        <v>0</v>
      </c>
      <c r="Y2098" s="5">
        <v>0</v>
      </c>
      <c r="Z2098" s="5">
        <v>7349.3150679999999</v>
      </c>
      <c r="AA2098" s="5">
        <v>100</v>
      </c>
      <c r="AB2098" s="5">
        <v>734931.50679999997</v>
      </c>
      <c r="AC2098" s="5" t="str">
        <f t="shared" si="100"/>
        <v>Bonos</v>
      </c>
      <c r="AD2098" s="5" t="s">
        <v>43</v>
      </c>
      <c r="AE2098" s="5">
        <f t="shared" si="101"/>
        <v>5</v>
      </c>
      <c r="AF2098" s="5">
        <f t="shared" si="102"/>
        <v>2026</v>
      </c>
    </row>
    <row r="2099" s="5" customFormat="1" ht="13">
      <c r="A2099" s="5">
        <v>12316</v>
      </c>
      <c r="B2099" s="5" t="s">
        <v>78</v>
      </c>
      <c r="C2099" s="5" t="s">
        <v>164</v>
      </c>
      <c r="D2099" s="5" t="s">
        <v>21</v>
      </c>
      <c r="E2099" s="5" t="s">
        <v>34</v>
      </c>
      <c r="F2099" s="5" t="s">
        <v>68</v>
      </c>
      <c r="G2099" s="5" t="s">
        <v>91</v>
      </c>
      <c r="H2099" s="9" t="s">
        <v>166</v>
      </c>
      <c r="I2099" s="10"/>
      <c r="J2099" s="10">
        <v>46171</v>
      </c>
      <c r="K2099" s="5" t="s">
        <v>124</v>
      </c>
      <c r="L2099" s="5" t="s">
        <v>58</v>
      </c>
      <c r="M2099" s="11">
        <v>0.092499999999999999</v>
      </c>
      <c r="N2099" s="5" t="e">
        <f>IF(AND(M2099&gt;#REF!,Cartera!O2099="Guaraníes"),"Rendimiento significativo",IF(AND(M2099&gt;#REF!,Cartera!O2099="Dólares americanos"),"Rendimiento significativo","Rendimiento no significativo"))</f>
        <v>#REF!</v>
      </c>
      <c r="O2099" s="5" t="s">
        <v>41</v>
      </c>
      <c r="P2099" s="12">
        <v>1102397.2601999999</v>
      </c>
      <c r="Q2099" s="12">
        <f>IF(O2099="Guaraníes",P2099,P2099*#REF!)</f>
        <v>1102397.2601999999</v>
      </c>
      <c r="R2099" s="12" t="e">
        <f>IF(O2099="Guaraníes",P2099/#REF!,P2099)</f>
        <v>#REF!</v>
      </c>
      <c r="S2099" s="5" t="s">
        <v>42</v>
      </c>
      <c r="AC2099" s="5" t="str">
        <f t="shared" si="100"/>
        <v>Bonos</v>
      </c>
      <c r="AD2099" s="5" t="s">
        <v>43</v>
      </c>
      <c r="AE2099" s="5">
        <f t="shared" si="101"/>
        <v>5</v>
      </c>
      <c r="AF2099" s="5">
        <f t="shared" si="102"/>
        <v>2026</v>
      </c>
    </row>
    <row r="2100" s="5" customFormat="1" ht="13">
      <c r="A2100" s="5">
        <v>12316</v>
      </c>
      <c r="B2100" s="5" t="s">
        <v>78</v>
      </c>
      <c r="C2100" s="5" t="s">
        <v>138</v>
      </c>
      <c r="D2100" s="5" t="s">
        <v>21</v>
      </c>
      <c r="E2100" s="5" t="s">
        <v>34</v>
      </c>
      <c r="F2100" s="5" t="s">
        <v>68</v>
      </c>
      <c r="G2100" s="5" t="s">
        <v>86</v>
      </c>
      <c r="H2100" s="9" t="s">
        <v>139</v>
      </c>
      <c r="I2100" s="10">
        <v>43948</v>
      </c>
      <c r="J2100" s="10">
        <v>46176</v>
      </c>
      <c r="K2100" s="5" t="s">
        <v>140</v>
      </c>
      <c r="L2100" s="5" t="s">
        <v>58</v>
      </c>
      <c r="M2100" s="11">
        <v>0.11</v>
      </c>
      <c r="N2100" s="5" t="e">
        <f>IF(AND(M2100&gt;#REF!,Cartera!O2100="Guaraníes"),"Rendimiento significativo",IF(AND(M2100&gt;#REF!,Cartera!O2100="Dólares americanos"),"Rendimiento significativo","Rendimiento no significativo"))</f>
        <v>#REF!</v>
      </c>
      <c r="O2100" s="5" t="s">
        <v>41</v>
      </c>
      <c r="P2100" s="12">
        <v>904109.58900000004</v>
      </c>
      <c r="Q2100" s="12">
        <f>IF(O2100="Guaraníes",P2100,P2100*#REF!)</f>
        <v>904109.58900000004</v>
      </c>
      <c r="R2100" s="12" t="e">
        <f>IF(O2100="Guaraníes",P2100/#REF!,P2100)</f>
        <v>#REF!</v>
      </c>
      <c r="S2100" s="5" t="s">
        <v>42</v>
      </c>
      <c r="AC2100" s="5" t="str">
        <f t="shared" si="100"/>
        <v>Bonos</v>
      </c>
      <c r="AD2100" s="5" t="s">
        <v>43</v>
      </c>
      <c r="AE2100" s="5">
        <f t="shared" si="101"/>
        <v>6</v>
      </c>
      <c r="AF2100" s="5">
        <f t="shared" si="102"/>
        <v>2026</v>
      </c>
    </row>
    <row r="2101" s="5" customFormat="1" ht="13">
      <c r="A2101" s="5">
        <v>12315</v>
      </c>
      <c r="B2101" s="5" t="s">
        <v>73</v>
      </c>
      <c r="C2101" s="5" t="s">
        <v>33</v>
      </c>
      <c r="D2101" s="5" t="s">
        <v>21</v>
      </c>
      <c r="E2101" s="5" t="s">
        <v>34</v>
      </c>
      <c r="F2101" s="5" t="s">
        <v>35</v>
      </c>
      <c r="G2101" s="5" t="s">
        <v>75</v>
      </c>
      <c r="H2101" s="9" t="s">
        <v>186</v>
      </c>
      <c r="I2101" s="10"/>
      <c r="J2101" s="10">
        <v>46183</v>
      </c>
      <c r="K2101" s="5" t="s">
        <v>39</v>
      </c>
      <c r="L2101" s="5" t="s">
        <v>50</v>
      </c>
      <c r="M2101" s="11">
        <v>0.044999999999999998</v>
      </c>
      <c r="N2101" s="5" t="e">
        <f>IF(AND(M2101&gt;#REF!,Cartera!O2101="Guaraníes"),"Rendimiento significativo",IF(AND(M2101&gt;#REF!,Cartera!O2101="Dólares americanos"),"Rendimiento significativo","Rendimiento no significativo"))</f>
        <v>#REF!</v>
      </c>
      <c r="O2101" s="5" t="s">
        <v>51</v>
      </c>
      <c r="P2101" s="13">
        <v>336.57533999999998</v>
      </c>
      <c r="Q2101" s="12" t="e">
        <f>IF(O2101="Guaraníes",P2101,P2101*#REF!)</f>
        <v>#REF!</v>
      </c>
      <c r="R2101" s="12">
        <f>IF(O2101="Guaraníes",P2101/#REF!,P2101)</f>
        <v>336.57533999999998</v>
      </c>
      <c r="S2101" s="5" t="s">
        <v>42</v>
      </c>
      <c r="T2101" s="5">
        <v>25</v>
      </c>
      <c r="W2101" s="5" t="s">
        <v>65</v>
      </c>
      <c r="X2101" s="5">
        <v>0</v>
      </c>
      <c r="Y2101" s="5">
        <v>0</v>
      </c>
      <c r="Z2101" s="5">
        <v>11.219177999999999</v>
      </c>
      <c r="AA2101" s="5">
        <v>30</v>
      </c>
      <c r="AB2101" s="5">
        <v>336.57533999999998</v>
      </c>
      <c r="AC2101" s="5" t="str">
        <f t="shared" si="100"/>
        <v>Bonos</v>
      </c>
      <c r="AD2101" s="5" t="s">
        <v>43</v>
      </c>
      <c r="AE2101" s="5">
        <f t="shared" si="101"/>
        <v>6</v>
      </c>
      <c r="AF2101" s="5">
        <f t="shared" si="102"/>
        <v>2026</v>
      </c>
    </row>
    <row r="2102" s="5" customFormat="1" ht="13">
      <c r="A2102" s="5">
        <v>12315</v>
      </c>
      <c r="B2102" s="5" t="s">
        <v>73</v>
      </c>
      <c r="C2102" s="5" t="s">
        <v>33</v>
      </c>
      <c r="D2102" s="5" t="s">
        <v>21</v>
      </c>
      <c r="E2102" s="5" t="s">
        <v>34</v>
      </c>
      <c r="F2102" s="5" t="s">
        <v>35</v>
      </c>
      <c r="G2102" s="5" t="s">
        <v>69</v>
      </c>
      <c r="H2102" s="9" t="s">
        <v>186</v>
      </c>
      <c r="I2102" s="10"/>
      <c r="J2102" s="10">
        <v>46183</v>
      </c>
      <c r="K2102" s="5" t="s">
        <v>39</v>
      </c>
      <c r="L2102" s="5" t="s">
        <v>50</v>
      </c>
      <c r="M2102" s="11">
        <v>0.044999999999999998</v>
      </c>
      <c r="N2102" s="5" t="e">
        <f>IF(AND(M2102&gt;#REF!,Cartera!O2102="Guaraníes"),"Rendimiento significativo",IF(AND(M2102&gt;#REF!,Cartera!O2102="Dólares americanos"),"Rendimiento significativo","Rendimiento no significativo"))</f>
        <v>#REF!</v>
      </c>
      <c r="O2102" s="5" t="s">
        <v>51</v>
      </c>
      <c r="P2102" s="13">
        <v>448.76711999999998</v>
      </c>
      <c r="Q2102" s="12" t="e">
        <f>IF(O2102="Guaraníes",P2102,P2102*#REF!)</f>
        <v>#REF!</v>
      </c>
      <c r="R2102" s="12">
        <f>IF(O2102="Guaraníes",P2102/#REF!,P2102)</f>
        <v>448.76711999999998</v>
      </c>
      <c r="S2102" s="5" t="s">
        <v>42</v>
      </c>
      <c r="T2102" s="5">
        <v>593</v>
      </c>
      <c r="W2102" s="5" t="s">
        <v>65</v>
      </c>
      <c r="X2102" s="5">
        <v>0</v>
      </c>
      <c r="Y2102" s="5">
        <v>0</v>
      </c>
      <c r="Z2102" s="5">
        <v>11.219177999999999</v>
      </c>
      <c r="AA2102" s="5">
        <v>40</v>
      </c>
      <c r="AB2102" s="5">
        <v>448.76711999999998</v>
      </c>
      <c r="AC2102" s="5" t="str">
        <f t="shared" si="100"/>
        <v>Bonos</v>
      </c>
      <c r="AD2102" s="5" t="s">
        <v>43</v>
      </c>
      <c r="AE2102" s="5">
        <f t="shared" si="101"/>
        <v>6</v>
      </c>
      <c r="AF2102" s="5">
        <f t="shared" si="102"/>
        <v>2026</v>
      </c>
    </row>
    <row r="2103" s="5" customFormat="1" ht="13">
      <c r="A2103" s="5">
        <v>12316</v>
      </c>
      <c r="B2103" s="5" t="s">
        <v>78</v>
      </c>
      <c r="C2103" s="5" t="s">
        <v>160</v>
      </c>
      <c r="D2103" s="5" t="s">
        <v>21</v>
      </c>
      <c r="E2103" s="5" t="s">
        <v>34</v>
      </c>
      <c r="F2103" s="5" t="s">
        <v>68</v>
      </c>
      <c r="G2103" s="5" t="s">
        <v>91</v>
      </c>
      <c r="H2103" s="9" t="s">
        <v>161</v>
      </c>
      <c r="I2103" s="10">
        <v>44581</v>
      </c>
      <c r="J2103" s="10">
        <v>46188</v>
      </c>
      <c r="K2103" s="5" t="s">
        <v>162</v>
      </c>
      <c r="L2103" s="5" t="s">
        <v>58</v>
      </c>
      <c r="M2103" s="11">
        <v>0.086999999999999994</v>
      </c>
      <c r="N2103" s="5" t="e">
        <f>IF(AND(M2103&gt;#REF!,Cartera!O2103="Guaraníes"),"Rendimiento significativo",IF(AND(M2103&gt;#REF!,Cartera!O2103="Dólares americanos"),"Rendimiento significativo","Rendimiento no significativo"))</f>
        <v>#REF!</v>
      </c>
      <c r="O2103" s="5" t="s">
        <v>41</v>
      </c>
      <c r="P2103" s="12">
        <v>17352328.767200001</v>
      </c>
      <c r="Q2103" s="12">
        <f>IF(O2103="Guaraníes",P2103,P2103*#REF!)</f>
        <v>17352328.767200001</v>
      </c>
      <c r="R2103" s="12" t="e">
        <f>IF(O2103="Guaraníes",P2103/#REF!,P2103)</f>
        <v>#REF!</v>
      </c>
      <c r="S2103" s="5" t="s">
        <v>42</v>
      </c>
      <c r="AC2103" s="5" t="str">
        <f t="shared" ref="AC2103:AC2166" si="103">IF(ISNUMBER(SEARCH("Acciones",L2103)),"Acciones",IF(ISNUMBER(SEARCH("Bono",L2103)),"Bonos",IF(ISNUMBER(SEARCH("CDA",L2103)),"CDA",IF(ISNUMBER(SEARCH("Fondo",L2103)),"Fondo",0))))</f>
        <v>Bonos</v>
      </c>
      <c r="AD2103" s="5" t="s">
        <v>43</v>
      </c>
      <c r="AE2103" s="5">
        <f t="shared" si="101"/>
        <v>6</v>
      </c>
      <c r="AF2103" s="5">
        <f t="shared" si="102"/>
        <v>2026</v>
      </c>
    </row>
    <row r="2104" s="5" customFormat="1" ht="13">
      <c r="A2104" s="5" t="s">
        <v>44</v>
      </c>
      <c r="B2104" s="5" t="s">
        <v>44</v>
      </c>
      <c r="C2104" s="5" t="s">
        <v>389</v>
      </c>
      <c r="D2104" s="5" t="s">
        <v>21</v>
      </c>
      <c r="E2104" s="5" t="s">
        <v>44</v>
      </c>
      <c r="F2104" s="5" t="s">
        <v>68</v>
      </c>
      <c r="G2104" s="5" t="s">
        <v>141</v>
      </c>
      <c r="H2104" s="9" t="s">
        <v>390</v>
      </c>
      <c r="I2104" s="10"/>
      <c r="J2104" s="10">
        <v>45896</v>
      </c>
      <c r="K2104" s="5" t="s">
        <v>391</v>
      </c>
      <c r="L2104" s="5" t="s">
        <v>58</v>
      </c>
      <c r="M2104" s="11">
        <v>0.1125</v>
      </c>
      <c r="N2104" s="5" t="e">
        <f>IF(AND(M2104&gt;#REF!,Cartera!O2104="Guaraníes"),"Rendimiento significativo",IF(AND(M2104&gt;#REF!,Cartera!O2104="Dólares americanos"),"Rendimiento significativo","Rendimiento no significativo"))</f>
        <v>#REF!</v>
      </c>
      <c r="O2104" s="5" t="s">
        <v>41</v>
      </c>
      <c r="P2104" s="12">
        <v>841438.35615000001</v>
      </c>
      <c r="Q2104" s="12">
        <f>IF(O2104="Guaraníes",P2104,P2104*#REF!)</f>
        <v>841438.35615000001</v>
      </c>
      <c r="R2104" s="12" t="e">
        <f>IF(O2104="Guaraníes",P2104/#REF!,P2104)</f>
        <v>#REF!</v>
      </c>
      <c r="S2104" s="5" t="s">
        <v>52</v>
      </c>
      <c r="T2104" s="5">
        <v>9243</v>
      </c>
      <c r="W2104" s="5" t="s">
        <v>65</v>
      </c>
      <c r="X2104" s="5">
        <v>0</v>
      </c>
      <c r="Y2104" s="5">
        <v>0</v>
      </c>
      <c r="Z2104" s="5">
        <v>28047.945205</v>
      </c>
      <c r="AA2104" s="5">
        <v>30</v>
      </c>
      <c r="AB2104" s="5">
        <v>841438.35615000001</v>
      </c>
      <c r="AC2104" s="5" t="str">
        <f t="shared" si="103"/>
        <v>Bonos</v>
      </c>
      <c r="AD2104" s="5" t="s">
        <v>43</v>
      </c>
      <c r="AE2104" s="5">
        <f t="shared" si="101"/>
        <v>8</v>
      </c>
      <c r="AF2104" s="5">
        <f t="shared" si="102"/>
        <v>2025</v>
      </c>
    </row>
    <row r="2105" s="5" customFormat="1" ht="13">
      <c r="A2105" s="5">
        <v>12316</v>
      </c>
      <c r="B2105" s="5" t="s">
        <v>78</v>
      </c>
      <c r="C2105" s="5" t="s">
        <v>54</v>
      </c>
      <c r="D2105" s="5" t="s">
        <v>21</v>
      </c>
      <c r="E2105" s="5" t="s">
        <v>34</v>
      </c>
      <c r="F2105" s="5" t="s">
        <v>46</v>
      </c>
      <c r="G2105" s="5" t="s">
        <v>86</v>
      </c>
      <c r="H2105" s="9" t="s">
        <v>147</v>
      </c>
      <c r="I2105" s="10"/>
      <c r="J2105" s="10">
        <v>46195</v>
      </c>
      <c r="K2105" s="5" t="s">
        <v>57</v>
      </c>
      <c r="L2105" s="5" t="s">
        <v>58</v>
      </c>
      <c r="M2105" s="11">
        <v>0.12</v>
      </c>
      <c r="N2105" s="5" t="e">
        <f>IF(AND(M2105&gt;#REF!,Cartera!O2105="Guaraníes"),"Rendimiento significativo",IF(AND(M2105&gt;#REF!,Cartera!O2105="Dólares americanos"),"Rendimiento significativo","Rendimiento no significativo"))</f>
        <v>#REF!</v>
      </c>
      <c r="O2105" s="5" t="s">
        <v>41</v>
      </c>
      <c r="P2105" s="12">
        <v>2991780.8218999999</v>
      </c>
      <c r="Q2105" s="12">
        <f>IF(O2105="Guaraníes",P2105,P2105*#REF!)</f>
        <v>2991780.8218999999</v>
      </c>
      <c r="R2105" s="12" t="e">
        <f>IF(O2105="Guaraníes",P2105/#REF!,P2105)</f>
        <v>#REF!</v>
      </c>
      <c r="S2105" s="5" t="s">
        <v>42</v>
      </c>
      <c r="T2105" s="5">
        <v>10834</v>
      </c>
      <c r="W2105" s="5" t="s">
        <v>65</v>
      </c>
      <c r="X2105" s="5">
        <v>0</v>
      </c>
      <c r="Y2105" s="5">
        <v>0</v>
      </c>
      <c r="Z2105" s="5">
        <v>29917.808218999999</v>
      </c>
      <c r="AA2105" s="5">
        <v>100</v>
      </c>
      <c r="AB2105" s="5">
        <v>2991780.8218999999</v>
      </c>
      <c r="AC2105" s="5" t="str">
        <f t="shared" si="103"/>
        <v>Bonos</v>
      </c>
      <c r="AD2105" s="5" t="s">
        <v>43</v>
      </c>
      <c r="AE2105" s="5">
        <f t="shared" si="101"/>
        <v>6</v>
      </c>
      <c r="AF2105" s="5">
        <f t="shared" si="102"/>
        <v>2026</v>
      </c>
    </row>
    <row r="2106" s="5" customFormat="1" ht="13">
      <c r="A2106" s="5">
        <v>12316</v>
      </c>
      <c r="B2106" s="5" t="s">
        <v>78</v>
      </c>
      <c r="C2106" s="5" t="s">
        <v>54</v>
      </c>
      <c r="D2106" s="5" t="s">
        <v>21</v>
      </c>
      <c r="E2106" s="5" t="s">
        <v>34</v>
      </c>
      <c r="F2106" s="5" t="s">
        <v>46</v>
      </c>
      <c r="G2106" s="5" t="s">
        <v>86</v>
      </c>
      <c r="H2106" s="9" t="s">
        <v>148</v>
      </c>
      <c r="I2106" s="10"/>
      <c r="J2106" s="10">
        <v>46195</v>
      </c>
      <c r="K2106" s="5" t="s">
        <v>57</v>
      </c>
      <c r="L2106" s="5" t="s">
        <v>58</v>
      </c>
      <c r="M2106" s="11">
        <v>0.097500000000000003</v>
      </c>
      <c r="N2106" s="5" t="e">
        <f>IF(AND(M2106&gt;#REF!,Cartera!O2106="Guaraníes"),"Rendimiento significativo",IF(AND(M2106&gt;#REF!,Cartera!O2106="Dólares americanos"),"Rendimiento significativo","Rendimiento no significativo"))</f>
        <v>#REF!</v>
      </c>
      <c r="O2106" s="5" t="s">
        <v>41</v>
      </c>
      <c r="P2106" s="12">
        <v>12154109.589</v>
      </c>
      <c r="Q2106" s="12">
        <f>IF(O2106="Guaraníes",P2106,P2106*#REF!)</f>
        <v>12154109.589</v>
      </c>
      <c r="R2106" s="12" t="e">
        <f>IF(O2106="Guaraníes",P2106/#REF!,P2106)</f>
        <v>#REF!</v>
      </c>
      <c r="S2106" s="5" t="s">
        <v>42</v>
      </c>
      <c r="T2106" s="5">
        <v>10834</v>
      </c>
      <c r="W2106" s="5" t="s">
        <v>65</v>
      </c>
      <c r="X2106" s="5">
        <v>0</v>
      </c>
      <c r="Y2106" s="5">
        <v>0</v>
      </c>
      <c r="Z2106" s="5">
        <v>24308.219177999999</v>
      </c>
      <c r="AA2106" s="5">
        <v>500</v>
      </c>
      <c r="AB2106" s="5">
        <v>12154109.589</v>
      </c>
      <c r="AC2106" s="5" t="str">
        <f t="shared" si="103"/>
        <v>Bonos</v>
      </c>
      <c r="AD2106" s="5" t="s">
        <v>43</v>
      </c>
      <c r="AE2106" s="5">
        <f t="shared" si="101"/>
        <v>6</v>
      </c>
      <c r="AF2106" s="5">
        <f t="shared" si="102"/>
        <v>2026</v>
      </c>
    </row>
    <row r="2107" s="5" customFormat="1" ht="13">
      <c r="A2107" s="5">
        <v>12316</v>
      </c>
      <c r="B2107" s="5" t="s">
        <v>78</v>
      </c>
      <c r="C2107" s="5" t="s">
        <v>54</v>
      </c>
      <c r="D2107" s="5" t="s">
        <v>21</v>
      </c>
      <c r="E2107" s="5" t="s">
        <v>34</v>
      </c>
      <c r="F2107" s="5" t="s">
        <v>46</v>
      </c>
      <c r="G2107" s="5" t="s">
        <v>75</v>
      </c>
      <c r="H2107" s="9" t="s">
        <v>147</v>
      </c>
      <c r="I2107" s="10"/>
      <c r="J2107" s="10">
        <v>46195</v>
      </c>
      <c r="K2107" s="5" t="s">
        <v>57</v>
      </c>
      <c r="L2107" s="5" t="s">
        <v>58</v>
      </c>
      <c r="M2107" s="11">
        <v>0.12</v>
      </c>
      <c r="N2107" s="5" t="e">
        <f>IF(AND(M2107&gt;#REF!,Cartera!O2107="Guaraníes"),"Rendimiento significativo",IF(AND(M2107&gt;#REF!,Cartera!O2107="Dólares americanos"),"Rendimiento significativo","Rendimiento no significativo"))</f>
        <v>#REF!</v>
      </c>
      <c r="O2107" s="5" t="s">
        <v>41</v>
      </c>
      <c r="P2107" s="12">
        <v>4487671.2328500003</v>
      </c>
      <c r="Q2107" s="12">
        <f>IF(O2107="Guaraníes",P2107,P2107*#REF!)</f>
        <v>4487671.2328500003</v>
      </c>
      <c r="R2107" s="12" t="e">
        <f>IF(O2107="Guaraníes",P2107/#REF!,P2107)</f>
        <v>#REF!</v>
      </c>
      <c r="S2107" s="5" t="s">
        <v>42</v>
      </c>
      <c r="T2107" s="5">
        <v>25</v>
      </c>
      <c r="W2107" s="5" t="s">
        <v>192</v>
      </c>
      <c r="X2107" s="5">
        <v>0</v>
      </c>
      <c r="Y2107" s="5">
        <v>0</v>
      </c>
      <c r="Z2107" s="5">
        <v>29917.808218999999</v>
      </c>
      <c r="AA2107" s="5">
        <v>150</v>
      </c>
      <c r="AB2107" s="5">
        <v>4487671.2328500003</v>
      </c>
      <c r="AC2107" s="5" t="str">
        <f t="shared" si="103"/>
        <v>Bonos</v>
      </c>
      <c r="AD2107" s="5" t="s">
        <v>43</v>
      </c>
      <c r="AE2107" s="5">
        <f t="shared" si="101"/>
        <v>6</v>
      </c>
      <c r="AF2107" s="5">
        <f t="shared" si="102"/>
        <v>2026</v>
      </c>
    </row>
    <row r="2108" s="5" customFormat="1" ht="13">
      <c r="A2108" s="5">
        <v>12316</v>
      </c>
      <c r="B2108" s="5" t="s">
        <v>78</v>
      </c>
      <c r="C2108" s="5" t="s">
        <v>138</v>
      </c>
      <c r="D2108" s="5" t="s">
        <v>21</v>
      </c>
      <c r="E2108" s="5" t="s">
        <v>34</v>
      </c>
      <c r="F2108" s="5" t="s">
        <v>68</v>
      </c>
      <c r="G2108" s="5" t="s">
        <v>86</v>
      </c>
      <c r="H2108" s="9" t="s">
        <v>193</v>
      </c>
      <c r="I2108" s="10">
        <v>44104</v>
      </c>
      <c r="J2108" s="10">
        <v>46196</v>
      </c>
      <c r="K2108" s="5" t="s">
        <v>140</v>
      </c>
      <c r="L2108" s="5" t="s">
        <v>58</v>
      </c>
      <c r="M2108" s="11">
        <v>0.10000000000000001</v>
      </c>
      <c r="N2108" s="5" t="e">
        <f>IF(AND(M2108&gt;#REF!,Cartera!O2108="Guaraníes"),"Rendimiento significativo",IF(AND(M2108&gt;#REF!,Cartera!O2108="Dólares americanos"),"Rendimiento significativo","Rendimiento no significativo"))</f>
        <v>#REF!</v>
      </c>
      <c r="O2108" s="5" t="s">
        <v>41</v>
      </c>
      <c r="P2108" s="12">
        <v>2493150.6849000002</v>
      </c>
      <c r="Q2108" s="12">
        <f>IF(O2108="Guaraníes",P2108,P2108*#REF!)</f>
        <v>2493150.6849000002</v>
      </c>
      <c r="R2108" s="12" t="e">
        <f>IF(O2108="Guaraníes",P2108/#REF!,P2108)</f>
        <v>#REF!</v>
      </c>
      <c r="S2108" s="5" t="s">
        <v>42</v>
      </c>
      <c r="AC2108" s="5" t="str">
        <f t="shared" si="103"/>
        <v>Bonos</v>
      </c>
      <c r="AD2108" s="5" t="s">
        <v>43</v>
      </c>
      <c r="AE2108" s="5">
        <f t="shared" si="101"/>
        <v>6</v>
      </c>
      <c r="AF2108" s="5">
        <f t="shared" si="102"/>
        <v>2026</v>
      </c>
    </row>
    <row r="2109" s="5" customFormat="1" ht="13">
      <c r="A2109" s="5">
        <v>12316</v>
      </c>
      <c r="B2109" s="5" t="s">
        <v>78</v>
      </c>
      <c r="C2109" s="5" t="s">
        <v>183</v>
      </c>
      <c r="D2109" s="5" t="s">
        <v>21</v>
      </c>
      <c r="E2109" s="5" t="s">
        <v>34</v>
      </c>
      <c r="H2109" s="9" t="s">
        <v>210</v>
      </c>
      <c r="I2109" s="10">
        <v>45562</v>
      </c>
      <c r="J2109" s="10">
        <v>46199</v>
      </c>
      <c r="L2109" s="11" t="s">
        <v>82</v>
      </c>
      <c r="M2109" s="11">
        <v>0.053800000000000001</v>
      </c>
      <c r="N2109" s="11" t="e">
        <f>IF(AND(M2109&gt;#REF!,Cartera!O2109="Guaraníes"),"Rendimiento significativo",IF(AND(M2109&gt;#REF!,Cartera!O2109="Dólares americanos"),"Rendimiento significativo","Rendimiento no significativo"))</f>
        <v>#REF!</v>
      </c>
      <c r="O2109" s="5" t="s">
        <v>41</v>
      </c>
      <c r="P2109" s="13">
        <v>2712068</v>
      </c>
      <c r="Q2109" s="12">
        <f>IF(O2109="Guaraníes",P2109,P2109*#REF!)</f>
        <v>2712068</v>
      </c>
      <c r="R2109" s="13">
        <v>348.15183763591318</v>
      </c>
      <c r="S2109" s="5" t="s">
        <v>42</v>
      </c>
      <c r="AC2109" s="5" t="str">
        <f t="shared" si="103"/>
        <v>CDA</v>
      </c>
      <c r="AD2109" s="5" t="s">
        <v>43</v>
      </c>
    </row>
    <row r="2110" s="5" customFormat="1" ht="13">
      <c r="A2110" s="5">
        <v>12315</v>
      </c>
      <c r="B2110" s="5" t="s">
        <v>73</v>
      </c>
      <c r="C2110" s="5" t="s">
        <v>183</v>
      </c>
      <c r="D2110" s="5" t="s">
        <v>21</v>
      </c>
      <c r="E2110" s="5" t="s">
        <v>34</v>
      </c>
      <c r="H2110" s="9" t="s">
        <v>211</v>
      </c>
      <c r="I2110" s="10">
        <v>45562</v>
      </c>
      <c r="J2110" s="10">
        <v>46199</v>
      </c>
      <c r="L2110" s="11" t="s">
        <v>82</v>
      </c>
      <c r="M2110" s="11">
        <v>0.026800000000000001</v>
      </c>
      <c r="N2110" s="11" t="e">
        <f>IF(AND(M2110&gt;#REF!,Cartera!O2110="Guaraníes"),"Rendimiento significativo",IF(AND(M2110&gt;#REF!,Cartera!O2110="Dólares americanos"),"Rendimiento significativo","Rendimiento no significativo"))</f>
        <v>#REF!</v>
      </c>
      <c r="O2110" s="5" t="s">
        <v>51</v>
      </c>
      <c r="P2110" s="13">
        <v>135.09999999999999</v>
      </c>
      <c r="Q2110" s="12" t="e">
        <f>IF(O2110="Guaraníes",P2110,P2110*#REF!)</f>
        <v>#REF!</v>
      </c>
      <c r="R2110" s="17">
        <v>135.09999999999999</v>
      </c>
      <c r="S2110" s="5" t="s">
        <v>42</v>
      </c>
      <c r="AC2110" s="5" t="str">
        <f t="shared" si="103"/>
        <v>CDA</v>
      </c>
      <c r="AD2110" s="5" t="s">
        <v>43</v>
      </c>
    </row>
    <row r="2111" s="5" customFormat="1" ht="13">
      <c r="A2111" s="5">
        <v>12316</v>
      </c>
      <c r="B2111" s="5" t="s">
        <v>78</v>
      </c>
      <c r="C2111" s="5" t="s">
        <v>164</v>
      </c>
      <c r="D2111" s="5" t="s">
        <v>21</v>
      </c>
      <c r="E2111" s="5" t="s">
        <v>34</v>
      </c>
      <c r="F2111" s="5" t="s">
        <v>68</v>
      </c>
      <c r="G2111" s="5" t="s">
        <v>145</v>
      </c>
      <c r="H2111" s="9" t="s">
        <v>165</v>
      </c>
      <c r="I2111" s="10"/>
      <c r="J2111" s="10">
        <v>46203</v>
      </c>
      <c r="K2111" s="5" t="s">
        <v>124</v>
      </c>
      <c r="L2111" s="5" t="s">
        <v>58</v>
      </c>
      <c r="M2111" s="11">
        <v>0.10000000000000001</v>
      </c>
      <c r="N2111" s="5" t="e">
        <f>IF(AND(M2111&gt;#REF!,Cartera!O2111="Guaraníes"),"Rendimiento significativo",IF(AND(M2111&gt;#REF!,Cartera!O2111="Dólares americanos"),"Rendimiento significativo","Rendimiento no significativo"))</f>
        <v>#REF!</v>
      </c>
      <c r="O2111" s="5" t="s">
        <v>41</v>
      </c>
      <c r="P2111" s="12">
        <v>3506849.3152000001</v>
      </c>
      <c r="Q2111" s="12">
        <f>IF(O2111="Guaraníes",P2111,P2111*#REF!)</f>
        <v>3506849.3152000001</v>
      </c>
      <c r="R2111" s="12" t="e">
        <f>IF(O2111="Guaraníes",P2111/#REF!,P2111)</f>
        <v>#REF!</v>
      </c>
      <c r="S2111" s="5" t="s">
        <v>42</v>
      </c>
      <c r="T2111" s="5">
        <v>1057</v>
      </c>
      <c r="W2111" s="5" t="s">
        <v>65</v>
      </c>
      <c r="X2111" s="5">
        <v>0</v>
      </c>
      <c r="Y2111" s="5">
        <v>0</v>
      </c>
      <c r="Z2111" s="5">
        <v>8767.1232880000007</v>
      </c>
      <c r="AA2111" s="5">
        <v>400</v>
      </c>
      <c r="AB2111" s="5">
        <v>3506849.3152000001</v>
      </c>
      <c r="AC2111" s="5" t="str">
        <f t="shared" si="103"/>
        <v>Bonos</v>
      </c>
      <c r="AD2111" s="5" t="s">
        <v>43</v>
      </c>
      <c r="AE2111" s="5">
        <f t="shared" si="101"/>
        <v>6</v>
      </c>
      <c r="AF2111" s="5">
        <f t="shared" si="102"/>
        <v>2026</v>
      </c>
    </row>
    <row r="2112" s="5" customFormat="1" ht="13">
      <c r="A2112" s="5" t="s">
        <v>44</v>
      </c>
      <c r="B2112" s="5" t="s">
        <v>44</v>
      </c>
      <c r="C2112" s="5" t="s">
        <v>389</v>
      </c>
      <c r="D2112" s="5" t="s">
        <v>21</v>
      </c>
      <c r="E2112" s="5" t="s">
        <v>44</v>
      </c>
      <c r="F2112" s="5" t="s">
        <v>68</v>
      </c>
      <c r="G2112" s="5" t="s">
        <v>141</v>
      </c>
      <c r="H2112" s="9" t="s">
        <v>390</v>
      </c>
      <c r="I2112" s="10"/>
      <c r="J2112" s="10">
        <v>45987</v>
      </c>
      <c r="K2112" s="5" t="s">
        <v>391</v>
      </c>
      <c r="L2112" s="5" t="s">
        <v>58</v>
      </c>
      <c r="M2112" s="11">
        <v>0.1125</v>
      </c>
      <c r="N2112" s="5" t="e">
        <f>IF(AND(M2112&gt;#REF!,Cartera!O2112="Guaraníes"),"Rendimiento significativo",IF(AND(M2112&gt;#REF!,Cartera!O2112="Dólares americanos"),"Rendimiento significativo","Rendimiento no significativo"))</f>
        <v>#REF!</v>
      </c>
      <c r="O2112" s="5" t="s">
        <v>41</v>
      </c>
      <c r="P2112" s="12">
        <v>841438.35615000001</v>
      </c>
      <c r="Q2112" s="12">
        <f>IF(O2112="Guaraníes",P2112,P2112*#REF!)</f>
        <v>841438.35615000001</v>
      </c>
      <c r="R2112" s="12" t="e">
        <f>IF(O2112="Guaraníes",P2112/#REF!,P2112)</f>
        <v>#REF!</v>
      </c>
      <c r="S2112" s="5" t="s">
        <v>52</v>
      </c>
      <c r="T2112" s="5">
        <v>9243</v>
      </c>
      <c r="W2112" s="5" t="s">
        <v>65</v>
      </c>
      <c r="X2112" s="5">
        <v>0</v>
      </c>
      <c r="Y2112" s="5">
        <v>0</v>
      </c>
      <c r="Z2112" s="5">
        <v>28047.945205</v>
      </c>
      <c r="AA2112" s="5">
        <v>30</v>
      </c>
      <c r="AB2112" s="5">
        <v>841438.35615000001</v>
      </c>
      <c r="AC2112" s="5" t="str">
        <f t="shared" si="103"/>
        <v>Bonos</v>
      </c>
      <c r="AD2112" s="5" t="s">
        <v>43</v>
      </c>
      <c r="AE2112" s="5">
        <f t="shared" si="101"/>
        <v>11</v>
      </c>
      <c r="AF2112" s="5">
        <f t="shared" si="102"/>
        <v>2025</v>
      </c>
    </row>
    <row r="2113" s="5" customFormat="1" ht="13">
      <c r="A2113" s="5">
        <v>12316</v>
      </c>
      <c r="B2113" s="5" t="s">
        <v>78</v>
      </c>
      <c r="C2113" s="5" t="s">
        <v>164</v>
      </c>
      <c r="D2113" s="5" t="s">
        <v>21</v>
      </c>
      <c r="E2113" s="5" t="s">
        <v>34</v>
      </c>
      <c r="F2113" s="5" t="s">
        <v>68</v>
      </c>
      <c r="G2113" s="5" t="s">
        <v>141</v>
      </c>
      <c r="H2113" s="9" t="s">
        <v>165</v>
      </c>
      <c r="I2113" s="10"/>
      <c r="J2113" s="10">
        <v>46203</v>
      </c>
      <c r="K2113" s="5" t="s">
        <v>124</v>
      </c>
      <c r="L2113" s="5" t="s">
        <v>58</v>
      </c>
      <c r="M2113" s="11">
        <v>0.10000000000000001</v>
      </c>
      <c r="N2113" s="5" t="e">
        <f>IF(AND(M2113&gt;#REF!,Cartera!O2113="Guaraníes"),"Rendimiento significativo",IF(AND(M2113&gt;#REF!,Cartera!O2113="Dólares americanos"),"Rendimiento significativo","Rendimiento no significativo"))</f>
        <v>#REF!</v>
      </c>
      <c r="O2113" s="5" t="s">
        <v>41</v>
      </c>
      <c r="P2113" s="12">
        <v>876712.32880000002</v>
      </c>
      <c r="Q2113" s="12">
        <f>IF(O2113="Guaraníes",P2113,P2113*#REF!)</f>
        <v>876712.32880000002</v>
      </c>
      <c r="R2113" s="12" t="e">
        <f>IF(O2113="Guaraníes",P2113/#REF!,P2113)</f>
        <v>#REF!</v>
      </c>
      <c r="S2113" s="5" t="s">
        <v>42</v>
      </c>
      <c r="T2113" s="5">
        <v>9243</v>
      </c>
      <c r="W2113" s="5" t="s">
        <v>65</v>
      </c>
      <c r="X2113" s="5">
        <v>0</v>
      </c>
      <c r="Y2113" s="5">
        <v>0</v>
      </c>
      <c r="Z2113" s="5">
        <v>8767.1232880000007</v>
      </c>
      <c r="AA2113" s="5">
        <v>100</v>
      </c>
      <c r="AB2113" s="5">
        <v>876712.32880000002</v>
      </c>
      <c r="AC2113" s="5" t="str">
        <f t="shared" si="103"/>
        <v>Bonos</v>
      </c>
      <c r="AD2113" s="5" t="s">
        <v>43</v>
      </c>
      <c r="AE2113" s="5">
        <f t="shared" si="101"/>
        <v>6</v>
      </c>
      <c r="AF2113" s="5">
        <f t="shared" si="102"/>
        <v>2026</v>
      </c>
    </row>
    <row r="2114" s="5" customFormat="1" ht="13">
      <c r="A2114" s="5">
        <v>12316</v>
      </c>
      <c r="B2114" s="5" t="s">
        <v>78</v>
      </c>
      <c r="C2114" s="5" t="s">
        <v>164</v>
      </c>
      <c r="D2114" s="5" t="s">
        <v>21</v>
      </c>
      <c r="E2114" s="5" t="s">
        <v>34</v>
      </c>
      <c r="F2114" s="5" t="s">
        <v>68</v>
      </c>
      <c r="G2114" s="5" t="s">
        <v>141</v>
      </c>
      <c r="H2114" s="9" t="s">
        <v>167</v>
      </c>
      <c r="I2114" s="10"/>
      <c r="J2114" s="10">
        <v>46203</v>
      </c>
      <c r="K2114" s="5" t="s">
        <v>124</v>
      </c>
      <c r="L2114" s="5" t="s">
        <v>58</v>
      </c>
      <c r="M2114" s="11">
        <v>0.092499999999999999</v>
      </c>
      <c r="N2114" s="5" t="e">
        <f>IF(AND(M2114&gt;#REF!,Cartera!O2114="Guaraníes"),"Rendimiento significativo",IF(AND(M2114&gt;#REF!,Cartera!O2114="Dólares americanos"),"Rendimiento significativo","Rendimiento no significativo"))</f>
        <v>#REF!</v>
      </c>
      <c r="O2114" s="5" t="s">
        <v>41</v>
      </c>
      <c r="P2114" s="12">
        <v>810958.90410000004</v>
      </c>
      <c r="Q2114" s="12">
        <f>IF(O2114="Guaraníes",P2114,P2114*#REF!)</f>
        <v>810958.90410000004</v>
      </c>
      <c r="R2114" s="12" t="e">
        <f>IF(O2114="Guaraníes",P2114/#REF!,P2114)</f>
        <v>#REF!</v>
      </c>
      <c r="S2114" s="5" t="s">
        <v>42</v>
      </c>
      <c r="T2114" s="5">
        <v>9243</v>
      </c>
      <c r="W2114" s="5" t="s">
        <v>65</v>
      </c>
      <c r="X2114" s="5">
        <v>0</v>
      </c>
      <c r="Y2114" s="5">
        <v>0</v>
      </c>
      <c r="Z2114" s="5">
        <v>8109.5890410000002</v>
      </c>
      <c r="AA2114" s="5">
        <v>100</v>
      </c>
      <c r="AB2114" s="5">
        <v>810958.90410000004</v>
      </c>
      <c r="AC2114" s="5" t="str">
        <f t="shared" si="103"/>
        <v>Bonos</v>
      </c>
      <c r="AD2114" s="5" t="s">
        <v>43</v>
      </c>
      <c r="AE2114" s="5">
        <f t="shared" si="101"/>
        <v>6</v>
      </c>
      <c r="AF2114" s="5">
        <f t="shared" si="102"/>
        <v>2026</v>
      </c>
    </row>
    <row r="2115" s="5" customFormat="1" ht="13">
      <c r="A2115" s="5">
        <v>12315</v>
      </c>
      <c r="B2115" s="5" t="s">
        <v>73</v>
      </c>
      <c r="C2115" s="5" t="s">
        <v>74</v>
      </c>
      <c r="D2115" s="5" t="s">
        <v>21</v>
      </c>
      <c r="E2115" s="5" t="s">
        <v>34</v>
      </c>
      <c r="F2115" s="5" t="s">
        <v>68</v>
      </c>
      <c r="G2115" s="5" t="s">
        <v>75</v>
      </c>
      <c r="H2115" s="9" t="s">
        <v>76</v>
      </c>
      <c r="I2115" s="10"/>
      <c r="J2115" s="10">
        <v>46204</v>
      </c>
      <c r="K2115" s="5" t="s">
        <v>77</v>
      </c>
      <c r="L2115" s="5" t="s">
        <v>50</v>
      </c>
      <c r="M2115" s="11">
        <v>0.055</v>
      </c>
      <c r="N2115" s="5" t="e">
        <f>IF(AND(M2115&gt;#REF!,Cartera!O2115="Guaraníes"),"Rendimiento significativo",IF(AND(M2115&gt;#REF!,Cartera!O2115="Dólares americanos"),"Rendimiento significativo","Rendimiento no significativo"))</f>
        <v>#REF!</v>
      </c>
      <c r="O2115" s="5" t="s">
        <v>51</v>
      </c>
      <c r="P2115" s="13">
        <v>411.36986999999999</v>
      </c>
      <c r="Q2115" s="12" t="e">
        <f>IF(O2115="Guaraníes",P2115,P2115*#REF!)</f>
        <v>#REF!</v>
      </c>
      <c r="R2115" s="12">
        <f>IF(O2115="Guaraníes",P2115/#REF!,P2115)</f>
        <v>411.36986999999999</v>
      </c>
      <c r="S2115" s="5" t="s">
        <v>42</v>
      </c>
      <c r="T2115" s="5">
        <v>25</v>
      </c>
      <c r="W2115" s="5" t="s">
        <v>65</v>
      </c>
      <c r="X2115" s="5">
        <v>0</v>
      </c>
      <c r="Y2115" s="5">
        <v>0</v>
      </c>
      <c r="Z2115" s="5">
        <v>13.712329</v>
      </c>
      <c r="AA2115" s="5">
        <v>30</v>
      </c>
      <c r="AB2115" s="5">
        <v>411.37</v>
      </c>
      <c r="AC2115" s="5" t="str">
        <f t="shared" si="103"/>
        <v>Bonos</v>
      </c>
      <c r="AD2115" s="5" t="s">
        <v>43</v>
      </c>
      <c r="AE2115" s="5">
        <f t="shared" si="101"/>
        <v>7</v>
      </c>
      <c r="AF2115" s="5">
        <f t="shared" si="102"/>
        <v>2026</v>
      </c>
    </row>
    <row r="2116" s="5" customFormat="1" ht="13">
      <c r="A2116" s="5">
        <v>12316</v>
      </c>
      <c r="B2116" s="5" t="s">
        <v>78</v>
      </c>
      <c r="C2116" s="5" t="s">
        <v>138</v>
      </c>
      <c r="D2116" s="5" t="s">
        <v>21</v>
      </c>
      <c r="E2116" s="5" t="s">
        <v>34</v>
      </c>
      <c r="F2116" s="5" t="s">
        <v>68</v>
      </c>
      <c r="G2116" s="5" t="s">
        <v>86</v>
      </c>
      <c r="H2116" s="9" t="s">
        <v>139</v>
      </c>
      <c r="I2116" s="10">
        <v>43948</v>
      </c>
      <c r="J2116" s="10">
        <v>46206</v>
      </c>
      <c r="K2116" s="5" t="s">
        <v>140</v>
      </c>
      <c r="L2116" s="5" t="s">
        <v>58</v>
      </c>
      <c r="M2116" s="11">
        <v>0.11</v>
      </c>
      <c r="N2116" s="5" t="e">
        <f>IF(AND(M2116&gt;#REF!,Cartera!O2116="Guaraníes"),"Rendimiento significativo",IF(AND(M2116&gt;#REF!,Cartera!O2116="Dólares americanos"),"Rendimiento significativo","Rendimiento no significativo"))</f>
        <v>#REF!</v>
      </c>
      <c r="O2116" s="5" t="s">
        <v>41</v>
      </c>
      <c r="P2116" s="12">
        <v>904109.58900000004</v>
      </c>
      <c r="Q2116" s="12">
        <f>IF(O2116="Guaraníes",P2116,P2116*#REF!)</f>
        <v>904109.58900000004</v>
      </c>
      <c r="R2116" s="12" t="e">
        <f>IF(O2116="Guaraníes",P2116/#REF!,P2116)</f>
        <v>#REF!</v>
      </c>
      <c r="S2116" s="5" t="s">
        <v>42</v>
      </c>
      <c r="AC2116" s="5" t="str">
        <f t="shared" si="103"/>
        <v>Bonos</v>
      </c>
      <c r="AD2116" s="5" t="s">
        <v>43</v>
      </c>
      <c r="AE2116" s="5">
        <f t="shared" si="101"/>
        <v>7</v>
      </c>
      <c r="AF2116" s="5">
        <f t="shared" si="102"/>
        <v>2026</v>
      </c>
    </row>
    <row r="2117" s="5" customFormat="1" ht="13">
      <c r="A2117" s="5">
        <v>12315</v>
      </c>
      <c r="B2117" s="5" t="s">
        <v>73</v>
      </c>
      <c r="C2117" s="5" t="s">
        <v>85</v>
      </c>
      <c r="D2117" s="5" t="s">
        <v>21</v>
      </c>
      <c r="E2117" s="5" t="s">
        <v>34</v>
      </c>
      <c r="F2117" s="5" t="s">
        <v>68</v>
      </c>
      <c r="G2117" s="5" t="s">
        <v>86</v>
      </c>
      <c r="H2117" s="9" t="s">
        <v>87</v>
      </c>
      <c r="I2117" s="10"/>
      <c r="J2117" s="10">
        <v>46219</v>
      </c>
      <c r="K2117" s="5" t="s">
        <v>39</v>
      </c>
      <c r="L2117" s="5" t="s">
        <v>58</v>
      </c>
      <c r="M2117" s="11">
        <v>0.059999999999999998</v>
      </c>
      <c r="N2117" s="5" t="e">
        <f>IF(AND(M2117&gt;#REF!,Cartera!O2117="Guaraníes"),"Rendimiento significativo",IF(AND(M2117&gt;#REF!,Cartera!O2117="Dólares americanos"),"Rendimiento significativo","Rendimiento no significativo"))</f>
        <v>#REF!</v>
      </c>
      <c r="O2117" s="5" t="s">
        <v>51</v>
      </c>
      <c r="P2117" s="13">
        <v>747.9452</v>
      </c>
      <c r="Q2117" s="12" t="e">
        <f>IF(O2117="Guaraníes",P2117,P2117*#REF!)</f>
        <v>#REF!</v>
      </c>
      <c r="R2117" s="12">
        <f>IF(O2117="Guaraníes",P2117/#REF!,P2117)</f>
        <v>747.9452</v>
      </c>
      <c r="S2117" s="5" t="s">
        <v>42</v>
      </c>
      <c r="T2117" s="5">
        <v>10834</v>
      </c>
      <c r="W2117" s="5" t="s">
        <v>396</v>
      </c>
      <c r="X2117" s="5">
        <v>0</v>
      </c>
      <c r="Y2117" s="5">
        <v>0</v>
      </c>
      <c r="Z2117" s="5">
        <v>14.958904</v>
      </c>
      <c r="AA2117" s="5">
        <v>50</v>
      </c>
      <c r="AB2117" s="5">
        <v>747.9452</v>
      </c>
      <c r="AC2117" s="5" t="str">
        <f t="shared" si="103"/>
        <v>Bonos</v>
      </c>
      <c r="AD2117" s="5" t="s">
        <v>43</v>
      </c>
      <c r="AE2117" s="5">
        <f t="shared" si="101"/>
        <v>7</v>
      </c>
      <c r="AF2117" s="5">
        <f t="shared" si="102"/>
        <v>2026</v>
      </c>
    </row>
    <row r="2118" s="5" customFormat="1" ht="13">
      <c r="A2118" s="5">
        <v>12315</v>
      </c>
      <c r="B2118" s="5" t="s">
        <v>73</v>
      </c>
      <c r="C2118" s="5" t="s">
        <v>54</v>
      </c>
      <c r="D2118" s="5" t="s">
        <v>21</v>
      </c>
      <c r="E2118" s="5" t="s">
        <v>34</v>
      </c>
      <c r="F2118" s="5" t="s">
        <v>46</v>
      </c>
      <c r="G2118" s="5" t="s">
        <v>55</v>
      </c>
      <c r="H2118" s="9" t="s">
        <v>56</v>
      </c>
      <c r="I2118" s="10">
        <v>44680</v>
      </c>
      <c r="J2118" s="10">
        <v>46227</v>
      </c>
      <c r="K2118" s="5" t="s">
        <v>57</v>
      </c>
      <c r="L2118" s="5" t="s">
        <v>58</v>
      </c>
      <c r="M2118" s="11">
        <v>0.059999999999999998</v>
      </c>
      <c r="N2118" s="5" t="e">
        <f>IF(AND(M2118&gt;#REF!,Cartera!O2118="Guaraníes"),"Rendimiento significativo",IF(AND(M2118&gt;#REF!,Cartera!O2118="Dólares americanos"),"Rendimiento significativo","Rendimiento no significativo"))</f>
        <v>#REF!</v>
      </c>
      <c r="O2118" s="5" t="s">
        <v>51</v>
      </c>
      <c r="P2118" s="13">
        <v>747.9452</v>
      </c>
      <c r="Q2118" s="12" t="e">
        <f>IF(O2118="Guaraníes",P2118,P2118*#REF!)</f>
        <v>#REF!</v>
      </c>
      <c r="R2118" s="12">
        <f>IF(O2118="Guaraníes",P2118/#REF!,P2118)</f>
        <v>747.9452</v>
      </c>
      <c r="S2118" s="5" t="s">
        <v>42</v>
      </c>
      <c r="T2118" s="5">
        <v>17035</v>
      </c>
      <c r="V2118" s="5">
        <v>14.960000000000001</v>
      </c>
      <c r="AA2118" s="5">
        <v>50</v>
      </c>
      <c r="AC2118" s="5" t="str">
        <f t="shared" si="103"/>
        <v>Bonos</v>
      </c>
      <c r="AD2118" s="5" t="s">
        <v>43</v>
      </c>
      <c r="AE2118" s="5">
        <f t="shared" si="101"/>
        <v>7</v>
      </c>
      <c r="AF2118" s="5">
        <f t="shared" si="102"/>
        <v>2026</v>
      </c>
    </row>
    <row r="2119" s="5" customFormat="1" ht="13">
      <c r="A2119" s="5">
        <v>12315</v>
      </c>
      <c r="B2119" s="5" t="s">
        <v>73</v>
      </c>
      <c r="C2119" s="5" t="s">
        <v>111</v>
      </c>
      <c r="D2119" s="5" t="s">
        <v>21</v>
      </c>
      <c r="E2119" s="5" t="s">
        <v>34</v>
      </c>
      <c r="F2119" s="12" t="s">
        <v>68</v>
      </c>
      <c r="G2119" s="12"/>
      <c r="H2119" s="9"/>
      <c r="I2119" s="10">
        <v>45497</v>
      </c>
      <c r="J2119" s="10">
        <v>46227</v>
      </c>
      <c r="L2119" s="5" t="s">
        <v>82</v>
      </c>
      <c r="M2119" s="11">
        <v>0.058000000000000003</v>
      </c>
      <c r="N2119" s="5" t="e">
        <f>IF(AND(M2119&gt;#REF!,Cartera!O2119="Guaraníes"),"Rendimiento significativo",IF(AND(M2119&gt;#REF!,Cartera!O2119="Dólares americanos"),"Rendimiento significativo","Rendimiento no significativo"))</f>
        <v>#REF!</v>
      </c>
      <c r="O2119" s="5" t="s">
        <v>51</v>
      </c>
      <c r="P2119" s="27">
        <v>317.79000000000002</v>
      </c>
      <c r="Q2119" s="12" t="e">
        <f>IF(O2119="Guaraníes",P2119,P2119*#REF!)</f>
        <v>#REF!</v>
      </c>
      <c r="R2119" s="12">
        <f>IF(O2119="Guaraníes",P2119/#REF!,P2119)</f>
        <v>317.79000000000002</v>
      </c>
      <c r="S2119" s="5" t="s">
        <v>120</v>
      </c>
      <c r="AC2119" s="5" t="str">
        <f t="shared" si="103"/>
        <v>CDA</v>
      </c>
      <c r="AD2119" s="5" t="s">
        <v>43</v>
      </c>
      <c r="AE2119" s="5">
        <f t="shared" si="101"/>
        <v>7</v>
      </c>
      <c r="AF2119" s="5">
        <f t="shared" si="102"/>
        <v>2026</v>
      </c>
    </row>
    <row r="2120" s="5" customFormat="1" ht="13">
      <c r="A2120" s="5" t="s">
        <v>44</v>
      </c>
      <c r="B2120" s="5" t="s">
        <v>44</v>
      </c>
      <c r="C2120" s="5" t="s">
        <v>389</v>
      </c>
      <c r="D2120" s="5" t="s">
        <v>21</v>
      </c>
      <c r="E2120" s="5" t="s">
        <v>44</v>
      </c>
      <c r="F2120" s="5" t="s">
        <v>68</v>
      </c>
      <c r="G2120" s="5" t="s">
        <v>141</v>
      </c>
      <c r="H2120" s="9" t="s">
        <v>390</v>
      </c>
      <c r="I2120" s="10"/>
      <c r="J2120" s="10">
        <v>46078</v>
      </c>
      <c r="K2120" s="5" t="s">
        <v>391</v>
      </c>
      <c r="L2120" s="5" t="s">
        <v>58</v>
      </c>
      <c r="M2120" s="11">
        <v>0.1125</v>
      </c>
      <c r="N2120" s="5" t="e">
        <f>IF(AND(M2120&gt;#REF!,Cartera!O2120="Guaraníes"),"Rendimiento significativo",IF(AND(M2120&gt;#REF!,Cartera!O2120="Dólares americanos"),"Rendimiento significativo","Rendimiento no significativo"))</f>
        <v>#REF!</v>
      </c>
      <c r="O2120" s="5" t="s">
        <v>41</v>
      </c>
      <c r="P2120" s="12">
        <v>841438.35615000001</v>
      </c>
      <c r="Q2120" s="12">
        <f>IF(O2120="Guaraníes",P2120,P2120*#REF!)</f>
        <v>841438.35615000001</v>
      </c>
      <c r="R2120" s="12" t="e">
        <f>IF(O2120="Guaraníes",P2120/#REF!,P2120)</f>
        <v>#REF!</v>
      </c>
      <c r="S2120" s="5" t="s">
        <v>52</v>
      </c>
      <c r="T2120" s="5">
        <v>9243</v>
      </c>
      <c r="W2120" s="5" t="s">
        <v>65</v>
      </c>
      <c r="X2120" s="5">
        <v>0</v>
      </c>
      <c r="Y2120" s="5">
        <v>0</v>
      </c>
      <c r="Z2120" s="5">
        <v>28047.945205</v>
      </c>
      <c r="AA2120" s="5">
        <v>30</v>
      </c>
      <c r="AB2120" s="5">
        <v>841438.35615000001</v>
      </c>
      <c r="AC2120" s="5" t="str">
        <f t="shared" si="103"/>
        <v>Bonos</v>
      </c>
      <c r="AD2120" s="5" t="s">
        <v>43</v>
      </c>
      <c r="AE2120" s="5">
        <f t="shared" si="101"/>
        <v>2</v>
      </c>
      <c r="AF2120" s="5">
        <f t="shared" si="102"/>
        <v>2026</v>
      </c>
    </row>
    <row r="2121" s="5" customFormat="1" ht="13">
      <c r="A2121" s="5">
        <v>12316</v>
      </c>
      <c r="B2121" s="5" t="s">
        <v>78</v>
      </c>
      <c r="C2121" s="5" t="s">
        <v>111</v>
      </c>
      <c r="D2121" s="5" t="s">
        <v>21</v>
      </c>
      <c r="E2121" s="5" t="s">
        <v>34</v>
      </c>
      <c r="F2121" s="12" t="s">
        <v>68</v>
      </c>
      <c r="G2121" s="12"/>
      <c r="H2121" s="19"/>
      <c r="I2121" s="10">
        <v>45497</v>
      </c>
      <c r="J2121" s="10">
        <v>46227</v>
      </c>
      <c r="K2121" s="12"/>
      <c r="L2121" s="5" t="s">
        <v>82</v>
      </c>
      <c r="M2121" s="11">
        <v>0.073999999999999996</v>
      </c>
      <c r="N2121" s="5" t="e">
        <f>IF(AND(M2121&gt;#REF!,Cartera!O2121="Guaraníes"),"Rendimiento significativo",IF(AND(M2121&gt;#REF!,Cartera!O2121="Dólares americanos"),"Rendimiento significativo","Rendimiento no significativo"))</f>
        <v>#REF!</v>
      </c>
      <c r="O2121" s="5" t="s">
        <v>41</v>
      </c>
      <c r="P2121" s="15">
        <v>3547944</v>
      </c>
      <c r="Q2121" s="12">
        <f>IF(O2121="Guaraníes",P2121,P2121*#REF!)</f>
        <v>3547944</v>
      </c>
      <c r="R2121" s="12" t="e">
        <f>IF(O2121="Guaraníes",P2121/#REF!,P2121)</f>
        <v>#REF!</v>
      </c>
      <c r="S2121" s="5" t="s">
        <v>120</v>
      </c>
      <c r="AC2121" s="5" t="str">
        <f t="shared" si="103"/>
        <v>CDA</v>
      </c>
      <c r="AD2121" s="5" t="s">
        <v>43</v>
      </c>
      <c r="AE2121" s="5">
        <f t="shared" si="101"/>
        <v>7</v>
      </c>
      <c r="AF2121" s="5">
        <f t="shared" si="102"/>
        <v>2026</v>
      </c>
    </row>
    <row r="2122" s="5" customFormat="1" ht="13">
      <c r="A2122" s="5">
        <v>12315</v>
      </c>
      <c r="B2122" s="5" t="s">
        <v>73</v>
      </c>
      <c r="C2122" s="5" t="s">
        <v>33</v>
      </c>
      <c r="D2122" s="5" t="s">
        <v>21</v>
      </c>
      <c r="E2122" s="5" t="s">
        <v>34</v>
      </c>
      <c r="F2122" s="5" t="s">
        <v>35</v>
      </c>
      <c r="G2122" s="5" t="s">
        <v>141</v>
      </c>
      <c r="H2122" s="9" t="s">
        <v>142</v>
      </c>
      <c r="I2122" s="10">
        <v>44956</v>
      </c>
      <c r="J2122" s="10">
        <v>46231</v>
      </c>
      <c r="K2122" s="5" t="s">
        <v>39</v>
      </c>
      <c r="L2122" s="5" t="s">
        <v>50</v>
      </c>
      <c r="M2122" s="11">
        <v>0.065000000000000002</v>
      </c>
      <c r="N2122" s="5" t="e">
        <f>IF(AND(M2122&gt;#REF!,Cartera!O2122="Guaraníes"),"Rendimiento significativo",IF(AND(M2122&gt;#REF!,Cartera!O2122="Dólares americanos"),"Rendimiento significativo","Rendimiento no significativo"))</f>
        <v>#REF!</v>
      </c>
      <c r="O2122" s="5" t="s">
        <v>51</v>
      </c>
      <c r="P2122" s="13">
        <v>1296.43832</v>
      </c>
      <c r="Q2122" s="12" t="e">
        <f>IF(O2122="Guaraníes",P2122,P2122*#REF!)</f>
        <v>#REF!</v>
      </c>
      <c r="R2122" s="12">
        <f>IF(O2122="Guaraníes",P2122/#REF!,P2122)</f>
        <v>1296.43832</v>
      </c>
      <c r="S2122" s="5" t="s">
        <v>42</v>
      </c>
      <c r="AC2122" s="5" t="str">
        <f t="shared" si="103"/>
        <v>Bonos</v>
      </c>
      <c r="AD2122" s="5" t="s">
        <v>43</v>
      </c>
      <c r="AE2122" s="5">
        <f t="shared" si="101"/>
        <v>7</v>
      </c>
      <c r="AF2122" s="5">
        <f t="shared" si="102"/>
        <v>2026</v>
      </c>
    </row>
    <row r="2123" s="5" customFormat="1" ht="13">
      <c r="A2123" s="5">
        <v>12301</v>
      </c>
      <c r="B2123" s="5" t="s">
        <v>107</v>
      </c>
      <c r="C2123" s="5" t="s">
        <v>189</v>
      </c>
      <c r="D2123" s="5" t="s">
        <v>20</v>
      </c>
      <c r="E2123" s="5" t="s">
        <v>34</v>
      </c>
      <c r="F2123" s="5" t="s">
        <v>190</v>
      </c>
      <c r="G2123" s="5" t="s">
        <v>141</v>
      </c>
      <c r="H2123" s="9" t="s">
        <v>191</v>
      </c>
      <c r="I2123" s="10">
        <v>44315</v>
      </c>
      <c r="J2123" s="10">
        <v>46106</v>
      </c>
      <c r="K2123" s="5" t="s">
        <v>77</v>
      </c>
      <c r="L2123" s="5" t="s">
        <v>58</v>
      </c>
      <c r="M2123" s="11">
        <v>0.089999999999999997</v>
      </c>
      <c r="N2123" s="5" t="e">
        <f>IF(AND(M2123&gt;#REF!,Cartera!O2123="Guaraníes"),"Rendimiento significativo",IF(AND(M2123&gt;#REF!,Cartera!O2123="Dólares americanos"),"Rendimiento significativo","Rendimiento no significativo"))</f>
        <v>#REF!</v>
      </c>
      <c r="O2123" s="5" t="s">
        <v>41</v>
      </c>
      <c r="P2123" s="12">
        <v>300000000</v>
      </c>
      <c r="Q2123" s="12">
        <f>IF(O2123="Guaraníes",P2123,P2123*#REF!)</f>
        <v>300000000</v>
      </c>
      <c r="R2123" s="12" t="e">
        <f>IF(O2123="Guaraníes",P2123/#REF!,P2123)</f>
        <v>#REF!</v>
      </c>
      <c r="S2123" s="5" t="s">
        <v>42</v>
      </c>
      <c r="AC2123" s="5" t="str">
        <f t="shared" si="103"/>
        <v>Bonos</v>
      </c>
      <c r="AD2123" s="5" t="s">
        <v>43</v>
      </c>
      <c r="AE2123" s="5">
        <f t="shared" si="101"/>
        <v>3</v>
      </c>
      <c r="AF2123" s="5">
        <f t="shared" si="102"/>
        <v>2026</v>
      </c>
    </row>
    <row r="2124" s="5" customFormat="1" ht="13">
      <c r="A2124" s="5">
        <v>12316</v>
      </c>
      <c r="B2124" s="5" t="s">
        <v>78</v>
      </c>
      <c r="C2124" s="5" t="s">
        <v>164</v>
      </c>
      <c r="D2124" s="5" t="s">
        <v>21</v>
      </c>
      <c r="E2124" s="5" t="s">
        <v>34</v>
      </c>
      <c r="F2124" s="5" t="s">
        <v>68</v>
      </c>
      <c r="G2124" s="5" t="s">
        <v>145</v>
      </c>
      <c r="H2124" s="9" t="s">
        <v>165</v>
      </c>
      <c r="I2124" s="10"/>
      <c r="J2124" s="10">
        <v>46234</v>
      </c>
      <c r="K2124" s="5" t="s">
        <v>124</v>
      </c>
      <c r="L2124" s="5" t="s">
        <v>58</v>
      </c>
      <c r="M2124" s="11">
        <v>0.10000000000000001</v>
      </c>
      <c r="N2124" s="5" t="e">
        <f>IF(AND(M2124&gt;#REF!,Cartera!O2124="Guaraníes"),"Rendimiento significativo",IF(AND(M2124&gt;#REF!,Cartera!O2124="Dólares americanos"),"Rendimiento significativo","Rendimiento no significativo"))</f>
        <v>#REF!</v>
      </c>
      <c r="O2124" s="5" t="s">
        <v>41</v>
      </c>
      <c r="P2124" s="12">
        <v>3397260.2740000002</v>
      </c>
      <c r="Q2124" s="12">
        <f>IF(O2124="Guaraníes",P2124,P2124*#REF!)</f>
        <v>3397260.2740000002</v>
      </c>
      <c r="R2124" s="12" t="e">
        <f>IF(O2124="Guaraníes",P2124/#REF!,P2124)</f>
        <v>#REF!</v>
      </c>
      <c r="S2124" s="5" t="s">
        <v>42</v>
      </c>
      <c r="T2124" s="5">
        <v>1057</v>
      </c>
      <c r="W2124" s="5" t="s">
        <v>65</v>
      </c>
      <c r="X2124" s="5">
        <v>0</v>
      </c>
      <c r="Y2124" s="5">
        <v>0</v>
      </c>
      <c r="Z2124" s="5">
        <v>8493.1506850000005</v>
      </c>
      <c r="AA2124" s="5">
        <v>400</v>
      </c>
      <c r="AB2124" s="5">
        <v>3397260.2740000002</v>
      </c>
      <c r="AC2124" s="5" t="str">
        <f t="shared" si="103"/>
        <v>Bonos</v>
      </c>
      <c r="AD2124" s="5" t="s">
        <v>43</v>
      </c>
      <c r="AE2124" s="5">
        <f t="shared" si="101"/>
        <v>7</v>
      </c>
      <c r="AF2124" s="5">
        <f t="shared" si="102"/>
        <v>2026</v>
      </c>
    </row>
    <row r="2125" s="5" customFormat="1" ht="13">
      <c r="A2125" s="5">
        <v>12316</v>
      </c>
      <c r="B2125" s="5" t="s">
        <v>78</v>
      </c>
      <c r="C2125" s="5" t="s">
        <v>164</v>
      </c>
      <c r="D2125" s="5" t="s">
        <v>21</v>
      </c>
      <c r="E2125" s="5" t="s">
        <v>34</v>
      </c>
      <c r="F2125" s="5" t="s">
        <v>68</v>
      </c>
      <c r="G2125" s="5" t="s">
        <v>141</v>
      </c>
      <c r="H2125" s="9" t="s">
        <v>165</v>
      </c>
      <c r="I2125" s="10"/>
      <c r="J2125" s="10">
        <v>46234</v>
      </c>
      <c r="K2125" s="5" t="s">
        <v>124</v>
      </c>
      <c r="L2125" s="5" t="s">
        <v>58</v>
      </c>
      <c r="M2125" s="11">
        <v>0.10000000000000001</v>
      </c>
      <c r="N2125" s="5" t="e">
        <f>IF(AND(M2125&gt;#REF!,Cartera!O2125="Guaraníes"),"Rendimiento significativo",IF(AND(M2125&gt;#REF!,Cartera!O2125="Dólares americanos"),"Rendimiento significativo","Rendimiento no significativo"))</f>
        <v>#REF!</v>
      </c>
      <c r="O2125" s="5" t="s">
        <v>41</v>
      </c>
      <c r="P2125" s="12">
        <v>849315.06850000005</v>
      </c>
      <c r="Q2125" s="12">
        <f>IF(O2125="Guaraníes",P2125,P2125*#REF!)</f>
        <v>849315.06850000005</v>
      </c>
      <c r="R2125" s="12" t="e">
        <f>IF(O2125="Guaraníes",P2125/#REF!,P2125)</f>
        <v>#REF!</v>
      </c>
      <c r="S2125" s="5" t="s">
        <v>42</v>
      </c>
      <c r="T2125" s="5">
        <v>9243</v>
      </c>
      <c r="W2125" s="5" t="s">
        <v>65</v>
      </c>
      <c r="X2125" s="5">
        <v>0</v>
      </c>
      <c r="Y2125" s="5">
        <v>0</v>
      </c>
      <c r="Z2125" s="5">
        <v>8493.1506850000005</v>
      </c>
      <c r="AA2125" s="5">
        <v>100</v>
      </c>
      <c r="AB2125" s="5">
        <v>849315.06850000005</v>
      </c>
      <c r="AC2125" s="5" t="str">
        <f t="shared" si="103"/>
        <v>Bonos</v>
      </c>
      <c r="AD2125" s="5" t="s">
        <v>43</v>
      </c>
      <c r="AE2125" s="5">
        <f t="shared" si="101"/>
        <v>7</v>
      </c>
      <c r="AF2125" s="5">
        <f t="shared" si="102"/>
        <v>2026</v>
      </c>
    </row>
    <row r="2126" s="5" customFormat="1" ht="13">
      <c r="A2126" s="5">
        <v>12316</v>
      </c>
      <c r="B2126" s="5" t="s">
        <v>78</v>
      </c>
      <c r="C2126" s="5" t="s">
        <v>164</v>
      </c>
      <c r="D2126" s="5" t="s">
        <v>21</v>
      </c>
      <c r="E2126" s="5" t="s">
        <v>34</v>
      </c>
      <c r="F2126" s="5" t="s">
        <v>68</v>
      </c>
      <c r="G2126" s="5" t="s">
        <v>141</v>
      </c>
      <c r="H2126" s="9" t="s">
        <v>167</v>
      </c>
      <c r="I2126" s="10"/>
      <c r="J2126" s="10">
        <v>46234</v>
      </c>
      <c r="K2126" s="5" t="s">
        <v>124</v>
      </c>
      <c r="L2126" s="5" t="s">
        <v>58</v>
      </c>
      <c r="M2126" s="11">
        <v>0.092499999999999999</v>
      </c>
      <c r="N2126" s="5" t="e">
        <f>IF(AND(M2126&gt;#REF!,Cartera!O2126="Guaraníes"),"Rendimiento significativo",IF(AND(M2126&gt;#REF!,Cartera!O2126="Dólares americanos"),"Rendimiento significativo","Rendimiento no significativo"))</f>
        <v>#REF!</v>
      </c>
      <c r="O2126" s="5" t="s">
        <v>41</v>
      </c>
      <c r="P2126" s="12">
        <v>785616.43839999998</v>
      </c>
      <c r="Q2126" s="12">
        <f>IF(O2126="Guaraníes",P2126,P2126*#REF!)</f>
        <v>785616.43839999998</v>
      </c>
      <c r="R2126" s="12" t="e">
        <f>IF(O2126="Guaraníes",P2126/#REF!,P2126)</f>
        <v>#REF!</v>
      </c>
      <c r="S2126" s="5" t="s">
        <v>42</v>
      </c>
      <c r="T2126" s="5">
        <v>9243</v>
      </c>
      <c r="W2126" s="5" t="s">
        <v>65</v>
      </c>
      <c r="X2126" s="5">
        <v>0</v>
      </c>
      <c r="Y2126" s="5">
        <v>0</v>
      </c>
      <c r="Z2126" s="5">
        <v>7856.1643839999997</v>
      </c>
      <c r="AA2126" s="5">
        <v>100</v>
      </c>
      <c r="AB2126" s="5">
        <v>785616.43839999998</v>
      </c>
      <c r="AC2126" s="5" t="str">
        <f t="shared" si="103"/>
        <v>Bonos</v>
      </c>
      <c r="AD2126" s="5" t="s">
        <v>43</v>
      </c>
      <c r="AE2126" s="5">
        <f t="shared" si="101"/>
        <v>7</v>
      </c>
      <c r="AF2126" s="5">
        <f t="shared" si="102"/>
        <v>2026</v>
      </c>
    </row>
    <row r="2127" s="5" customFormat="1" ht="13">
      <c r="A2127" s="5">
        <v>12316</v>
      </c>
      <c r="B2127" s="5" t="s">
        <v>78</v>
      </c>
      <c r="C2127" s="5" t="s">
        <v>138</v>
      </c>
      <c r="D2127" s="5" t="s">
        <v>21</v>
      </c>
      <c r="E2127" s="5" t="s">
        <v>34</v>
      </c>
      <c r="F2127" s="5" t="s">
        <v>68</v>
      </c>
      <c r="G2127" s="5" t="s">
        <v>86</v>
      </c>
      <c r="H2127" s="9" t="s">
        <v>139</v>
      </c>
      <c r="I2127" s="10">
        <v>43948</v>
      </c>
      <c r="J2127" s="10">
        <v>46237</v>
      </c>
      <c r="K2127" s="5" t="s">
        <v>140</v>
      </c>
      <c r="L2127" s="5" t="s">
        <v>58</v>
      </c>
      <c r="M2127" s="11">
        <v>0.11</v>
      </c>
      <c r="N2127" s="5" t="e">
        <f>IF(AND(M2127&gt;#REF!,Cartera!O2127="Guaraníes"),"Rendimiento significativo",IF(AND(M2127&gt;#REF!,Cartera!O2127="Dólares americanos"),"Rendimiento significativo","Rendimiento no significativo"))</f>
        <v>#REF!</v>
      </c>
      <c r="O2127" s="5" t="s">
        <v>41</v>
      </c>
      <c r="P2127" s="12">
        <v>925027.97950000002</v>
      </c>
      <c r="Q2127" s="12">
        <f>IF(O2127="Guaraníes",P2127,P2127*#REF!)</f>
        <v>925027.97950000002</v>
      </c>
      <c r="R2127" s="12" t="e">
        <f>IF(O2127="Guaraníes",P2127/#REF!,P2127)</f>
        <v>#REF!</v>
      </c>
      <c r="S2127" s="5" t="s">
        <v>42</v>
      </c>
      <c r="AC2127" s="5" t="str">
        <f t="shared" si="103"/>
        <v>Bonos</v>
      </c>
      <c r="AD2127" s="5" t="s">
        <v>43</v>
      </c>
      <c r="AE2127" s="5">
        <f t="shared" si="101"/>
        <v>8</v>
      </c>
      <c r="AF2127" s="5">
        <f t="shared" si="102"/>
        <v>2026</v>
      </c>
    </row>
    <row r="2128" s="5" customFormat="1" ht="13">
      <c r="A2128" s="5" t="s">
        <v>44</v>
      </c>
      <c r="B2128" s="5" t="s">
        <v>44</v>
      </c>
      <c r="C2128" s="5" t="s">
        <v>389</v>
      </c>
      <c r="D2128" s="5" t="s">
        <v>21</v>
      </c>
      <c r="E2128" s="5" t="s">
        <v>44</v>
      </c>
      <c r="F2128" s="5" t="s">
        <v>68</v>
      </c>
      <c r="G2128" s="5" t="s">
        <v>141</v>
      </c>
      <c r="H2128" s="9" t="s">
        <v>390</v>
      </c>
      <c r="I2128" s="10"/>
      <c r="J2128" s="10">
        <v>46169</v>
      </c>
      <c r="K2128" s="5" t="s">
        <v>391</v>
      </c>
      <c r="L2128" s="5" t="s">
        <v>58</v>
      </c>
      <c r="M2128" s="11">
        <v>0.1125</v>
      </c>
      <c r="N2128" s="5" t="e">
        <f>IF(AND(M2128&gt;#REF!,Cartera!O2128="Guaraníes"),"Rendimiento significativo",IF(AND(M2128&gt;#REF!,Cartera!O2128="Dólares americanos"),"Rendimiento significativo","Rendimiento no significativo"))</f>
        <v>#REF!</v>
      </c>
      <c r="O2128" s="5" t="s">
        <v>41</v>
      </c>
      <c r="P2128" s="12">
        <v>841438.35615000001</v>
      </c>
      <c r="Q2128" s="12">
        <f>IF(O2128="Guaraníes",P2128,P2128*#REF!)</f>
        <v>841438.35615000001</v>
      </c>
      <c r="R2128" s="12" t="e">
        <f>IF(O2128="Guaraníes",P2128/#REF!,P2128)</f>
        <v>#REF!</v>
      </c>
      <c r="S2128" s="5" t="s">
        <v>52</v>
      </c>
      <c r="T2128" s="5">
        <v>9243</v>
      </c>
      <c r="W2128" s="5" t="s">
        <v>65</v>
      </c>
      <c r="X2128" s="5">
        <v>0</v>
      </c>
      <c r="Y2128" s="5">
        <v>0</v>
      </c>
      <c r="Z2128" s="5">
        <v>28047.945205</v>
      </c>
      <c r="AA2128" s="5">
        <v>30</v>
      </c>
      <c r="AB2128" s="5">
        <v>841438.35615000001</v>
      </c>
      <c r="AC2128" s="5" t="str">
        <f t="shared" si="103"/>
        <v>Bonos</v>
      </c>
      <c r="AD2128" s="5" t="s">
        <v>43</v>
      </c>
      <c r="AE2128" s="5">
        <f t="shared" si="101"/>
        <v>5</v>
      </c>
      <c r="AF2128" s="5">
        <f t="shared" si="102"/>
        <v>2026</v>
      </c>
    </row>
    <row r="2129" s="5" customFormat="1" ht="13">
      <c r="A2129" s="5">
        <v>12316</v>
      </c>
      <c r="B2129" s="5" t="s">
        <v>78</v>
      </c>
      <c r="C2129" s="5" t="s">
        <v>99</v>
      </c>
      <c r="D2129" s="5" t="s">
        <v>21</v>
      </c>
      <c r="E2129" s="5" t="s">
        <v>34</v>
      </c>
      <c r="F2129" s="5" t="s">
        <v>100</v>
      </c>
      <c r="G2129" s="5" t="s">
        <v>91</v>
      </c>
      <c r="H2129" s="9" t="s">
        <v>174</v>
      </c>
      <c r="I2129" s="10">
        <v>44971</v>
      </c>
      <c r="J2129" s="10">
        <v>46249</v>
      </c>
      <c r="K2129" s="5" t="s">
        <v>102</v>
      </c>
      <c r="L2129" s="5" t="s">
        <v>102</v>
      </c>
      <c r="M2129" s="11">
        <v>0.090300000000000005</v>
      </c>
      <c r="N2129" s="5" t="e">
        <f>IF(AND(M2129&gt;#REF!,Cartera!O2129="Guaraníes"),"Rendimiento significativo",IF(AND(M2129&gt;#REF!,Cartera!O2129="Dólares americanos"),"Rendimiento significativo","Rendimiento no significativo"))</f>
        <v>#REF!</v>
      </c>
      <c r="O2129" s="5" t="s">
        <v>41</v>
      </c>
      <c r="P2129" s="12">
        <v>20407800</v>
      </c>
      <c r="Q2129" s="12">
        <f>IF(O2129="Guaraníes",P2129,P2129*#REF!)</f>
        <v>20407800</v>
      </c>
      <c r="R2129" s="12" t="e">
        <f>IF(O2129="Guaraníes",P2129/#REF!,P2129)</f>
        <v>#REF!</v>
      </c>
      <c r="S2129" s="5" t="s">
        <v>42</v>
      </c>
      <c r="AC2129" s="5" t="str">
        <f t="shared" si="103"/>
        <v>Bonos</v>
      </c>
      <c r="AD2129" s="5" t="s">
        <v>43</v>
      </c>
      <c r="AE2129" s="5">
        <f t="shared" si="101"/>
        <v>8</v>
      </c>
      <c r="AF2129" s="5">
        <f t="shared" si="102"/>
        <v>2026</v>
      </c>
    </row>
    <row r="2130" s="5" customFormat="1" ht="13">
      <c r="A2130" s="5">
        <v>12316</v>
      </c>
      <c r="B2130" s="5" t="s">
        <v>78</v>
      </c>
      <c r="C2130" s="5" t="s">
        <v>94</v>
      </c>
      <c r="D2130" s="5" t="s">
        <v>21</v>
      </c>
      <c r="E2130" s="5" t="s">
        <v>34</v>
      </c>
      <c r="F2130" s="5" t="s">
        <v>68</v>
      </c>
      <c r="H2130" s="9" t="s">
        <v>182</v>
      </c>
      <c r="I2130" s="10">
        <v>45530</v>
      </c>
      <c r="J2130" s="10">
        <v>46250</v>
      </c>
      <c r="L2130" s="5" t="s">
        <v>82</v>
      </c>
      <c r="M2130" s="11">
        <v>0.082500000000000004</v>
      </c>
      <c r="N2130" s="5" t="e">
        <f>IF(AND(M2130&gt;#REF!,Cartera!O2130="Guaraníes"),"Rendimiento significativo",IF(AND(M2130&gt;#REF!,Cartera!O2130="Dólares americanos"),"Rendimiento significativo","Rendimiento no significativo"))</f>
        <v>#REF!</v>
      </c>
      <c r="O2130" s="5" t="s">
        <v>41</v>
      </c>
      <c r="P2130" s="13">
        <v>4068493</v>
      </c>
      <c r="Q2130" s="12">
        <f>IF(O2130="Guaraníes",P2130,P2130*#REF!)</f>
        <v>4068493</v>
      </c>
      <c r="R2130" s="13" t="e">
        <f>IF(O2130="Guaraníes",P2130/#REF!,P2130)</f>
        <v>#REF!</v>
      </c>
      <c r="S2130" s="5" t="s">
        <v>120</v>
      </c>
      <c r="AC2130" s="5" t="str">
        <f t="shared" si="103"/>
        <v>CDA</v>
      </c>
      <c r="AD2130" s="5" t="s">
        <v>43</v>
      </c>
      <c r="AE2130" s="5">
        <f t="shared" ref="AE2130:AE2193" si="104">IFERROR((MONTH(J2130)),0)</f>
        <v>8</v>
      </c>
      <c r="AF2130" s="5">
        <f t="shared" ref="AF2130:AF2193" si="105">IFERROR((YEAR(J2130)),0)</f>
        <v>2026</v>
      </c>
    </row>
    <row r="2131" s="5" customFormat="1" ht="13">
      <c r="A2131" s="5">
        <v>12315</v>
      </c>
      <c r="B2131" s="5" t="s">
        <v>73</v>
      </c>
      <c r="C2131" s="5" t="s">
        <v>45</v>
      </c>
      <c r="D2131" s="5" t="s">
        <v>21</v>
      </c>
      <c r="E2131" s="5" t="s">
        <v>34</v>
      </c>
      <c r="F2131" s="5" t="s">
        <v>46</v>
      </c>
      <c r="G2131" s="5" t="s">
        <v>55</v>
      </c>
      <c r="H2131" s="9" t="s">
        <v>108</v>
      </c>
      <c r="I2131" s="10">
        <v>44704</v>
      </c>
      <c r="J2131" s="10">
        <v>46251</v>
      </c>
      <c r="K2131" s="5" t="s">
        <v>49</v>
      </c>
      <c r="L2131" s="5" t="s">
        <v>58</v>
      </c>
      <c r="M2131" s="11">
        <v>0.059999999999999998</v>
      </c>
      <c r="N2131" s="5" t="e">
        <f>IF(AND(M2131&gt;#REF!,Cartera!O2131="Guaraníes"),"Rendimiento significativo",IF(AND(M2131&gt;#REF!,Cartera!O2131="Dólares americanos"),"Rendimiento significativo","Rendimiento no significativo"))</f>
        <v>#REF!</v>
      </c>
      <c r="O2131" s="5" t="s">
        <v>51</v>
      </c>
      <c r="P2131" s="13">
        <v>373.9726</v>
      </c>
      <c r="Q2131" s="12" t="e">
        <f>IF(O2131="Guaraníes",P2131,P2131*#REF!)</f>
        <v>#REF!</v>
      </c>
      <c r="R2131" s="12">
        <f>IF(O2131="Guaraníes",P2131/#REF!,P2131)</f>
        <v>373.9726</v>
      </c>
      <c r="S2131" s="5" t="s">
        <v>42</v>
      </c>
      <c r="V2131" s="5">
        <v>14.958904</v>
      </c>
      <c r="AA2131" s="5">
        <v>25</v>
      </c>
      <c r="AC2131" s="5" t="str">
        <f t="shared" si="103"/>
        <v>Bonos</v>
      </c>
      <c r="AD2131" s="5" t="s">
        <v>43</v>
      </c>
      <c r="AE2131" s="5">
        <f t="shared" si="104"/>
        <v>8</v>
      </c>
      <c r="AF2131" s="5">
        <f t="shared" si="105"/>
        <v>2026</v>
      </c>
    </row>
    <row r="2132" s="5" customFormat="1" ht="13">
      <c r="A2132" s="5">
        <v>12315</v>
      </c>
      <c r="B2132" s="5" t="s">
        <v>73</v>
      </c>
      <c r="C2132" s="5" t="s">
        <v>45</v>
      </c>
      <c r="D2132" s="5" t="s">
        <v>21</v>
      </c>
      <c r="E2132" s="5" t="s">
        <v>34</v>
      </c>
      <c r="F2132" s="5" t="s">
        <v>46</v>
      </c>
      <c r="G2132" s="5" t="s">
        <v>86</v>
      </c>
      <c r="H2132" s="9" t="s">
        <v>108</v>
      </c>
      <c r="I2132" s="10">
        <v>44704</v>
      </c>
      <c r="J2132" s="10">
        <v>46251</v>
      </c>
      <c r="K2132" s="5" t="s">
        <v>49</v>
      </c>
      <c r="L2132" s="5" t="s">
        <v>58</v>
      </c>
      <c r="M2132" s="11">
        <v>0.059999999999999998</v>
      </c>
      <c r="N2132" s="5" t="e">
        <f>IF(AND(M2132&gt;#REF!,Cartera!O2132="Guaraníes"),"Rendimiento significativo",IF(AND(M2132&gt;#REF!,Cartera!O2132="Dólares americanos"),"Rendimiento significativo","Rendimiento no significativo"))</f>
        <v>#REF!</v>
      </c>
      <c r="O2132" s="5" t="s">
        <v>51</v>
      </c>
      <c r="P2132" s="13">
        <v>478.68492800000001</v>
      </c>
      <c r="Q2132" s="12" t="e">
        <f>IF(O2132="Guaraníes",P2132,P2132*#REF!)</f>
        <v>#REF!</v>
      </c>
      <c r="R2132" s="12">
        <f>IF(O2132="Guaraníes",P2132/#REF!,P2132)</f>
        <v>478.68492800000001</v>
      </c>
      <c r="S2132" s="5" t="s">
        <v>42</v>
      </c>
      <c r="AA2132" s="5">
        <v>32</v>
      </c>
      <c r="AC2132" s="5" t="str">
        <f t="shared" si="103"/>
        <v>Bonos</v>
      </c>
      <c r="AD2132" s="5" t="s">
        <v>43</v>
      </c>
      <c r="AE2132" s="5">
        <f t="shared" si="104"/>
        <v>8</v>
      </c>
      <c r="AF2132" s="5">
        <f t="shared" si="105"/>
        <v>2026</v>
      </c>
    </row>
    <row r="2133" s="5" customFormat="1" ht="13">
      <c r="A2133" s="5">
        <v>12315</v>
      </c>
      <c r="B2133" s="5" t="s">
        <v>73</v>
      </c>
      <c r="C2133" s="5" t="s">
        <v>176</v>
      </c>
      <c r="D2133" s="5" t="s">
        <v>21</v>
      </c>
      <c r="E2133" s="5" t="s">
        <v>34</v>
      </c>
      <c r="F2133" s="5" t="s">
        <v>68</v>
      </c>
      <c r="G2133" s="5" t="s">
        <v>91</v>
      </c>
      <c r="H2133" s="9" t="s">
        <v>177</v>
      </c>
      <c r="I2133" s="10"/>
      <c r="J2133" s="10">
        <v>46253</v>
      </c>
      <c r="K2133" s="5" t="s">
        <v>178</v>
      </c>
      <c r="L2133" s="5" t="s">
        <v>58</v>
      </c>
      <c r="M2133" s="11">
        <v>0.085000000000000006</v>
      </c>
      <c r="N2133" s="5" t="e">
        <f>IF(AND(M2133&gt;#REF!,Cartera!O2133="Guaraníes"),"Rendimiento significativo",IF(AND(M2133&gt;#REF!,Cartera!O2133="Dólares americanos"),"Rendimiento significativo","Rendimiento no significativo"))</f>
        <v>#REF!</v>
      </c>
      <c r="O2133" s="5" t="s">
        <v>51</v>
      </c>
      <c r="P2133" s="13">
        <v>560.95890000000009</v>
      </c>
      <c r="Q2133" s="12" t="e">
        <f>IF(O2133="Guaraníes",P2133,P2133*#REF!)</f>
        <v>#REF!</v>
      </c>
      <c r="R2133" s="12">
        <f>IF(O2133="Guaraníes",P2133/#REF!,P2133)</f>
        <v>560.95890000000009</v>
      </c>
      <c r="S2133" s="5" t="s">
        <v>42</v>
      </c>
      <c r="T2133" s="5">
        <v>3253</v>
      </c>
      <c r="W2133" s="5" t="s">
        <v>65</v>
      </c>
      <c r="X2133" s="5">
        <v>0</v>
      </c>
      <c r="Y2133" s="5">
        <v>0</v>
      </c>
      <c r="Z2133" s="5">
        <v>18.698630000000001</v>
      </c>
      <c r="AA2133" s="5">
        <v>30</v>
      </c>
      <c r="AB2133" s="5">
        <v>560.95889999999997</v>
      </c>
      <c r="AC2133" s="5" t="str">
        <f t="shared" si="103"/>
        <v>Bonos</v>
      </c>
      <c r="AD2133" s="5" t="s">
        <v>43</v>
      </c>
      <c r="AE2133" s="5">
        <f t="shared" si="104"/>
        <v>8</v>
      </c>
      <c r="AF2133" s="5">
        <f t="shared" si="105"/>
        <v>2026</v>
      </c>
    </row>
    <row r="2134" s="5" customFormat="1" ht="13">
      <c r="A2134" s="5">
        <v>12315</v>
      </c>
      <c r="B2134" s="5" t="s">
        <v>73</v>
      </c>
      <c r="C2134" s="5" t="s">
        <v>60</v>
      </c>
      <c r="D2134" s="5" t="s">
        <v>21</v>
      </c>
      <c r="E2134" s="5" t="s">
        <v>34</v>
      </c>
      <c r="F2134" s="5" t="s">
        <v>68</v>
      </c>
      <c r="H2134" s="9"/>
      <c r="I2134" s="10">
        <v>45527</v>
      </c>
      <c r="J2134" s="10">
        <v>46258</v>
      </c>
      <c r="L2134" s="5" t="s">
        <v>82</v>
      </c>
      <c r="M2134" s="11">
        <v>0.057500000000000002</v>
      </c>
      <c r="N2134" s="5" t="e">
        <f>IF(AND(M2134&gt;#REF!,Cartera!O2134="Guaraníes"),"Rendimiento significativo",IF(AND(M2134&gt;#REF!,Cartera!O2134="Dólares americanos"),"Rendimiento significativo","Rendimiento no significativo"))</f>
        <v>#REF!</v>
      </c>
      <c r="O2134" s="5" t="s">
        <v>51</v>
      </c>
      <c r="P2134" s="13">
        <v>296.18000000000001</v>
      </c>
      <c r="Q2134" s="12" t="e">
        <f>IF(O2134="Guaraníes",P2134,P2134*#REF!)</f>
        <v>#REF!</v>
      </c>
      <c r="R2134" s="13">
        <f>IF(O2134="Guaraníes",P2134/#REF!,P2134)</f>
        <v>296.18000000000001</v>
      </c>
      <c r="S2134" s="5" t="s">
        <v>120</v>
      </c>
      <c r="AC2134" s="5" t="str">
        <f t="shared" si="103"/>
        <v>CDA</v>
      </c>
      <c r="AD2134" s="5" t="s">
        <v>43</v>
      </c>
      <c r="AE2134" s="5">
        <f t="shared" si="104"/>
        <v>8</v>
      </c>
      <c r="AF2134" s="5">
        <f t="shared" si="105"/>
        <v>2026</v>
      </c>
    </row>
    <row r="2135" s="5" customFormat="1" ht="13">
      <c r="A2135" s="5" t="s">
        <v>44</v>
      </c>
      <c r="B2135" s="5" t="s">
        <v>44</v>
      </c>
      <c r="C2135" s="5" t="s">
        <v>389</v>
      </c>
      <c r="D2135" s="5" t="s">
        <v>21</v>
      </c>
      <c r="E2135" s="5" t="s">
        <v>44</v>
      </c>
      <c r="F2135" s="5" t="s">
        <v>68</v>
      </c>
      <c r="G2135" s="5" t="s">
        <v>141</v>
      </c>
      <c r="H2135" s="9" t="s">
        <v>390</v>
      </c>
      <c r="I2135" s="10"/>
      <c r="J2135" s="10">
        <v>46260</v>
      </c>
      <c r="K2135" s="5" t="s">
        <v>391</v>
      </c>
      <c r="L2135" s="5" t="s">
        <v>58</v>
      </c>
      <c r="M2135" s="11">
        <v>0.1125</v>
      </c>
      <c r="N2135" s="5" t="e">
        <f>IF(AND(M2135&gt;#REF!,Cartera!O2135="Guaraníes"),"Rendimiento significativo",IF(AND(M2135&gt;#REF!,Cartera!O2135="Dólares americanos"),"Rendimiento significativo","Rendimiento no significativo"))</f>
        <v>#REF!</v>
      </c>
      <c r="O2135" s="5" t="s">
        <v>41</v>
      </c>
      <c r="P2135" s="12">
        <v>841438.35615000001</v>
      </c>
      <c r="Q2135" s="12">
        <f>IF(O2135="Guaraníes",P2135,P2135*#REF!)</f>
        <v>841438.35615000001</v>
      </c>
      <c r="R2135" s="12" t="e">
        <f>IF(O2135="Guaraníes",P2135/#REF!,P2135)</f>
        <v>#REF!</v>
      </c>
      <c r="S2135" s="5" t="s">
        <v>52</v>
      </c>
      <c r="T2135" s="5">
        <v>9243</v>
      </c>
      <c r="W2135" s="5" t="s">
        <v>65</v>
      </c>
      <c r="X2135" s="5">
        <v>0</v>
      </c>
      <c r="Y2135" s="5">
        <v>0</v>
      </c>
      <c r="Z2135" s="5">
        <v>28047.945205</v>
      </c>
      <c r="AA2135" s="5">
        <v>30</v>
      </c>
      <c r="AB2135" s="5">
        <v>841438.35615000001</v>
      </c>
      <c r="AC2135" s="5" t="str">
        <f t="shared" si="103"/>
        <v>Bonos</v>
      </c>
      <c r="AD2135" s="5" t="s">
        <v>43</v>
      </c>
      <c r="AE2135" s="5">
        <f t="shared" si="104"/>
        <v>8</v>
      </c>
      <c r="AF2135" s="5">
        <f t="shared" si="105"/>
        <v>2026</v>
      </c>
    </row>
    <row r="2136" s="5" customFormat="1" ht="13">
      <c r="A2136" s="5">
        <v>12316</v>
      </c>
      <c r="B2136" s="5" t="s">
        <v>78</v>
      </c>
      <c r="C2136" s="5" t="s">
        <v>94</v>
      </c>
      <c r="D2136" s="5" t="s">
        <v>21</v>
      </c>
      <c r="E2136" s="5" t="s">
        <v>34</v>
      </c>
      <c r="F2136" s="5" t="s">
        <v>68</v>
      </c>
      <c r="H2136" s="9" t="s">
        <v>182</v>
      </c>
      <c r="I2136" s="10">
        <v>45530</v>
      </c>
      <c r="J2136" s="10">
        <v>46261</v>
      </c>
      <c r="L2136" s="11" t="s">
        <v>82</v>
      </c>
      <c r="M2136" s="11">
        <v>0.082500000000000004</v>
      </c>
      <c r="N2136" s="11" t="e">
        <f>IF(AND(M2136&gt;#REF!,Cartera!O2136="Guaraníes"),"Rendimiento significativo",IF(AND(M2136&gt;#REF!,Cartera!O2136="Dólares americanos"),"Rendimiento significativo","Rendimiento no significativo"))</f>
        <v>#REF!</v>
      </c>
      <c r="O2136" s="5" t="s">
        <v>41</v>
      </c>
      <c r="P2136" s="13">
        <v>497261</v>
      </c>
      <c r="Q2136" s="12">
        <f>IF(O2136="Guaraníes",P2136,P2136*#REF!)</f>
        <v>497261</v>
      </c>
      <c r="R2136" s="13" t="e">
        <f>IF(O2136="Guaraníes",P2136/#REF!,P2136)</f>
        <v>#REF!</v>
      </c>
      <c r="S2136" s="5" t="s">
        <v>120</v>
      </c>
      <c r="AC2136" s="5" t="str">
        <f t="shared" si="103"/>
        <v>CDA</v>
      </c>
      <c r="AD2136" s="5" t="s">
        <v>43</v>
      </c>
      <c r="AE2136" s="5">
        <f t="shared" si="104"/>
        <v>8</v>
      </c>
      <c r="AF2136" s="5">
        <f t="shared" si="105"/>
        <v>2026</v>
      </c>
    </row>
    <row r="2137" s="5" customFormat="1" ht="13">
      <c r="A2137" s="5">
        <v>12316</v>
      </c>
      <c r="B2137" s="5" t="s">
        <v>78</v>
      </c>
      <c r="C2137" s="5" t="s">
        <v>164</v>
      </c>
      <c r="D2137" s="5" t="s">
        <v>21</v>
      </c>
      <c r="E2137" s="5" t="s">
        <v>34</v>
      </c>
      <c r="F2137" s="5" t="s">
        <v>68</v>
      </c>
      <c r="G2137" s="5" t="s">
        <v>145</v>
      </c>
      <c r="H2137" s="9" t="s">
        <v>165</v>
      </c>
      <c r="I2137" s="10"/>
      <c r="J2137" s="10">
        <v>46265</v>
      </c>
      <c r="K2137" s="5" t="s">
        <v>124</v>
      </c>
      <c r="L2137" s="5" t="s">
        <v>58</v>
      </c>
      <c r="M2137" s="11">
        <v>0.10000000000000001</v>
      </c>
      <c r="N2137" s="5" t="e">
        <f>IF(AND(M2137&gt;#REF!,Cartera!O2137="Guaraníes"),"Rendimiento significativo",IF(AND(M2137&gt;#REF!,Cartera!O2137="Dólares americanos"),"Rendimiento significativo","Rendimiento no significativo"))</f>
        <v>#REF!</v>
      </c>
      <c r="O2137" s="5" t="s">
        <v>41</v>
      </c>
      <c r="P2137" s="12">
        <v>3397260.2740000002</v>
      </c>
      <c r="Q2137" s="12">
        <f>IF(O2137="Guaraníes",P2137,P2137*#REF!)</f>
        <v>3397260.2740000002</v>
      </c>
      <c r="R2137" s="12" t="e">
        <f>IF(O2137="Guaraníes",P2137/#REF!,P2137)</f>
        <v>#REF!</v>
      </c>
      <c r="S2137" s="5" t="s">
        <v>42</v>
      </c>
      <c r="T2137" s="5">
        <v>1057</v>
      </c>
      <c r="W2137" s="5" t="s">
        <v>65</v>
      </c>
      <c r="X2137" s="5">
        <v>0</v>
      </c>
      <c r="Y2137" s="5">
        <v>0</v>
      </c>
      <c r="Z2137" s="5">
        <v>8493.1506850000005</v>
      </c>
      <c r="AA2137" s="5">
        <v>400</v>
      </c>
      <c r="AB2137" s="5">
        <v>3397260.2740000002</v>
      </c>
      <c r="AC2137" s="5" t="str">
        <f t="shared" si="103"/>
        <v>Bonos</v>
      </c>
      <c r="AD2137" s="5" t="s">
        <v>43</v>
      </c>
      <c r="AE2137" s="5">
        <f t="shared" si="104"/>
        <v>8</v>
      </c>
      <c r="AF2137" s="5">
        <f t="shared" si="105"/>
        <v>2026</v>
      </c>
    </row>
    <row r="2138" s="5" customFormat="1" ht="13">
      <c r="A2138" s="5">
        <v>12316</v>
      </c>
      <c r="B2138" s="5" t="s">
        <v>78</v>
      </c>
      <c r="C2138" s="5" t="s">
        <v>164</v>
      </c>
      <c r="D2138" s="5" t="s">
        <v>21</v>
      </c>
      <c r="E2138" s="5" t="s">
        <v>34</v>
      </c>
      <c r="F2138" s="5" t="s">
        <v>68</v>
      </c>
      <c r="G2138" s="5" t="s">
        <v>141</v>
      </c>
      <c r="H2138" s="9" t="s">
        <v>165</v>
      </c>
      <c r="I2138" s="10"/>
      <c r="J2138" s="10">
        <v>46265</v>
      </c>
      <c r="K2138" s="5" t="s">
        <v>124</v>
      </c>
      <c r="L2138" s="5" t="s">
        <v>58</v>
      </c>
      <c r="M2138" s="11">
        <v>0.10000000000000001</v>
      </c>
      <c r="N2138" s="5" t="e">
        <f>IF(AND(M2138&gt;#REF!,Cartera!O2138="Guaraníes"),"Rendimiento significativo",IF(AND(M2138&gt;#REF!,Cartera!O2138="Dólares americanos"),"Rendimiento significativo","Rendimiento no significativo"))</f>
        <v>#REF!</v>
      </c>
      <c r="O2138" s="5" t="s">
        <v>41</v>
      </c>
      <c r="P2138" s="12">
        <v>849315.06850000005</v>
      </c>
      <c r="Q2138" s="12">
        <f>IF(O2138="Guaraníes",P2138,P2138*#REF!)</f>
        <v>849315.06850000005</v>
      </c>
      <c r="R2138" s="12" t="e">
        <f>IF(O2138="Guaraníes",P2138/#REF!,P2138)</f>
        <v>#REF!</v>
      </c>
      <c r="S2138" s="5" t="s">
        <v>42</v>
      </c>
      <c r="T2138" s="5">
        <v>9243</v>
      </c>
      <c r="W2138" s="5" t="s">
        <v>65</v>
      </c>
      <c r="X2138" s="5">
        <v>0</v>
      </c>
      <c r="Y2138" s="5">
        <v>0</v>
      </c>
      <c r="Z2138" s="5">
        <v>8493.1506850000005</v>
      </c>
      <c r="AA2138" s="5">
        <v>100</v>
      </c>
      <c r="AB2138" s="5">
        <v>849315.06850000005</v>
      </c>
      <c r="AC2138" s="5" t="str">
        <f t="shared" si="103"/>
        <v>Bonos</v>
      </c>
      <c r="AD2138" s="5" t="s">
        <v>43</v>
      </c>
      <c r="AE2138" s="5">
        <f t="shared" si="104"/>
        <v>8</v>
      </c>
      <c r="AF2138" s="5">
        <f t="shared" si="105"/>
        <v>2026</v>
      </c>
    </row>
    <row r="2139" s="5" customFormat="1" ht="13">
      <c r="A2139" s="5">
        <v>12316</v>
      </c>
      <c r="B2139" s="5" t="s">
        <v>78</v>
      </c>
      <c r="C2139" s="5" t="s">
        <v>164</v>
      </c>
      <c r="D2139" s="5" t="s">
        <v>21</v>
      </c>
      <c r="E2139" s="5" t="s">
        <v>34</v>
      </c>
      <c r="F2139" s="5" t="s">
        <v>68</v>
      </c>
      <c r="G2139" s="5" t="s">
        <v>141</v>
      </c>
      <c r="H2139" s="9" t="s">
        <v>167</v>
      </c>
      <c r="I2139" s="10"/>
      <c r="J2139" s="10">
        <v>46265</v>
      </c>
      <c r="K2139" s="5" t="s">
        <v>124</v>
      </c>
      <c r="L2139" s="5" t="s">
        <v>58</v>
      </c>
      <c r="M2139" s="11">
        <v>0.092499999999999999</v>
      </c>
      <c r="N2139" s="5" t="e">
        <f>IF(AND(M2139&gt;#REF!,Cartera!O2139="Guaraníes"),"Rendimiento significativo",IF(AND(M2139&gt;#REF!,Cartera!O2139="Dólares americanos"),"Rendimiento significativo","Rendimiento no significativo"))</f>
        <v>#REF!</v>
      </c>
      <c r="O2139" s="5" t="s">
        <v>41</v>
      </c>
      <c r="P2139" s="12">
        <v>785616.43839999998</v>
      </c>
      <c r="Q2139" s="12">
        <f>IF(O2139="Guaraníes",P2139,P2139*#REF!)</f>
        <v>785616.43839999998</v>
      </c>
      <c r="R2139" s="12" t="e">
        <f>IF(O2139="Guaraníes",P2139/#REF!,P2139)</f>
        <v>#REF!</v>
      </c>
      <c r="S2139" s="5" t="s">
        <v>42</v>
      </c>
      <c r="T2139" s="5">
        <v>9243</v>
      </c>
      <c r="W2139" s="5" t="s">
        <v>65</v>
      </c>
      <c r="X2139" s="5">
        <v>0</v>
      </c>
      <c r="Y2139" s="5">
        <v>0</v>
      </c>
      <c r="Z2139" s="5">
        <v>7856.1643839999997</v>
      </c>
      <c r="AA2139" s="5">
        <v>100</v>
      </c>
      <c r="AB2139" s="5">
        <v>785616.43839999998</v>
      </c>
      <c r="AC2139" s="5" t="str">
        <f t="shared" si="103"/>
        <v>Bonos</v>
      </c>
      <c r="AD2139" s="5" t="s">
        <v>43</v>
      </c>
      <c r="AE2139" s="5">
        <f t="shared" si="104"/>
        <v>8</v>
      </c>
      <c r="AF2139" s="5">
        <f t="shared" si="105"/>
        <v>2026</v>
      </c>
    </row>
    <row r="2140" s="5" customFormat="1" ht="13">
      <c r="A2140" s="5">
        <v>12316</v>
      </c>
      <c r="B2140" s="5" t="s">
        <v>78</v>
      </c>
      <c r="C2140" s="5" t="s">
        <v>138</v>
      </c>
      <c r="D2140" s="5" t="s">
        <v>21</v>
      </c>
      <c r="E2140" s="5" t="s">
        <v>34</v>
      </c>
      <c r="F2140" s="5" t="s">
        <v>68</v>
      </c>
      <c r="G2140" s="5" t="s">
        <v>86</v>
      </c>
      <c r="H2140" s="9" t="s">
        <v>139</v>
      </c>
      <c r="I2140" s="10">
        <v>43948</v>
      </c>
      <c r="J2140" s="10">
        <v>46267</v>
      </c>
      <c r="K2140" s="5" t="s">
        <v>140</v>
      </c>
      <c r="L2140" s="5" t="s">
        <v>58</v>
      </c>
      <c r="M2140" s="11">
        <v>0.11</v>
      </c>
      <c r="N2140" s="5" t="e">
        <f>IF(AND(M2140&gt;#REF!,Cartera!O2140="Guaraníes"),"Rendimiento significativo",IF(AND(M2140&gt;#REF!,Cartera!O2140="Dólares americanos"),"Rendimiento significativo","Rendimiento no significativo"))</f>
        <v>#REF!</v>
      </c>
      <c r="O2140" s="5" t="s">
        <v>41</v>
      </c>
      <c r="P2140" s="12">
        <v>886185.36690000002</v>
      </c>
      <c r="Q2140" s="12">
        <f>IF(O2140="Guaraníes",P2140,P2140*#REF!)</f>
        <v>886185.36690000002</v>
      </c>
      <c r="R2140" s="12" t="e">
        <f>IF(O2140="Guaraníes",P2140/#REF!,P2140)</f>
        <v>#REF!</v>
      </c>
      <c r="S2140" s="5" t="s">
        <v>42</v>
      </c>
      <c r="AC2140" s="5" t="str">
        <f t="shared" si="103"/>
        <v>Bonos</v>
      </c>
      <c r="AD2140" s="5" t="s">
        <v>43</v>
      </c>
      <c r="AE2140" s="5">
        <f t="shared" si="104"/>
        <v>9</v>
      </c>
      <c r="AF2140" s="5">
        <f t="shared" si="105"/>
        <v>2026</v>
      </c>
    </row>
    <row r="2141" s="5" customFormat="1" ht="13">
      <c r="A2141" s="5">
        <v>12316</v>
      </c>
      <c r="B2141" s="5" t="s">
        <v>78</v>
      </c>
      <c r="C2141" s="5" t="s">
        <v>99</v>
      </c>
      <c r="D2141" s="5" t="s">
        <v>21</v>
      </c>
      <c r="E2141" s="5" t="s">
        <v>34</v>
      </c>
      <c r="F2141" s="5" t="s">
        <v>100</v>
      </c>
      <c r="G2141" s="5" t="s">
        <v>86</v>
      </c>
      <c r="H2141" s="9" t="s">
        <v>155</v>
      </c>
      <c r="I2141" s="10"/>
      <c r="J2141" s="10">
        <v>46268</v>
      </c>
      <c r="K2141" s="5" t="s">
        <v>102</v>
      </c>
      <c r="L2141" s="5" t="s">
        <v>102</v>
      </c>
      <c r="M2141" s="11">
        <v>0.081000000000000003</v>
      </c>
      <c r="N2141" s="5" t="e">
        <f>IF(AND(M2141&gt;#REF!,Cartera!O2141="Guaraníes"),"Rendimiento significativo",IF(AND(M2141&gt;#REF!,Cartera!O2141="Dólares americanos"),"Rendimiento significativo","Rendimiento no significativo"))</f>
        <v>#REF!</v>
      </c>
      <c r="O2141" s="5" t="s">
        <v>41</v>
      </c>
      <c r="P2141" s="12">
        <v>28000000</v>
      </c>
      <c r="Q2141" s="12">
        <f>IF(O2141="Guaraníes",P2141,P2141*#REF!)</f>
        <v>28000000</v>
      </c>
      <c r="R2141" s="12" t="e">
        <f>IF(O2141="Guaraníes",P2141/#REF!,P2141)</f>
        <v>#REF!</v>
      </c>
      <c r="S2141" s="5" t="s">
        <v>42</v>
      </c>
      <c r="T2141" s="5">
        <v>10834</v>
      </c>
      <c r="W2141" s="5" t="s">
        <v>65</v>
      </c>
      <c r="X2141" s="5">
        <v>0</v>
      </c>
      <c r="Y2141" s="5">
        <v>0</v>
      </c>
      <c r="Z2141" s="5">
        <v>40000</v>
      </c>
      <c r="AA2141" s="5">
        <v>700</v>
      </c>
      <c r="AB2141" s="5">
        <v>28000000</v>
      </c>
      <c r="AC2141" s="5" t="str">
        <f t="shared" si="103"/>
        <v>Bonos</v>
      </c>
      <c r="AD2141" s="5" t="s">
        <v>43</v>
      </c>
      <c r="AE2141" s="5">
        <f t="shared" si="104"/>
        <v>9</v>
      </c>
      <c r="AF2141" s="5">
        <f t="shared" si="105"/>
        <v>2026</v>
      </c>
    </row>
    <row r="2142" s="5" customFormat="1" ht="13">
      <c r="A2142" s="5" t="s">
        <v>44</v>
      </c>
      <c r="B2142" s="5" t="s">
        <v>44</v>
      </c>
      <c r="C2142" s="5" t="s">
        <v>389</v>
      </c>
      <c r="D2142" s="5" t="s">
        <v>21</v>
      </c>
      <c r="E2142" s="5" t="s">
        <v>44</v>
      </c>
      <c r="F2142" s="5" t="s">
        <v>68</v>
      </c>
      <c r="G2142" s="5" t="s">
        <v>141</v>
      </c>
      <c r="H2142" s="9" t="s">
        <v>390</v>
      </c>
      <c r="I2142" s="10"/>
      <c r="J2142" s="10">
        <v>46351</v>
      </c>
      <c r="K2142" s="5" t="s">
        <v>391</v>
      </c>
      <c r="L2142" s="5" t="s">
        <v>58</v>
      </c>
      <c r="M2142" s="11">
        <v>0.1125</v>
      </c>
      <c r="N2142" s="5" t="e">
        <f>IF(AND(M2142&gt;#REF!,Cartera!O2142="Guaraníes"),"Rendimiento significativo",IF(AND(M2142&gt;#REF!,Cartera!O2142="Dólares americanos"),"Rendimiento significativo","Rendimiento no significativo"))</f>
        <v>#REF!</v>
      </c>
      <c r="O2142" s="5" t="s">
        <v>41</v>
      </c>
      <c r="P2142" s="12">
        <v>841438.35615000001</v>
      </c>
      <c r="Q2142" s="12">
        <f>IF(O2142="Guaraníes",P2142,P2142*#REF!)</f>
        <v>841438.35615000001</v>
      </c>
      <c r="R2142" s="12" t="e">
        <f>IF(O2142="Guaraníes",P2142/#REF!,P2142)</f>
        <v>#REF!</v>
      </c>
      <c r="S2142" s="5" t="s">
        <v>52</v>
      </c>
      <c r="T2142" s="5">
        <v>9243</v>
      </c>
      <c r="W2142" s="5" t="s">
        <v>65</v>
      </c>
      <c r="X2142" s="5">
        <v>0</v>
      </c>
      <c r="Y2142" s="5">
        <v>0</v>
      </c>
      <c r="Z2142" s="5">
        <v>28047.945205</v>
      </c>
      <c r="AA2142" s="5">
        <v>30</v>
      </c>
      <c r="AB2142" s="5">
        <v>841438.35615000001</v>
      </c>
      <c r="AC2142" s="5" t="str">
        <f t="shared" si="103"/>
        <v>Bonos</v>
      </c>
      <c r="AD2142" s="5" t="s">
        <v>43</v>
      </c>
      <c r="AE2142" s="5">
        <f t="shared" si="104"/>
        <v>11</v>
      </c>
      <c r="AF2142" s="5">
        <f t="shared" si="105"/>
        <v>2026</v>
      </c>
    </row>
    <row r="2143" s="5" customFormat="1" ht="13">
      <c r="A2143" s="5">
        <v>12316</v>
      </c>
      <c r="B2143" s="5" t="s">
        <v>78</v>
      </c>
      <c r="C2143" s="5" t="s">
        <v>99</v>
      </c>
      <c r="D2143" s="5" t="s">
        <v>21</v>
      </c>
      <c r="E2143" s="5" t="s">
        <v>34</v>
      </c>
      <c r="F2143" s="5" t="s">
        <v>100</v>
      </c>
      <c r="G2143" s="5" t="s">
        <v>75</v>
      </c>
      <c r="H2143" s="9" t="s">
        <v>159</v>
      </c>
      <c r="I2143" s="10"/>
      <c r="J2143" s="10">
        <v>46268</v>
      </c>
      <c r="K2143" s="5" t="s">
        <v>102</v>
      </c>
      <c r="L2143" s="5" t="s">
        <v>102</v>
      </c>
      <c r="M2143" s="11">
        <v>0.078</v>
      </c>
      <c r="N2143" s="5" t="e">
        <f>IF(AND(M2143&gt;#REF!,Cartera!O2143="Guaraníes"),"Rendimiento significativo",IF(AND(M2143&gt;#REF!,Cartera!O2143="Dólares americanos"),"Rendimiento significativo","Rendimiento no significativo"))</f>
        <v>#REF!</v>
      </c>
      <c r="O2143" s="5" t="s">
        <v>41</v>
      </c>
      <c r="P2143" s="12">
        <v>31200000</v>
      </c>
      <c r="Q2143" s="12">
        <f>IF(O2143="Guaraníes",P2143,P2143*#REF!)</f>
        <v>31200000</v>
      </c>
      <c r="R2143" s="12" t="e">
        <f>IF(O2143="Guaraníes",P2143/#REF!,P2143)</f>
        <v>#REF!</v>
      </c>
      <c r="S2143" s="5" t="s">
        <v>42</v>
      </c>
      <c r="T2143" s="5">
        <v>25</v>
      </c>
      <c r="W2143" s="5" t="s">
        <v>65</v>
      </c>
      <c r="X2143" s="5">
        <v>0</v>
      </c>
      <c r="Y2143" s="5">
        <v>0</v>
      </c>
      <c r="Z2143" s="5">
        <v>39000</v>
      </c>
      <c r="AA2143" s="5">
        <v>800</v>
      </c>
      <c r="AB2143" s="5">
        <v>31200000</v>
      </c>
      <c r="AC2143" s="5" t="str">
        <f t="shared" si="103"/>
        <v>Bonos</v>
      </c>
      <c r="AD2143" s="5" t="s">
        <v>43</v>
      </c>
      <c r="AE2143" s="5">
        <f t="shared" si="104"/>
        <v>9</v>
      </c>
      <c r="AF2143" s="5">
        <f t="shared" si="105"/>
        <v>2026</v>
      </c>
    </row>
    <row r="2144" s="5" customFormat="1" ht="13">
      <c r="A2144" s="5">
        <v>12316</v>
      </c>
      <c r="B2144" s="5" t="s">
        <v>78</v>
      </c>
      <c r="C2144" s="5" t="s">
        <v>99</v>
      </c>
      <c r="D2144" s="5" t="s">
        <v>21</v>
      </c>
      <c r="E2144" s="5" t="s">
        <v>34</v>
      </c>
      <c r="F2144" s="5" t="s">
        <v>100</v>
      </c>
      <c r="G2144" s="5" t="s">
        <v>145</v>
      </c>
      <c r="H2144" s="9" t="s">
        <v>159</v>
      </c>
      <c r="I2144" s="10">
        <v>44657</v>
      </c>
      <c r="J2144" s="10">
        <v>46268</v>
      </c>
      <c r="K2144" s="5" t="s">
        <v>102</v>
      </c>
      <c r="L2144" s="5" t="s">
        <v>102</v>
      </c>
      <c r="M2144" s="11">
        <v>0.078</v>
      </c>
      <c r="N2144" s="5" t="e">
        <f>IF(AND(M2144&gt;#REF!,Cartera!O2144="Guaraníes"),"Rendimiento significativo",IF(AND(M2144&gt;#REF!,Cartera!O2144="Dólares americanos"),"Rendimiento significativo","Rendimiento no significativo"))</f>
        <v>#REF!</v>
      </c>
      <c r="O2144" s="5" t="s">
        <v>41</v>
      </c>
      <c r="P2144" s="12">
        <v>35100000</v>
      </c>
      <c r="Q2144" s="12">
        <f>IF(O2144="Guaraníes",P2144,P2144*#REF!)</f>
        <v>35100000</v>
      </c>
      <c r="R2144" s="12" t="e">
        <f>IF(O2144="Guaraníes",P2144/#REF!,P2144)</f>
        <v>#REF!</v>
      </c>
      <c r="S2144" s="5" t="s">
        <v>42</v>
      </c>
      <c r="V2144" s="5">
        <v>39000</v>
      </c>
      <c r="AA2144" s="5">
        <v>900</v>
      </c>
      <c r="AC2144" s="5" t="str">
        <f t="shared" si="103"/>
        <v>Bonos</v>
      </c>
      <c r="AD2144" s="5" t="s">
        <v>43</v>
      </c>
      <c r="AE2144" s="5">
        <f t="shared" si="104"/>
        <v>9</v>
      </c>
      <c r="AF2144" s="5">
        <f t="shared" si="105"/>
        <v>2026</v>
      </c>
    </row>
    <row r="2145" s="5" customFormat="1" ht="13">
      <c r="A2145" s="5">
        <v>12301</v>
      </c>
      <c r="B2145" s="5" t="s">
        <v>107</v>
      </c>
      <c r="C2145" s="5" t="s">
        <v>164</v>
      </c>
      <c r="D2145" s="5" t="s">
        <v>20</v>
      </c>
      <c r="E2145" s="5" t="s">
        <v>34</v>
      </c>
      <c r="F2145" s="5" t="s">
        <v>68</v>
      </c>
      <c r="G2145" s="5" t="s">
        <v>141</v>
      </c>
      <c r="H2145" s="9" t="s">
        <v>167</v>
      </c>
      <c r="I2145" s="10">
        <v>44082</v>
      </c>
      <c r="J2145" s="10">
        <v>46386</v>
      </c>
      <c r="K2145" s="5" t="s">
        <v>124</v>
      </c>
      <c r="L2145" s="5" t="s">
        <v>58</v>
      </c>
      <c r="M2145" s="11">
        <v>0.092499999999999999</v>
      </c>
      <c r="N2145" s="5" t="e">
        <f>IF(AND(M2145&gt;#REF!,Cartera!O2145="Guaraníes"),"Rendimiento significativo",IF(AND(M2145&gt;#REF!,Cartera!O2145="Dólares americanos"),"Rendimiento significativo","Rendimiento no significativo"))</f>
        <v>#REF!</v>
      </c>
      <c r="O2145" s="5" t="s">
        <v>41</v>
      </c>
      <c r="P2145" s="12">
        <v>100000000</v>
      </c>
      <c r="Q2145" s="12">
        <f>IF(O2145="Guaraníes",P2145,P2145*#REF!)</f>
        <v>100000000</v>
      </c>
      <c r="R2145" s="12" t="e">
        <f>IF(O2145="Guaraníes",P2145/#REF!,P2145)</f>
        <v>#REF!</v>
      </c>
      <c r="S2145" s="5" t="s">
        <v>42</v>
      </c>
      <c r="T2145" s="5">
        <v>9243</v>
      </c>
      <c r="AC2145" s="5" t="str">
        <f t="shared" si="103"/>
        <v>Bonos</v>
      </c>
      <c r="AD2145" s="5" t="s">
        <v>43</v>
      </c>
      <c r="AE2145" s="5">
        <f t="shared" si="104"/>
        <v>12</v>
      </c>
      <c r="AF2145" s="5">
        <f t="shared" si="105"/>
        <v>2026</v>
      </c>
    </row>
    <row r="2146" s="5" customFormat="1" ht="13">
      <c r="A2146" s="5">
        <v>12316</v>
      </c>
      <c r="B2146" s="5" t="s">
        <v>78</v>
      </c>
      <c r="C2146" s="5" t="s">
        <v>183</v>
      </c>
      <c r="D2146" s="5" t="s">
        <v>21</v>
      </c>
      <c r="E2146" s="5" t="s">
        <v>34</v>
      </c>
      <c r="F2146" s="5" t="s">
        <v>184</v>
      </c>
      <c r="H2146" s="9">
        <v>6217</v>
      </c>
      <c r="I2146" s="10"/>
      <c r="J2146" s="10">
        <v>46272</v>
      </c>
      <c r="K2146" s="5" t="s">
        <v>124</v>
      </c>
      <c r="L2146" s="5" t="s">
        <v>82</v>
      </c>
      <c r="M2146" s="11">
        <v>0.072499999999999995</v>
      </c>
      <c r="N2146" s="5" t="e">
        <f>IF(AND(M2146&gt;#REF!,Cartera!O2146="Guaraníes"),"Rendimiento significativo",IF(AND(M2146&gt;#REF!,Cartera!O2146="Dólares americanos"),"Rendimiento significativo","Rendimiento no significativo"))</f>
        <v>#REF!</v>
      </c>
      <c r="O2146" s="5" t="s">
        <v>41</v>
      </c>
      <c r="P2146" s="12">
        <v>17252690</v>
      </c>
      <c r="Q2146" s="12">
        <f>IF(O2146="Guaraníes",P2146,P2146*#REF!)</f>
        <v>17252690</v>
      </c>
      <c r="R2146" s="12" t="e">
        <f>IF(O2146="Guaraníes",P2146/#REF!,P2146)</f>
        <v>#REF!</v>
      </c>
      <c r="S2146" s="5" t="s">
        <v>42</v>
      </c>
      <c r="V2146" s="5">
        <v>17252690</v>
      </c>
      <c r="W2146" s="5" t="s">
        <v>397</v>
      </c>
      <c r="AC2146" s="5" t="str">
        <f t="shared" si="103"/>
        <v>CDA</v>
      </c>
      <c r="AD2146" s="5" t="s">
        <v>43</v>
      </c>
      <c r="AE2146" s="5">
        <f t="shared" si="104"/>
        <v>9</v>
      </c>
      <c r="AF2146" s="5">
        <f t="shared" si="105"/>
        <v>2026</v>
      </c>
    </row>
    <row r="2147" s="5" customFormat="1" ht="13">
      <c r="A2147" s="5">
        <v>12315</v>
      </c>
      <c r="B2147" s="5" t="s">
        <v>73</v>
      </c>
      <c r="C2147" s="5" t="s">
        <v>33</v>
      </c>
      <c r="D2147" s="5" t="s">
        <v>21</v>
      </c>
      <c r="E2147" s="5" t="s">
        <v>34</v>
      </c>
      <c r="F2147" s="5" t="s">
        <v>35</v>
      </c>
      <c r="G2147" s="5" t="s">
        <v>75</v>
      </c>
      <c r="H2147" s="9" t="s">
        <v>186</v>
      </c>
      <c r="I2147" s="10"/>
      <c r="J2147" s="10">
        <v>46274</v>
      </c>
      <c r="K2147" s="5" t="s">
        <v>39</v>
      </c>
      <c r="L2147" s="5" t="s">
        <v>50</v>
      </c>
      <c r="M2147" s="11">
        <v>0.044999999999999998</v>
      </c>
      <c r="N2147" s="5" t="e">
        <f>IF(AND(M2147&gt;#REF!,Cartera!O2147="Guaraníes"),"Rendimiento significativo",IF(AND(M2147&gt;#REF!,Cartera!O2147="Dólares americanos"),"Rendimiento significativo","Rendimiento no significativo"))</f>
        <v>#REF!</v>
      </c>
      <c r="O2147" s="5" t="s">
        <v>51</v>
      </c>
      <c r="P2147" s="13">
        <v>336.57533999999998</v>
      </c>
      <c r="Q2147" s="12" t="e">
        <f>IF(O2147="Guaraníes",P2147,P2147*#REF!)</f>
        <v>#REF!</v>
      </c>
      <c r="R2147" s="12">
        <f>IF(O2147="Guaraníes",P2147/#REF!,P2147)</f>
        <v>336.57533999999998</v>
      </c>
      <c r="S2147" s="5" t="s">
        <v>42</v>
      </c>
      <c r="T2147" s="5">
        <v>25</v>
      </c>
      <c r="W2147" s="5" t="s">
        <v>65</v>
      </c>
      <c r="X2147" s="5">
        <v>0</v>
      </c>
      <c r="Y2147" s="5">
        <v>0</v>
      </c>
      <c r="Z2147" s="5">
        <v>11.219177999999999</v>
      </c>
      <c r="AA2147" s="5">
        <v>30</v>
      </c>
      <c r="AB2147" s="5">
        <v>336.57533999999998</v>
      </c>
      <c r="AC2147" s="5" t="str">
        <f t="shared" si="103"/>
        <v>Bonos</v>
      </c>
      <c r="AD2147" s="5" t="s">
        <v>43</v>
      </c>
      <c r="AE2147" s="5">
        <f t="shared" si="104"/>
        <v>9</v>
      </c>
      <c r="AF2147" s="5">
        <f t="shared" si="105"/>
        <v>2026</v>
      </c>
    </row>
    <row r="2148" s="5" customFormat="1" ht="13">
      <c r="A2148" s="5" t="s">
        <v>44</v>
      </c>
      <c r="B2148" s="5" t="s">
        <v>44</v>
      </c>
      <c r="C2148" s="5" t="s">
        <v>389</v>
      </c>
      <c r="D2148" s="5" t="s">
        <v>21</v>
      </c>
      <c r="E2148" s="5" t="s">
        <v>44</v>
      </c>
      <c r="F2148" s="5" t="s">
        <v>68</v>
      </c>
      <c r="G2148" s="5" t="s">
        <v>141</v>
      </c>
      <c r="H2148" s="9" t="s">
        <v>390</v>
      </c>
      <c r="I2148" s="10"/>
      <c r="J2148" s="10">
        <v>46442</v>
      </c>
      <c r="K2148" s="5" t="s">
        <v>391</v>
      </c>
      <c r="L2148" s="5" t="s">
        <v>58</v>
      </c>
      <c r="M2148" s="11">
        <v>0.1125</v>
      </c>
      <c r="N2148" s="5" t="e">
        <f>IF(AND(M2148&gt;#REF!,Cartera!O2148="Guaraníes"),"Rendimiento significativo",IF(AND(M2148&gt;#REF!,Cartera!O2148="Dólares americanos"),"Rendimiento significativo","Rendimiento no significativo"))</f>
        <v>#REF!</v>
      </c>
      <c r="O2148" s="5" t="s">
        <v>41</v>
      </c>
      <c r="P2148" s="12">
        <v>841438.35615000001</v>
      </c>
      <c r="Q2148" s="12">
        <f>IF(O2148="Guaraníes",P2148,P2148*#REF!)</f>
        <v>841438.35615000001</v>
      </c>
      <c r="R2148" s="12" t="e">
        <f>IF(O2148="Guaraníes",P2148/#REF!,P2148)</f>
        <v>#REF!</v>
      </c>
      <c r="S2148" s="5" t="s">
        <v>52</v>
      </c>
      <c r="T2148" s="5">
        <v>9243</v>
      </c>
      <c r="W2148" s="5" t="s">
        <v>65</v>
      </c>
      <c r="X2148" s="5">
        <v>0</v>
      </c>
      <c r="Y2148" s="5">
        <v>0</v>
      </c>
      <c r="Z2148" s="5">
        <v>28047.945205</v>
      </c>
      <c r="AA2148" s="5">
        <v>30</v>
      </c>
      <c r="AB2148" s="5">
        <v>841438.35615000001</v>
      </c>
      <c r="AC2148" s="5" t="str">
        <f t="shared" si="103"/>
        <v>Bonos</v>
      </c>
      <c r="AD2148" s="5" t="s">
        <v>43</v>
      </c>
      <c r="AE2148" s="5">
        <f t="shared" si="104"/>
        <v>2</v>
      </c>
      <c r="AF2148" s="5">
        <f t="shared" si="105"/>
        <v>2027</v>
      </c>
    </row>
    <row r="2149" s="5" customFormat="1" ht="13">
      <c r="A2149" s="5">
        <v>12315</v>
      </c>
      <c r="B2149" s="5" t="s">
        <v>73</v>
      </c>
      <c r="C2149" s="5" t="s">
        <v>33</v>
      </c>
      <c r="D2149" s="5" t="s">
        <v>21</v>
      </c>
      <c r="E2149" s="5" t="s">
        <v>34</v>
      </c>
      <c r="F2149" s="5" t="s">
        <v>35</v>
      </c>
      <c r="G2149" s="5" t="s">
        <v>69</v>
      </c>
      <c r="H2149" s="9" t="s">
        <v>186</v>
      </c>
      <c r="I2149" s="10"/>
      <c r="J2149" s="10">
        <v>46274</v>
      </c>
      <c r="K2149" s="5" t="s">
        <v>39</v>
      </c>
      <c r="L2149" s="5" t="s">
        <v>50</v>
      </c>
      <c r="M2149" s="11">
        <v>0.044999999999999998</v>
      </c>
      <c r="N2149" s="5" t="e">
        <f>IF(AND(M2149&gt;#REF!,Cartera!O2149="Guaraníes"),"Rendimiento significativo",IF(AND(M2149&gt;#REF!,Cartera!O2149="Dólares americanos"),"Rendimiento significativo","Rendimiento no significativo"))</f>
        <v>#REF!</v>
      </c>
      <c r="O2149" s="5" t="s">
        <v>51</v>
      </c>
      <c r="P2149" s="13">
        <v>448.76711999999998</v>
      </c>
      <c r="Q2149" s="12" t="e">
        <f>IF(O2149="Guaraníes",P2149,P2149*#REF!)</f>
        <v>#REF!</v>
      </c>
      <c r="R2149" s="12">
        <f>IF(O2149="Guaraníes",P2149/#REF!,P2149)</f>
        <v>448.76711999999998</v>
      </c>
      <c r="S2149" s="5" t="s">
        <v>42</v>
      </c>
      <c r="T2149" s="5">
        <v>593</v>
      </c>
      <c r="W2149" s="5" t="s">
        <v>65</v>
      </c>
      <c r="X2149" s="5">
        <v>0</v>
      </c>
      <c r="Y2149" s="5">
        <v>0</v>
      </c>
      <c r="Z2149" s="5">
        <v>11.219177999999999</v>
      </c>
      <c r="AA2149" s="5">
        <v>40</v>
      </c>
      <c r="AB2149" s="5">
        <v>448.76711999999998</v>
      </c>
      <c r="AC2149" s="5" t="str">
        <f t="shared" si="103"/>
        <v>Bonos</v>
      </c>
      <c r="AD2149" s="5" t="s">
        <v>43</v>
      </c>
      <c r="AE2149" s="5">
        <f t="shared" si="104"/>
        <v>9</v>
      </c>
      <c r="AF2149" s="5">
        <f t="shared" si="105"/>
        <v>2026</v>
      </c>
    </row>
    <row r="2150" s="5" customFormat="1" ht="13">
      <c r="A2150" s="5">
        <v>12315</v>
      </c>
      <c r="B2150" s="5" t="s">
        <v>73</v>
      </c>
      <c r="C2150" s="5" t="s">
        <v>183</v>
      </c>
      <c r="D2150" s="5" t="s">
        <v>21</v>
      </c>
      <c r="E2150" s="5" t="s">
        <v>34</v>
      </c>
      <c r="H2150" s="9" t="s">
        <v>211</v>
      </c>
      <c r="I2150" s="10">
        <v>45562</v>
      </c>
      <c r="J2150" s="10">
        <v>46282</v>
      </c>
      <c r="L2150" s="11" t="s">
        <v>82</v>
      </c>
      <c r="M2150" s="11">
        <v>0.026800000000000001</v>
      </c>
      <c r="N2150" s="11" t="e">
        <f>IF(AND(M2150&gt;#REF!,Cartera!O2150="Guaraníes"),"Rendimiento significativo",IF(AND(M2150&gt;#REF!,Cartera!O2150="Dólares americanos"),"Rendimiento significativo","Rendimiento no significativo"))</f>
        <v>#REF!</v>
      </c>
      <c r="O2150" s="5" t="s">
        <v>51</v>
      </c>
      <c r="P2150" s="13">
        <v>121.91</v>
      </c>
      <c r="Q2150" s="12" t="e">
        <f>IF(O2150="Guaraníes",P2150,P2150*#REF!)</f>
        <v>#REF!</v>
      </c>
      <c r="R2150" s="17">
        <v>121.91</v>
      </c>
      <c r="S2150" s="5" t="s">
        <v>42</v>
      </c>
      <c r="AC2150" s="5" t="str">
        <f t="shared" si="103"/>
        <v>CDA</v>
      </c>
      <c r="AD2150" s="5" t="s">
        <v>43</v>
      </c>
    </row>
    <row r="2151" s="5" customFormat="1" ht="13">
      <c r="A2151" s="5">
        <v>12316</v>
      </c>
      <c r="B2151" s="5" t="s">
        <v>78</v>
      </c>
      <c r="C2151" s="5" t="s">
        <v>54</v>
      </c>
      <c r="D2151" s="5" t="s">
        <v>21</v>
      </c>
      <c r="E2151" s="5" t="s">
        <v>34</v>
      </c>
      <c r="F2151" s="5" t="s">
        <v>46</v>
      </c>
      <c r="G2151" s="5" t="s">
        <v>86</v>
      </c>
      <c r="H2151" s="9" t="s">
        <v>147</v>
      </c>
      <c r="I2151" s="10"/>
      <c r="J2151" s="10">
        <v>46286</v>
      </c>
      <c r="K2151" s="5" t="s">
        <v>57</v>
      </c>
      <c r="L2151" s="5" t="s">
        <v>58</v>
      </c>
      <c r="M2151" s="11">
        <v>0.12</v>
      </c>
      <c r="N2151" s="5" t="e">
        <f>IF(AND(M2151&gt;#REF!,Cartera!O2151="Guaraníes"),"Rendimiento significativo",IF(AND(M2151&gt;#REF!,Cartera!O2151="Dólares americanos"),"Rendimiento significativo","Rendimiento no significativo"))</f>
        <v>#REF!</v>
      </c>
      <c r="O2151" s="5" t="s">
        <v>41</v>
      </c>
      <c r="P2151" s="12">
        <v>2991780.8218999999</v>
      </c>
      <c r="Q2151" s="12">
        <f>IF(O2151="Guaraníes",P2151,P2151*#REF!)</f>
        <v>2991780.8218999999</v>
      </c>
      <c r="R2151" s="12" t="e">
        <f>IF(O2151="Guaraníes",P2151/#REF!,P2151)</f>
        <v>#REF!</v>
      </c>
      <c r="S2151" s="5" t="s">
        <v>42</v>
      </c>
      <c r="T2151" s="5">
        <v>10834</v>
      </c>
      <c r="W2151" s="5" t="s">
        <v>65</v>
      </c>
      <c r="X2151" s="5">
        <v>0</v>
      </c>
      <c r="Y2151" s="5">
        <v>0</v>
      </c>
      <c r="Z2151" s="5">
        <v>29917.808218999999</v>
      </c>
      <c r="AA2151" s="5">
        <v>100</v>
      </c>
      <c r="AB2151" s="5">
        <v>2991780.8218999999</v>
      </c>
      <c r="AC2151" s="5" t="str">
        <f t="shared" si="103"/>
        <v>Bonos</v>
      </c>
      <c r="AD2151" s="5" t="s">
        <v>43</v>
      </c>
      <c r="AE2151" s="5">
        <f t="shared" si="104"/>
        <v>9</v>
      </c>
      <c r="AF2151" s="5">
        <f t="shared" si="105"/>
        <v>2026</v>
      </c>
    </row>
    <row r="2152" s="5" customFormat="1" ht="13">
      <c r="A2152" s="5" t="s">
        <v>44</v>
      </c>
      <c r="B2152" s="5" t="s">
        <v>44</v>
      </c>
      <c r="C2152" s="5" t="s">
        <v>389</v>
      </c>
      <c r="D2152" s="5" t="s">
        <v>21</v>
      </c>
      <c r="E2152" s="5" t="s">
        <v>44</v>
      </c>
      <c r="F2152" s="5" t="s">
        <v>68</v>
      </c>
      <c r="G2152" s="5" t="s">
        <v>141</v>
      </c>
      <c r="H2152" s="9" t="s">
        <v>390</v>
      </c>
      <c r="I2152" s="10"/>
      <c r="J2152" s="10">
        <v>46533</v>
      </c>
      <c r="K2152" s="5" t="s">
        <v>391</v>
      </c>
      <c r="L2152" s="5" t="s">
        <v>58</v>
      </c>
      <c r="M2152" s="11">
        <v>0.1125</v>
      </c>
      <c r="N2152" s="5" t="e">
        <f>IF(AND(M2152&gt;#REF!,Cartera!O2152="Guaraníes"),"Rendimiento significativo",IF(AND(M2152&gt;#REF!,Cartera!O2152="Dólares americanos"),"Rendimiento significativo","Rendimiento no significativo"))</f>
        <v>#REF!</v>
      </c>
      <c r="O2152" s="5" t="s">
        <v>41</v>
      </c>
      <c r="P2152" s="12">
        <v>841438.35615000001</v>
      </c>
      <c r="Q2152" s="12">
        <f>IF(O2152="Guaraníes",P2152,P2152*#REF!)</f>
        <v>841438.35615000001</v>
      </c>
      <c r="R2152" s="12" t="e">
        <f>IF(O2152="Guaraníes",P2152/#REF!,P2152)</f>
        <v>#REF!</v>
      </c>
      <c r="S2152" s="5" t="s">
        <v>52</v>
      </c>
      <c r="T2152" s="5">
        <v>9243</v>
      </c>
      <c r="W2152" s="5" t="s">
        <v>65</v>
      </c>
      <c r="X2152" s="5">
        <v>0</v>
      </c>
      <c r="Y2152" s="5">
        <v>0</v>
      </c>
      <c r="Z2152" s="5">
        <v>28047.945205</v>
      </c>
      <c r="AA2152" s="5">
        <v>30</v>
      </c>
      <c r="AB2152" s="5">
        <v>841438.35615000001</v>
      </c>
      <c r="AC2152" s="5" t="str">
        <f t="shared" si="103"/>
        <v>Bonos</v>
      </c>
      <c r="AD2152" s="5" t="s">
        <v>43</v>
      </c>
      <c r="AE2152" s="5">
        <f t="shared" si="104"/>
        <v>5</v>
      </c>
      <c r="AF2152" s="5">
        <f t="shared" si="105"/>
        <v>2027</v>
      </c>
    </row>
    <row r="2153" s="5" customFormat="1" ht="13">
      <c r="A2153" s="5">
        <v>12316</v>
      </c>
      <c r="B2153" s="5" t="s">
        <v>78</v>
      </c>
      <c r="C2153" s="5" t="s">
        <v>54</v>
      </c>
      <c r="D2153" s="5" t="s">
        <v>21</v>
      </c>
      <c r="E2153" s="5" t="s">
        <v>34</v>
      </c>
      <c r="F2153" s="5" t="s">
        <v>46</v>
      </c>
      <c r="G2153" s="5" t="s">
        <v>86</v>
      </c>
      <c r="H2153" s="9" t="s">
        <v>148</v>
      </c>
      <c r="I2153" s="10"/>
      <c r="J2153" s="10">
        <v>46286</v>
      </c>
      <c r="K2153" s="5" t="s">
        <v>57</v>
      </c>
      <c r="L2153" s="5" t="s">
        <v>58</v>
      </c>
      <c r="M2153" s="11">
        <v>0.097500000000000003</v>
      </c>
      <c r="N2153" s="5" t="e">
        <f>IF(AND(M2153&gt;#REF!,Cartera!O2153="Guaraníes"),"Rendimiento significativo",IF(AND(M2153&gt;#REF!,Cartera!O2153="Dólares americanos"),"Rendimiento significativo","Rendimiento no significativo"))</f>
        <v>#REF!</v>
      </c>
      <c r="O2153" s="5" t="s">
        <v>41</v>
      </c>
      <c r="P2153" s="12">
        <v>12154109.589</v>
      </c>
      <c r="Q2153" s="12">
        <f>IF(O2153="Guaraníes",P2153,P2153*#REF!)</f>
        <v>12154109.589</v>
      </c>
      <c r="R2153" s="12" t="e">
        <f>IF(O2153="Guaraníes",P2153/#REF!,P2153)</f>
        <v>#REF!</v>
      </c>
      <c r="S2153" s="5" t="s">
        <v>42</v>
      </c>
      <c r="T2153" s="5">
        <v>10834</v>
      </c>
      <c r="W2153" s="5" t="s">
        <v>65</v>
      </c>
      <c r="X2153" s="5">
        <v>0</v>
      </c>
      <c r="Y2153" s="5">
        <v>0</v>
      </c>
      <c r="Z2153" s="5">
        <v>24308.219177999999</v>
      </c>
      <c r="AA2153" s="5">
        <v>500</v>
      </c>
      <c r="AB2153" s="5">
        <v>12154109.589</v>
      </c>
      <c r="AC2153" s="5" t="str">
        <f t="shared" si="103"/>
        <v>Bonos</v>
      </c>
      <c r="AD2153" s="5" t="s">
        <v>43</v>
      </c>
      <c r="AE2153" s="5">
        <f t="shared" si="104"/>
        <v>9</v>
      </c>
      <c r="AF2153" s="5">
        <f t="shared" si="105"/>
        <v>2026</v>
      </c>
    </row>
    <row r="2154" s="5" customFormat="1" ht="13">
      <c r="A2154" s="5">
        <v>12316</v>
      </c>
      <c r="B2154" s="5" t="s">
        <v>78</v>
      </c>
      <c r="C2154" s="5" t="s">
        <v>54</v>
      </c>
      <c r="D2154" s="5" t="s">
        <v>21</v>
      </c>
      <c r="E2154" s="5" t="s">
        <v>34</v>
      </c>
      <c r="F2154" s="5" t="s">
        <v>46</v>
      </c>
      <c r="G2154" s="5" t="s">
        <v>75</v>
      </c>
      <c r="H2154" s="9" t="s">
        <v>147</v>
      </c>
      <c r="I2154" s="10"/>
      <c r="J2154" s="10">
        <v>46286</v>
      </c>
      <c r="K2154" s="5" t="s">
        <v>57</v>
      </c>
      <c r="L2154" s="5" t="s">
        <v>58</v>
      </c>
      <c r="M2154" s="11">
        <v>0.12</v>
      </c>
      <c r="N2154" s="5" t="e">
        <f>IF(AND(M2154&gt;#REF!,Cartera!O2154="Guaraníes"),"Rendimiento significativo",IF(AND(M2154&gt;#REF!,Cartera!O2154="Dólares americanos"),"Rendimiento significativo","Rendimiento no significativo"))</f>
        <v>#REF!</v>
      </c>
      <c r="O2154" s="5" t="s">
        <v>41</v>
      </c>
      <c r="P2154" s="12">
        <v>4487671.2328500003</v>
      </c>
      <c r="Q2154" s="12">
        <f>IF(O2154="Guaraníes",P2154,P2154*#REF!)</f>
        <v>4487671.2328500003</v>
      </c>
      <c r="R2154" s="12" t="e">
        <f>IF(O2154="Guaraníes",P2154/#REF!,P2154)</f>
        <v>#REF!</v>
      </c>
      <c r="S2154" s="5" t="s">
        <v>42</v>
      </c>
      <c r="T2154" s="5">
        <v>25</v>
      </c>
      <c r="W2154" s="5" t="s">
        <v>192</v>
      </c>
      <c r="X2154" s="5">
        <v>0</v>
      </c>
      <c r="Y2154" s="5">
        <v>0</v>
      </c>
      <c r="Z2154" s="5">
        <v>29917.808218999999</v>
      </c>
      <c r="AA2154" s="5">
        <v>150</v>
      </c>
      <c r="AB2154" s="5">
        <v>4487671.2328500003</v>
      </c>
      <c r="AC2154" s="5" t="str">
        <f t="shared" si="103"/>
        <v>Bonos</v>
      </c>
      <c r="AD2154" s="5" t="s">
        <v>43</v>
      </c>
      <c r="AE2154" s="5">
        <f t="shared" si="104"/>
        <v>9</v>
      </c>
      <c r="AF2154" s="5">
        <f t="shared" si="105"/>
        <v>2026</v>
      </c>
    </row>
    <row r="2155" s="5" customFormat="1" ht="13">
      <c r="A2155" s="5">
        <v>12316</v>
      </c>
      <c r="B2155" s="5" t="s">
        <v>78</v>
      </c>
      <c r="C2155" s="5" t="s">
        <v>138</v>
      </c>
      <c r="D2155" s="5" t="s">
        <v>21</v>
      </c>
      <c r="E2155" s="5" t="s">
        <v>34</v>
      </c>
      <c r="F2155" s="5" t="s">
        <v>68</v>
      </c>
      <c r="G2155" s="5" t="s">
        <v>86</v>
      </c>
      <c r="H2155" s="9" t="s">
        <v>193</v>
      </c>
      <c r="I2155" s="10">
        <v>44104</v>
      </c>
      <c r="J2155" s="10">
        <v>46287</v>
      </c>
      <c r="K2155" s="5" t="s">
        <v>140</v>
      </c>
      <c r="L2155" s="5" t="s">
        <v>58</v>
      </c>
      <c r="M2155" s="11">
        <v>0.10000000000000001</v>
      </c>
      <c r="N2155" s="5" t="e">
        <f>IF(AND(M2155&gt;#REF!,Cartera!O2155="Guaraníes"),"Rendimiento significativo",IF(AND(M2155&gt;#REF!,Cartera!O2155="Dólares americanos"),"Rendimiento significativo","Rendimiento no significativo"))</f>
        <v>#REF!</v>
      </c>
      <c r="O2155" s="5" t="s">
        <v>41</v>
      </c>
      <c r="P2155" s="12">
        <v>2493150.6849000002</v>
      </c>
      <c r="Q2155" s="12">
        <f>IF(O2155="Guaraníes",P2155,P2155*#REF!)</f>
        <v>2493150.6849000002</v>
      </c>
      <c r="R2155" s="12" t="e">
        <f>IF(O2155="Guaraníes",P2155/#REF!,P2155)</f>
        <v>#REF!</v>
      </c>
      <c r="S2155" s="5" t="s">
        <v>42</v>
      </c>
      <c r="AC2155" s="5" t="str">
        <f t="shared" si="103"/>
        <v>Bonos</v>
      </c>
      <c r="AD2155" s="5" t="s">
        <v>43</v>
      </c>
      <c r="AE2155" s="5">
        <f t="shared" si="104"/>
        <v>9</v>
      </c>
      <c r="AF2155" s="5">
        <f t="shared" si="105"/>
        <v>2026</v>
      </c>
    </row>
    <row r="2156" s="5" customFormat="1" ht="13">
      <c r="A2156" s="5" t="s">
        <v>44</v>
      </c>
      <c r="B2156" s="5" t="s">
        <v>44</v>
      </c>
      <c r="C2156" s="5" t="s">
        <v>389</v>
      </c>
      <c r="D2156" s="5" t="s">
        <v>21</v>
      </c>
      <c r="E2156" s="5" t="s">
        <v>44</v>
      </c>
      <c r="F2156" s="5" t="s">
        <v>68</v>
      </c>
      <c r="G2156" s="5" t="s">
        <v>141</v>
      </c>
      <c r="H2156" s="9" t="s">
        <v>390</v>
      </c>
      <c r="I2156" s="10"/>
      <c r="J2156" s="10">
        <v>46624</v>
      </c>
      <c r="K2156" s="5" t="s">
        <v>391</v>
      </c>
      <c r="L2156" s="5" t="s">
        <v>58</v>
      </c>
      <c r="M2156" s="11">
        <v>0.1125</v>
      </c>
      <c r="N2156" s="5" t="e">
        <f>IF(AND(M2156&gt;#REF!,Cartera!O2156="Guaraníes"),"Rendimiento significativo",IF(AND(M2156&gt;#REF!,Cartera!O2156="Dólares americanos"),"Rendimiento significativo","Rendimiento no significativo"))</f>
        <v>#REF!</v>
      </c>
      <c r="O2156" s="5" t="s">
        <v>41</v>
      </c>
      <c r="P2156" s="12">
        <v>841438.35615000001</v>
      </c>
      <c r="Q2156" s="12">
        <f>IF(O2156="Guaraníes",P2156,P2156*#REF!)</f>
        <v>841438.35615000001</v>
      </c>
      <c r="R2156" s="12" t="e">
        <f>IF(O2156="Guaraníes",P2156/#REF!,P2156)</f>
        <v>#REF!</v>
      </c>
      <c r="S2156" s="5" t="s">
        <v>52</v>
      </c>
      <c r="T2156" s="5">
        <v>9243</v>
      </c>
      <c r="W2156" s="5" t="s">
        <v>65</v>
      </c>
      <c r="X2156" s="5">
        <v>0</v>
      </c>
      <c r="Y2156" s="5">
        <v>0</v>
      </c>
      <c r="Z2156" s="5">
        <v>28047.945205</v>
      </c>
      <c r="AA2156" s="5">
        <v>30</v>
      </c>
      <c r="AB2156" s="5">
        <v>841438.35615000001</v>
      </c>
      <c r="AC2156" s="5" t="str">
        <f t="shared" si="103"/>
        <v>Bonos</v>
      </c>
      <c r="AD2156" s="5" t="s">
        <v>43</v>
      </c>
      <c r="AE2156" s="5">
        <f t="shared" si="104"/>
        <v>8</v>
      </c>
      <c r="AF2156" s="5">
        <f t="shared" si="105"/>
        <v>2027</v>
      </c>
    </row>
    <row r="2157" s="5" customFormat="1" ht="13">
      <c r="A2157" s="5">
        <v>12315</v>
      </c>
      <c r="B2157" s="5" t="s">
        <v>73</v>
      </c>
      <c r="C2157" s="5" t="s">
        <v>116</v>
      </c>
      <c r="D2157" s="5" t="s">
        <v>21</v>
      </c>
      <c r="E2157" s="5" t="s">
        <v>34</v>
      </c>
      <c r="F2157" s="5" t="s">
        <v>68</v>
      </c>
      <c r="G2157" s="5" t="s">
        <v>69</v>
      </c>
      <c r="H2157" s="9" t="s">
        <v>194</v>
      </c>
      <c r="I2157" s="10"/>
      <c r="J2157" s="10">
        <v>46288</v>
      </c>
      <c r="K2157" s="5" t="s">
        <v>118</v>
      </c>
      <c r="L2157" s="5" t="s">
        <v>50</v>
      </c>
      <c r="M2157" s="11">
        <v>0.065000000000000002</v>
      </c>
      <c r="N2157" s="5" t="e">
        <f>IF(AND(M2157&gt;#REF!,Cartera!O2157="Guaraníes"),"Rendimiento significativo",IF(AND(M2157&gt;#REF!,Cartera!O2157="Dólares americanos"),"Rendimiento significativo","Rendimiento no significativo"))</f>
        <v>#REF!</v>
      </c>
      <c r="O2157" s="5" t="s">
        <v>51</v>
      </c>
      <c r="P2157" s="13">
        <v>324.10958999999997</v>
      </c>
      <c r="Q2157" s="12" t="e">
        <f>IF(O2157="Guaraníes",P2157,P2157*#REF!)</f>
        <v>#REF!</v>
      </c>
      <c r="R2157" s="12">
        <f>IF(O2157="Guaraníes",P2157/#REF!,P2157)</f>
        <v>324.10958999999997</v>
      </c>
      <c r="S2157" s="5" t="s">
        <v>42</v>
      </c>
      <c r="T2157" s="5">
        <v>593</v>
      </c>
      <c r="W2157" s="5" t="s">
        <v>218</v>
      </c>
      <c r="X2157" s="5">
        <v>0</v>
      </c>
      <c r="Y2157" s="5">
        <v>0</v>
      </c>
      <c r="Z2157" s="5">
        <v>32.410958999999998</v>
      </c>
      <c r="AA2157" s="5">
        <v>10</v>
      </c>
      <c r="AB2157" s="5">
        <v>324.10959000000003</v>
      </c>
      <c r="AC2157" s="5" t="str">
        <f t="shared" si="103"/>
        <v>Bonos</v>
      </c>
      <c r="AD2157" s="5" t="s">
        <v>43</v>
      </c>
      <c r="AE2157" s="5">
        <f t="shared" si="104"/>
        <v>9</v>
      </c>
      <c r="AF2157" s="5">
        <f t="shared" si="105"/>
        <v>2026</v>
      </c>
    </row>
    <row r="2158" s="5" customFormat="1" ht="13">
      <c r="A2158" s="5">
        <v>12315</v>
      </c>
      <c r="B2158" s="5" t="s">
        <v>73</v>
      </c>
      <c r="C2158" s="5" t="s">
        <v>212</v>
      </c>
      <c r="D2158" s="5" t="s">
        <v>21</v>
      </c>
      <c r="E2158" s="5" t="s">
        <v>34</v>
      </c>
      <c r="F2158" s="5" t="s">
        <v>68</v>
      </c>
      <c r="G2158" s="5" t="s">
        <v>86</v>
      </c>
      <c r="H2158" s="9" t="s">
        <v>213</v>
      </c>
      <c r="I2158" s="10">
        <v>44651</v>
      </c>
      <c r="J2158" s="10">
        <v>46289</v>
      </c>
      <c r="K2158" s="5" t="s">
        <v>81</v>
      </c>
      <c r="L2158" s="5" t="s">
        <v>58</v>
      </c>
      <c r="M2158" s="11">
        <v>0.053499999999999999</v>
      </c>
      <c r="N2158" s="5" t="e">
        <f>IF(AND(M2158&gt;#REF!,Cartera!O2158="Guaraníes"),"Rendimiento significativo",IF(AND(M2158&gt;#REF!,Cartera!O2158="Dólares americanos"),"Rendimiento significativo","Rendimiento no significativo"))</f>
        <v>#REF!</v>
      </c>
      <c r="O2158" s="5" t="s">
        <v>51</v>
      </c>
      <c r="P2158" s="13">
        <v>2667.6712000000002</v>
      </c>
      <c r="Q2158" s="12" t="e">
        <f>IF(O2158="Guaraníes",P2158,P2158*#REF!)</f>
        <v>#REF!</v>
      </c>
      <c r="R2158" s="12">
        <f>IF(O2158="Guaraníes",P2158/#REF!,P2158)</f>
        <v>2667.6712000000002</v>
      </c>
      <c r="S2158" s="5" t="s">
        <v>42</v>
      </c>
      <c r="V2158" s="5">
        <v>26.676711999999998</v>
      </c>
      <c r="AA2158" s="5">
        <v>100</v>
      </c>
      <c r="AC2158" s="5" t="str">
        <f t="shared" si="103"/>
        <v>Bonos</v>
      </c>
      <c r="AD2158" s="5" t="s">
        <v>43</v>
      </c>
      <c r="AE2158" s="5">
        <f t="shared" si="104"/>
        <v>9</v>
      </c>
      <c r="AF2158" s="5">
        <f t="shared" si="105"/>
        <v>2026</v>
      </c>
    </row>
    <row r="2159" s="5" customFormat="1" ht="13">
      <c r="A2159" s="5">
        <v>12316</v>
      </c>
      <c r="B2159" s="5" t="s">
        <v>78</v>
      </c>
      <c r="C2159" s="5" t="s">
        <v>183</v>
      </c>
      <c r="D2159" s="5" t="s">
        <v>21</v>
      </c>
      <c r="E2159" s="5" t="s">
        <v>34</v>
      </c>
      <c r="H2159" s="9" t="s">
        <v>210</v>
      </c>
      <c r="I2159" s="10">
        <v>45562</v>
      </c>
      <c r="J2159" s="10">
        <v>46292</v>
      </c>
      <c r="L2159" s="11" t="s">
        <v>82</v>
      </c>
      <c r="M2159" s="11">
        <v>0.053800000000000001</v>
      </c>
      <c r="N2159" s="11" t="e">
        <f>IF(AND(M2159&gt;#REF!,Cartera!O2159="Guaraníes"),"Rendimiento significativo",IF(AND(M2159&gt;#REF!,Cartera!O2159="Dólares americanos"),"Rendimiento significativo","Rendimiento no significativo"))</f>
        <v>#REF!</v>
      </c>
      <c r="O2159" s="5" t="s">
        <v>41</v>
      </c>
      <c r="P2159" s="13">
        <v>2447082</v>
      </c>
      <c r="Q2159" s="12">
        <f>IF(O2159="Guaraníes",P2159,P2159*#REF!)</f>
        <v>2447082</v>
      </c>
      <c r="R2159" s="13">
        <v>314.13522638288043</v>
      </c>
      <c r="S2159" s="5" t="s">
        <v>42</v>
      </c>
      <c r="AC2159" s="5" t="str">
        <f t="shared" si="103"/>
        <v>CDA</v>
      </c>
      <c r="AD2159" s="5" t="s">
        <v>43</v>
      </c>
    </row>
    <row r="2160" s="5" customFormat="1" ht="13">
      <c r="A2160" s="5" t="s">
        <v>44</v>
      </c>
      <c r="B2160" s="5" t="s">
        <v>44</v>
      </c>
      <c r="C2160" s="5" t="s">
        <v>389</v>
      </c>
      <c r="D2160" s="5" t="s">
        <v>21</v>
      </c>
      <c r="E2160" s="5" t="s">
        <v>44</v>
      </c>
      <c r="F2160" s="5" t="s">
        <v>68</v>
      </c>
      <c r="G2160" s="5" t="s">
        <v>141</v>
      </c>
      <c r="H2160" s="9" t="s">
        <v>390</v>
      </c>
      <c r="I2160" s="10"/>
      <c r="J2160" s="10">
        <v>46715</v>
      </c>
      <c r="K2160" s="5" t="s">
        <v>391</v>
      </c>
      <c r="L2160" s="5" t="s">
        <v>58</v>
      </c>
      <c r="M2160" s="11">
        <v>0.1125</v>
      </c>
      <c r="N2160" s="5" t="e">
        <f>IF(AND(M2160&gt;#REF!,Cartera!O2160="Guaraníes"),"Rendimiento significativo",IF(AND(M2160&gt;#REF!,Cartera!O2160="Dólares americanos"),"Rendimiento significativo","Rendimiento no significativo"))</f>
        <v>#REF!</v>
      </c>
      <c r="O2160" s="5" t="s">
        <v>41</v>
      </c>
      <c r="P2160" s="12">
        <v>841438.35615000001</v>
      </c>
      <c r="Q2160" s="12">
        <f>IF(O2160="Guaraníes",P2160,P2160*#REF!)</f>
        <v>841438.35615000001</v>
      </c>
      <c r="R2160" s="12" t="e">
        <f>IF(O2160="Guaraníes",P2160/#REF!,P2160)</f>
        <v>#REF!</v>
      </c>
      <c r="S2160" s="5" t="s">
        <v>52</v>
      </c>
      <c r="T2160" s="5">
        <v>9243</v>
      </c>
      <c r="W2160" s="5" t="s">
        <v>65</v>
      </c>
      <c r="X2160" s="5">
        <v>0</v>
      </c>
      <c r="Y2160" s="5">
        <v>0</v>
      </c>
      <c r="Z2160" s="5">
        <v>28047.945205</v>
      </c>
      <c r="AA2160" s="5">
        <v>30</v>
      </c>
      <c r="AB2160" s="5">
        <v>841438.35615000001</v>
      </c>
      <c r="AC2160" s="5" t="str">
        <f t="shared" si="103"/>
        <v>Bonos</v>
      </c>
      <c r="AD2160" s="5" t="s">
        <v>43</v>
      </c>
      <c r="AE2160" s="5">
        <f t="shared" si="104"/>
        <v>11</v>
      </c>
      <c r="AF2160" s="5">
        <f t="shared" si="105"/>
        <v>2027</v>
      </c>
    </row>
    <row r="2161" s="5" customFormat="1" ht="13">
      <c r="A2161" s="5">
        <v>12316</v>
      </c>
      <c r="B2161" s="5" t="s">
        <v>78</v>
      </c>
      <c r="C2161" s="5" t="s">
        <v>164</v>
      </c>
      <c r="D2161" s="5" t="s">
        <v>21</v>
      </c>
      <c r="E2161" s="5" t="s">
        <v>34</v>
      </c>
      <c r="F2161" s="5" t="s">
        <v>68</v>
      </c>
      <c r="G2161" s="5" t="s">
        <v>145</v>
      </c>
      <c r="H2161" s="9" t="s">
        <v>165</v>
      </c>
      <c r="I2161" s="10"/>
      <c r="J2161" s="10">
        <v>46295</v>
      </c>
      <c r="K2161" s="5" t="s">
        <v>124</v>
      </c>
      <c r="L2161" s="5" t="s">
        <v>58</v>
      </c>
      <c r="M2161" s="11">
        <v>0.10000000000000001</v>
      </c>
      <c r="N2161" s="5" t="e">
        <f>IF(AND(M2161&gt;#REF!,Cartera!O2161="Guaraníes"),"Rendimiento significativo",IF(AND(M2161&gt;#REF!,Cartera!O2161="Dólares americanos"),"Rendimiento significativo","Rendimiento no significativo"))</f>
        <v>#REF!</v>
      </c>
      <c r="O2161" s="5" t="s">
        <v>41</v>
      </c>
      <c r="P2161" s="12">
        <v>3287671.2328000003</v>
      </c>
      <c r="Q2161" s="12">
        <f>IF(O2161="Guaraníes",P2161,P2161*#REF!)</f>
        <v>3287671.2328000003</v>
      </c>
      <c r="R2161" s="12" t="e">
        <f>IF(O2161="Guaraníes",P2161/#REF!,P2161)</f>
        <v>#REF!</v>
      </c>
      <c r="S2161" s="5" t="s">
        <v>42</v>
      </c>
      <c r="T2161" s="5">
        <v>1057</v>
      </c>
      <c r="W2161" s="5" t="s">
        <v>65</v>
      </c>
      <c r="X2161" s="5">
        <v>0</v>
      </c>
      <c r="Y2161" s="5">
        <v>0</v>
      </c>
      <c r="Z2161" s="5">
        <v>8219.1780820000004</v>
      </c>
      <c r="AA2161" s="5">
        <v>400</v>
      </c>
      <c r="AB2161" s="5">
        <v>3287671.2327999999</v>
      </c>
      <c r="AC2161" s="5" t="str">
        <f t="shared" si="103"/>
        <v>Bonos</v>
      </c>
      <c r="AD2161" s="5" t="s">
        <v>43</v>
      </c>
      <c r="AE2161" s="5">
        <f t="shared" si="104"/>
        <v>9</v>
      </c>
      <c r="AF2161" s="5">
        <f t="shared" si="105"/>
        <v>2026</v>
      </c>
    </row>
    <row r="2162" s="5" customFormat="1" ht="13">
      <c r="A2162" s="5">
        <v>12316</v>
      </c>
      <c r="B2162" s="5" t="s">
        <v>78</v>
      </c>
      <c r="C2162" s="5" t="s">
        <v>164</v>
      </c>
      <c r="D2162" s="5" t="s">
        <v>21</v>
      </c>
      <c r="E2162" s="5" t="s">
        <v>34</v>
      </c>
      <c r="F2162" s="5" t="s">
        <v>68</v>
      </c>
      <c r="G2162" s="5" t="s">
        <v>141</v>
      </c>
      <c r="H2162" s="9" t="s">
        <v>165</v>
      </c>
      <c r="I2162" s="10"/>
      <c r="J2162" s="10">
        <v>46295</v>
      </c>
      <c r="K2162" s="5" t="s">
        <v>124</v>
      </c>
      <c r="L2162" s="5" t="s">
        <v>58</v>
      </c>
      <c r="M2162" s="11">
        <v>0.10000000000000001</v>
      </c>
      <c r="N2162" s="5" t="e">
        <f>IF(AND(M2162&gt;#REF!,Cartera!O2162="Guaraníes"),"Rendimiento significativo",IF(AND(M2162&gt;#REF!,Cartera!O2162="Dólares americanos"),"Rendimiento significativo","Rendimiento no significativo"))</f>
        <v>#REF!</v>
      </c>
      <c r="O2162" s="5" t="s">
        <v>41</v>
      </c>
      <c r="P2162" s="12">
        <v>821917.80820000009</v>
      </c>
      <c r="Q2162" s="12">
        <f>IF(O2162="Guaraníes",P2162,P2162*#REF!)</f>
        <v>821917.80820000009</v>
      </c>
      <c r="R2162" s="12" t="e">
        <f>IF(O2162="Guaraníes",P2162/#REF!,P2162)</f>
        <v>#REF!</v>
      </c>
      <c r="S2162" s="5" t="s">
        <v>42</v>
      </c>
      <c r="T2162" s="5">
        <v>9243</v>
      </c>
      <c r="W2162" s="5" t="s">
        <v>65</v>
      </c>
      <c r="X2162" s="5">
        <v>0</v>
      </c>
      <c r="Y2162" s="5">
        <v>0</v>
      </c>
      <c r="Z2162" s="5">
        <v>8219.1780820000004</v>
      </c>
      <c r="AA2162" s="5">
        <v>100</v>
      </c>
      <c r="AB2162" s="5">
        <v>821917.80819999997</v>
      </c>
      <c r="AC2162" s="5" t="str">
        <f t="shared" si="103"/>
        <v>Bonos</v>
      </c>
      <c r="AD2162" s="5" t="s">
        <v>43</v>
      </c>
      <c r="AE2162" s="5">
        <f t="shared" si="104"/>
        <v>9</v>
      </c>
      <c r="AF2162" s="5">
        <f t="shared" si="105"/>
        <v>2026</v>
      </c>
    </row>
    <row r="2163" s="5" customFormat="1" ht="13">
      <c r="A2163" s="5">
        <v>12316</v>
      </c>
      <c r="B2163" s="5" t="s">
        <v>78</v>
      </c>
      <c r="C2163" s="5" t="s">
        <v>164</v>
      </c>
      <c r="D2163" s="5" t="s">
        <v>21</v>
      </c>
      <c r="E2163" s="5" t="s">
        <v>34</v>
      </c>
      <c r="F2163" s="5" t="s">
        <v>68</v>
      </c>
      <c r="G2163" s="5" t="s">
        <v>141</v>
      </c>
      <c r="H2163" s="9" t="s">
        <v>167</v>
      </c>
      <c r="I2163" s="10"/>
      <c r="J2163" s="10">
        <v>46295</v>
      </c>
      <c r="K2163" s="5" t="s">
        <v>124</v>
      </c>
      <c r="L2163" s="5" t="s">
        <v>58</v>
      </c>
      <c r="M2163" s="11">
        <v>0.092499999999999999</v>
      </c>
      <c r="N2163" s="5" t="e">
        <f>IF(AND(M2163&gt;#REF!,Cartera!O2163="Guaraníes"),"Rendimiento significativo",IF(AND(M2163&gt;#REF!,Cartera!O2163="Dólares americanos"),"Rendimiento significativo","Rendimiento no significativo"))</f>
        <v>#REF!</v>
      </c>
      <c r="O2163" s="5" t="s">
        <v>41</v>
      </c>
      <c r="P2163" s="12">
        <v>760273.97259999998</v>
      </c>
      <c r="Q2163" s="12">
        <f>IF(O2163="Guaraníes",P2163,P2163*#REF!)</f>
        <v>760273.97259999998</v>
      </c>
      <c r="R2163" s="12" t="e">
        <f>IF(O2163="Guaraníes",P2163/#REF!,P2163)</f>
        <v>#REF!</v>
      </c>
      <c r="S2163" s="5" t="s">
        <v>42</v>
      </c>
      <c r="T2163" s="5">
        <v>9243</v>
      </c>
      <c r="W2163" s="5" t="s">
        <v>65</v>
      </c>
      <c r="X2163" s="5">
        <v>0</v>
      </c>
      <c r="Y2163" s="5">
        <v>0</v>
      </c>
      <c r="Z2163" s="5">
        <v>7602.7397259999998</v>
      </c>
      <c r="AA2163" s="5">
        <v>100</v>
      </c>
      <c r="AB2163" s="5">
        <v>760273.97259999998</v>
      </c>
      <c r="AC2163" s="5" t="str">
        <f t="shared" si="103"/>
        <v>Bonos</v>
      </c>
      <c r="AD2163" s="5" t="s">
        <v>43</v>
      </c>
      <c r="AE2163" s="5">
        <f t="shared" si="104"/>
        <v>9</v>
      </c>
      <c r="AF2163" s="5">
        <f t="shared" si="105"/>
        <v>2026</v>
      </c>
    </row>
    <row r="2164" s="5" customFormat="1" ht="13">
      <c r="A2164" s="5" t="s">
        <v>44</v>
      </c>
      <c r="B2164" s="5" t="s">
        <v>44</v>
      </c>
      <c r="C2164" s="5" t="s">
        <v>389</v>
      </c>
      <c r="D2164" s="5" t="s">
        <v>21</v>
      </c>
      <c r="E2164" s="5" t="s">
        <v>44</v>
      </c>
      <c r="F2164" s="5" t="s">
        <v>68</v>
      </c>
      <c r="G2164" s="5" t="s">
        <v>141</v>
      </c>
      <c r="H2164" s="9" t="s">
        <v>390</v>
      </c>
      <c r="I2164" s="10"/>
      <c r="J2164" s="10">
        <v>46806</v>
      </c>
      <c r="K2164" s="5" t="s">
        <v>391</v>
      </c>
      <c r="L2164" s="5" t="s">
        <v>58</v>
      </c>
      <c r="M2164" s="11">
        <v>0.1125</v>
      </c>
      <c r="N2164" s="5" t="e">
        <f>IF(AND(M2164&gt;#REF!,Cartera!O2164="Guaraníes"),"Rendimiento significativo",IF(AND(M2164&gt;#REF!,Cartera!O2164="Dólares americanos"),"Rendimiento significativo","Rendimiento no significativo"))</f>
        <v>#REF!</v>
      </c>
      <c r="O2164" s="5" t="s">
        <v>41</v>
      </c>
      <c r="P2164" s="12">
        <v>841438.35615000001</v>
      </c>
      <c r="Q2164" s="12">
        <f>IF(O2164="Guaraníes",P2164,P2164*#REF!)</f>
        <v>841438.35615000001</v>
      </c>
      <c r="R2164" s="12" t="e">
        <f>IF(O2164="Guaraníes",P2164/#REF!,P2164)</f>
        <v>#REF!</v>
      </c>
      <c r="S2164" s="5" t="s">
        <v>52</v>
      </c>
      <c r="T2164" s="5">
        <v>9243</v>
      </c>
      <c r="W2164" s="5" t="s">
        <v>65</v>
      </c>
      <c r="X2164" s="5">
        <v>0</v>
      </c>
      <c r="Y2164" s="5">
        <v>0</v>
      </c>
      <c r="Z2164" s="5">
        <v>28047.945205</v>
      </c>
      <c r="AA2164" s="5">
        <v>30</v>
      </c>
      <c r="AB2164" s="5">
        <v>841438.35615000001</v>
      </c>
      <c r="AC2164" s="5" t="str">
        <f t="shared" si="103"/>
        <v>Bonos</v>
      </c>
      <c r="AD2164" s="5" t="s">
        <v>43</v>
      </c>
      <c r="AE2164" s="5">
        <f t="shared" si="104"/>
        <v>2</v>
      </c>
      <c r="AF2164" s="5">
        <f t="shared" si="105"/>
        <v>2028</v>
      </c>
    </row>
    <row r="2165" s="5" customFormat="1" ht="13">
      <c r="A2165" s="5">
        <v>12315</v>
      </c>
      <c r="B2165" s="5" t="s">
        <v>73</v>
      </c>
      <c r="C2165" s="5" t="s">
        <v>74</v>
      </c>
      <c r="D2165" s="5" t="s">
        <v>21</v>
      </c>
      <c r="E2165" s="5" t="s">
        <v>34</v>
      </c>
      <c r="F2165" s="5" t="s">
        <v>68</v>
      </c>
      <c r="G2165" s="5" t="s">
        <v>75</v>
      </c>
      <c r="H2165" s="9" t="s">
        <v>76</v>
      </c>
      <c r="I2165" s="10"/>
      <c r="J2165" s="10">
        <v>46296</v>
      </c>
      <c r="K2165" s="5" t="s">
        <v>77</v>
      </c>
      <c r="L2165" s="5" t="s">
        <v>50</v>
      </c>
      <c r="M2165" s="11">
        <v>0.055</v>
      </c>
      <c r="N2165" s="5" t="e">
        <f>IF(AND(M2165&gt;#REF!,Cartera!O2165="Guaraníes"),"Rendimiento significativo",IF(AND(M2165&gt;#REF!,Cartera!O2165="Dólares americanos"),"Rendimiento significativo","Rendimiento no significativo"))</f>
        <v>#REF!</v>
      </c>
      <c r="O2165" s="5" t="s">
        <v>51</v>
      </c>
      <c r="P2165" s="13">
        <v>415.89042000000001</v>
      </c>
      <c r="Q2165" s="12" t="e">
        <f>IF(O2165="Guaraníes",P2165,P2165*#REF!)</f>
        <v>#REF!</v>
      </c>
      <c r="R2165" s="12">
        <f>IF(O2165="Guaraníes",P2165/#REF!,P2165)</f>
        <v>415.89042000000001</v>
      </c>
      <c r="S2165" s="5" t="s">
        <v>42</v>
      </c>
      <c r="T2165" s="5">
        <v>25</v>
      </c>
      <c r="W2165" s="5" t="s">
        <v>65</v>
      </c>
      <c r="X2165" s="5">
        <v>0</v>
      </c>
      <c r="Y2165" s="5">
        <v>0</v>
      </c>
      <c r="Z2165" s="5">
        <v>13.863014</v>
      </c>
      <c r="AA2165" s="5">
        <v>30</v>
      </c>
      <c r="AB2165" s="5">
        <v>415.88999999999999</v>
      </c>
      <c r="AC2165" s="5" t="str">
        <f t="shared" si="103"/>
        <v>Bonos</v>
      </c>
      <c r="AD2165" s="5" t="s">
        <v>43</v>
      </c>
      <c r="AE2165" s="5">
        <f t="shared" si="104"/>
        <v>10</v>
      </c>
      <c r="AF2165" s="5">
        <f t="shared" si="105"/>
        <v>2026</v>
      </c>
    </row>
    <row r="2166" s="5" customFormat="1" ht="13">
      <c r="A2166" s="5">
        <v>12316</v>
      </c>
      <c r="B2166" s="5" t="s">
        <v>78</v>
      </c>
      <c r="C2166" s="5" t="s">
        <v>138</v>
      </c>
      <c r="D2166" s="5" t="s">
        <v>21</v>
      </c>
      <c r="E2166" s="5" t="s">
        <v>34</v>
      </c>
      <c r="F2166" s="5" t="s">
        <v>68</v>
      </c>
      <c r="G2166" s="5" t="s">
        <v>86</v>
      </c>
      <c r="H2166" s="9" t="s">
        <v>139</v>
      </c>
      <c r="I2166" s="10">
        <v>43948</v>
      </c>
      <c r="J2166" s="10">
        <v>46300</v>
      </c>
      <c r="K2166" s="5" t="s">
        <v>140</v>
      </c>
      <c r="L2166" s="5" t="s">
        <v>58</v>
      </c>
      <c r="M2166" s="11">
        <v>0.11</v>
      </c>
      <c r="N2166" s="5" t="e">
        <f>IF(AND(M2166&gt;#REF!,Cartera!O2166="Guaraníes"),"Rendimiento significativo",IF(AND(M2166&gt;#REF!,Cartera!O2166="Dólares americanos"),"Rendimiento significativo","Rendimiento no significativo"))</f>
        <v>#REF!</v>
      </c>
      <c r="O2166" s="5" t="s">
        <v>41</v>
      </c>
      <c r="P2166" s="12">
        <v>964809.82339999988</v>
      </c>
      <c r="Q2166" s="12">
        <f>IF(O2166="Guaraníes",P2166,P2166*#REF!)</f>
        <v>964809.82339999988</v>
      </c>
      <c r="R2166" s="12" t="e">
        <f>IF(O2166="Guaraníes",P2166/#REF!,P2166)</f>
        <v>#REF!</v>
      </c>
      <c r="S2166" s="5" t="s">
        <v>42</v>
      </c>
      <c r="AC2166" s="5" t="str">
        <f t="shared" si="103"/>
        <v>Bonos</v>
      </c>
      <c r="AD2166" s="5" t="s">
        <v>43</v>
      </c>
      <c r="AE2166" s="5">
        <f t="shared" si="104"/>
        <v>10</v>
      </c>
      <c r="AF2166" s="5">
        <f t="shared" si="105"/>
        <v>2026</v>
      </c>
    </row>
    <row r="2167" s="5" customFormat="1" ht="13">
      <c r="A2167" s="5">
        <v>12315</v>
      </c>
      <c r="B2167" s="5" t="s">
        <v>73</v>
      </c>
      <c r="C2167" s="5" t="s">
        <v>85</v>
      </c>
      <c r="D2167" s="5" t="s">
        <v>21</v>
      </c>
      <c r="E2167" s="5" t="s">
        <v>34</v>
      </c>
      <c r="F2167" s="5" t="s">
        <v>68</v>
      </c>
      <c r="G2167" s="5" t="s">
        <v>86</v>
      </c>
      <c r="H2167" s="9" t="s">
        <v>87</v>
      </c>
      <c r="I2167" s="10"/>
      <c r="J2167" s="10">
        <v>46310</v>
      </c>
      <c r="K2167" s="5" t="s">
        <v>39</v>
      </c>
      <c r="L2167" s="5" t="s">
        <v>58</v>
      </c>
      <c r="M2167" s="11">
        <v>0.059999999999999998</v>
      </c>
      <c r="N2167" s="5" t="e">
        <f>IF(AND(M2167&gt;#REF!,Cartera!O2167="Guaraníes"),"Rendimiento significativo",IF(AND(M2167&gt;#REF!,Cartera!O2167="Dólares americanos"),"Rendimiento significativo","Rendimiento no significativo"))</f>
        <v>#REF!</v>
      </c>
      <c r="O2167" s="5" t="s">
        <v>51</v>
      </c>
      <c r="P2167" s="13">
        <v>747.9452</v>
      </c>
      <c r="Q2167" s="12" t="e">
        <f>IF(O2167="Guaraníes",P2167,P2167*#REF!)</f>
        <v>#REF!</v>
      </c>
      <c r="R2167" s="12">
        <f>IF(O2167="Guaraníes",P2167/#REF!,P2167)</f>
        <v>747.9452</v>
      </c>
      <c r="S2167" s="5" t="s">
        <v>42</v>
      </c>
      <c r="T2167" s="5">
        <v>10834</v>
      </c>
      <c r="W2167" s="5" t="s">
        <v>398</v>
      </c>
      <c r="X2167" s="5">
        <v>0</v>
      </c>
      <c r="Y2167" s="5">
        <v>0</v>
      </c>
      <c r="Z2167" s="5">
        <v>14.958904</v>
      </c>
      <c r="AA2167" s="5">
        <v>50</v>
      </c>
      <c r="AB2167" s="5">
        <v>747.9452</v>
      </c>
      <c r="AC2167" s="5" t="str">
        <f t="shared" ref="AC2167:AC2230" si="106">IF(ISNUMBER(SEARCH("Acciones",L2167)),"Acciones",IF(ISNUMBER(SEARCH("Bono",L2167)),"Bonos",IF(ISNUMBER(SEARCH("CDA",L2167)),"CDA",IF(ISNUMBER(SEARCH("Fondo",L2167)),"Fondo",0))))</f>
        <v>Bonos</v>
      </c>
      <c r="AD2167" s="5" t="s">
        <v>43</v>
      </c>
      <c r="AE2167" s="5">
        <f t="shared" si="104"/>
        <v>10</v>
      </c>
      <c r="AF2167" s="5">
        <f t="shared" si="105"/>
        <v>2026</v>
      </c>
    </row>
    <row r="2168" s="5" customFormat="1" ht="13">
      <c r="A2168" s="5" t="s">
        <v>44</v>
      </c>
      <c r="B2168" s="5" t="s">
        <v>44</v>
      </c>
      <c r="C2168" s="5" t="s">
        <v>389</v>
      </c>
      <c r="D2168" s="5" t="s">
        <v>21</v>
      </c>
      <c r="E2168" s="5" t="s">
        <v>44</v>
      </c>
      <c r="F2168" s="5" t="s">
        <v>68</v>
      </c>
      <c r="G2168" s="5" t="s">
        <v>141</v>
      </c>
      <c r="H2168" s="9" t="s">
        <v>390</v>
      </c>
      <c r="I2168" s="10"/>
      <c r="J2168" s="10">
        <v>46897</v>
      </c>
      <c r="K2168" s="5" t="s">
        <v>391</v>
      </c>
      <c r="L2168" s="5" t="s">
        <v>58</v>
      </c>
      <c r="M2168" s="11">
        <v>0.1125</v>
      </c>
      <c r="N2168" s="5" t="e">
        <f>IF(AND(M2168&gt;#REF!,Cartera!O2168="Guaraníes"),"Rendimiento significativo",IF(AND(M2168&gt;#REF!,Cartera!O2168="Dólares americanos"),"Rendimiento significativo","Rendimiento no significativo"))</f>
        <v>#REF!</v>
      </c>
      <c r="O2168" s="5" t="s">
        <v>41</v>
      </c>
      <c r="P2168" s="12">
        <v>841438.35615000001</v>
      </c>
      <c r="Q2168" s="12">
        <f>IF(O2168="Guaraníes",P2168,P2168*#REF!)</f>
        <v>841438.35615000001</v>
      </c>
      <c r="R2168" s="12" t="e">
        <f>IF(O2168="Guaraníes",P2168/#REF!,P2168)</f>
        <v>#REF!</v>
      </c>
      <c r="S2168" s="5" t="s">
        <v>52</v>
      </c>
      <c r="T2168" s="5">
        <v>9243</v>
      </c>
      <c r="W2168" s="5" t="s">
        <v>65</v>
      </c>
      <c r="X2168" s="5">
        <v>0</v>
      </c>
      <c r="Y2168" s="5">
        <v>0</v>
      </c>
      <c r="Z2168" s="5">
        <v>28047.945205</v>
      </c>
      <c r="AA2168" s="5">
        <v>30</v>
      </c>
      <c r="AB2168" s="5">
        <v>841438.35615000001</v>
      </c>
      <c r="AC2168" s="5" t="str">
        <f t="shared" si="106"/>
        <v>Bonos</v>
      </c>
      <c r="AD2168" s="5" t="s">
        <v>43</v>
      </c>
      <c r="AE2168" s="5">
        <f t="shared" si="104"/>
        <v>5</v>
      </c>
      <c r="AF2168" s="5">
        <f t="shared" si="105"/>
        <v>2028</v>
      </c>
    </row>
    <row r="2169" s="5" customFormat="1" ht="13">
      <c r="A2169" s="5">
        <v>12315</v>
      </c>
      <c r="B2169" s="5" t="s">
        <v>73</v>
      </c>
      <c r="C2169" s="5" t="s">
        <v>122</v>
      </c>
      <c r="D2169" s="5" t="s">
        <v>21</v>
      </c>
      <c r="E2169" s="5" t="s">
        <v>34</v>
      </c>
      <c r="F2169" s="5" t="s">
        <v>61</v>
      </c>
      <c r="G2169" s="5" t="s">
        <v>91</v>
      </c>
      <c r="H2169" s="9" t="s">
        <v>132</v>
      </c>
      <c r="I2169" s="10"/>
      <c r="J2169" s="10">
        <v>46316</v>
      </c>
      <c r="K2169" s="5" t="s">
        <v>124</v>
      </c>
      <c r="L2169" s="5" t="s">
        <v>50</v>
      </c>
      <c r="M2169" s="11">
        <v>0.059999999999999998</v>
      </c>
      <c r="N2169" s="5" t="e">
        <f>IF(AND(M2169&gt;#REF!,Cartera!O2169="Guaraníes"),"Rendimiento significativo",IF(AND(M2169&gt;#REF!,Cartera!O2169="Dólares americanos"),"Rendimiento significativo","Rendimiento no significativo"))</f>
        <v>#REF!</v>
      </c>
      <c r="O2169" s="5" t="s">
        <v>51</v>
      </c>
      <c r="P2169" s="13">
        <v>299.17808000000002</v>
      </c>
      <c r="Q2169" s="12" t="e">
        <f>IF(O2169="Guaraníes",P2169,P2169*#REF!)</f>
        <v>#REF!</v>
      </c>
      <c r="R2169" s="12">
        <f>IF(O2169="Guaraníes",P2169/#REF!,P2169)</f>
        <v>299.17808000000002</v>
      </c>
      <c r="S2169" s="5" t="s">
        <v>42</v>
      </c>
      <c r="T2169" s="5">
        <v>3253</v>
      </c>
      <c r="W2169" s="5" t="s">
        <v>65</v>
      </c>
      <c r="X2169" s="5">
        <v>0</v>
      </c>
      <c r="Y2169" s="5">
        <v>0</v>
      </c>
      <c r="Z2169" s="5">
        <v>29.917808000000001</v>
      </c>
      <c r="AA2169" s="5">
        <v>10</v>
      </c>
      <c r="AB2169" s="5">
        <v>299.17808000000002</v>
      </c>
      <c r="AC2169" s="5" t="str">
        <f t="shared" si="106"/>
        <v>Bonos</v>
      </c>
      <c r="AD2169" s="5" t="s">
        <v>43</v>
      </c>
      <c r="AE2169" s="5">
        <f t="shared" si="104"/>
        <v>10</v>
      </c>
      <c r="AF2169" s="5">
        <f t="shared" si="105"/>
        <v>2026</v>
      </c>
    </row>
    <row r="2170" s="5" customFormat="1" ht="13">
      <c r="A2170" s="5">
        <v>12315</v>
      </c>
      <c r="B2170" s="5" t="s">
        <v>73</v>
      </c>
      <c r="C2170" s="5" t="s">
        <v>54</v>
      </c>
      <c r="D2170" s="5" t="s">
        <v>21</v>
      </c>
      <c r="E2170" s="5" t="s">
        <v>34</v>
      </c>
      <c r="F2170" s="5" t="s">
        <v>46</v>
      </c>
      <c r="G2170" s="5" t="s">
        <v>55</v>
      </c>
      <c r="H2170" s="9" t="s">
        <v>56</v>
      </c>
      <c r="I2170" s="10">
        <v>44680</v>
      </c>
      <c r="J2170" s="10">
        <v>46318</v>
      </c>
      <c r="K2170" s="5" t="s">
        <v>57</v>
      </c>
      <c r="L2170" s="5" t="s">
        <v>58</v>
      </c>
      <c r="M2170" s="11">
        <v>0.059999999999999998</v>
      </c>
      <c r="N2170" s="5" t="e">
        <f>IF(AND(M2170&gt;#REF!,Cartera!O2170="Guaraníes"),"Rendimiento significativo",IF(AND(M2170&gt;#REF!,Cartera!O2170="Dólares americanos"),"Rendimiento significativo","Rendimiento no significativo"))</f>
        <v>#REF!</v>
      </c>
      <c r="O2170" s="5" t="s">
        <v>51</v>
      </c>
      <c r="P2170" s="13">
        <v>747.9452</v>
      </c>
      <c r="Q2170" s="12" t="e">
        <f>IF(O2170="Guaraníes",P2170,P2170*#REF!)</f>
        <v>#REF!</v>
      </c>
      <c r="R2170" s="12">
        <f>IF(O2170="Guaraníes",P2170/#REF!,P2170)</f>
        <v>747.9452</v>
      </c>
      <c r="S2170" s="5" t="s">
        <v>42</v>
      </c>
      <c r="T2170" s="5">
        <v>17035</v>
      </c>
      <c r="V2170" s="5">
        <v>14.960000000000001</v>
      </c>
      <c r="AA2170" s="5">
        <v>50</v>
      </c>
      <c r="AC2170" s="5" t="str">
        <f t="shared" si="106"/>
        <v>Bonos</v>
      </c>
      <c r="AD2170" s="5" t="s">
        <v>43</v>
      </c>
      <c r="AE2170" s="5">
        <f t="shared" si="104"/>
        <v>10</v>
      </c>
      <c r="AF2170" s="5">
        <f t="shared" si="105"/>
        <v>2026</v>
      </c>
    </row>
    <row r="2171" s="5" customFormat="1" ht="13">
      <c r="A2171" s="5">
        <v>12316</v>
      </c>
      <c r="B2171" s="5" t="s">
        <v>78</v>
      </c>
      <c r="C2171" s="5" t="s">
        <v>99</v>
      </c>
      <c r="D2171" s="5" t="s">
        <v>21</v>
      </c>
      <c r="E2171" s="5" t="s">
        <v>34</v>
      </c>
      <c r="F2171" s="5" t="s">
        <v>100</v>
      </c>
      <c r="G2171" s="5" t="s">
        <v>75</v>
      </c>
      <c r="H2171" s="9" t="s">
        <v>217</v>
      </c>
      <c r="I2171" s="10"/>
      <c r="J2171" s="10">
        <v>46319</v>
      </c>
      <c r="K2171" s="5" t="s">
        <v>102</v>
      </c>
      <c r="L2171" s="5" t="s">
        <v>102</v>
      </c>
      <c r="M2171" s="11">
        <v>0.080000000000000002</v>
      </c>
      <c r="N2171" s="5" t="e">
        <f>IF(AND(M2171&gt;#REF!,Cartera!O2171="Guaraníes"),"Rendimiento significativo",IF(AND(M2171&gt;#REF!,Cartera!O2171="Dólares americanos"),"Rendimiento significativo","Rendimiento no significativo"))</f>
        <v>#REF!</v>
      </c>
      <c r="O2171" s="5" t="s">
        <v>41</v>
      </c>
      <c r="P2171" s="12">
        <v>5767000</v>
      </c>
      <c r="Q2171" s="12">
        <f>IF(O2171="Guaraníes",P2171,P2171*#REF!)</f>
        <v>5767000</v>
      </c>
      <c r="R2171" s="12" t="e">
        <f>IF(O2171="Guaraníes",P2171/#REF!,P2171)</f>
        <v>#REF!</v>
      </c>
      <c r="S2171" s="5" t="s">
        <v>42</v>
      </c>
      <c r="T2171" s="5">
        <v>25</v>
      </c>
      <c r="W2171" s="5" t="s">
        <v>218</v>
      </c>
      <c r="X2171" s="5">
        <v>0</v>
      </c>
      <c r="Y2171" s="5">
        <v>0</v>
      </c>
      <c r="Z2171" s="5">
        <v>39500</v>
      </c>
      <c r="AA2171" s="5">
        <v>146</v>
      </c>
      <c r="AB2171" s="5">
        <v>5767000</v>
      </c>
      <c r="AC2171" s="5" t="str">
        <f t="shared" si="106"/>
        <v>Bonos</v>
      </c>
      <c r="AD2171" s="5" t="s">
        <v>43</v>
      </c>
      <c r="AE2171" s="5">
        <f t="shared" si="104"/>
        <v>10</v>
      </c>
      <c r="AF2171" s="5">
        <f t="shared" si="105"/>
        <v>2026</v>
      </c>
    </row>
    <row r="2172" s="5" customFormat="1" ht="13">
      <c r="A2172" s="5" t="s">
        <v>44</v>
      </c>
      <c r="B2172" s="5" t="s">
        <v>44</v>
      </c>
      <c r="C2172" s="5" t="s">
        <v>389</v>
      </c>
      <c r="D2172" s="5" t="s">
        <v>21</v>
      </c>
      <c r="E2172" s="5" t="s">
        <v>44</v>
      </c>
      <c r="F2172" s="5" t="s">
        <v>68</v>
      </c>
      <c r="G2172" s="5" t="s">
        <v>141</v>
      </c>
      <c r="H2172" s="9" t="s">
        <v>390</v>
      </c>
      <c r="I2172" s="10"/>
      <c r="J2172" s="10">
        <v>46988</v>
      </c>
      <c r="K2172" s="5" t="s">
        <v>391</v>
      </c>
      <c r="L2172" s="5" t="s">
        <v>58</v>
      </c>
      <c r="M2172" s="11">
        <v>0.1125</v>
      </c>
      <c r="N2172" s="5" t="e">
        <f>IF(AND(M2172&gt;#REF!,Cartera!O2172="Guaraníes"),"Rendimiento significativo",IF(AND(M2172&gt;#REF!,Cartera!O2172="Dólares americanos"),"Rendimiento significativo","Rendimiento no significativo"))</f>
        <v>#REF!</v>
      </c>
      <c r="O2172" s="5" t="s">
        <v>41</v>
      </c>
      <c r="P2172" s="12">
        <v>841438.35615000001</v>
      </c>
      <c r="Q2172" s="12">
        <f>IF(O2172="Guaraníes",P2172,P2172*#REF!)</f>
        <v>841438.35615000001</v>
      </c>
      <c r="R2172" s="12" t="e">
        <f>IF(O2172="Guaraníes",P2172/#REF!,P2172)</f>
        <v>#REF!</v>
      </c>
      <c r="S2172" s="5" t="s">
        <v>52</v>
      </c>
      <c r="T2172" s="5">
        <v>9243</v>
      </c>
      <c r="W2172" s="5" t="s">
        <v>65</v>
      </c>
      <c r="X2172" s="5">
        <v>0</v>
      </c>
      <c r="Y2172" s="5">
        <v>0</v>
      </c>
      <c r="Z2172" s="5">
        <v>28047.945205</v>
      </c>
      <c r="AA2172" s="5">
        <v>30</v>
      </c>
      <c r="AB2172" s="5">
        <v>841438.35615000001</v>
      </c>
      <c r="AC2172" s="5" t="str">
        <f t="shared" si="106"/>
        <v>Bonos</v>
      </c>
      <c r="AD2172" s="5" t="s">
        <v>43</v>
      </c>
      <c r="AE2172" s="5">
        <f t="shared" si="104"/>
        <v>8</v>
      </c>
      <c r="AF2172" s="5">
        <f t="shared" si="105"/>
        <v>2028</v>
      </c>
    </row>
    <row r="2173" s="5" customFormat="1" ht="13">
      <c r="A2173" s="5">
        <v>12315</v>
      </c>
      <c r="B2173" s="5" t="s">
        <v>73</v>
      </c>
      <c r="C2173" s="5" t="s">
        <v>33</v>
      </c>
      <c r="D2173" s="5" t="s">
        <v>21</v>
      </c>
      <c r="E2173" s="5" t="s">
        <v>34</v>
      </c>
      <c r="F2173" s="5" t="s">
        <v>35</v>
      </c>
      <c r="G2173" s="5" t="s">
        <v>141</v>
      </c>
      <c r="H2173" s="9" t="s">
        <v>142</v>
      </c>
      <c r="I2173" s="10">
        <v>44956</v>
      </c>
      <c r="J2173" s="10">
        <v>46322</v>
      </c>
      <c r="K2173" s="5" t="s">
        <v>39</v>
      </c>
      <c r="L2173" s="5" t="s">
        <v>50</v>
      </c>
      <c r="M2173" s="11">
        <v>0.065000000000000002</v>
      </c>
      <c r="N2173" s="5" t="e">
        <f>IF(AND(M2173&gt;#REF!,Cartera!O2173="Guaraníes"),"Rendimiento significativo",IF(AND(M2173&gt;#REF!,Cartera!O2173="Dólares americanos"),"Rendimiento significativo","Rendimiento no significativo"))</f>
        <v>#REF!</v>
      </c>
      <c r="O2173" s="5" t="s">
        <v>51</v>
      </c>
      <c r="P2173" s="13">
        <v>1296.43832</v>
      </c>
      <c r="Q2173" s="12" t="e">
        <f>IF(O2173="Guaraníes",P2173,P2173*#REF!)</f>
        <v>#REF!</v>
      </c>
      <c r="R2173" s="12">
        <f>IF(O2173="Guaraníes",P2173/#REF!,P2173)</f>
        <v>1296.43832</v>
      </c>
      <c r="S2173" s="5" t="s">
        <v>42</v>
      </c>
      <c r="AC2173" s="5" t="str">
        <f t="shared" si="106"/>
        <v>Bonos</v>
      </c>
      <c r="AD2173" s="5" t="s">
        <v>43</v>
      </c>
      <c r="AE2173" s="5">
        <f t="shared" si="104"/>
        <v>10</v>
      </c>
      <c r="AF2173" s="5">
        <f t="shared" si="105"/>
        <v>2026</v>
      </c>
    </row>
    <row r="2174" s="5" customFormat="1" ht="13">
      <c r="A2174" s="5">
        <v>12316</v>
      </c>
      <c r="B2174" s="5" t="s">
        <v>78</v>
      </c>
      <c r="C2174" s="5" t="s">
        <v>164</v>
      </c>
      <c r="D2174" s="5" t="s">
        <v>21</v>
      </c>
      <c r="E2174" s="5" t="s">
        <v>34</v>
      </c>
      <c r="F2174" s="5" t="s">
        <v>68</v>
      </c>
      <c r="G2174" s="5" t="s">
        <v>145</v>
      </c>
      <c r="H2174" s="9" t="s">
        <v>165</v>
      </c>
      <c r="I2174" s="10"/>
      <c r="J2174" s="10">
        <v>46325</v>
      </c>
      <c r="K2174" s="5" t="s">
        <v>124</v>
      </c>
      <c r="L2174" s="5" t="s">
        <v>58</v>
      </c>
      <c r="M2174" s="11">
        <v>0.10000000000000001</v>
      </c>
      <c r="N2174" s="5" t="e">
        <f>IF(AND(M2174&gt;#REF!,Cartera!O2174="Guaraníes"),"Rendimiento significativo",IF(AND(M2174&gt;#REF!,Cartera!O2174="Dólares americanos"),"Rendimiento significativo","Rendimiento no significativo"))</f>
        <v>#REF!</v>
      </c>
      <c r="O2174" s="5" t="s">
        <v>41</v>
      </c>
      <c r="P2174" s="12">
        <v>3287671.2328000003</v>
      </c>
      <c r="Q2174" s="12">
        <f>IF(O2174="Guaraníes",P2174,P2174*#REF!)</f>
        <v>3287671.2328000003</v>
      </c>
      <c r="R2174" s="12" t="e">
        <f>IF(O2174="Guaraníes",P2174/#REF!,P2174)</f>
        <v>#REF!</v>
      </c>
      <c r="S2174" s="5" t="s">
        <v>42</v>
      </c>
      <c r="T2174" s="5">
        <v>1057</v>
      </c>
      <c r="W2174" s="5" t="s">
        <v>65</v>
      </c>
      <c r="X2174" s="5">
        <v>0</v>
      </c>
      <c r="Y2174" s="5">
        <v>0</v>
      </c>
      <c r="Z2174" s="5">
        <v>8219.1780820000004</v>
      </c>
      <c r="AA2174" s="5">
        <v>400</v>
      </c>
      <c r="AB2174" s="5">
        <v>3287671.2327999999</v>
      </c>
      <c r="AC2174" s="5" t="str">
        <f t="shared" si="106"/>
        <v>Bonos</v>
      </c>
      <c r="AD2174" s="5" t="s">
        <v>43</v>
      </c>
      <c r="AE2174" s="5">
        <f t="shared" si="104"/>
        <v>10</v>
      </c>
      <c r="AF2174" s="5">
        <f t="shared" si="105"/>
        <v>2026</v>
      </c>
    </row>
    <row r="2175" s="5" customFormat="1" ht="13">
      <c r="A2175" s="5">
        <v>12316</v>
      </c>
      <c r="B2175" s="5" t="s">
        <v>78</v>
      </c>
      <c r="C2175" s="5" t="s">
        <v>164</v>
      </c>
      <c r="D2175" s="5" t="s">
        <v>21</v>
      </c>
      <c r="E2175" s="5" t="s">
        <v>34</v>
      </c>
      <c r="F2175" s="5" t="s">
        <v>68</v>
      </c>
      <c r="G2175" s="5" t="s">
        <v>141</v>
      </c>
      <c r="H2175" s="9" t="s">
        <v>165</v>
      </c>
      <c r="I2175" s="10"/>
      <c r="J2175" s="10">
        <v>46325</v>
      </c>
      <c r="K2175" s="5" t="s">
        <v>124</v>
      </c>
      <c r="L2175" s="5" t="s">
        <v>58</v>
      </c>
      <c r="M2175" s="11">
        <v>0.10000000000000001</v>
      </c>
      <c r="N2175" s="5" t="e">
        <f>IF(AND(M2175&gt;#REF!,Cartera!O2175="Guaraníes"),"Rendimiento significativo",IF(AND(M2175&gt;#REF!,Cartera!O2175="Dólares americanos"),"Rendimiento significativo","Rendimiento no significativo"))</f>
        <v>#REF!</v>
      </c>
      <c r="O2175" s="5" t="s">
        <v>41</v>
      </c>
      <c r="P2175" s="12">
        <v>821917.80820000009</v>
      </c>
      <c r="Q2175" s="12">
        <f>IF(O2175="Guaraníes",P2175,P2175*#REF!)</f>
        <v>821917.80820000009</v>
      </c>
      <c r="R2175" s="12" t="e">
        <f>IF(O2175="Guaraníes",P2175/#REF!,P2175)</f>
        <v>#REF!</v>
      </c>
      <c r="S2175" s="5" t="s">
        <v>42</v>
      </c>
      <c r="T2175" s="5">
        <v>9243</v>
      </c>
      <c r="W2175" s="5" t="s">
        <v>65</v>
      </c>
      <c r="X2175" s="5">
        <v>0</v>
      </c>
      <c r="Y2175" s="5">
        <v>0</v>
      </c>
      <c r="Z2175" s="5">
        <v>8219.1780820000004</v>
      </c>
      <c r="AA2175" s="5">
        <v>100</v>
      </c>
      <c r="AB2175" s="5">
        <v>821917.80819999997</v>
      </c>
      <c r="AC2175" s="5" t="str">
        <f t="shared" si="106"/>
        <v>Bonos</v>
      </c>
      <c r="AD2175" s="5" t="s">
        <v>43</v>
      </c>
      <c r="AE2175" s="5">
        <f t="shared" si="104"/>
        <v>10</v>
      </c>
      <c r="AF2175" s="5">
        <f t="shared" si="105"/>
        <v>2026</v>
      </c>
    </row>
    <row r="2176" s="5" customFormat="1" ht="13">
      <c r="A2176" s="5" t="s">
        <v>44</v>
      </c>
      <c r="B2176" s="5" t="s">
        <v>44</v>
      </c>
      <c r="C2176" s="5" t="s">
        <v>389</v>
      </c>
      <c r="D2176" s="5" t="s">
        <v>20</v>
      </c>
      <c r="E2176" s="5" t="s">
        <v>44</v>
      </c>
      <c r="F2176" s="5" t="s">
        <v>68</v>
      </c>
      <c r="G2176" s="5" t="s">
        <v>141</v>
      </c>
      <c r="H2176" s="9" t="s">
        <v>390</v>
      </c>
      <c r="I2176" s="10">
        <v>44040</v>
      </c>
      <c r="J2176" s="10">
        <v>47079</v>
      </c>
      <c r="K2176" s="5" t="s">
        <v>391</v>
      </c>
      <c r="L2176" s="5" t="s">
        <v>58</v>
      </c>
      <c r="M2176" s="11">
        <v>0.1125</v>
      </c>
      <c r="N2176" s="5" t="e">
        <f>IF(AND(M2176&gt;#REF!,Cartera!O2176="Guaraníes"),"Rendimiento significativo",IF(AND(M2176&gt;#REF!,Cartera!O2176="Dólares americanos"),"Rendimiento significativo","Rendimiento no significativo"))</f>
        <v>#REF!</v>
      </c>
      <c r="O2176" s="5" t="s">
        <v>41</v>
      </c>
      <c r="P2176" s="12">
        <v>30000000</v>
      </c>
      <c r="Q2176" s="12">
        <f>IF(O2176="Guaraníes",P2176,P2176*#REF!)</f>
        <v>30000000</v>
      </c>
      <c r="R2176" s="12" t="e">
        <f>IF(O2176="Guaraníes",P2176/#REF!,P2176)</f>
        <v>#REF!</v>
      </c>
      <c r="S2176" s="5" t="s">
        <v>52</v>
      </c>
      <c r="T2176" s="5">
        <v>9243</v>
      </c>
      <c r="AC2176" s="5" t="str">
        <f t="shared" si="106"/>
        <v>Bonos</v>
      </c>
      <c r="AD2176" s="5" t="s">
        <v>43</v>
      </c>
      <c r="AE2176" s="5">
        <f t="shared" si="104"/>
        <v>11</v>
      </c>
      <c r="AF2176" s="5">
        <f t="shared" si="105"/>
        <v>2028</v>
      </c>
    </row>
    <row r="2177" s="5" customFormat="1" ht="13">
      <c r="A2177" s="5">
        <v>12316</v>
      </c>
      <c r="B2177" s="5" t="s">
        <v>78</v>
      </c>
      <c r="C2177" s="5" t="s">
        <v>164</v>
      </c>
      <c r="D2177" s="5" t="s">
        <v>21</v>
      </c>
      <c r="E2177" s="5" t="s">
        <v>34</v>
      </c>
      <c r="F2177" s="5" t="s">
        <v>68</v>
      </c>
      <c r="G2177" s="5" t="s">
        <v>141</v>
      </c>
      <c r="H2177" s="9" t="s">
        <v>167</v>
      </c>
      <c r="I2177" s="10"/>
      <c r="J2177" s="10">
        <v>46325</v>
      </c>
      <c r="K2177" s="5" t="s">
        <v>124</v>
      </c>
      <c r="L2177" s="5" t="s">
        <v>58</v>
      </c>
      <c r="M2177" s="11">
        <v>0.092499999999999999</v>
      </c>
      <c r="N2177" s="5" t="e">
        <f>IF(AND(M2177&gt;#REF!,Cartera!O2177="Guaraníes"),"Rendimiento significativo",IF(AND(M2177&gt;#REF!,Cartera!O2177="Dólares americanos"),"Rendimiento significativo","Rendimiento no significativo"))</f>
        <v>#REF!</v>
      </c>
      <c r="O2177" s="5" t="s">
        <v>41</v>
      </c>
      <c r="P2177" s="12">
        <v>760273.97259999998</v>
      </c>
      <c r="Q2177" s="12">
        <f>IF(O2177="Guaraníes",P2177,P2177*#REF!)</f>
        <v>760273.97259999998</v>
      </c>
      <c r="R2177" s="12" t="e">
        <f>IF(O2177="Guaraníes",P2177/#REF!,P2177)</f>
        <v>#REF!</v>
      </c>
      <c r="S2177" s="5" t="s">
        <v>42</v>
      </c>
      <c r="T2177" s="5">
        <v>9243</v>
      </c>
      <c r="W2177" s="5" t="s">
        <v>65</v>
      </c>
      <c r="X2177" s="5">
        <v>0</v>
      </c>
      <c r="Y2177" s="5">
        <v>0</v>
      </c>
      <c r="Z2177" s="5">
        <v>7602.7397259999998</v>
      </c>
      <c r="AA2177" s="5">
        <v>100</v>
      </c>
      <c r="AB2177" s="5">
        <v>760273.97259999998</v>
      </c>
      <c r="AC2177" s="5" t="str">
        <f t="shared" si="106"/>
        <v>Bonos</v>
      </c>
      <c r="AD2177" s="5" t="s">
        <v>43</v>
      </c>
      <c r="AE2177" s="5">
        <f t="shared" si="104"/>
        <v>10</v>
      </c>
      <c r="AF2177" s="5">
        <f t="shared" si="105"/>
        <v>2026</v>
      </c>
    </row>
    <row r="2178" s="5" customFormat="1" ht="13">
      <c r="A2178" s="5">
        <v>12316</v>
      </c>
      <c r="B2178" s="5" t="s">
        <v>78</v>
      </c>
      <c r="C2178" s="5" t="s">
        <v>138</v>
      </c>
      <c r="D2178" s="5" t="s">
        <v>21</v>
      </c>
      <c r="E2178" s="5" t="s">
        <v>34</v>
      </c>
      <c r="F2178" s="5" t="s">
        <v>68</v>
      </c>
      <c r="G2178" s="5" t="s">
        <v>86</v>
      </c>
      <c r="H2178" s="9" t="s">
        <v>139</v>
      </c>
      <c r="I2178" s="10">
        <v>43948</v>
      </c>
      <c r="J2178" s="10">
        <v>46330</v>
      </c>
      <c r="K2178" s="5" t="s">
        <v>140</v>
      </c>
      <c r="L2178" s="5" t="s">
        <v>58</v>
      </c>
      <c r="M2178" s="11">
        <v>0.11</v>
      </c>
      <c r="N2178" s="5" t="e">
        <f>IF(AND(M2178&gt;#REF!,Cartera!O2178="Guaraníes"),"Rendimiento significativo",IF(AND(M2178&gt;#REF!,Cartera!O2178="Dólares americanos"),"Rendimiento significativo","Rendimiento no significativo"))</f>
        <v>#REF!</v>
      </c>
      <c r="O2178" s="5" t="s">
        <v>41</v>
      </c>
      <c r="P2178" s="12">
        <v>867931.0281</v>
      </c>
      <c r="Q2178" s="12">
        <f>IF(O2178="Guaraníes",P2178,P2178*#REF!)</f>
        <v>867931.0281</v>
      </c>
      <c r="R2178" s="12" t="e">
        <f>IF(O2178="Guaraníes",P2178/#REF!,P2178)</f>
        <v>#REF!</v>
      </c>
      <c r="S2178" s="5" t="s">
        <v>42</v>
      </c>
      <c r="AC2178" s="5" t="str">
        <f t="shared" si="106"/>
        <v>Bonos</v>
      </c>
      <c r="AD2178" s="5" t="s">
        <v>43</v>
      </c>
      <c r="AE2178" s="5">
        <f t="shared" si="104"/>
        <v>11</v>
      </c>
      <c r="AF2178" s="5">
        <f t="shared" si="105"/>
        <v>2026</v>
      </c>
    </row>
    <row r="2179" s="5" customFormat="1" ht="13">
      <c r="A2179" s="5">
        <v>12316</v>
      </c>
      <c r="B2179" s="5" t="s">
        <v>78</v>
      </c>
      <c r="C2179" s="5" t="s">
        <v>183</v>
      </c>
      <c r="D2179" s="5" t="s">
        <v>21</v>
      </c>
      <c r="E2179" s="5" t="s">
        <v>34</v>
      </c>
      <c r="F2179" s="5" t="s">
        <v>184</v>
      </c>
      <c r="H2179" s="9">
        <v>6389</v>
      </c>
      <c r="I2179" s="10"/>
      <c r="J2179" s="10">
        <v>46335</v>
      </c>
      <c r="K2179" s="5" t="s">
        <v>124</v>
      </c>
      <c r="L2179" s="5" t="s">
        <v>82</v>
      </c>
      <c r="M2179" s="11">
        <v>0.079000000000000001</v>
      </c>
      <c r="N2179" s="5" t="e">
        <f>IF(AND(M2179&gt;#REF!,Cartera!O2179="Guaraníes"),"Rendimiento significativo",IF(AND(M2179&gt;#REF!,Cartera!O2179="Dólares americanos"),"Rendimiento significativo","Rendimiento no significativo"))</f>
        <v>#REF!</v>
      </c>
      <c r="O2179" s="5" t="s">
        <v>41</v>
      </c>
      <c r="P2179" s="12">
        <v>9848020</v>
      </c>
      <c r="Q2179" s="12">
        <f>IF(O2179="Guaraníes",P2179,P2179*#REF!)</f>
        <v>9848020</v>
      </c>
      <c r="R2179" s="12" t="e">
        <f>IF(O2179="Guaraníes",P2179/#REF!,P2179)</f>
        <v>#REF!</v>
      </c>
      <c r="S2179" s="5" t="s">
        <v>42</v>
      </c>
      <c r="V2179" s="5">
        <v>9848020</v>
      </c>
      <c r="W2179" s="5" t="s">
        <v>221</v>
      </c>
      <c r="AC2179" s="5" t="str">
        <f t="shared" si="106"/>
        <v>CDA</v>
      </c>
      <c r="AD2179" s="5" t="s">
        <v>43</v>
      </c>
      <c r="AE2179" s="5">
        <f t="shared" si="104"/>
        <v>11</v>
      </c>
      <c r="AF2179" s="5">
        <f t="shared" si="105"/>
        <v>2026</v>
      </c>
    </row>
    <row r="2180" s="5" customFormat="1" ht="13">
      <c r="A2180" s="5">
        <v>12316</v>
      </c>
      <c r="B2180" s="5" t="s">
        <v>78</v>
      </c>
      <c r="C2180" s="5" t="s">
        <v>183</v>
      </c>
      <c r="D2180" s="5" t="s">
        <v>21</v>
      </c>
      <c r="E2180" s="5" t="s">
        <v>34</v>
      </c>
      <c r="F2180" s="5" t="s">
        <v>184</v>
      </c>
      <c r="H2180" s="9">
        <v>6390</v>
      </c>
      <c r="I2180" s="10"/>
      <c r="J2180" s="10">
        <v>46335</v>
      </c>
      <c r="K2180" s="5" t="s">
        <v>124</v>
      </c>
      <c r="L2180" s="5" t="s">
        <v>82</v>
      </c>
      <c r="M2180" s="11">
        <v>0.079000000000000001</v>
      </c>
      <c r="N2180" s="5" t="e">
        <f>IF(AND(M2180&gt;#REF!,Cartera!O2180="Guaraníes"),"Rendimiento significativo",IF(AND(M2180&gt;#REF!,Cartera!O2180="Dólares americanos"),"Rendimiento significativo","Rendimiento no significativo"))</f>
        <v>#REF!</v>
      </c>
      <c r="O2180" s="5" t="s">
        <v>41</v>
      </c>
      <c r="P2180" s="12">
        <v>9848020</v>
      </c>
      <c r="Q2180" s="12">
        <f>IF(O2180="Guaraníes",P2180,P2180*#REF!)</f>
        <v>9848020</v>
      </c>
      <c r="R2180" s="12" t="e">
        <f>IF(O2180="Guaraníes",P2180/#REF!,P2180)</f>
        <v>#REF!</v>
      </c>
      <c r="S2180" s="5" t="s">
        <v>42</v>
      </c>
      <c r="V2180" s="5">
        <v>9848020</v>
      </c>
      <c r="W2180" s="5" t="s">
        <v>221</v>
      </c>
      <c r="AC2180" s="5" t="str">
        <f t="shared" si="106"/>
        <v>CDA</v>
      </c>
      <c r="AD2180" s="5" t="s">
        <v>43</v>
      </c>
      <c r="AE2180" s="5">
        <f t="shared" si="104"/>
        <v>11</v>
      </c>
      <c r="AF2180" s="5">
        <f t="shared" si="105"/>
        <v>2026</v>
      </c>
    </row>
    <row r="2181" s="5" customFormat="1" ht="13">
      <c r="A2181" s="5">
        <v>12316</v>
      </c>
      <c r="B2181" s="5" t="s">
        <v>78</v>
      </c>
      <c r="C2181" s="5" t="s">
        <v>183</v>
      </c>
      <c r="D2181" s="5" t="s">
        <v>21</v>
      </c>
      <c r="E2181" s="5" t="s">
        <v>34</v>
      </c>
      <c r="F2181" s="5" t="s">
        <v>184</v>
      </c>
      <c r="H2181" s="9">
        <v>6391</v>
      </c>
      <c r="I2181" s="10"/>
      <c r="J2181" s="10">
        <v>46335</v>
      </c>
      <c r="K2181" s="5" t="s">
        <v>124</v>
      </c>
      <c r="L2181" s="5" t="s">
        <v>82</v>
      </c>
      <c r="M2181" s="11">
        <v>0.079000000000000001</v>
      </c>
      <c r="N2181" s="5" t="e">
        <f>IF(AND(M2181&gt;#REF!,Cartera!O2181="Guaraníes"),"Rendimiento significativo",IF(AND(M2181&gt;#REF!,Cartera!O2181="Dólares americanos"),"Rendimiento significativo","Rendimiento no significativo"))</f>
        <v>#REF!</v>
      </c>
      <c r="O2181" s="5" t="s">
        <v>41</v>
      </c>
      <c r="P2181" s="12">
        <v>9848020</v>
      </c>
      <c r="Q2181" s="12">
        <f>IF(O2181="Guaraníes",P2181,P2181*#REF!)</f>
        <v>9848020</v>
      </c>
      <c r="R2181" s="12" t="e">
        <f>IF(O2181="Guaraníes",P2181/#REF!,P2181)</f>
        <v>#REF!</v>
      </c>
      <c r="S2181" s="5" t="s">
        <v>42</v>
      </c>
      <c r="V2181" s="5">
        <v>9848020</v>
      </c>
      <c r="W2181" s="5" t="s">
        <v>221</v>
      </c>
      <c r="AC2181" s="5" t="str">
        <f t="shared" si="106"/>
        <v>CDA</v>
      </c>
      <c r="AD2181" s="5" t="s">
        <v>43</v>
      </c>
      <c r="AE2181" s="5">
        <f t="shared" si="104"/>
        <v>11</v>
      </c>
      <c r="AF2181" s="5">
        <f t="shared" si="105"/>
        <v>2026</v>
      </c>
    </row>
    <row r="2182" s="5" customFormat="1" ht="13">
      <c r="A2182" s="5">
        <v>12316</v>
      </c>
      <c r="B2182" s="5" t="s">
        <v>78</v>
      </c>
      <c r="C2182" s="5" t="s">
        <v>183</v>
      </c>
      <c r="D2182" s="5" t="s">
        <v>21</v>
      </c>
      <c r="E2182" s="5" t="s">
        <v>34</v>
      </c>
      <c r="F2182" s="5" t="s">
        <v>184</v>
      </c>
      <c r="H2182" s="9">
        <v>6388</v>
      </c>
      <c r="I2182" s="10"/>
      <c r="J2182" s="10">
        <v>46335</v>
      </c>
      <c r="K2182" s="5" t="s">
        <v>124</v>
      </c>
      <c r="L2182" s="5" t="s">
        <v>82</v>
      </c>
      <c r="M2182" s="11">
        <v>0.079000000000000001</v>
      </c>
      <c r="N2182" s="5" t="e">
        <f>IF(AND(M2182&gt;#REF!,Cartera!O2182="Guaraníes"),"Rendimiento significativo",IF(AND(M2182&gt;#REF!,Cartera!O2182="Dólares americanos"),"Rendimiento significativo","Rendimiento no significativo"))</f>
        <v>#REF!</v>
      </c>
      <c r="O2182" s="5" t="s">
        <v>41</v>
      </c>
      <c r="P2182" s="12">
        <v>9848020</v>
      </c>
      <c r="Q2182" s="12">
        <f>IF(O2182="Guaraníes",P2182,P2182*#REF!)</f>
        <v>9848020</v>
      </c>
      <c r="R2182" s="12" t="e">
        <f>IF(O2182="Guaraníes",P2182/#REF!,P2182)</f>
        <v>#REF!</v>
      </c>
      <c r="S2182" s="5" t="s">
        <v>42</v>
      </c>
      <c r="V2182" s="5">
        <v>9848020</v>
      </c>
      <c r="W2182" s="5" t="s">
        <v>313</v>
      </c>
      <c r="AC2182" s="5" t="str">
        <f t="shared" si="106"/>
        <v>CDA</v>
      </c>
      <c r="AD2182" s="5" t="s">
        <v>43</v>
      </c>
      <c r="AE2182" s="5">
        <f t="shared" si="104"/>
        <v>11</v>
      </c>
      <c r="AF2182" s="5">
        <f t="shared" si="105"/>
        <v>2026</v>
      </c>
    </row>
    <row r="2183" s="5" customFormat="1" ht="13">
      <c r="A2183" s="5">
        <v>12301</v>
      </c>
      <c r="B2183" s="5" t="s">
        <v>107</v>
      </c>
      <c r="C2183" s="5" t="s">
        <v>164</v>
      </c>
      <c r="D2183" s="5" t="s">
        <v>20</v>
      </c>
      <c r="E2183" s="5" t="s">
        <v>34</v>
      </c>
      <c r="F2183" s="5" t="s">
        <v>68</v>
      </c>
      <c r="G2183" s="5" t="s">
        <v>141</v>
      </c>
      <c r="H2183" s="9" t="s">
        <v>165</v>
      </c>
      <c r="I2183" s="10">
        <v>44082</v>
      </c>
      <c r="J2183" s="10">
        <v>47269</v>
      </c>
      <c r="K2183" s="5" t="s">
        <v>124</v>
      </c>
      <c r="L2183" s="5" t="s">
        <v>58</v>
      </c>
      <c r="M2183" s="11">
        <v>0.10000000000000001</v>
      </c>
      <c r="N2183" s="5" t="e">
        <f>IF(AND(M2183&gt;#REF!,Cartera!O2183="Guaraníes"),"Rendimiento significativo",IF(AND(M2183&gt;#REF!,Cartera!O2183="Dólares americanos"),"Rendimiento significativo","Rendimiento no significativo"))</f>
        <v>#REF!</v>
      </c>
      <c r="O2183" s="5" t="s">
        <v>41</v>
      </c>
      <c r="P2183" s="12">
        <v>100000000</v>
      </c>
      <c r="Q2183" s="12">
        <f>IF(O2183="Guaraníes",P2183,P2183*#REF!)</f>
        <v>100000000</v>
      </c>
      <c r="R2183" s="12" t="e">
        <f>IF(O2183="Guaraníes",P2183/#REF!,P2183)</f>
        <v>#REF!</v>
      </c>
      <c r="S2183" s="5" t="s">
        <v>42</v>
      </c>
      <c r="T2183" s="5">
        <v>9243</v>
      </c>
      <c r="AC2183" s="5" t="str">
        <f t="shared" si="106"/>
        <v>Bonos</v>
      </c>
      <c r="AD2183" s="5" t="s">
        <v>43</v>
      </c>
      <c r="AE2183" s="5">
        <f t="shared" si="104"/>
        <v>5</v>
      </c>
      <c r="AF2183" s="5">
        <f t="shared" si="105"/>
        <v>2029</v>
      </c>
    </row>
    <row r="2184" s="5" customFormat="1" ht="13">
      <c r="A2184" s="5">
        <v>12303</v>
      </c>
      <c r="B2184" s="5" t="s">
        <v>32</v>
      </c>
      <c r="C2184" s="5" t="s">
        <v>94</v>
      </c>
      <c r="D2184" s="5" t="s">
        <v>20</v>
      </c>
      <c r="E2184" s="5" t="s">
        <v>34</v>
      </c>
      <c r="F2184" s="5" t="s">
        <v>68</v>
      </c>
      <c r="G2184" s="5" t="s">
        <v>69</v>
      </c>
      <c r="H2184" s="9" t="s">
        <v>399</v>
      </c>
      <c r="I2184" s="10">
        <v>41569</v>
      </c>
      <c r="J2184" s="10" t="s">
        <v>38</v>
      </c>
      <c r="K2184" s="5" t="s">
        <v>96</v>
      </c>
      <c r="L2184" s="5" t="s">
        <v>40</v>
      </c>
      <c r="M2184" s="11">
        <v>0.12</v>
      </c>
      <c r="N2184" s="5" t="e">
        <f>IF(AND(M2184&gt;#REF!,Cartera!O2184="Guaraníes"),"Rendimiento significativo",IF(AND(M2184&gt;#REF!,Cartera!O2184="Dólares americanos"),"Rendimiento significativo","Rendimiento no significativo"))</f>
        <v>#REF!</v>
      </c>
      <c r="O2184" s="5" t="s">
        <v>41</v>
      </c>
      <c r="P2184" s="12">
        <v>70000000</v>
      </c>
      <c r="Q2184" s="12">
        <f>IF(O2184="Guaraníes",P2184,P2184*#REF!)</f>
        <v>70000000</v>
      </c>
      <c r="R2184" s="12" t="e">
        <f>IF(O2184="Guaraníes",P2184/#REF!,P2184)</f>
        <v>#REF!</v>
      </c>
      <c r="S2184" s="5" t="s">
        <v>42</v>
      </c>
      <c r="AC2184" s="5" t="str">
        <f t="shared" si="106"/>
        <v>Acciones</v>
      </c>
      <c r="AD2184" s="5" t="s">
        <v>43</v>
      </c>
      <c r="AE2184" s="5">
        <f t="shared" si="104"/>
        <v>0</v>
      </c>
      <c r="AF2184" s="5">
        <f t="shared" si="105"/>
        <v>0</v>
      </c>
    </row>
    <row r="2185" s="5" customFormat="1" ht="13">
      <c r="A2185" s="5" t="s">
        <v>44</v>
      </c>
      <c r="B2185" s="5" t="s">
        <v>44</v>
      </c>
      <c r="C2185" s="5" t="s">
        <v>156</v>
      </c>
      <c r="D2185" s="5" t="s">
        <v>21</v>
      </c>
      <c r="E2185" s="5" t="s">
        <v>44</v>
      </c>
      <c r="F2185" s="5" t="s">
        <v>68</v>
      </c>
      <c r="G2185" s="5" t="s">
        <v>69</v>
      </c>
      <c r="H2185" s="9" t="s">
        <v>400</v>
      </c>
      <c r="I2185" s="10"/>
      <c r="J2185" s="10">
        <v>42380</v>
      </c>
      <c r="K2185" s="5" t="s">
        <v>158</v>
      </c>
      <c r="L2185" s="5" t="s">
        <v>58</v>
      </c>
      <c r="M2185" s="11">
        <v>0.155</v>
      </c>
      <c r="N2185" s="5" t="e">
        <f>IF(AND(M2185&gt;#REF!,Cartera!O2185="Guaraníes"),"Rendimiento significativo",IF(AND(M2185&gt;#REF!,Cartera!O2185="Dólares americanos"),"Rendimiento significativo","Rendimiento no significativo"))</f>
        <v>#REF!</v>
      </c>
      <c r="O2185" s="5" t="s">
        <v>41</v>
      </c>
      <c r="P2185" s="12">
        <v>1316438.3562</v>
      </c>
      <c r="Q2185" s="12">
        <f>IF(O2185="Guaraníes",P2185,P2185*#REF!)</f>
        <v>1316438.3562</v>
      </c>
      <c r="R2185" s="12" t="e">
        <f>IF(O2185="Guaraníes",P2185/#REF!,P2185)</f>
        <v>#REF!</v>
      </c>
      <c r="S2185" s="5" t="s">
        <v>52</v>
      </c>
      <c r="T2185" s="5">
        <v>593</v>
      </c>
      <c r="W2185" s="5" t="s">
        <v>401</v>
      </c>
      <c r="X2185" s="5">
        <v>0</v>
      </c>
      <c r="Y2185" s="5">
        <v>0</v>
      </c>
      <c r="Z2185" s="5">
        <v>13164.383562000001</v>
      </c>
      <c r="AA2185" s="5">
        <v>100</v>
      </c>
      <c r="AB2185" s="5">
        <v>1316438.3562</v>
      </c>
      <c r="AC2185" s="5" t="str">
        <f t="shared" si="106"/>
        <v>Bonos</v>
      </c>
      <c r="AD2185" s="5" t="s">
        <v>43</v>
      </c>
      <c r="AE2185" s="5">
        <f t="shared" si="104"/>
        <v>1</v>
      </c>
      <c r="AF2185" s="5">
        <f t="shared" si="105"/>
        <v>2016</v>
      </c>
    </row>
    <row r="2186" s="5" customFormat="1" ht="13">
      <c r="A2186" s="5" t="s">
        <v>44</v>
      </c>
      <c r="B2186" s="5" t="s">
        <v>44</v>
      </c>
      <c r="C2186" s="5" t="s">
        <v>156</v>
      </c>
      <c r="D2186" s="5" t="s">
        <v>21</v>
      </c>
      <c r="E2186" s="5" t="s">
        <v>44</v>
      </c>
      <c r="F2186" s="5" t="s">
        <v>68</v>
      </c>
      <c r="G2186" s="5" t="s">
        <v>69</v>
      </c>
      <c r="H2186" s="9" t="s">
        <v>402</v>
      </c>
      <c r="I2186" s="10"/>
      <c r="J2186" s="10">
        <v>42389</v>
      </c>
      <c r="K2186" s="5" t="s">
        <v>158</v>
      </c>
      <c r="L2186" s="5" t="s">
        <v>58</v>
      </c>
      <c r="M2186" s="11">
        <v>0.17999999999999999</v>
      </c>
      <c r="N2186" s="5" t="e">
        <f>IF(AND(M2186&gt;#REF!,Cartera!O2186="Guaraníes"),"Rendimiento significativo",IF(AND(M2186&gt;#REF!,Cartera!O2186="Dólares americanos"),"Rendimiento significativo","Rendimiento no significativo"))</f>
        <v>#REF!</v>
      </c>
      <c r="O2186" s="5" t="s">
        <v>41</v>
      </c>
      <c r="P2186" s="12">
        <v>1109589.0411</v>
      </c>
      <c r="Q2186" s="12">
        <f>IF(O2186="Guaraníes",P2186,P2186*#REF!)</f>
        <v>1109589.0411</v>
      </c>
      <c r="R2186" s="12" t="e">
        <f>IF(O2186="Guaraníes",P2186/#REF!,P2186)</f>
        <v>#REF!</v>
      </c>
      <c r="S2186" s="5" t="s">
        <v>52</v>
      </c>
      <c r="T2186" s="5">
        <v>593</v>
      </c>
      <c r="W2186" s="5" t="s">
        <v>403</v>
      </c>
      <c r="X2186" s="5">
        <v>0</v>
      </c>
      <c r="Y2186" s="5">
        <v>0</v>
      </c>
      <c r="Z2186" s="5">
        <v>14794.520548</v>
      </c>
      <c r="AA2186" s="5">
        <v>75</v>
      </c>
      <c r="AB2186" s="5">
        <v>1109589.0411</v>
      </c>
      <c r="AC2186" s="5" t="str">
        <f t="shared" si="106"/>
        <v>Bonos</v>
      </c>
      <c r="AD2186" s="5" t="s">
        <v>43</v>
      </c>
      <c r="AE2186" s="5">
        <f t="shared" si="104"/>
        <v>1</v>
      </c>
      <c r="AF2186" s="5">
        <f t="shared" si="105"/>
        <v>2016</v>
      </c>
    </row>
    <row r="2187" s="5" customFormat="1" ht="13">
      <c r="A2187" s="5" t="s">
        <v>44</v>
      </c>
      <c r="B2187" s="5" t="s">
        <v>44</v>
      </c>
      <c r="C2187" s="5" t="s">
        <v>156</v>
      </c>
      <c r="D2187" s="5" t="s">
        <v>21</v>
      </c>
      <c r="E2187" s="5" t="s">
        <v>44</v>
      </c>
      <c r="F2187" s="5" t="s">
        <v>68</v>
      </c>
      <c r="G2187" s="5" t="s">
        <v>69</v>
      </c>
      <c r="H2187" s="9" t="s">
        <v>404</v>
      </c>
      <c r="I2187" s="10"/>
      <c r="J2187" s="10">
        <v>42394</v>
      </c>
      <c r="K2187" s="5" t="s">
        <v>158</v>
      </c>
      <c r="L2187" s="5" t="s">
        <v>58</v>
      </c>
      <c r="M2187" s="11">
        <v>0.14499999999999999</v>
      </c>
      <c r="N2187" s="5" t="e">
        <f>IF(AND(M2187&gt;#REF!,Cartera!O2187="Guaraníes"),"Rendimiento significativo",IF(AND(M2187&gt;#REF!,Cartera!O2187="Dólares americanos"),"Rendimiento significativo","Rendimiento no significativo"))</f>
        <v>#REF!</v>
      </c>
      <c r="O2187" s="5" t="s">
        <v>41</v>
      </c>
      <c r="P2187" s="12">
        <v>1560041.0958789999</v>
      </c>
      <c r="Q2187" s="12">
        <f>IF(O2187="Guaraníes",P2187,P2187*#REF!)</f>
        <v>1560041.0958789999</v>
      </c>
      <c r="R2187" s="12" t="e">
        <f>IF(O2187="Guaraníes",P2187/#REF!,P2187)</f>
        <v>#REF!</v>
      </c>
      <c r="S2187" s="5" t="s">
        <v>52</v>
      </c>
      <c r="T2187" s="5">
        <v>593</v>
      </c>
      <c r="W2187" s="5" t="s">
        <v>405</v>
      </c>
      <c r="X2187" s="5">
        <v>0</v>
      </c>
      <c r="Y2187" s="5">
        <v>0</v>
      </c>
      <c r="Z2187" s="5">
        <v>13109.589040999999</v>
      </c>
      <c r="AA2187" s="5">
        <v>119</v>
      </c>
      <c r="AB2187" s="5">
        <v>1560041.0958789999</v>
      </c>
      <c r="AC2187" s="5" t="str">
        <f t="shared" si="106"/>
        <v>Bonos</v>
      </c>
      <c r="AD2187" s="5" t="s">
        <v>43</v>
      </c>
      <c r="AE2187" s="5">
        <f t="shared" si="104"/>
        <v>1</v>
      </c>
      <c r="AF2187" s="5">
        <f t="shared" si="105"/>
        <v>2016</v>
      </c>
    </row>
    <row r="2188" s="5" customFormat="1" ht="13">
      <c r="A2188" s="5" t="s">
        <v>44</v>
      </c>
      <c r="B2188" s="5" t="s">
        <v>44</v>
      </c>
      <c r="C2188" s="5" t="s">
        <v>156</v>
      </c>
      <c r="D2188" s="5" t="s">
        <v>21</v>
      </c>
      <c r="E2188" s="5" t="s">
        <v>44</v>
      </c>
      <c r="F2188" s="5" t="s">
        <v>68</v>
      </c>
      <c r="G2188" s="5" t="s">
        <v>69</v>
      </c>
      <c r="H2188" s="9" t="s">
        <v>400</v>
      </c>
      <c r="I2188" s="10"/>
      <c r="J2188" s="10">
        <v>42411</v>
      </c>
      <c r="K2188" s="5" t="s">
        <v>158</v>
      </c>
      <c r="L2188" s="5" t="s">
        <v>58</v>
      </c>
      <c r="M2188" s="11">
        <v>0.155</v>
      </c>
      <c r="N2188" s="5" t="e">
        <f>IF(AND(M2188&gt;#REF!,Cartera!O2188="Guaraníes"),"Rendimiento significativo",IF(AND(M2188&gt;#REF!,Cartera!O2188="Dólares americanos"),"Rendimiento significativo","Rendimiento no significativo"))</f>
        <v>#REF!</v>
      </c>
      <c r="O2188" s="5" t="s">
        <v>41</v>
      </c>
      <c r="P2188" s="12">
        <v>1316438.3562</v>
      </c>
      <c r="Q2188" s="12">
        <f>IF(O2188="Guaraníes",P2188,P2188*#REF!)</f>
        <v>1316438.3562</v>
      </c>
      <c r="R2188" s="12" t="e">
        <f>IF(O2188="Guaraníes",P2188/#REF!,P2188)</f>
        <v>#REF!</v>
      </c>
      <c r="S2188" s="5" t="s">
        <v>52</v>
      </c>
      <c r="T2188" s="5">
        <v>593</v>
      </c>
      <c r="W2188" s="5" t="s">
        <v>406</v>
      </c>
      <c r="X2188" s="5">
        <v>0</v>
      </c>
      <c r="Y2188" s="5">
        <v>0</v>
      </c>
      <c r="Z2188" s="5">
        <v>13164.383562000001</v>
      </c>
      <c r="AA2188" s="5">
        <v>100</v>
      </c>
      <c r="AB2188" s="5">
        <v>1316438.3562</v>
      </c>
      <c r="AC2188" s="5" t="str">
        <f t="shared" si="106"/>
        <v>Bonos</v>
      </c>
      <c r="AD2188" s="5" t="s">
        <v>43</v>
      </c>
      <c r="AE2188" s="5">
        <f t="shared" si="104"/>
        <v>2</v>
      </c>
      <c r="AF2188" s="5">
        <f t="shared" si="105"/>
        <v>2016</v>
      </c>
    </row>
    <row r="2189" s="5" customFormat="1" ht="13">
      <c r="A2189" s="5" t="s">
        <v>44</v>
      </c>
      <c r="B2189" s="5" t="s">
        <v>44</v>
      </c>
      <c r="C2189" s="5" t="s">
        <v>156</v>
      </c>
      <c r="D2189" s="5" t="s">
        <v>21</v>
      </c>
      <c r="E2189" s="5" t="s">
        <v>44</v>
      </c>
      <c r="F2189" s="5" t="s">
        <v>68</v>
      </c>
      <c r="G2189" s="5" t="s">
        <v>69</v>
      </c>
      <c r="H2189" s="9" t="s">
        <v>407</v>
      </c>
      <c r="I2189" s="10"/>
      <c r="J2189" s="10">
        <v>42415</v>
      </c>
      <c r="K2189" s="5" t="s">
        <v>158</v>
      </c>
      <c r="L2189" s="5" t="s">
        <v>58</v>
      </c>
      <c r="M2189" s="11">
        <v>0.12</v>
      </c>
      <c r="N2189" s="5" t="e">
        <f>IF(AND(M2189&gt;#REF!,Cartera!O2189="Guaraníes"),"Rendimiento significativo",IF(AND(M2189&gt;#REF!,Cartera!O2189="Dólares americanos"),"Rendimiento significativo","Rendimiento no significativo"))</f>
        <v>#REF!</v>
      </c>
      <c r="O2189" s="5" t="s">
        <v>41</v>
      </c>
      <c r="P2189" s="12">
        <v>1665753.4246999999</v>
      </c>
      <c r="Q2189" s="12">
        <f>IF(O2189="Guaraníes",P2189,P2189*#REF!)</f>
        <v>1665753.4246999999</v>
      </c>
      <c r="R2189" s="12" t="e">
        <f>IF(O2189="Guaraníes",P2189/#REF!,P2189)</f>
        <v>#REF!</v>
      </c>
      <c r="S2189" s="5" t="s">
        <v>52</v>
      </c>
      <c r="T2189" s="5">
        <v>593</v>
      </c>
      <c r="W2189" s="5" t="s">
        <v>408</v>
      </c>
      <c r="X2189" s="5">
        <v>0</v>
      </c>
      <c r="Y2189" s="5">
        <v>0</v>
      </c>
      <c r="Z2189" s="5">
        <v>16657.534247</v>
      </c>
      <c r="AA2189" s="5">
        <v>100</v>
      </c>
      <c r="AB2189" s="5">
        <v>1665753.4247000001</v>
      </c>
      <c r="AC2189" s="5" t="str">
        <f t="shared" si="106"/>
        <v>Bonos</v>
      </c>
      <c r="AD2189" s="5" t="s">
        <v>43</v>
      </c>
      <c r="AE2189" s="5">
        <f t="shared" si="104"/>
        <v>2</v>
      </c>
      <c r="AF2189" s="5">
        <f t="shared" si="105"/>
        <v>2016</v>
      </c>
    </row>
    <row r="2190" s="5" customFormat="1" ht="13">
      <c r="A2190" s="5" t="s">
        <v>44</v>
      </c>
      <c r="B2190" s="5" t="s">
        <v>44</v>
      </c>
      <c r="C2190" s="5" t="s">
        <v>156</v>
      </c>
      <c r="D2190" s="5" t="s">
        <v>21</v>
      </c>
      <c r="E2190" s="5" t="s">
        <v>44</v>
      </c>
      <c r="F2190" s="5" t="s">
        <v>68</v>
      </c>
      <c r="G2190" s="5" t="s">
        <v>69</v>
      </c>
      <c r="H2190" s="9" t="s">
        <v>402</v>
      </c>
      <c r="I2190" s="10"/>
      <c r="J2190" s="10">
        <v>42419</v>
      </c>
      <c r="K2190" s="5" t="s">
        <v>158</v>
      </c>
      <c r="L2190" s="5" t="s">
        <v>58</v>
      </c>
      <c r="M2190" s="11">
        <v>0.17999999999999999</v>
      </c>
      <c r="N2190" s="5" t="e">
        <f>IF(AND(M2190&gt;#REF!,Cartera!O2190="Guaraníes"),"Rendimiento significativo",IF(AND(M2190&gt;#REF!,Cartera!O2190="Dólares americanos"),"Rendimiento significativo","Rendimiento no significativo"))</f>
        <v>#REF!</v>
      </c>
      <c r="O2190" s="5" t="s">
        <v>41</v>
      </c>
      <c r="P2190" s="12">
        <v>1109589.0411</v>
      </c>
      <c r="Q2190" s="12">
        <f>IF(O2190="Guaraníes",P2190,P2190*#REF!)</f>
        <v>1109589.0411</v>
      </c>
      <c r="R2190" s="12" t="e">
        <f>IF(O2190="Guaraníes",P2190/#REF!,P2190)</f>
        <v>#REF!</v>
      </c>
      <c r="S2190" s="5" t="s">
        <v>52</v>
      </c>
      <c r="T2190" s="5">
        <v>593</v>
      </c>
      <c r="W2190" s="5" t="s">
        <v>409</v>
      </c>
      <c r="X2190" s="5">
        <v>0</v>
      </c>
      <c r="Y2190" s="5">
        <v>0</v>
      </c>
      <c r="Z2190" s="5">
        <v>14794.520548</v>
      </c>
      <c r="AA2190" s="5">
        <v>75</v>
      </c>
      <c r="AB2190" s="5">
        <v>1109589.0411</v>
      </c>
      <c r="AC2190" s="5" t="str">
        <f t="shared" si="106"/>
        <v>Bonos</v>
      </c>
      <c r="AD2190" s="5" t="s">
        <v>43</v>
      </c>
      <c r="AE2190" s="5">
        <f t="shared" si="104"/>
        <v>2</v>
      </c>
      <c r="AF2190" s="5">
        <f t="shared" si="105"/>
        <v>2016</v>
      </c>
    </row>
    <row r="2191" s="5" customFormat="1" ht="13">
      <c r="A2191" s="5" t="s">
        <v>44</v>
      </c>
      <c r="B2191" s="5" t="s">
        <v>44</v>
      </c>
      <c r="C2191" s="5" t="s">
        <v>156</v>
      </c>
      <c r="D2191" s="5" t="s">
        <v>21</v>
      </c>
      <c r="E2191" s="5" t="s">
        <v>44</v>
      </c>
      <c r="F2191" s="5" t="s">
        <v>68</v>
      </c>
      <c r="G2191" s="5" t="s">
        <v>69</v>
      </c>
      <c r="H2191" s="9" t="s">
        <v>404</v>
      </c>
      <c r="I2191" s="10"/>
      <c r="J2191" s="10">
        <v>42424</v>
      </c>
      <c r="K2191" s="5" t="s">
        <v>158</v>
      </c>
      <c r="L2191" s="5" t="s">
        <v>58</v>
      </c>
      <c r="M2191" s="11">
        <v>0.14499999999999999</v>
      </c>
      <c r="N2191" s="5" t="e">
        <f>IF(AND(M2191&gt;#REF!,Cartera!O2191="Guaraníes"),"Rendimiento significativo",IF(AND(M2191&gt;#REF!,Cartera!O2191="Dólares americanos"),"Rendimiento significativo","Rendimiento no significativo"))</f>
        <v>#REF!</v>
      </c>
      <c r="O2191" s="5" t="s">
        <v>41</v>
      </c>
      <c r="P2191" s="12">
        <v>1418219.1780610001</v>
      </c>
      <c r="Q2191" s="12">
        <f>IF(O2191="Guaraníes",P2191,P2191*#REF!)</f>
        <v>1418219.1780610001</v>
      </c>
      <c r="R2191" s="12" t="e">
        <f>IF(O2191="Guaraníes",P2191/#REF!,P2191)</f>
        <v>#REF!</v>
      </c>
      <c r="S2191" s="5" t="s">
        <v>52</v>
      </c>
      <c r="T2191" s="5">
        <v>593</v>
      </c>
      <c r="W2191" s="5" t="s">
        <v>410</v>
      </c>
      <c r="X2191" s="5">
        <v>0</v>
      </c>
      <c r="Y2191" s="5">
        <v>0</v>
      </c>
      <c r="Z2191" s="5">
        <v>11917.808219</v>
      </c>
      <c r="AA2191" s="5">
        <v>119</v>
      </c>
      <c r="AB2191" s="5">
        <v>1418219.1780610001</v>
      </c>
      <c r="AC2191" s="5" t="str">
        <f t="shared" si="106"/>
        <v>Bonos</v>
      </c>
      <c r="AD2191" s="5" t="s">
        <v>43</v>
      </c>
      <c r="AE2191" s="5">
        <f t="shared" si="104"/>
        <v>2</v>
      </c>
      <c r="AF2191" s="5">
        <f t="shared" si="105"/>
        <v>2016</v>
      </c>
    </row>
    <row r="2192" s="5" customFormat="1" ht="13">
      <c r="A2192" s="5" t="s">
        <v>44</v>
      </c>
      <c r="B2192" s="5" t="s">
        <v>44</v>
      </c>
      <c r="C2192" s="5" t="s">
        <v>156</v>
      </c>
      <c r="D2192" s="5" t="s">
        <v>21</v>
      </c>
      <c r="E2192" s="5" t="s">
        <v>44</v>
      </c>
      <c r="F2192" s="5" t="s">
        <v>68</v>
      </c>
      <c r="G2192" s="5" t="s">
        <v>69</v>
      </c>
      <c r="H2192" s="9" t="s">
        <v>400</v>
      </c>
      <c r="I2192" s="10"/>
      <c r="J2192" s="10">
        <v>42440</v>
      </c>
      <c r="K2192" s="5" t="s">
        <v>158</v>
      </c>
      <c r="L2192" s="5" t="s">
        <v>58</v>
      </c>
      <c r="M2192" s="11">
        <v>0.155</v>
      </c>
      <c r="N2192" s="5" t="e">
        <f>IF(AND(M2192&gt;#REF!,Cartera!O2192="Guaraníes"),"Rendimiento significativo",IF(AND(M2192&gt;#REF!,Cartera!O2192="Dólares americanos"),"Rendimiento significativo","Rendimiento no significativo"))</f>
        <v>#REF!</v>
      </c>
      <c r="O2192" s="5" t="s">
        <v>41</v>
      </c>
      <c r="P2192" s="12">
        <v>1231506.8493000001</v>
      </c>
      <c r="Q2192" s="12">
        <f>IF(O2192="Guaraníes",P2192,P2192*#REF!)</f>
        <v>1231506.8493000001</v>
      </c>
      <c r="R2192" s="12" t="e">
        <f>IF(O2192="Guaraníes",P2192/#REF!,P2192)</f>
        <v>#REF!</v>
      </c>
      <c r="S2192" s="5" t="s">
        <v>52</v>
      </c>
      <c r="T2192" s="5">
        <v>593</v>
      </c>
      <c r="W2192" s="5" t="s">
        <v>411</v>
      </c>
      <c r="X2192" s="5">
        <v>0</v>
      </c>
      <c r="Y2192" s="5">
        <v>0</v>
      </c>
      <c r="Z2192" s="5">
        <v>12315.068493000001</v>
      </c>
      <c r="AA2192" s="5">
        <v>100</v>
      </c>
      <c r="AB2192" s="5">
        <v>1231506.8492999999</v>
      </c>
      <c r="AC2192" s="5" t="str">
        <f t="shared" si="106"/>
        <v>Bonos</v>
      </c>
      <c r="AD2192" s="5" t="s">
        <v>43</v>
      </c>
      <c r="AE2192" s="5">
        <f t="shared" si="104"/>
        <v>3</v>
      </c>
      <c r="AF2192" s="5">
        <f t="shared" si="105"/>
        <v>2016</v>
      </c>
    </row>
    <row r="2193" s="5" customFormat="1" ht="13">
      <c r="A2193" s="5" t="s">
        <v>44</v>
      </c>
      <c r="B2193" s="5" t="s">
        <v>44</v>
      </c>
      <c r="C2193" s="5" t="s">
        <v>156</v>
      </c>
      <c r="D2193" s="5" t="s">
        <v>21</v>
      </c>
      <c r="E2193" s="5" t="s">
        <v>44</v>
      </c>
      <c r="F2193" s="5" t="s">
        <v>68</v>
      </c>
      <c r="G2193" s="5" t="s">
        <v>69</v>
      </c>
      <c r="H2193" s="9" t="s">
        <v>407</v>
      </c>
      <c r="I2193" s="10"/>
      <c r="J2193" s="10">
        <v>42445</v>
      </c>
      <c r="K2193" s="5" t="s">
        <v>158</v>
      </c>
      <c r="L2193" s="5" t="s">
        <v>58</v>
      </c>
      <c r="M2193" s="11">
        <v>0.12</v>
      </c>
      <c r="N2193" s="5" t="e">
        <f>IF(AND(M2193&gt;#REF!,Cartera!O2193="Guaraníes"),"Rendimiento significativo",IF(AND(M2193&gt;#REF!,Cartera!O2193="Dólares americanos"),"Rendimiento significativo","Rendimiento no significativo"))</f>
        <v>#REF!</v>
      </c>
      <c r="O2193" s="5" t="s">
        <v>41</v>
      </c>
      <c r="P2193" s="12">
        <v>1315068.4931999999</v>
      </c>
      <c r="Q2193" s="12">
        <f>IF(O2193="Guaraníes",P2193,P2193*#REF!)</f>
        <v>1315068.4931999999</v>
      </c>
      <c r="R2193" s="12" t="e">
        <f>IF(O2193="Guaraníes",P2193/#REF!,P2193)</f>
        <v>#REF!</v>
      </c>
      <c r="S2193" s="5" t="s">
        <v>52</v>
      </c>
      <c r="T2193" s="5">
        <v>593</v>
      </c>
      <c r="W2193" s="5" t="s">
        <v>412</v>
      </c>
      <c r="X2193" s="5">
        <v>0</v>
      </c>
      <c r="Y2193" s="5">
        <v>0</v>
      </c>
      <c r="Z2193" s="5">
        <v>13150.684932</v>
      </c>
      <c r="AA2193" s="5">
        <v>100</v>
      </c>
      <c r="AB2193" s="5">
        <v>1315068.4931999999</v>
      </c>
      <c r="AC2193" s="5" t="str">
        <f t="shared" si="106"/>
        <v>Bonos</v>
      </c>
      <c r="AD2193" s="5" t="s">
        <v>43</v>
      </c>
      <c r="AE2193" s="5">
        <f t="shared" si="104"/>
        <v>3</v>
      </c>
      <c r="AF2193" s="5">
        <f t="shared" si="105"/>
        <v>2016</v>
      </c>
    </row>
    <row r="2194" s="5" customFormat="1" ht="13">
      <c r="A2194" s="5" t="s">
        <v>44</v>
      </c>
      <c r="B2194" s="5" t="s">
        <v>44</v>
      </c>
      <c r="C2194" s="5" t="s">
        <v>156</v>
      </c>
      <c r="D2194" s="5" t="s">
        <v>21</v>
      </c>
      <c r="E2194" s="5" t="s">
        <v>44</v>
      </c>
      <c r="F2194" s="5" t="s">
        <v>68</v>
      </c>
      <c r="G2194" s="5" t="s">
        <v>69</v>
      </c>
      <c r="H2194" s="9" t="s">
        <v>402</v>
      </c>
      <c r="I2194" s="10"/>
      <c r="J2194" s="10">
        <v>42450</v>
      </c>
      <c r="K2194" s="5" t="s">
        <v>158</v>
      </c>
      <c r="L2194" s="5" t="s">
        <v>58</v>
      </c>
      <c r="M2194" s="11">
        <v>0.17999999999999999</v>
      </c>
      <c r="N2194" s="5" t="e">
        <f>IF(AND(M2194&gt;#REF!,Cartera!O2194="Guaraníes"),"Rendimiento significativo",IF(AND(M2194&gt;#REF!,Cartera!O2194="Dólares americanos"),"Rendimiento significativo","Rendimiento no significativo"))</f>
        <v>#REF!</v>
      </c>
      <c r="O2194" s="5" t="s">
        <v>41</v>
      </c>
      <c r="P2194" s="12">
        <v>1146575.3424749998</v>
      </c>
      <c r="Q2194" s="12">
        <f>IF(O2194="Guaraníes",P2194,P2194*#REF!)</f>
        <v>1146575.3424749998</v>
      </c>
      <c r="R2194" s="12" t="e">
        <f>IF(O2194="Guaraníes",P2194/#REF!,P2194)</f>
        <v>#REF!</v>
      </c>
      <c r="S2194" s="5" t="s">
        <v>52</v>
      </c>
      <c r="T2194" s="5">
        <v>593</v>
      </c>
      <c r="W2194" s="5" t="s">
        <v>413</v>
      </c>
      <c r="X2194" s="5">
        <v>0</v>
      </c>
      <c r="Y2194" s="5">
        <v>0</v>
      </c>
      <c r="Z2194" s="5">
        <v>15287.671232999999</v>
      </c>
      <c r="AA2194" s="5">
        <v>75</v>
      </c>
      <c r="AB2194" s="5">
        <v>1146575.3424750001</v>
      </c>
      <c r="AC2194" s="5" t="str">
        <f t="shared" si="106"/>
        <v>Bonos</v>
      </c>
      <c r="AD2194" s="5" t="s">
        <v>43</v>
      </c>
      <c r="AE2194" s="5">
        <f t="shared" ref="AE2194:AE2257" si="107">IFERROR((MONTH(J2194)),0)</f>
        <v>3</v>
      </c>
      <c r="AF2194" s="5">
        <f t="shared" ref="AF2194:AF2257" si="108">IFERROR((YEAR(J2194)),0)</f>
        <v>2016</v>
      </c>
    </row>
    <row r="2195" s="5" customFormat="1" ht="13">
      <c r="A2195" s="5" t="s">
        <v>44</v>
      </c>
      <c r="B2195" s="5" t="s">
        <v>44</v>
      </c>
      <c r="C2195" s="5" t="s">
        <v>156</v>
      </c>
      <c r="D2195" s="5" t="s">
        <v>21</v>
      </c>
      <c r="E2195" s="5" t="s">
        <v>44</v>
      </c>
      <c r="F2195" s="5" t="s">
        <v>68</v>
      </c>
      <c r="G2195" s="5" t="s">
        <v>69</v>
      </c>
      <c r="H2195" s="9" t="s">
        <v>404</v>
      </c>
      <c r="I2195" s="10"/>
      <c r="J2195" s="10">
        <v>42452</v>
      </c>
      <c r="K2195" s="5" t="s">
        <v>158</v>
      </c>
      <c r="L2195" s="5" t="s">
        <v>58</v>
      </c>
      <c r="M2195" s="11">
        <v>0.14499999999999999</v>
      </c>
      <c r="N2195" s="5" t="e">
        <f>IF(AND(M2195&gt;#REF!,Cartera!O2195="Guaraníes"),"Rendimiento significativo",IF(AND(M2195&gt;#REF!,Cartera!O2195="Dólares americanos"),"Rendimiento significativo","Rendimiento no significativo"))</f>
        <v>#REF!</v>
      </c>
      <c r="O2195" s="5" t="s">
        <v>41</v>
      </c>
      <c r="P2195" s="12">
        <v>1323671.232849</v>
      </c>
      <c r="Q2195" s="12">
        <f>IF(O2195="Guaraníes",P2195,P2195*#REF!)</f>
        <v>1323671.232849</v>
      </c>
      <c r="R2195" s="12" t="e">
        <f>IF(O2195="Guaraníes",P2195/#REF!,P2195)</f>
        <v>#REF!</v>
      </c>
      <c r="S2195" s="5" t="s">
        <v>52</v>
      </c>
      <c r="T2195" s="5">
        <v>593</v>
      </c>
      <c r="W2195" s="5" t="s">
        <v>414</v>
      </c>
      <c r="X2195" s="5">
        <v>0</v>
      </c>
      <c r="Y2195" s="5">
        <v>0</v>
      </c>
      <c r="Z2195" s="5">
        <v>11123.287671</v>
      </c>
      <c r="AA2195" s="5">
        <v>119</v>
      </c>
      <c r="AB2195" s="5">
        <v>1323671.232849</v>
      </c>
      <c r="AC2195" s="5" t="str">
        <f t="shared" si="106"/>
        <v>Bonos</v>
      </c>
      <c r="AD2195" s="5" t="s">
        <v>43</v>
      </c>
      <c r="AE2195" s="5">
        <f t="shared" si="107"/>
        <v>3</v>
      </c>
      <c r="AF2195" s="5">
        <f t="shared" si="108"/>
        <v>2016</v>
      </c>
    </row>
    <row r="2196" s="5" customFormat="1" ht="13">
      <c r="A2196" s="5" t="s">
        <v>44</v>
      </c>
      <c r="B2196" s="5" t="s">
        <v>44</v>
      </c>
      <c r="C2196" s="5" t="s">
        <v>156</v>
      </c>
      <c r="D2196" s="5" t="s">
        <v>21</v>
      </c>
      <c r="E2196" s="5" t="s">
        <v>44</v>
      </c>
      <c r="F2196" s="5" t="s">
        <v>68</v>
      </c>
      <c r="G2196" s="5" t="s">
        <v>69</v>
      </c>
      <c r="H2196" s="9" t="s">
        <v>400</v>
      </c>
      <c r="I2196" s="10"/>
      <c r="J2196" s="10">
        <v>42471</v>
      </c>
      <c r="K2196" s="5" t="s">
        <v>158</v>
      </c>
      <c r="L2196" s="5" t="s">
        <v>58</v>
      </c>
      <c r="M2196" s="11">
        <v>0.155</v>
      </c>
      <c r="N2196" s="5" t="e">
        <f>IF(AND(M2196&gt;#REF!,Cartera!O2196="Guaraníes"),"Rendimiento significativo",IF(AND(M2196&gt;#REF!,Cartera!O2196="Dólares americanos"),"Rendimiento significativo","Rendimiento no significativo"))</f>
        <v>#REF!</v>
      </c>
      <c r="O2196" s="5" t="s">
        <v>41</v>
      </c>
      <c r="P2196" s="12">
        <v>1316438.3562</v>
      </c>
      <c r="Q2196" s="12">
        <f>IF(O2196="Guaraníes",P2196,P2196*#REF!)</f>
        <v>1316438.3562</v>
      </c>
      <c r="R2196" s="12" t="e">
        <f>IF(O2196="Guaraníes",P2196/#REF!,P2196)</f>
        <v>#REF!</v>
      </c>
      <c r="S2196" s="5" t="s">
        <v>52</v>
      </c>
      <c r="T2196" s="5">
        <v>593</v>
      </c>
      <c r="W2196" s="5" t="s">
        <v>415</v>
      </c>
      <c r="X2196" s="5">
        <v>0</v>
      </c>
      <c r="Y2196" s="5">
        <v>0</v>
      </c>
      <c r="Z2196" s="5">
        <v>13164.383562000001</v>
      </c>
      <c r="AA2196" s="5">
        <v>100</v>
      </c>
      <c r="AB2196" s="5">
        <v>1316438.3562</v>
      </c>
      <c r="AC2196" s="5" t="str">
        <f t="shared" si="106"/>
        <v>Bonos</v>
      </c>
      <c r="AD2196" s="5" t="s">
        <v>43</v>
      </c>
      <c r="AE2196" s="5">
        <f t="shared" si="107"/>
        <v>4</v>
      </c>
      <c r="AF2196" s="5">
        <f t="shared" si="108"/>
        <v>2016</v>
      </c>
    </row>
    <row r="2197" s="5" customFormat="1" ht="13">
      <c r="A2197" s="5" t="s">
        <v>44</v>
      </c>
      <c r="B2197" s="5" t="s">
        <v>44</v>
      </c>
      <c r="C2197" s="5" t="s">
        <v>156</v>
      </c>
      <c r="D2197" s="5" t="s">
        <v>21</v>
      </c>
      <c r="E2197" s="5" t="s">
        <v>44</v>
      </c>
      <c r="F2197" s="5" t="s">
        <v>68</v>
      </c>
      <c r="G2197" s="5" t="s">
        <v>69</v>
      </c>
      <c r="H2197" s="9" t="s">
        <v>407</v>
      </c>
      <c r="I2197" s="10"/>
      <c r="J2197" s="10">
        <v>42475</v>
      </c>
      <c r="K2197" s="5" t="s">
        <v>158</v>
      </c>
      <c r="L2197" s="5" t="s">
        <v>58</v>
      </c>
      <c r="M2197" s="11">
        <v>0.12</v>
      </c>
      <c r="N2197" s="5" t="e">
        <f>IF(AND(M2197&gt;#REF!,Cartera!O2197="Guaraníes"),"Rendimiento significativo",IF(AND(M2197&gt;#REF!,Cartera!O2197="Dólares americanos"),"Rendimiento significativo","Rendimiento no significativo"))</f>
        <v>#REF!</v>
      </c>
      <c r="O2197" s="5" t="s">
        <v>41</v>
      </c>
      <c r="P2197" s="12">
        <v>1315068.4931999999</v>
      </c>
      <c r="Q2197" s="12">
        <f>IF(O2197="Guaraníes",P2197,P2197*#REF!)</f>
        <v>1315068.4931999999</v>
      </c>
      <c r="R2197" s="12" t="e">
        <f>IF(O2197="Guaraníes",P2197/#REF!,P2197)</f>
        <v>#REF!</v>
      </c>
      <c r="S2197" s="5" t="s">
        <v>52</v>
      </c>
      <c r="T2197" s="5">
        <v>593</v>
      </c>
      <c r="W2197" s="5" t="s">
        <v>416</v>
      </c>
      <c r="X2197" s="5">
        <v>0</v>
      </c>
      <c r="Y2197" s="5">
        <v>0</v>
      </c>
      <c r="Z2197" s="5">
        <v>13150.684932</v>
      </c>
      <c r="AA2197" s="5">
        <v>100</v>
      </c>
      <c r="AB2197" s="5">
        <v>1315068.4931999999</v>
      </c>
      <c r="AC2197" s="5" t="str">
        <f t="shared" si="106"/>
        <v>Bonos</v>
      </c>
      <c r="AD2197" s="5" t="s">
        <v>43</v>
      </c>
      <c r="AE2197" s="5">
        <f t="shared" si="107"/>
        <v>4</v>
      </c>
      <c r="AF2197" s="5">
        <f t="shared" si="108"/>
        <v>2016</v>
      </c>
    </row>
    <row r="2198" s="5" customFormat="1" ht="13">
      <c r="A2198" s="5" t="s">
        <v>44</v>
      </c>
      <c r="B2198" s="5" t="s">
        <v>44</v>
      </c>
      <c r="C2198" s="5" t="s">
        <v>156</v>
      </c>
      <c r="D2198" s="5" t="s">
        <v>21</v>
      </c>
      <c r="E2198" s="5" t="s">
        <v>44</v>
      </c>
      <c r="F2198" s="5" t="s">
        <v>68</v>
      </c>
      <c r="G2198" s="5" t="s">
        <v>69</v>
      </c>
      <c r="H2198" s="9" t="s">
        <v>402</v>
      </c>
      <c r="I2198" s="10"/>
      <c r="J2198" s="10">
        <v>42480</v>
      </c>
      <c r="K2198" s="5" t="s">
        <v>158</v>
      </c>
      <c r="L2198" s="5" t="s">
        <v>58</v>
      </c>
      <c r="M2198" s="11">
        <v>0.17999999999999999</v>
      </c>
      <c r="N2198" s="5" t="e">
        <f>IF(AND(M2198&gt;#REF!,Cartera!O2198="Guaraníes"),"Rendimiento significativo",IF(AND(M2198&gt;#REF!,Cartera!O2198="Dólares americanos"),"Rendimiento significativo","Rendimiento no significativo"))</f>
        <v>#REF!</v>
      </c>
      <c r="O2198" s="5" t="s">
        <v>41</v>
      </c>
      <c r="P2198" s="12">
        <v>1109589.0411</v>
      </c>
      <c r="Q2198" s="12">
        <f>IF(O2198="Guaraníes",P2198,P2198*#REF!)</f>
        <v>1109589.0411</v>
      </c>
      <c r="R2198" s="12" t="e">
        <f>IF(O2198="Guaraníes",P2198/#REF!,P2198)</f>
        <v>#REF!</v>
      </c>
      <c r="S2198" s="5" t="s">
        <v>52</v>
      </c>
      <c r="T2198" s="5">
        <v>593</v>
      </c>
      <c r="W2198" s="5" t="s">
        <v>417</v>
      </c>
      <c r="X2198" s="5">
        <v>0</v>
      </c>
      <c r="Y2198" s="5">
        <v>0</v>
      </c>
      <c r="Z2198" s="5">
        <v>14794.520548</v>
      </c>
      <c r="AA2198" s="5">
        <v>75</v>
      </c>
      <c r="AB2198" s="5">
        <v>1109589.0411</v>
      </c>
      <c r="AC2198" s="5" t="str">
        <f t="shared" si="106"/>
        <v>Bonos</v>
      </c>
      <c r="AD2198" s="5" t="s">
        <v>43</v>
      </c>
      <c r="AE2198" s="5">
        <f t="shared" si="107"/>
        <v>4</v>
      </c>
      <c r="AF2198" s="5">
        <f t="shared" si="108"/>
        <v>2016</v>
      </c>
    </row>
    <row r="2199" s="5" customFormat="1" ht="13">
      <c r="A2199" s="5" t="s">
        <v>44</v>
      </c>
      <c r="B2199" s="5" t="s">
        <v>44</v>
      </c>
      <c r="C2199" s="5" t="s">
        <v>156</v>
      </c>
      <c r="D2199" s="5" t="s">
        <v>21</v>
      </c>
      <c r="E2199" s="5" t="s">
        <v>44</v>
      </c>
      <c r="F2199" s="5" t="s">
        <v>68</v>
      </c>
      <c r="G2199" s="5" t="s">
        <v>69</v>
      </c>
      <c r="H2199" s="9" t="s">
        <v>404</v>
      </c>
      <c r="I2199" s="10"/>
      <c r="J2199" s="10">
        <v>42485</v>
      </c>
      <c r="K2199" s="5" t="s">
        <v>158</v>
      </c>
      <c r="L2199" s="5" t="s">
        <v>58</v>
      </c>
      <c r="M2199" s="11">
        <v>0.14499999999999999</v>
      </c>
      <c r="N2199" s="5" t="e">
        <f>IF(AND(M2199&gt;#REF!,Cartera!O2199="Guaraníes"),"Rendimiento significativo",IF(AND(M2199&gt;#REF!,Cartera!O2199="Dólares americanos"),"Rendimiento significativo","Rendimiento no significativo"))</f>
        <v>#REF!</v>
      </c>
      <c r="O2199" s="5" t="s">
        <v>41</v>
      </c>
      <c r="P2199" s="12">
        <v>1560041.0958789999</v>
      </c>
      <c r="Q2199" s="12">
        <f>IF(O2199="Guaraníes",P2199,P2199*#REF!)</f>
        <v>1560041.0958789999</v>
      </c>
      <c r="R2199" s="12" t="e">
        <f>IF(O2199="Guaraníes",P2199/#REF!,P2199)</f>
        <v>#REF!</v>
      </c>
      <c r="S2199" s="5" t="s">
        <v>52</v>
      </c>
      <c r="T2199" s="5">
        <v>593</v>
      </c>
      <c r="W2199" s="5" t="s">
        <v>418</v>
      </c>
      <c r="X2199" s="5">
        <v>0</v>
      </c>
      <c r="Y2199" s="5">
        <v>0</v>
      </c>
      <c r="Z2199" s="5">
        <v>13109.589040999999</v>
      </c>
      <c r="AA2199" s="5">
        <v>119</v>
      </c>
      <c r="AB2199" s="5">
        <v>1560041.0958789999</v>
      </c>
      <c r="AC2199" s="5" t="str">
        <f t="shared" si="106"/>
        <v>Bonos</v>
      </c>
      <c r="AD2199" s="5" t="s">
        <v>43</v>
      </c>
      <c r="AE2199" s="5">
        <f t="shared" si="107"/>
        <v>4</v>
      </c>
      <c r="AF2199" s="5">
        <f t="shared" si="108"/>
        <v>2016</v>
      </c>
    </row>
    <row r="2200" s="5" customFormat="1" ht="13">
      <c r="A2200" s="5" t="s">
        <v>44</v>
      </c>
      <c r="B2200" s="5" t="s">
        <v>44</v>
      </c>
      <c r="C2200" s="5" t="s">
        <v>156</v>
      </c>
      <c r="D2200" s="5" t="s">
        <v>21</v>
      </c>
      <c r="E2200" s="5" t="s">
        <v>44</v>
      </c>
      <c r="F2200" s="5" t="s">
        <v>68</v>
      </c>
      <c r="G2200" s="5" t="s">
        <v>69</v>
      </c>
      <c r="H2200" s="9" t="s">
        <v>400</v>
      </c>
      <c r="I2200" s="10"/>
      <c r="J2200" s="10">
        <v>42501</v>
      </c>
      <c r="K2200" s="5" t="s">
        <v>158</v>
      </c>
      <c r="L2200" s="5" t="s">
        <v>58</v>
      </c>
      <c r="M2200" s="11">
        <v>0.155</v>
      </c>
      <c r="N2200" s="5" t="e">
        <f>IF(AND(M2200&gt;#REF!,Cartera!O2200="Guaraníes"),"Rendimiento significativo",IF(AND(M2200&gt;#REF!,Cartera!O2200="Dólares americanos"),"Rendimiento significativo","Rendimiento no significativo"))</f>
        <v>#REF!</v>
      </c>
      <c r="O2200" s="5" t="s">
        <v>41</v>
      </c>
      <c r="P2200" s="12">
        <v>1273972.6027000002</v>
      </c>
      <c r="Q2200" s="12">
        <f>IF(O2200="Guaraníes",P2200,P2200*#REF!)</f>
        <v>1273972.6027000002</v>
      </c>
      <c r="R2200" s="12" t="e">
        <f>IF(O2200="Guaraníes",P2200/#REF!,P2200)</f>
        <v>#REF!</v>
      </c>
      <c r="S2200" s="5" t="s">
        <v>52</v>
      </c>
      <c r="T2200" s="5">
        <v>593</v>
      </c>
      <c r="W2200" s="5" t="s">
        <v>419</v>
      </c>
      <c r="X2200" s="5">
        <v>0</v>
      </c>
      <c r="Y2200" s="5">
        <v>0</v>
      </c>
      <c r="Z2200" s="5">
        <v>12739.726027000001</v>
      </c>
      <c r="AA2200" s="5">
        <v>100</v>
      </c>
      <c r="AB2200" s="5">
        <v>1273972.6026999999</v>
      </c>
      <c r="AC2200" s="5" t="str">
        <f t="shared" si="106"/>
        <v>Bonos</v>
      </c>
      <c r="AD2200" s="5" t="s">
        <v>43</v>
      </c>
      <c r="AE2200" s="5">
        <f t="shared" si="107"/>
        <v>5</v>
      </c>
      <c r="AF2200" s="5">
        <f t="shared" si="108"/>
        <v>2016</v>
      </c>
    </row>
    <row r="2201" s="5" customFormat="1" ht="13">
      <c r="A2201" s="5" t="s">
        <v>44</v>
      </c>
      <c r="B2201" s="5" t="s">
        <v>44</v>
      </c>
      <c r="C2201" s="5" t="s">
        <v>156</v>
      </c>
      <c r="D2201" s="5" t="s">
        <v>21</v>
      </c>
      <c r="E2201" s="5" t="s">
        <v>44</v>
      </c>
      <c r="F2201" s="5" t="s">
        <v>68</v>
      </c>
      <c r="G2201" s="5" t="s">
        <v>69</v>
      </c>
      <c r="H2201" s="9" t="s">
        <v>407</v>
      </c>
      <c r="I2201" s="10"/>
      <c r="J2201" s="10">
        <v>42506</v>
      </c>
      <c r="K2201" s="5" t="s">
        <v>158</v>
      </c>
      <c r="L2201" s="5" t="s">
        <v>58</v>
      </c>
      <c r="M2201" s="11">
        <v>0.12</v>
      </c>
      <c r="N2201" s="5" t="e">
        <f>IF(AND(M2201&gt;#REF!,Cartera!O2201="Guaraníes"),"Rendimiento significativo",IF(AND(M2201&gt;#REF!,Cartera!O2201="Dólares americanos"),"Rendimiento significativo","Rendimiento no significativo"))</f>
        <v>#REF!</v>
      </c>
      <c r="O2201" s="5" t="s">
        <v>41</v>
      </c>
      <c r="P2201" s="12">
        <v>1358904.1096000001</v>
      </c>
      <c r="Q2201" s="12">
        <f>IF(O2201="Guaraníes",P2201,P2201*#REF!)</f>
        <v>1358904.1096000001</v>
      </c>
      <c r="R2201" s="12" t="e">
        <f>IF(O2201="Guaraníes",P2201/#REF!,P2201)</f>
        <v>#REF!</v>
      </c>
      <c r="S2201" s="5" t="s">
        <v>52</v>
      </c>
      <c r="T2201" s="5">
        <v>593</v>
      </c>
      <c r="W2201" s="5" t="s">
        <v>420</v>
      </c>
      <c r="X2201" s="5">
        <v>0</v>
      </c>
      <c r="Y2201" s="5">
        <v>0</v>
      </c>
      <c r="Z2201" s="5">
        <v>13589.041096000001</v>
      </c>
      <c r="AA2201" s="5">
        <v>100</v>
      </c>
      <c r="AB2201" s="5">
        <v>1358904.1096000001</v>
      </c>
      <c r="AC2201" s="5" t="str">
        <f t="shared" si="106"/>
        <v>Bonos</v>
      </c>
      <c r="AD2201" s="5" t="s">
        <v>43</v>
      </c>
      <c r="AE2201" s="5">
        <f t="shared" si="107"/>
        <v>5</v>
      </c>
      <c r="AF2201" s="5">
        <f t="shared" si="108"/>
        <v>2016</v>
      </c>
    </row>
    <row r="2202" s="5" customFormat="1" ht="13">
      <c r="A2202" s="5" t="s">
        <v>44</v>
      </c>
      <c r="B2202" s="5" t="s">
        <v>44</v>
      </c>
      <c r="C2202" s="5" t="s">
        <v>156</v>
      </c>
      <c r="D2202" s="5" t="s">
        <v>21</v>
      </c>
      <c r="E2202" s="5" t="s">
        <v>44</v>
      </c>
      <c r="F2202" s="5" t="s">
        <v>68</v>
      </c>
      <c r="G2202" s="5" t="s">
        <v>69</v>
      </c>
      <c r="H2202" s="9" t="s">
        <v>402</v>
      </c>
      <c r="I2202" s="10"/>
      <c r="J2202" s="10">
        <v>42510</v>
      </c>
      <c r="K2202" s="5" t="s">
        <v>158</v>
      </c>
      <c r="L2202" s="5" t="s">
        <v>58</v>
      </c>
      <c r="M2202" s="11">
        <v>0.17999999999999999</v>
      </c>
      <c r="N2202" s="5" t="e">
        <f>IF(AND(M2202&gt;#REF!,Cartera!O2202="Guaraníes"),"Rendimiento significativo",IF(AND(M2202&gt;#REF!,Cartera!O2202="Dólares americanos"),"Rendimiento significativo","Rendimiento no significativo"))</f>
        <v>#REF!</v>
      </c>
      <c r="O2202" s="5" t="s">
        <v>41</v>
      </c>
      <c r="P2202" s="12">
        <v>1109589.0411</v>
      </c>
      <c r="Q2202" s="12">
        <f>IF(O2202="Guaraníes",P2202,P2202*#REF!)</f>
        <v>1109589.0411</v>
      </c>
      <c r="R2202" s="12" t="e">
        <f>IF(O2202="Guaraníes",P2202/#REF!,P2202)</f>
        <v>#REF!</v>
      </c>
      <c r="S2202" s="5" t="s">
        <v>52</v>
      </c>
      <c r="T2202" s="5">
        <v>593</v>
      </c>
      <c r="W2202" s="5" t="s">
        <v>421</v>
      </c>
      <c r="X2202" s="5">
        <v>0</v>
      </c>
      <c r="Y2202" s="5">
        <v>0</v>
      </c>
      <c r="Z2202" s="5">
        <v>14794.520548</v>
      </c>
      <c r="AA2202" s="5">
        <v>75</v>
      </c>
      <c r="AB2202" s="5">
        <v>1109589.0411</v>
      </c>
      <c r="AC2202" s="5" t="str">
        <f t="shared" si="106"/>
        <v>Bonos</v>
      </c>
      <c r="AD2202" s="5" t="s">
        <v>43</v>
      </c>
      <c r="AE2202" s="5">
        <f t="shared" si="107"/>
        <v>5</v>
      </c>
      <c r="AF2202" s="5">
        <f t="shared" si="108"/>
        <v>2016</v>
      </c>
    </row>
    <row r="2203" s="5" customFormat="1" ht="13">
      <c r="A2203" s="5" t="s">
        <v>44</v>
      </c>
      <c r="B2203" s="5" t="s">
        <v>44</v>
      </c>
      <c r="C2203" s="5" t="s">
        <v>156</v>
      </c>
      <c r="D2203" s="5" t="s">
        <v>21</v>
      </c>
      <c r="E2203" s="5" t="s">
        <v>44</v>
      </c>
      <c r="F2203" s="5" t="s">
        <v>68</v>
      </c>
      <c r="G2203" s="5" t="s">
        <v>69</v>
      </c>
      <c r="H2203" s="9" t="s">
        <v>404</v>
      </c>
      <c r="I2203" s="10"/>
      <c r="J2203" s="10">
        <v>42514</v>
      </c>
      <c r="K2203" s="5" t="s">
        <v>158</v>
      </c>
      <c r="L2203" s="5" t="s">
        <v>58</v>
      </c>
      <c r="M2203" s="11">
        <v>0.14499999999999999</v>
      </c>
      <c r="N2203" s="5" t="e">
        <f>IF(AND(M2203&gt;#REF!,Cartera!O2203="Guaraníes"),"Rendimiento significativo",IF(AND(M2203&gt;#REF!,Cartera!O2203="Dólares americanos"),"Rendimiento significativo","Rendimiento no significativo"))</f>
        <v>#REF!</v>
      </c>
      <c r="O2203" s="5" t="s">
        <v>41</v>
      </c>
      <c r="P2203" s="12">
        <v>1370945.205455</v>
      </c>
      <c r="Q2203" s="12">
        <f>IF(O2203="Guaraníes",P2203,P2203*#REF!)</f>
        <v>1370945.205455</v>
      </c>
      <c r="R2203" s="12" t="e">
        <f>IF(O2203="Guaraníes",P2203/#REF!,P2203)</f>
        <v>#REF!</v>
      </c>
      <c r="S2203" s="5" t="s">
        <v>52</v>
      </c>
      <c r="T2203" s="5">
        <v>593</v>
      </c>
      <c r="W2203" s="5" t="s">
        <v>422</v>
      </c>
      <c r="X2203" s="5">
        <v>0</v>
      </c>
      <c r="Y2203" s="5">
        <v>0</v>
      </c>
      <c r="Z2203" s="5">
        <v>11520.547945</v>
      </c>
      <c r="AA2203" s="5">
        <v>119</v>
      </c>
      <c r="AB2203" s="5">
        <v>1370945.205455</v>
      </c>
      <c r="AC2203" s="5" t="str">
        <f t="shared" si="106"/>
        <v>Bonos</v>
      </c>
      <c r="AD2203" s="5" t="s">
        <v>43</v>
      </c>
      <c r="AE2203" s="5">
        <f t="shared" si="107"/>
        <v>5</v>
      </c>
      <c r="AF2203" s="5">
        <f t="shared" si="108"/>
        <v>2016</v>
      </c>
    </row>
    <row r="2204" s="5" customFormat="1" ht="13">
      <c r="A2204" s="5" t="s">
        <v>44</v>
      </c>
      <c r="B2204" s="5" t="s">
        <v>44</v>
      </c>
      <c r="C2204" s="5" t="s">
        <v>156</v>
      </c>
      <c r="D2204" s="5" t="s">
        <v>21</v>
      </c>
      <c r="E2204" s="5" t="s">
        <v>44</v>
      </c>
      <c r="F2204" s="5" t="s">
        <v>68</v>
      </c>
      <c r="G2204" s="5" t="s">
        <v>69</v>
      </c>
      <c r="H2204" s="9" t="s">
        <v>400</v>
      </c>
      <c r="I2204" s="10"/>
      <c r="J2204" s="10">
        <v>42531</v>
      </c>
      <c r="K2204" s="5" t="s">
        <v>158</v>
      </c>
      <c r="L2204" s="5" t="s">
        <v>58</v>
      </c>
      <c r="M2204" s="11">
        <v>0.155</v>
      </c>
      <c r="N2204" s="5" t="e">
        <f>IF(AND(M2204&gt;#REF!,Cartera!O2204="Guaraníes"),"Rendimiento significativo",IF(AND(M2204&gt;#REF!,Cartera!O2204="Dólares americanos"),"Rendimiento significativo","Rendimiento no significativo"))</f>
        <v>#REF!</v>
      </c>
      <c r="O2204" s="5" t="s">
        <v>41</v>
      </c>
      <c r="P2204" s="12">
        <v>1273972.6027000002</v>
      </c>
      <c r="Q2204" s="12">
        <f>IF(O2204="Guaraníes",P2204,P2204*#REF!)</f>
        <v>1273972.6027000002</v>
      </c>
      <c r="R2204" s="12" t="e">
        <f>IF(O2204="Guaraníes",P2204/#REF!,P2204)</f>
        <v>#REF!</v>
      </c>
      <c r="S2204" s="5" t="s">
        <v>52</v>
      </c>
      <c r="T2204" s="5">
        <v>593</v>
      </c>
      <c r="W2204" s="5" t="s">
        <v>423</v>
      </c>
      <c r="X2204" s="5">
        <v>0</v>
      </c>
      <c r="Y2204" s="5">
        <v>0</v>
      </c>
      <c r="Z2204" s="5">
        <v>12739.726027000001</v>
      </c>
      <c r="AA2204" s="5">
        <v>100</v>
      </c>
      <c r="AB2204" s="5">
        <v>1273972.6026999999</v>
      </c>
      <c r="AC2204" s="5" t="str">
        <f t="shared" si="106"/>
        <v>Bonos</v>
      </c>
      <c r="AD2204" s="5" t="s">
        <v>43</v>
      </c>
      <c r="AE2204" s="5">
        <f t="shared" si="107"/>
        <v>6</v>
      </c>
      <c r="AF2204" s="5">
        <f t="shared" si="108"/>
        <v>2016</v>
      </c>
    </row>
    <row r="2205" s="5" customFormat="1" ht="13">
      <c r="A2205" s="5" t="s">
        <v>44</v>
      </c>
      <c r="B2205" s="5" t="s">
        <v>44</v>
      </c>
      <c r="C2205" s="5" t="s">
        <v>156</v>
      </c>
      <c r="D2205" s="5" t="s">
        <v>21</v>
      </c>
      <c r="E2205" s="5" t="s">
        <v>44</v>
      </c>
      <c r="F2205" s="5" t="s">
        <v>68</v>
      </c>
      <c r="G2205" s="5" t="s">
        <v>69</v>
      </c>
      <c r="H2205" s="9" t="s">
        <v>407</v>
      </c>
      <c r="I2205" s="10"/>
      <c r="J2205" s="10">
        <v>42536</v>
      </c>
      <c r="K2205" s="5" t="s">
        <v>158</v>
      </c>
      <c r="L2205" s="5" t="s">
        <v>58</v>
      </c>
      <c r="M2205" s="11">
        <v>0.12</v>
      </c>
      <c r="N2205" s="5" t="e">
        <f>IF(AND(M2205&gt;#REF!,Cartera!O2205="Guaraníes"),"Rendimiento significativo",IF(AND(M2205&gt;#REF!,Cartera!O2205="Dólares americanos"),"Rendimiento significativo","Rendimiento no significativo"))</f>
        <v>#REF!</v>
      </c>
      <c r="O2205" s="5" t="s">
        <v>41</v>
      </c>
      <c r="P2205" s="12">
        <v>1315068.4931999999</v>
      </c>
      <c r="Q2205" s="12">
        <f>IF(O2205="Guaraníes",P2205,P2205*#REF!)</f>
        <v>1315068.4931999999</v>
      </c>
      <c r="R2205" s="12" t="e">
        <f>IF(O2205="Guaraníes",P2205/#REF!,P2205)</f>
        <v>#REF!</v>
      </c>
      <c r="S2205" s="5" t="s">
        <v>52</v>
      </c>
      <c r="T2205" s="5">
        <v>593</v>
      </c>
      <c r="W2205" s="5" t="s">
        <v>424</v>
      </c>
      <c r="X2205" s="5">
        <v>0</v>
      </c>
      <c r="Y2205" s="5">
        <v>0</v>
      </c>
      <c r="Z2205" s="5">
        <v>13150.684932</v>
      </c>
      <c r="AA2205" s="5">
        <v>100</v>
      </c>
      <c r="AB2205" s="5">
        <v>1315068.4931999999</v>
      </c>
      <c r="AC2205" s="5" t="str">
        <f t="shared" si="106"/>
        <v>Bonos</v>
      </c>
      <c r="AD2205" s="5" t="s">
        <v>43</v>
      </c>
      <c r="AE2205" s="5">
        <f t="shared" si="107"/>
        <v>6</v>
      </c>
      <c r="AF2205" s="5">
        <f t="shared" si="108"/>
        <v>2016</v>
      </c>
    </row>
    <row r="2206" s="5" customFormat="1" ht="13">
      <c r="A2206" s="5" t="s">
        <v>44</v>
      </c>
      <c r="B2206" s="5" t="s">
        <v>44</v>
      </c>
      <c r="C2206" s="5" t="s">
        <v>156</v>
      </c>
      <c r="D2206" s="5" t="s">
        <v>21</v>
      </c>
      <c r="E2206" s="5" t="s">
        <v>44</v>
      </c>
      <c r="F2206" s="5" t="s">
        <v>68</v>
      </c>
      <c r="G2206" s="5" t="s">
        <v>69</v>
      </c>
      <c r="H2206" s="9" t="s">
        <v>402</v>
      </c>
      <c r="I2206" s="10"/>
      <c r="J2206" s="10">
        <v>42541</v>
      </c>
      <c r="K2206" s="5" t="s">
        <v>158</v>
      </c>
      <c r="L2206" s="5" t="s">
        <v>58</v>
      </c>
      <c r="M2206" s="11">
        <v>0.17999999999999999</v>
      </c>
      <c r="N2206" s="5" t="e">
        <f>IF(AND(M2206&gt;#REF!,Cartera!O2206="Guaraníes"),"Rendimiento significativo",IF(AND(M2206&gt;#REF!,Cartera!O2206="Dólares americanos"),"Rendimiento significativo","Rendimiento no significativo"))</f>
        <v>#REF!</v>
      </c>
      <c r="O2206" s="5" t="s">
        <v>41</v>
      </c>
      <c r="P2206" s="12">
        <v>1146575.3424749998</v>
      </c>
      <c r="Q2206" s="12">
        <f>IF(O2206="Guaraníes",P2206,P2206*#REF!)</f>
        <v>1146575.3424749998</v>
      </c>
      <c r="R2206" s="12" t="e">
        <f>IF(O2206="Guaraníes",P2206/#REF!,P2206)</f>
        <v>#REF!</v>
      </c>
      <c r="S2206" s="5" t="s">
        <v>52</v>
      </c>
      <c r="T2206" s="5">
        <v>593</v>
      </c>
      <c r="W2206" s="5" t="s">
        <v>425</v>
      </c>
      <c r="X2206" s="5">
        <v>0</v>
      </c>
      <c r="Y2206" s="5">
        <v>0</v>
      </c>
      <c r="Z2206" s="5">
        <v>15287.671232999999</v>
      </c>
      <c r="AA2206" s="5">
        <v>75</v>
      </c>
      <c r="AB2206" s="5">
        <v>1146575.3424750001</v>
      </c>
      <c r="AC2206" s="5" t="str">
        <f t="shared" si="106"/>
        <v>Bonos</v>
      </c>
      <c r="AD2206" s="5" t="s">
        <v>43</v>
      </c>
      <c r="AE2206" s="5">
        <f t="shared" si="107"/>
        <v>6</v>
      </c>
      <c r="AF2206" s="5">
        <f t="shared" si="108"/>
        <v>2016</v>
      </c>
    </row>
    <row r="2207" s="5" customFormat="1" ht="13">
      <c r="A2207" s="5" t="s">
        <v>44</v>
      </c>
      <c r="B2207" s="5" t="s">
        <v>44</v>
      </c>
      <c r="C2207" s="5" t="s">
        <v>156</v>
      </c>
      <c r="D2207" s="5" t="s">
        <v>21</v>
      </c>
      <c r="E2207" s="5" t="s">
        <v>44</v>
      </c>
      <c r="F2207" s="5" t="s">
        <v>68</v>
      </c>
      <c r="G2207" s="5" t="s">
        <v>69</v>
      </c>
      <c r="H2207" s="9" t="s">
        <v>404</v>
      </c>
      <c r="I2207" s="10"/>
      <c r="J2207" s="10">
        <v>42545</v>
      </c>
      <c r="K2207" s="5" t="s">
        <v>158</v>
      </c>
      <c r="L2207" s="5" t="s">
        <v>58</v>
      </c>
      <c r="M2207" s="11">
        <v>0.14499999999999999</v>
      </c>
      <c r="N2207" s="5" t="e">
        <f>IF(AND(M2207&gt;#REF!,Cartera!O2207="Guaraníes"),"Rendimiento significativo",IF(AND(M2207&gt;#REF!,Cartera!O2207="Dólares americanos"),"Rendimiento significativo","Rendimiento no significativo"))</f>
        <v>#REF!</v>
      </c>
      <c r="O2207" s="5" t="s">
        <v>41</v>
      </c>
      <c r="P2207" s="12">
        <v>1465493.1506670001</v>
      </c>
      <c r="Q2207" s="12">
        <f>IF(O2207="Guaraníes",P2207,P2207*#REF!)</f>
        <v>1465493.1506670001</v>
      </c>
      <c r="R2207" s="12" t="e">
        <f>IF(O2207="Guaraníes",P2207/#REF!,P2207)</f>
        <v>#REF!</v>
      </c>
      <c r="S2207" s="5" t="s">
        <v>52</v>
      </c>
      <c r="T2207" s="5">
        <v>593</v>
      </c>
      <c r="W2207" s="5" t="s">
        <v>426</v>
      </c>
      <c r="X2207" s="5">
        <v>0</v>
      </c>
      <c r="Y2207" s="5">
        <v>0</v>
      </c>
      <c r="Z2207" s="5">
        <v>12315.068493000001</v>
      </c>
      <c r="AA2207" s="5">
        <v>119</v>
      </c>
      <c r="AB2207" s="5">
        <v>1465493.1506670001</v>
      </c>
      <c r="AC2207" s="5" t="str">
        <f t="shared" si="106"/>
        <v>Bonos</v>
      </c>
      <c r="AD2207" s="5" t="s">
        <v>43</v>
      </c>
      <c r="AE2207" s="5">
        <f t="shared" si="107"/>
        <v>6</v>
      </c>
      <c r="AF2207" s="5">
        <f t="shared" si="108"/>
        <v>2016</v>
      </c>
    </row>
    <row r="2208" s="5" customFormat="1" ht="13">
      <c r="A2208" s="5" t="s">
        <v>44</v>
      </c>
      <c r="B2208" s="5" t="s">
        <v>44</v>
      </c>
      <c r="C2208" s="5" t="s">
        <v>156</v>
      </c>
      <c r="D2208" s="5" t="s">
        <v>21</v>
      </c>
      <c r="E2208" s="5" t="s">
        <v>44</v>
      </c>
      <c r="F2208" s="5" t="s">
        <v>68</v>
      </c>
      <c r="G2208" s="5" t="s">
        <v>69</v>
      </c>
      <c r="H2208" s="9" t="s">
        <v>400</v>
      </c>
      <c r="I2208" s="10"/>
      <c r="J2208" s="10">
        <v>42562</v>
      </c>
      <c r="K2208" s="5" t="s">
        <v>158</v>
      </c>
      <c r="L2208" s="5" t="s">
        <v>58</v>
      </c>
      <c r="M2208" s="11">
        <v>0.155</v>
      </c>
      <c r="N2208" s="5" t="e">
        <f>IF(AND(M2208&gt;#REF!,Cartera!O2208="Guaraníes"),"Rendimiento significativo",IF(AND(M2208&gt;#REF!,Cartera!O2208="Dólares americanos"),"Rendimiento significativo","Rendimiento no significativo"))</f>
        <v>#REF!</v>
      </c>
      <c r="O2208" s="5" t="s">
        <v>41</v>
      </c>
      <c r="P2208" s="12">
        <v>1316438.3562</v>
      </c>
      <c r="Q2208" s="12">
        <f>IF(O2208="Guaraníes",P2208,P2208*#REF!)</f>
        <v>1316438.3562</v>
      </c>
      <c r="R2208" s="12" t="e">
        <f>IF(O2208="Guaraníes",P2208/#REF!,P2208)</f>
        <v>#REF!</v>
      </c>
      <c r="S2208" s="5" t="s">
        <v>52</v>
      </c>
      <c r="T2208" s="5">
        <v>593</v>
      </c>
      <c r="W2208" s="5" t="s">
        <v>427</v>
      </c>
      <c r="X2208" s="5">
        <v>0</v>
      </c>
      <c r="Y2208" s="5">
        <v>0</v>
      </c>
      <c r="Z2208" s="5">
        <v>13164.383562000001</v>
      </c>
      <c r="AA2208" s="5">
        <v>100</v>
      </c>
      <c r="AB2208" s="5">
        <v>1316438.3562</v>
      </c>
      <c r="AC2208" s="5" t="str">
        <f t="shared" si="106"/>
        <v>Bonos</v>
      </c>
      <c r="AD2208" s="5" t="s">
        <v>43</v>
      </c>
      <c r="AE2208" s="5">
        <f t="shared" si="107"/>
        <v>7</v>
      </c>
      <c r="AF2208" s="5">
        <f t="shared" si="108"/>
        <v>2016</v>
      </c>
    </row>
    <row r="2209" s="5" customFormat="1" ht="13">
      <c r="A2209" s="5" t="s">
        <v>44</v>
      </c>
      <c r="B2209" s="5" t="s">
        <v>44</v>
      </c>
      <c r="C2209" s="5" t="s">
        <v>156</v>
      </c>
      <c r="D2209" s="5" t="s">
        <v>21</v>
      </c>
      <c r="E2209" s="5" t="s">
        <v>44</v>
      </c>
      <c r="F2209" s="5" t="s">
        <v>68</v>
      </c>
      <c r="G2209" s="5" t="s">
        <v>69</v>
      </c>
      <c r="H2209" s="9" t="s">
        <v>407</v>
      </c>
      <c r="I2209" s="10"/>
      <c r="J2209" s="10">
        <v>42566</v>
      </c>
      <c r="K2209" s="5" t="s">
        <v>158</v>
      </c>
      <c r="L2209" s="5" t="s">
        <v>58</v>
      </c>
      <c r="M2209" s="11">
        <v>0.12</v>
      </c>
      <c r="N2209" s="5" t="e">
        <f>IF(AND(M2209&gt;#REF!,Cartera!O2209="Guaraníes"),"Rendimiento significativo",IF(AND(M2209&gt;#REF!,Cartera!O2209="Dólares americanos"),"Rendimiento significativo","Rendimiento no significativo"))</f>
        <v>#REF!</v>
      </c>
      <c r="O2209" s="5" t="s">
        <v>41</v>
      </c>
      <c r="P2209" s="12">
        <v>1315068.4931999999</v>
      </c>
      <c r="Q2209" s="12">
        <f>IF(O2209="Guaraníes",P2209,P2209*#REF!)</f>
        <v>1315068.4931999999</v>
      </c>
      <c r="R2209" s="12" t="e">
        <f>IF(O2209="Guaraníes",P2209/#REF!,P2209)</f>
        <v>#REF!</v>
      </c>
      <c r="S2209" s="5" t="s">
        <v>52</v>
      </c>
      <c r="T2209" s="5">
        <v>593</v>
      </c>
      <c r="W2209" s="5" t="s">
        <v>428</v>
      </c>
      <c r="X2209" s="5">
        <v>0</v>
      </c>
      <c r="Y2209" s="5">
        <v>0</v>
      </c>
      <c r="Z2209" s="5">
        <v>13150.684932</v>
      </c>
      <c r="AA2209" s="5">
        <v>100</v>
      </c>
      <c r="AB2209" s="5">
        <v>1315068.4931999999</v>
      </c>
      <c r="AC2209" s="5" t="str">
        <f t="shared" si="106"/>
        <v>Bonos</v>
      </c>
      <c r="AD2209" s="5" t="s">
        <v>43</v>
      </c>
      <c r="AE2209" s="5">
        <f t="shared" si="107"/>
        <v>7</v>
      </c>
      <c r="AF2209" s="5">
        <f t="shared" si="108"/>
        <v>2016</v>
      </c>
    </row>
    <row r="2210" s="5" customFormat="1" ht="13">
      <c r="A2210" s="5" t="s">
        <v>44</v>
      </c>
      <c r="B2210" s="5" t="s">
        <v>44</v>
      </c>
      <c r="C2210" s="5" t="s">
        <v>156</v>
      </c>
      <c r="D2210" s="5" t="s">
        <v>21</v>
      </c>
      <c r="E2210" s="5" t="s">
        <v>44</v>
      </c>
      <c r="F2210" s="5" t="s">
        <v>68</v>
      </c>
      <c r="G2210" s="5" t="s">
        <v>69</v>
      </c>
      <c r="H2210" s="9" t="s">
        <v>402</v>
      </c>
      <c r="I2210" s="10"/>
      <c r="J2210" s="10">
        <v>42571</v>
      </c>
      <c r="K2210" s="5" t="s">
        <v>158</v>
      </c>
      <c r="L2210" s="5" t="s">
        <v>58</v>
      </c>
      <c r="M2210" s="11">
        <v>0.17999999999999999</v>
      </c>
      <c r="N2210" s="5" t="e">
        <f>IF(AND(M2210&gt;#REF!,Cartera!O2210="Guaraníes"),"Rendimiento significativo",IF(AND(M2210&gt;#REF!,Cartera!O2210="Dólares americanos"),"Rendimiento significativo","Rendimiento no significativo"))</f>
        <v>#REF!</v>
      </c>
      <c r="O2210" s="5" t="s">
        <v>41</v>
      </c>
      <c r="P2210" s="12">
        <v>1109589.0411</v>
      </c>
      <c r="Q2210" s="12">
        <f>IF(O2210="Guaraníes",P2210,P2210*#REF!)</f>
        <v>1109589.0411</v>
      </c>
      <c r="R2210" s="12" t="e">
        <f>IF(O2210="Guaraníes",P2210/#REF!,P2210)</f>
        <v>#REF!</v>
      </c>
      <c r="S2210" s="5" t="s">
        <v>52</v>
      </c>
      <c r="T2210" s="5">
        <v>593</v>
      </c>
      <c r="W2210" s="5" t="s">
        <v>429</v>
      </c>
      <c r="X2210" s="5">
        <v>0</v>
      </c>
      <c r="Y2210" s="5">
        <v>0</v>
      </c>
      <c r="Z2210" s="5">
        <v>14794.520548</v>
      </c>
      <c r="AA2210" s="5">
        <v>75</v>
      </c>
      <c r="AB2210" s="5">
        <v>1109589.0411</v>
      </c>
      <c r="AC2210" s="5" t="str">
        <f t="shared" si="106"/>
        <v>Bonos</v>
      </c>
      <c r="AD2210" s="5" t="s">
        <v>43</v>
      </c>
      <c r="AE2210" s="5">
        <f t="shared" si="107"/>
        <v>7</v>
      </c>
      <c r="AF2210" s="5">
        <f t="shared" si="108"/>
        <v>2016</v>
      </c>
    </row>
    <row r="2211" s="5" customFormat="1" ht="13">
      <c r="A2211" s="5" t="s">
        <v>44</v>
      </c>
      <c r="B2211" s="5" t="s">
        <v>44</v>
      </c>
      <c r="C2211" s="5" t="s">
        <v>156</v>
      </c>
      <c r="D2211" s="5" t="s">
        <v>21</v>
      </c>
      <c r="E2211" s="5" t="s">
        <v>44</v>
      </c>
      <c r="F2211" s="5" t="s">
        <v>68</v>
      </c>
      <c r="G2211" s="5" t="s">
        <v>69</v>
      </c>
      <c r="H2211" s="9" t="s">
        <v>404</v>
      </c>
      <c r="I2211" s="10"/>
      <c r="J2211" s="10">
        <v>42576</v>
      </c>
      <c r="K2211" s="5" t="s">
        <v>158</v>
      </c>
      <c r="L2211" s="5" t="s">
        <v>58</v>
      </c>
      <c r="M2211" s="11">
        <v>0.14499999999999999</v>
      </c>
      <c r="N2211" s="5" t="e">
        <f>IF(AND(M2211&gt;#REF!,Cartera!O2211="Guaraníes"),"Rendimiento significativo",IF(AND(M2211&gt;#REF!,Cartera!O2211="Dólares americanos"),"Rendimiento significativo","Rendimiento no significativo"))</f>
        <v>#REF!</v>
      </c>
      <c r="O2211" s="5" t="s">
        <v>41</v>
      </c>
      <c r="P2211" s="12">
        <v>1465493.1506670001</v>
      </c>
      <c r="Q2211" s="12">
        <f>IF(O2211="Guaraníes",P2211,P2211*#REF!)</f>
        <v>1465493.1506670001</v>
      </c>
      <c r="R2211" s="12" t="e">
        <f>IF(O2211="Guaraníes",P2211/#REF!,P2211)</f>
        <v>#REF!</v>
      </c>
      <c r="S2211" s="5" t="s">
        <v>52</v>
      </c>
      <c r="T2211" s="5">
        <v>593</v>
      </c>
      <c r="W2211" s="5" t="s">
        <v>430</v>
      </c>
      <c r="X2211" s="5">
        <v>0</v>
      </c>
      <c r="Y2211" s="5">
        <v>0</v>
      </c>
      <c r="Z2211" s="5">
        <v>12315.068493000001</v>
      </c>
      <c r="AA2211" s="5">
        <v>119</v>
      </c>
      <c r="AB2211" s="5">
        <v>1465493.1506670001</v>
      </c>
      <c r="AC2211" s="5" t="str">
        <f t="shared" si="106"/>
        <v>Bonos</v>
      </c>
      <c r="AD2211" s="5" t="s">
        <v>43</v>
      </c>
      <c r="AE2211" s="5">
        <f t="shared" si="107"/>
        <v>7</v>
      </c>
      <c r="AF2211" s="5">
        <f t="shared" si="108"/>
        <v>2016</v>
      </c>
    </row>
    <row r="2212" s="5" customFormat="1" ht="13">
      <c r="A2212" s="5" t="s">
        <v>44</v>
      </c>
      <c r="B2212" s="5" t="s">
        <v>44</v>
      </c>
      <c r="C2212" s="5" t="s">
        <v>156</v>
      </c>
      <c r="D2212" s="5" t="s">
        <v>21</v>
      </c>
      <c r="E2212" s="5" t="s">
        <v>44</v>
      </c>
      <c r="F2212" s="5" t="s">
        <v>68</v>
      </c>
      <c r="G2212" s="5" t="s">
        <v>69</v>
      </c>
      <c r="H2212" s="9" t="s">
        <v>400</v>
      </c>
      <c r="I2212" s="10"/>
      <c r="J2212" s="10">
        <v>42593</v>
      </c>
      <c r="K2212" s="5" t="s">
        <v>158</v>
      </c>
      <c r="L2212" s="5" t="s">
        <v>58</v>
      </c>
      <c r="M2212" s="11">
        <v>0.155</v>
      </c>
      <c r="N2212" s="5" t="e">
        <f>IF(AND(M2212&gt;#REF!,Cartera!O2212="Guaraníes"),"Rendimiento significativo",IF(AND(M2212&gt;#REF!,Cartera!O2212="Dólares americanos"),"Rendimiento significativo","Rendimiento no significativo"))</f>
        <v>#REF!</v>
      </c>
      <c r="O2212" s="5" t="s">
        <v>41</v>
      </c>
      <c r="P2212" s="12">
        <v>1316438.3562</v>
      </c>
      <c r="Q2212" s="12">
        <f>IF(O2212="Guaraníes",P2212,P2212*#REF!)</f>
        <v>1316438.3562</v>
      </c>
      <c r="R2212" s="12" t="e">
        <f>IF(O2212="Guaraníes",P2212/#REF!,P2212)</f>
        <v>#REF!</v>
      </c>
      <c r="S2212" s="5" t="s">
        <v>52</v>
      </c>
      <c r="T2212" s="5">
        <v>593</v>
      </c>
      <c r="W2212" s="5" t="s">
        <v>431</v>
      </c>
      <c r="X2212" s="5">
        <v>0</v>
      </c>
      <c r="Y2212" s="5">
        <v>0</v>
      </c>
      <c r="Z2212" s="5">
        <v>13164.383562000001</v>
      </c>
      <c r="AA2212" s="5">
        <v>100</v>
      </c>
      <c r="AB2212" s="5">
        <v>1316438.3562</v>
      </c>
      <c r="AC2212" s="5" t="str">
        <f t="shared" si="106"/>
        <v>Bonos</v>
      </c>
      <c r="AD2212" s="5" t="s">
        <v>43</v>
      </c>
      <c r="AE2212" s="5">
        <f t="shared" si="107"/>
        <v>8</v>
      </c>
      <c r="AF2212" s="5">
        <f t="shared" si="108"/>
        <v>2016</v>
      </c>
    </row>
    <row r="2213" s="5" customFormat="1" ht="13">
      <c r="A2213" s="5" t="s">
        <v>44</v>
      </c>
      <c r="B2213" s="5" t="s">
        <v>44</v>
      </c>
      <c r="C2213" s="5" t="s">
        <v>156</v>
      </c>
      <c r="D2213" s="5" t="s">
        <v>21</v>
      </c>
      <c r="E2213" s="5" t="s">
        <v>44</v>
      </c>
      <c r="F2213" s="5" t="s">
        <v>68</v>
      </c>
      <c r="G2213" s="5" t="s">
        <v>69</v>
      </c>
      <c r="H2213" s="9" t="s">
        <v>407</v>
      </c>
      <c r="I2213" s="10"/>
      <c r="J2213" s="10">
        <v>42598</v>
      </c>
      <c r="K2213" s="5" t="s">
        <v>158</v>
      </c>
      <c r="L2213" s="5" t="s">
        <v>58</v>
      </c>
      <c r="M2213" s="11">
        <v>0.12</v>
      </c>
      <c r="N2213" s="5" t="e">
        <f>IF(AND(M2213&gt;#REF!,Cartera!O2213="Guaraníes"),"Rendimiento significativo",IF(AND(M2213&gt;#REF!,Cartera!O2213="Dólares americanos"),"Rendimiento significativo","Rendimiento no significativo"))</f>
        <v>#REF!</v>
      </c>
      <c r="O2213" s="5" t="s">
        <v>41</v>
      </c>
      <c r="P2213" s="12">
        <v>1402739.726</v>
      </c>
      <c r="Q2213" s="12">
        <f>IF(O2213="Guaraníes",P2213,P2213*#REF!)</f>
        <v>1402739.726</v>
      </c>
      <c r="R2213" s="12" t="e">
        <f>IF(O2213="Guaraníes",P2213/#REF!,P2213)</f>
        <v>#REF!</v>
      </c>
      <c r="S2213" s="5" t="s">
        <v>52</v>
      </c>
      <c r="T2213" s="5">
        <v>593</v>
      </c>
      <c r="W2213" s="5" t="s">
        <v>432</v>
      </c>
      <c r="X2213" s="5">
        <v>0</v>
      </c>
      <c r="Y2213" s="5">
        <v>0</v>
      </c>
      <c r="Z2213" s="5">
        <v>14027.39726</v>
      </c>
      <c r="AA2213" s="5">
        <v>100</v>
      </c>
      <c r="AB2213" s="5">
        <v>1402739.726</v>
      </c>
      <c r="AC2213" s="5" t="str">
        <f t="shared" si="106"/>
        <v>Bonos</v>
      </c>
      <c r="AD2213" s="5" t="s">
        <v>43</v>
      </c>
      <c r="AE2213" s="5">
        <f t="shared" si="107"/>
        <v>8</v>
      </c>
      <c r="AF2213" s="5">
        <f t="shared" si="108"/>
        <v>2016</v>
      </c>
    </row>
    <row r="2214" s="5" customFormat="1" ht="13">
      <c r="A2214" s="5" t="s">
        <v>44</v>
      </c>
      <c r="B2214" s="5" t="s">
        <v>44</v>
      </c>
      <c r="C2214" s="5" t="s">
        <v>156</v>
      </c>
      <c r="D2214" s="5" t="s">
        <v>21</v>
      </c>
      <c r="E2214" s="5" t="s">
        <v>44</v>
      </c>
      <c r="F2214" s="5" t="s">
        <v>68</v>
      </c>
      <c r="G2214" s="5" t="s">
        <v>69</v>
      </c>
      <c r="H2214" s="9" t="s">
        <v>402</v>
      </c>
      <c r="I2214" s="10"/>
      <c r="J2214" s="10">
        <v>42601</v>
      </c>
      <c r="K2214" s="5" t="s">
        <v>158</v>
      </c>
      <c r="L2214" s="5" t="s">
        <v>58</v>
      </c>
      <c r="M2214" s="11">
        <v>0.17999999999999999</v>
      </c>
      <c r="N2214" s="5" t="e">
        <f>IF(AND(M2214&gt;#REF!,Cartera!O2214="Guaraníes"),"Rendimiento significativo",IF(AND(M2214&gt;#REF!,Cartera!O2214="Dólares americanos"),"Rendimiento significativo","Rendimiento no significativo"))</f>
        <v>#REF!</v>
      </c>
      <c r="O2214" s="5" t="s">
        <v>41</v>
      </c>
      <c r="P2214" s="12">
        <v>1109589.0411</v>
      </c>
      <c r="Q2214" s="12">
        <f>IF(O2214="Guaraníes",P2214,P2214*#REF!)</f>
        <v>1109589.0411</v>
      </c>
      <c r="R2214" s="12" t="e">
        <f>IF(O2214="Guaraníes",P2214/#REF!,P2214)</f>
        <v>#REF!</v>
      </c>
      <c r="S2214" s="5" t="s">
        <v>52</v>
      </c>
      <c r="T2214" s="5">
        <v>593</v>
      </c>
      <c r="W2214" s="5" t="s">
        <v>433</v>
      </c>
      <c r="X2214" s="5">
        <v>0</v>
      </c>
      <c r="Y2214" s="5">
        <v>0</v>
      </c>
      <c r="Z2214" s="5">
        <v>14794.520548</v>
      </c>
      <c r="AA2214" s="5">
        <v>75</v>
      </c>
      <c r="AB2214" s="5">
        <v>1109589.0411</v>
      </c>
      <c r="AC2214" s="5" t="str">
        <f t="shared" si="106"/>
        <v>Bonos</v>
      </c>
      <c r="AD2214" s="5" t="s">
        <v>43</v>
      </c>
      <c r="AE2214" s="5">
        <f t="shared" si="107"/>
        <v>8</v>
      </c>
      <c r="AF2214" s="5">
        <f t="shared" si="108"/>
        <v>2016</v>
      </c>
    </row>
    <row r="2215" s="5" customFormat="1" ht="13">
      <c r="A2215" s="5" t="s">
        <v>44</v>
      </c>
      <c r="B2215" s="5" t="s">
        <v>44</v>
      </c>
      <c r="C2215" s="5" t="s">
        <v>156</v>
      </c>
      <c r="D2215" s="5" t="s">
        <v>21</v>
      </c>
      <c r="E2215" s="5" t="s">
        <v>44</v>
      </c>
      <c r="F2215" s="5" t="s">
        <v>68</v>
      </c>
      <c r="G2215" s="5" t="s">
        <v>69</v>
      </c>
      <c r="H2215" s="9" t="s">
        <v>404</v>
      </c>
      <c r="I2215" s="10"/>
      <c r="J2215" s="10">
        <v>42606</v>
      </c>
      <c r="K2215" s="5" t="s">
        <v>158</v>
      </c>
      <c r="L2215" s="5" t="s">
        <v>58</v>
      </c>
      <c r="M2215" s="11">
        <v>0.14499999999999999</v>
      </c>
      <c r="N2215" s="5" t="e">
        <f>IF(AND(M2215&gt;#REF!,Cartera!O2215="Guaraníes"),"Rendimiento significativo",IF(AND(M2215&gt;#REF!,Cartera!O2215="Dólares americanos"),"Rendimiento significativo","Rendimiento no significativo"))</f>
        <v>#REF!</v>
      </c>
      <c r="O2215" s="5" t="s">
        <v>41</v>
      </c>
      <c r="P2215" s="12">
        <v>1418219.1780610001</v>
      </c>
      <c r="Q2215" s="12">
        <f>IF(O2215="Guaraníes",P2215,P2215*#REF!)</f>
        <v>1418219.1780610001</v>
      </c>
      <c r="R2215" s="12" t="e">
        <f>IF(O2215="Guaraníes",P2215/#REF!,P2215)</f>
        <v>#REF!</v>
      </c>
      <c r="S2215" s="5" t="s">
        <v>52</v>
      </c>
      <c r="T2215" s="5">
        <v>593</v>
      </c>
      <c r="W2215" s="5" t="s">
        <v>434</v>
      </c>
      <c r="X2215" s="5">
        <v>0</v>
      </c>
      <c r="Y2215" s="5">
        <v>0</v>
      </c>
      <c r="Z2215" s="5">
        <v>11917.808219</v>
      </c>
      <c r="AA2215" s="5">
        <v>119</v>
      </c>
      <c r="AB2215" s="5">
        <v>1418219.1780610001</v>
      </c>
      <c r="AC2215" s="5" t="str">
        <f t="shared" si="106"/>
        <v>Bonos</v>
      </c>
      <c r="AD2215" s="5" t="s">
        <v>43</v>
      </c>
      <c r="AE2215" s="5">
        <f t="shared" si="107"/>
        <v>8</v>
      </c>
      <c r="AF2215" s="5">
        <f t="shared" si="108"/>
        <v>2016</v>
      </c>
    </row>
    <row r="2216" s="5" customFormat="1" ht="13">
      <c r="A2216" s="5" t="s">
        <v>44</v>
      </c>
      <c r="B2216" s="5" t="s">
        <v>44</v>
      </c>
      <c r="C2216" s="5" t="s">
        <v>156</v>
      </c>
      <c r="D2216" s="5" t="s">
        <v>21</v>
      </c>
      <c r="E2216" s="5" t="s">
        <v>44</v>
      </c>
      <c r="F2216" s="5" t="s">
        <v>68</v>
      </c>
      <c r="G2216" s="5" t="s">
        <v>69</v>
      </c>
      <c r="H2216" s="9" t="s">
        <v>400</v>
      </c>
      <c r="I2216" s="10"/>
      <c r="J2216" s="10">
        <v>42625</v>
      </c>
      <c r="K2216" s="5" t="s">
        <v>158</v>
      </c>
      <c r="L2216" s="5" t="s">
        <v>58</v>
      </c>
      <c r="M2216" s="11">
        <v>0.155</v>
      </c>
      <c r="N2216" s="5" t="e">
        <f>IF(AND(M2216&gt;#REF!,Cartera!O2216="Guaraníes"),"Rendimiento significativo",IF(AND(M2216&gt;#REF!,Cartera!O2216="Dólares americanos"),"Rendimiento significativo","Rendimiento no significativo"))</f>
        <v>#REF!</v>
      </c>
      <c r="O2216" s="5" t="s">
        <v>41</v>
      </c>
      <c r="P2216" s="12">
        <v>1358904.1096000001</v>
      </c>
      <c r="Q2216" s="12">
        <f>IF(O2216="Guaraníes",P2216,P2216*#REF!)</f>
        <v>1358904.1096000001</v>
      </c>
      <c r="R2216" s="12" t="e">
        <f>IF(O2216="Guaraníes",P2216/#REF!,P2216)</f>
        <v>#REF!</v>
      </c>
      <c r="S2216" s="5" t="s">
        <v>52</v>
      </c>
      <c r="T2216" s="5">
        <v>593</v>
      </c>
      <c r="W2216" s="5" t="s">
        <v>435</v>
      </c>
      <c r="X2216" s="5">
        <v>0</v>
      </c>
      <c r="Y2216" s="5">
        <v>0</v>
      </c>
      <c r="Z2216" s="5">
        <v>13589.041096000001</v>
      </c>
      <c r="AA2216" s="5">
        <v>100</v>
      </c>
      <c r="AB2216" s="5">
        <v>1358904.1096000001</v>
      </c>
      <c r="AC2216" s="5" t="str">
        <f t="shared" si="106"/>
        <v>Bonos</v>
      </c>
      <c r="AD2216" s="5" t="s">
        <v>43</v>
      </c>
      <c r="AE2216" s="5">
        <f t="shared" si="107"/>
        <v>9</v>
      </c>
      <c r="AF2216" s="5">
        <f t="shared" si="108"/>
        <v>2016</v>
      </c>
    </row>
    <row r="2217" s="5" customFormat="1" ht="13">
      <c r="A2217" s="5" t="s">
        <v>44</v>
      </c>
      <c r="B2217" s="5" t="s">
        <v>44</v>
      </c>
      <c r="C2217" s="5" t="s">
        <v>156</v>
      </c>
      <c r="D2217" s="5" t="s">
        <v>21</v>
      </c>
      <c r="E2217" s="5" t="s">
        <v>44</v>
      </c>
      <c r="F2217" s="5" t="s">
        <v>68</v>
      </c>
      <c r="G2217" s="5" t="s">
        <v>69</v>
      </c>
      <c r="H2217" s="9" t="s">
        <v>407</v>
      </c>
      <c r="I2217" s="10"/>
      <c r="J2217" s="10">
        <v>42627</v>
      </c>
      <c r="K2217" s="5" t="s">
        <v>158</v>
      </c>
      <c r="L2217" s="5" t="s">
        <v>58</v>
      </c>
      <c r="M2217" s="11">
        <v>0.12</v>
      </c>
      <c r="N2217" s="5" t="e">
        <f>IF(AND(M2217&gt;#REF!,Cartera!O2217="Guaraníes"),"Rendimiento significativo",IF(AND(M2217&gt;#REF!,Cartera!O2217="Dólares americanos"),"Rendimiento significativo","Rendimiento no significativo"))</f>
        <v>#REF!</v>
      </c>
      <c r="O2217" s="5" t="s">
        <v>41</v>
      </c>
      <c r="P2217" s="12">
        <v>1271232.8767000001</v>
      </c>
      <c r="Q2217" s="12">
        <f>IF(O2217="Guaraníes",P2217,P2217*#REF!)</f>
        <v>1271232.8767000001</v>
      </c>
      <c r="R2217" s="12" t="e">
        <f>IF(O2217="Guaraníes",P2217/#REF!,P2217)</f>
        <v>#REF!</v>
      </c>
      <c r="S2217" s="5" t="s">
        <v>52</v>
      </c>
      <c r="T2217" s="5">
        <v>593</v>
      </c>
      <c r="W2217" s="5" t="s">
        <v>436</v>
      </c>
      <c r="X2217" s="5">
        <v>0</v>
      </c>
      <c r="Y2217" s="5">
        <v>0</v>
      </c>
      <c r="Z2217" s="5">
        <v>12712.328767000001</v>
      </c>
      <c r="AA2217" s="5">
        <v>100</v>
      </c>
      <c r="AB2217" s="5">
        <v>1271232.8766999999</v>
      </c>
      <c r="AC2217" s="5" t="str">
        <f t="shared" si="106"/>
        <v>Bonos</v>
      </c>
      <c r="AD2217" s="5" t="s">
        <v>43</v>
      </c>
      <c r="AE2217" s="5">
        <f t="shared" si="107"/>
        <v>9</v>
      </c>
      <c r="AF2217" s="5">
        <f t="shared" si="108"/>
        <v>2016</v>
      </c>
    </row>
    <row r="2218" s="5" customFormat="1" ht="13">
      <c r="A2218" s="5" t="s">
        <v>44</v>
      </c>
      <c r="B2218" s="5" t="s">
        <v>44</v>
      </c>
      <c r="C2218" s="5" t="s">
        <v>156</v>
      </c>
      <c r="D2218" s="5" t="s">
        <v>21</v>
      </c>
      <c r="E2218" s="5" t="s">
        <v>44</v>
      </c>
      <c r="F2218" s="5" t="s">
        <v>68</v>
      </c>
      <c r="G2218" s="5" t="s">
        <v>69</v>
      </c>
      <c r="H2218" s="9" t="s">
        <v>402</v>
      </c>
      <c r="I2218" s="10"/>
      <c r="J2218" s="10">
        <v>42632</v>
      </c>
      <c r="K2218" s="5" t="s">
        <v>158</v>
      </c>
      <c r="L2218" s="5" t="s">
        <v>58</v>
      </c>
      <c r="M2218" s="11">
        <v>0.17999999999999999</v>
      </c>
      <c r="N2218" s="5" t="e">
        <f>IF(AND(M2218&gt;#REF!,Cartera!O2218="Guaraníes"),"Rendimiento significativo",IF(AND(M2218&gt;#REF!,Cartera!O2218="Dólares americanos"),"Rendimiento significativo","Rendimiento no significativo"))</f>
        <v>#REF!</v>
      </c>
      <c r="O2218" s="5" t="s">
        <v>41</v>
      </c>
      <c r="P2218" s="12">
        <v>1146575.3424749998</v>
      </c>
      <c r="Q2218" s="12">
        <f>IF(O2218="Guaraníes",P2218,P2218*#REF!)</f>
        <v>1146575.3424749998</v>
      </c>
      <c r="R2218" s="12" t="e">
        <f>IF(O2218="Guaraníes",P2218/#REF!,P2218)</f>
        <v>#REF!</v>
      </c>
      <c r="S2218" s="5" t="s">
        <v>52</v>
      </c>
      <c r="T2218" s="5">
        <v>593</v>
      </c>
      <c r="W2218" s="5" t="s">
        <v>437</v>
      </c>
      <c r="X2218" s="5">
        <v>0</v>
      </c>
      <c r="Y2218" s="5">
        <v>0</v>
      </c>
      <c r="Z2218" s="5">
        <v>15287.671232999999</v>
      </c>
      <c r="AA2218" s="5">
        <v>75</v>
      </c>
      <c r="AB2218" s="5">
        <v>1146575.3424750001</v>
      </c>
      <c r="AC2218" s="5" t="str">
        <f t="shared" si="106"/>
        <v>Bonos</v>
      </c>
      <c r="AD2218" s="5" t="s">
        <v>43</v>
      </c>
      <c r="AE2218" s="5">
        <f t="shared" si="107"/>
        <v>9</v>
      </c>
      <c r="AF2218" s="5">
        <f t="shared" si="108"/>
        <v>2016</v>
      </c>
    </row>
    <row r="2219" s="5" customFormat="1" ht="13">
      <c r="A2219" s="5" t="s">
        <v>44</v>
      </c>
      <c r="B2219" s="5" t="s">
        <v>44</v>
      </c>
      <c r="C2219" s="5" t="s">
        <v>156</v>
      </c>
      <c r="D2219" s="5" t="s">
        <v>21</v>
      </c>
      <c r="E2219" s="5" t="s">
        <v>44</v>
      </c>
      <c r="F2219" s="5" t="s">
        <v>68</v>
      </c>
      <c r="G2219" s="5" t="s">
        <v>69</v>
      </c>
      <c r="H2219" s="9" t="s">
        <v>404</v>
      </c>
      <c r="I2219" s="10"/>
      <c r="J2219" s="10">
        <v>42639</v>
      </c>
      <c r="K2219" s="5" t="s">
        <v>158</v>
      </c>
      <c r="L2219" s="5" t="s">
        <v>58</v>
      </c>
      <c r="M2219" s="11">
        <v>0.14499999999999999</v>
      </c>
      <c r="N2219" s="5" t="e">
        <f>IF(AND(M2219&gt;#REF!,Cartera!O2219="Guaraníes"),"Rendimiento significativo",IF(AND(M2219&gt;#REF!,Cartera!O2219="Dólares americanos"),"Rendimiento significativo","Rendimiento no significativo"))</f>
        <v>#REF!</v>
      </c>
      <c r="O2219" s="5" t="s">
        <v>41</v>
      </c>
      <c r="P2219" s="12">
        <v>1560041.0958789999</v>
      </c>
      <c r="Q2219" s="12">
        <f>IF(O2219="Guaraníes",P2219,P2219*#REF!)</f>
        <v>1560041.0958789999</v>
      </c>
      <c r="R2219" s="12" t="e">
        <f>IF(O2219="Guaraníes",P2219/#REF!,P2219)</f>
        <v>#REF!</v>
      </c>
      <c r="S2219" s="5" t="s">
        <v>52</v>
      </c>
      <c r="T2219" s="5">
        <v>593</v>
      </c>
      <c r="W2219" s="5" t="s">
        <v>438</v>
      </c>
      <c r="X2219" s="5">
        <v>0</v>
      </c>
      <c r="Y2219" s="5">
        <v>0</v>
      </c>
      <c r="Z2219" s="5">
        <v>13109.589040999999</v>
      </c>
      <c r="AA2219" s="5">
        <v>119</v>
      </c>
      <c r="AB2219" s="5">
        <v>1560041.0958789999</v>
      </c>
      <c r="AC2219" s="5" t="str">
        <f t="shared" si="106"/>
        <v>Bonos</v>
      </c>
      <c r="AD2219" s="5" t="s">
        <v>43</v>
      </c>
      <c r="AE2219" s="5">
        <f t="shared" si="107"/>
        <v>9</v>
      </c>
      <c r="AF2219" s="5">
        <f t="shared" si="108"/>
        <v>2016</v>
      </c>
    </row>
    <row r="2220" s="5" customFormat="1" ht="13">
      <c r="A2220" s="5" t="s">
        <v>44</v>
      </c>
      <c r="B2220" s="5" t="s">
        <v>44</v>
      </c>
      <c r="C2220" s="5" t="s">
        <v>156</v>
      </c>
      <c r="D2220" s="5" t="s">
        <v>21</v>
      </c>
      <c r="E2220" s="5" t="s">
        <v>44</v>
      </c>
      <c r="F2220" s="5" t="s">
        <v>68</v>
      </c>
      <c r="G2220" s="5" t="s">
        <v>69</v>
      </c>
      <c r="H2220" s="9" t="s">
        <v>400</v>
      </c>
      <c r="I2220" s="10"/>
      <c r="J2220" s="10">
        <v>42654</v>
      </c>
      <c r="K2220" s="5" t="s">
        <v>158</v>
      </c>
      <c r="L2220" s="5" t="s">
        <v>58</v>
      </c>
      <c r="M2220" s="11">
        <v>0.155</v>
      </c>
      <c r="N2220" s="5" t="e">
        <f>IF(AND(M2220&gt;#REF!,Cartera!O2220="Guaraníes"),"Rendimiento significativo",IF(AND(M2220&gt;#REF!,Cartera!O2220="Dólares americanos"),"Rendimiento significativo","Rendimiento no significativo"))</f>
        <v>#REF!</v>
      </c>
      <c r="O2220" s="5" t="s">
        <v>41</v>
      </c>
      <c r="P2220" s="12">
        <v>1231506.8493000001</v>
      </c>
      <c r="Q2220" s="12">
        <f>IF(O2220="Guaraníes",P2220,P2220*#REF!)</f>
        <v>1231506.8493000001</v>
      </c>
      <c r="R2220" s="12" t="e">
        <f>IF(O2220="Guaraníes",P2220/#REF!,P2220)</f>
        <v>#REF!</v>
      </c>
      <c r="S2220" s="5" t="s">
        <v>52</v>
      </c>
      <c r="T2220" s="5">
        <v>593</v>
      </c>
      <c r="W2220" s="5" t="s">
        <v>439</v>
      </c>
      <c r="X2220" s="5">
        <v>0</v>
      </c>
      <c r="Y2220" s="5">
        <v>0</v>
      </c>
      <c r="Z2220" s="5">
        <v>12315.068493000001</v>
      </c>
      <c r="AA2220" s="5">
        <v>100</v>
      </c>
      <c r="AB2220" s="5">
        <v>1231506.8492999999</v>
      </c>
      <c r="AC2220" s="5" t="str">
        <f t="shared" si="106"/>
        <v>Bonos</v>
      </c>
      <c r="AD2220" s="5" t="s">
        <v>43</v>
      </c>
      <c r="AE2220" s="5">
        <f t="shared" si="107"/>
        <v>10</v>
      </c>
      <c r="AF2220" s="5">
        <f t="shared" si="108"/>
        <v>2016</v>
      </c>
    </row>
    <row r="2221" s="5" customFormat="1" ht="13">
      <c r="A2221" s="5" t="s">
        <v>44</v>
      </c>
      <c r="B2221" s="5" t="s">
        <v>44</v>
      </c>
      <c r="C2221" s="5" t="s">
        <v>156</v>
      </c>
      <c r="D2221" s="5" t="s">
        <v>21</v>
      </c>
      <c r="E2221" s="5" t="s">
        <v>44</v>
      </c>
      <c r="F2221" s="5" t="s">
        <v>68</v>
      </c>
      <c r="G2221" s="5" t="s">
        <v>69</v>
      </c>
      <c r="H2221" s="9" t="s">
        <v>407</v>
      </c>
      <c r="I2221" s="10"/>
      <c r="J2221" s="10">
        <v>42657</v>
      </c>
      <c r="K2221" s="5" t="s">
        <v>158</v>
      </c>
      <c r="L2221" s="5" t="s">
        <v>58</v>
      </c>
      <c r="M2221" s="11">
        <v>0.12</v>
      </c>
      <c r="N2221" s="5" t="e">
        <f>IF(AND(M2221&gt;#REF!,Cartera!O2221="Guaraníes"),"Rendimiento significativo",IF(AND(M2221&gt;#REF!,Cartera!O2221="Dólares americanos"),"Rendimiento significativo","Rendimiento no significativo"))</f>
        <v>#REF!</v>
      </c>
      <c r="O2221" s="5" t="s">
        <v>41</v>
      </c>
      <c r="P2221" s="12">
        <v>1315068.4931999999</v>
      </c>
      <c r="Q2221" s="12">
        <f>IF(O2221="Guaraníes",P2221,P2221*#REF!)</f>
        <v>1315068.4931999999</v>
      </c>
      <c r="R2221" s="12" t="e">
        <f>IF(O2221="Guaraníes",P2221/#REF!,P2221)</f>
        <v>#REF!</v>
      </c>
      <c r="S2221" s="5" t="s">
        <v>52</v>
      </c>
      <c r="T2221" s="5">
        <v>593</v>
      </c>
      <c r="W2221" s="5" t="s">
        <v>440</v>
      </c>
      <c r="X2221" s="5">
        <v>0</v>
      </c>
      <c r="Y2221" s="5">
        <v>0</v>
      </c>
      <c r="Z2221" s="5">
        <v>13150.684932</v>
      </c>
      <c r="AA2221" s="5">
        <v>100</v>
      </c>
      <c r="AB2221" s="5">
        <v>1315068.4931999999</v>
      </c>
      <c r="AC2221" s="5" t="str">
        <f t="shared" si="106"/>
        <v>Bonos</v>
      </c>
      <c r="AD2221" s="5" t="s">
        <v>43</v>
      </c>
      <c r="AE2221" s="5">
        <f t="shared" si="107"/>
        <v>10</v>
      </c>
      <c r="AF2221" s="5">
        <f t="shared" si="108"/>
        <v>2016</v>
      </c>
    </row>
    <row r="2222" s="5" customFormat="1" ht="13">
      <c r="A2222" s="5" t="s">
        <v>44</v>
      </c>
      <c r="B2222" s="5" t="s">
        <v>44</v>
      </c>
      <c r="C2222" s="5" t="s">
        <v>156</v>
      </c>
      <c r="D2222" s="5" t="s">
        <v>21</v>
      </c>
      <c r="E2222" s="5" t="s">
        <v>44</v>
      </c>
      <c r="F2222" s="5" t="s">
        <v>68</v>
      </c>
      <c r="G2222" s="5" t="s">
        <v>69</v>
      </c>
      <c r="H2222" s="9" t="s">
        <v>402</v>
      </c>
      <c r="I2222" s="10"/>
      <c r="J2222" s="10">
        <v>42662</v>
      </c>
      <c r="K2222" s="5" t="s">
        <v>158</v>
      </c>
      <c r="L2222" s="5" t="s">
        <v>58</v>
      </c>
      <c r="M2222" s="11">
        <v>0.17999999999999999</v>
      </c>
      <c r="N2222" s="5" t="e">
        <f>IF(AND(M2222&gt;#REF!,Cartera!O2222="Guaraníes"),"Rendimiento significativo",IF(AND(M2222&gt;#REF!,Cartera!O2222="Dólares americanos"),"Rendimiento significativo","Rendimiento no significativo"))</f>
        <v>#REF!</v>
      </c>
      <c r="O2222" s="5" t="s">
        <v>41</v>
      </c>
      <c r="P2222" s="12">
        <v>1109589.0411</v>
      </c>
      <c r="Q2222" s="12">
        <f>IF(O2222="Guaraníes",P2222,P2222*#REF!)</f>
        <v>1109589.0411</v>
      </c>
      <c r="R2222" s="12" t="e">
        <f>IF(O2222="Guaraníes",P2222/#REF!,P2222)</f>
        <v>#REF!</v>
      </c>
      <c r="S2222" s="5" t="s">
        <v>52</v>
      </c>
      <c r="T2222" s="5">
        <v>593</v>
      </c>
      <c r="W2222" s="5" t="s">
        <v>441</v>
      </c>
      <c r="X2222" s="5">
        <v>0</v>
      </c>
      <c r="Y2222" s="5">
        <v>0</v>
      </c>
      <c r="Z2222" s="5">
        <v>14794.520548</v>
      </c>
      <c r="AA2222" s="5">
        <v>75</v>
      </c>
      <c r="AB2222" s="5">
        <v>1109589.0411</v>
      </c>
      <c r="AC2222" s="5" t="str">
        <f t="shared" si="106"/>
        <v>Bonos</v>
      </c>
      <c r="AD2222" s="5" t="s">
        <v>43</v>
      </c>
      <c r="AE2222" s="5">
        <f t="shared" si="107"/>
        <v>10</v>
      </c>
      <c r="AF2222" s="5">
        <f t="shared" si="108"/>
        <v>2016</v>
      </c>
    </row>
    <row r="2223" s="5" customFormat="1" ht="13">
      <c r="A2223" s="5" t="s">
        <v>44</v>
      </c>
      <c r="B2223" s="5" t="s">
        <v>44</v>
      </c>
      <c r="C2223" s="5" t="s">
        <v>156</v>
      </c>
      <c r="D2223" s="5" t="s">
        <v>21</v>
      </c>
      <c r="E2223" s="5" t="s">
        <v>44</v>
      </c>
      <c r="F2223" s="5" t="s">
        <v>68</v>
      </c>
      <c r="G2223" s="5" t="s">
        <v>69</v>
      </c>
      <c r="H2223" s="9" t="s">
        <v>404</v>
      </c>
      <c r="I2223" s="10"/>
      <c r="J2223" s="10">
        <v>42667</v>
      </c>
      <c r="K2223" s="5" t="s">
        <v>158</v>
      </c>
      <c r="L2223" s="5" t="s">
        <v>58</v>
      </c>
      <c r="M2223" s="11">
        <v>0.14499999999999999</v>
      </c>
      <c r="N2223" s="5" t="e">
        <f>IF(AND(M2223&gt;#REF!,Cartera!O2223="Guaraníes"),"Rendimiento significativo",IF(AND(M2223&gt;#REF!,Cartera!O2223="Dólares americanos"),"Rendimiento significativo","Rendimiento no significativo"))</f>
        <v>#REF!</v>
      </c>
      <c r="O2223" s="5" t="s">
        <v>41</v>
      </c>
      <c r="P2223" s="12">
        <v>1323671.232849</v>
      </c>
      <c r="Q2223" s="12">
        <f>IF(O2223="Guaraníes",P2223,P2223*#REF!)</f>
        <v>1323671.232849</v>
      </c>
      <c r="R2223" s="12" t="e">
        <f>IF(O2223="Guaraníes",P2223/#REF!,P2223)</f>
        <v>#REF!</v>
      </c>
      <c r="S2223" s="5" t="s">
        <v>52</v>
      </c>
      <c r="T2223" s="5">
        <v>593</v>
      </c>
      <c r="W2223" s="5" t="s">
        <v>442</v>
      </c>
      <c r="X2223" s="5">
        <v>0</v>
      </c>
      <c r="Y2223" s="5">
        <v>0</v>
      </c>
      <c r="Z2223" s="5">
        <v>11123.287671</v>
      </c>
      <c r="AA2223" s="5">
        <v>119</v>
      </c>
      <c r="AB2223" s="5">
        <v>1323671.232849</v>
      </c>
      <c r="AC2223" s="5" t="str">
        <f t="shared" si="106"/>
        <v>Bonos</v>
      </c>
      <c r="AD2223" s="5" t="s">
        <v>43</v>
      </c>
      <c r="AE2223" s="5">
        <f t="shared" si="107"/>
        <v>10</v>
      </c>
      <c r="AF2223" s="5">
        <f t="shared" si="108"/>
        <v>2016</v>
      </c>
    </row>
    <row r="2224" s="5" customFormat="1" ht="13">
      <c r="A2224" s="5" t="s">
        <v>44</v>
      </c>
      <c r="B2224" s="5" t="s">
        <v>44</v>
      </c>
      <c r="C2224" s="5" t="s">
        <v>156</v>
      </c>
      <c r="D2224" s="5" t="s">
        <v>21</v>
      </c>
      <c r="E2224" s="5" t="s">
        <v>44</v>
      </c>
      <c r="F2224" s="5" t="s">
        <v>68</v>
      </c>
      <c r="G2224" s="5" t="s">
        <v>69</v>
      </c>
      <c r="H2224" s="9" t="s">
        <v>400</v>
      </c>
      <c r="I2224" s="10"/>
      <c r="J2224" s="10">
        <v>42685</v>
      </c>
      <c r="K2224" s="5" t="s">
        <v>158</v>
      </c>
      <c r="L2224" s="5" t="s">
        <v>58</v>
      </c>
      <c r="M2224" s="11">
        <v>0.155</v>
      </c>
      <c r="N2224" s="5" t="e">
        <f>IF(AND(M2224&gt;#REF!,Cartera!O2224="Guaraníes"),"Rendimiento significativo",IF(AND(M2224&gt;#REF!,Cartera!O2224="Dólares americanos"),"Rendimiento significativo","Rendimiento no significativo"))</f>
        <v>#REF!</v>
      </c>
      <c r="O2224" s="5" t="s">
        <v>41</v>
      </c>
      <c r="P2224" s="12">
        <v>1316438.3562</v>
      </c>
      <c r="Q2224" s="12">
        <f>IF(O2224="Guaraníes",P2224,P2224*#REF!)</f>
        <v>1316438.3562</v>
      </c>
      <c r="R2224" s="12" t="e">
        <f>IF(O2224="Guaraníes",P2224/#REF!,P2224)</f>
        <v>#REF!</v>
      </c>
      <c r="S2224" s="5" t="s">
        <v>52</v>
      </c>
      <c r="T2224" s="5">
        <v>593</v>
      </c>
      <c r="W2224" s="5" t="s">
        <v>443</v>
      </c>
      <c r="X2224" s="5">
        <v>0</v>
      </c>
      <c r="Y2224" s="5">
        <v>0</v>
      </c>
      <c r="Z2224" s="5">
        <v>13164.383562000001</v>
      </c>
      <c r="AA2224" s="5">
        <v>100</v>
      </c>
      <c r="AB2224" s="5">
        <v>1316438.3562</v>
      </c>
      <c r="AC2224" s="5" t="str">
        <f t="shared" si="106"/>
        <v>Bonos</v>
      </c>
      <c r="AD2224" s="5" t="s">
        <v>43</v>
      </c>
      <c r="AE2224" s="5">
        <f t="shared" si="107"/>
        <v>11</v>
      </c>
      <c r="AF2224" s="5">
        <f t="shared" si="108"/>
        <v>2016</v>
      </c>
    </row>
    <row r="2225" s="5" customFormat="1" ht="13">
      <c r="A2225" s="5" t="s">
        <v>44</v>
      </c>
      <c r="B2225" s="5" t="s">
        <v>44</v>
      </c>
      <c r="C2225" s="5" t="s">
        <v>156</v>
      </c>
      <c r="D2225" s="5" t="s">
        <v>21</v>
      </c>
      <c r="E2225" s="5" t="s">
        <v>44</v>
      </c>
      <c r="F2225" s="5" t="s">
        <v>68</v>
      </c>
      <c r="G2225" s="5" t="s">
        <v>69</v>
      </c>
      <c r="H2225" s="9" t="s">
        <v>407</v>
      </c>
      <c r="I2225" s="10"/>
      <c r="J2225" s="10">
        <v>42688</v>
      </c>
      <c r="K2225" s="5" t="s">
        <v>158</v>
      </c>
      <c r="L2225" s="5" t="s">
        <v>58</v>
      </c>
      <c r="M2225" s="11">
        <v>0.12</v>
      </c>
      <c r="N2225" s="5" t="e">
        <f>IF(AND(M2225&gt;#REF!,Cartera!O2225="Guaraníes"),"Rendimiento significativo",IF(AND(M2225&gt;#REF!,Cartera!O2225="Dólares americanos"),"Rendimiento significativo","Rendimiento no significativo"))</f>
        <v>#REF!</v>
      </c>
      <c r="O2225" s="5" t="s">
        <v>41</v>
      </c>
      <c r="P2225" s="12">
        <v>1358904.1096000001</v>
      </c>
      <c r="Q2225" s="12">
        <f>IF(O2225="Guaraníes",P2225,P2225*#REF!)</f>
        <v>1358904.1096000001</v>
      </c>
      <c r="R2225" s="12" t="e">
        <f>IF(O2225="Guaraníes",P2225/#REF!,P2225)</f>
        <v>#REF!</v>
      </c>
      <c r="S2225" s="5" t="s">
        <v>52</v>
      </c>
      <c r="T2225" s="5">
        <v>593</v>
      </c>
      <c r="W2225" s="5" t="s">
        <v>444</v>
      </c>
      <c r="X2225" s="5">
        <v>0</v>
      </c>
      <c r="Y2225" s="5">
        <v>0</v>
      </c>
      <c r="Z2225" s="5">
        <v>13589.041096000001</v>
      </c>
      <c r="AA2225" s="5">
        <v>100</v>
      </c>
      <c r="AB2225" s="5">
        <v>1358904.1096000001</v>
      </c>
      <c r="AC2225" s="5" t="str">
        <f t="shared" si="106"/>
        <v>Bonos</v>
      </c>
      <c r="AD2225" s="5" t="s">
        <v>43</v>
      </c>
      <c r="AE2225" s="5">
        <f t="shared" si="107"/>
        <v>11</v>
      </c>
      <c r="AF2225" s="5">
        <f t="shared" si="108"/>
        <v>2016</v>
      </c>
    </row>
    <row r="2226" s="5" customFormat="1" ht="13">
      <c r="A2226" s="5" t="s">
        <v>44</v>
      </c>
      <c r="B2226" s="5" t="s">
        <v>44</v>
      </c>
      <c r="C2226" s="5" t="s">
        <v>156</v>
      </c>
      <c r="D2226" s="5" t="s">
        <v>21</v>
      </c>
      <c r="E2226" s="5" t="s">
        <v>44</v>
      </c>
      <c r="F2226" s="5" t="s">
        <v>68</v>
      </c>
      <c r="G2226" s="5" t="s">
        <v>69</v>
      </c>
      <c r="H2226" s="9" t="s">
        <v>402</v>
      </c>
      <c r="I2226" s="10"/>
      <c r="J2226" s="10">
        <v>42692</v>
      </c>
      <c r="K2226" s="5" t="s">
        <v>158</v>
      </c>
      <c r="L2226" s="5" t="s">
        <v>58</v>
      </c>
      <c r="M2226" s="11">
        <v>0.17999999999999999</v>
      </c>
      <c r="N2226" s="5" t="e">
        <f>IF(AND(M2226&gt;#REF!,Cartera!O2226="Guaraníes"),"Rendimiento significativo",IF(AND(M2226&gt;#REF!,Cartera!O2226="Dólares americanos"),"Rendimiento significativo","Rendimiento no significativo"))</f>
        <v>#REF!</v>
      </c>
      <c r="O2226" s="5" t="s">
        <v>41</v>
      </c>
      <c r="P2226" s="12">
        <v>1109589.0411</v>
      </c>
      <c r="Q2226" s="12">
        <f>IF(O2226="Guaraníes",P2226,P2226*#REF!)</f>
        <v>1109589.0411</v>
      </c>
      <c r="R2226" s="12" t="e">
        <f>IF(O2226="Guaraníes",P2226/#REF!,P2226)</f>
        <v>#REF!</v>
      </c>
      <c r="S2226" s="5" t="s">
        <v>52</v>
      </c>
      <c r="T2226" s="5">
        <v>593</v>
      </c>
      <c r="W2226" s="5" t="s">
        <v>445</v>
      </c>
      <c r="X2226" s="5">
        <v>0</v>
      </c>
      <c r="Y2226" s="5">
        <v>0</v>
      </c>
      <c r="Z2226" s="5">
        <v>14794.520548</v>
      </c>
      <c r="AA2226" s="5">
        <v>75</v>
      </c>
      <c r="AB2226" s="5">
        <v>1109589.0411</v>
      </c>
      <c r="AC2226" s="5" t="str">
        <f t="shared" si="106"/>
        <v>Bonos</v>
      </c>
      <c r="AD2226" s="5" t="s">
        <v>43</v>
      </c>
      <c r="AE2226" s="5">
        <f t="shared" si="107"/>
        <v>11</v>
      </c>
      <c r="AF2226" s="5">
        <f t="shared" si="108"/>
        <v>2016</v>
      </c>
    </row>
    <row r="2227" s="5" customFormat="1" ht="13">
      <c r="A2227" s="5" t="s">
        <v>44</v>
      </c>
      <c r="B2227" s="5" t="s">
        <v>44</v>
      </c>
      <c r="C2227" s="5" t="s">
        <v>156</v>
      </c>
      <c r="D2227" s="5" t="s">
        <v>21</v>
      </c>
      <c r="E2227" s="5" t="s">
        <v>44</v>
      </c>
      <c r="F2227" s="5" t="s">
        <v>68</v>
      </c>
      <c r="G2227" s="5" t="s">
        <v>69</v>
      </c>
      <c r="H2227" s="9" t="s">
        <v>404</v>
      </c>
      <c r="I2227" s="10"/>
      <c r="J2227" s="10">
        <v>42698</v>
      </c>
      <c r="K2227" s="5" t="s">
        <v>158</v>
      </c>
      <c r="L2227" s="5" t="s">
        <v>58</v>
      </c>
      <c r="M2227" s="11">
        <v>0.14499999999999999</v>
      </c>
      <c r="N2227" s="5" t="e">
        <f>IF(AND(M2227&gt;#REF!,Cartera!O2227="Guaraníes"),"Rendimiento significativo",IF(AND(M2227&gt;#REF!,Cartera!O2227="Dólares americanos"),"Rendimiento significativo","Rendimiento no significativo"))</f>
        <v>#REF!</v>
      </c>
      <c r="O2227" s="5" t="s">
        <v>41</v>
      </c>
      <c r="P2227" s="12">
        <v>1465493.1506670001</v>
      </c>
      <c r="Q2227" s="12">
        <f>IF(O2227="Guaraníes",P2227,P2227*#REF!)</f>
        <v>1465493.1506670001</v>
      </c>
      <c r="R2227" s="12" t="e">
        <f>IF(O2227="Guaraníes",P2227/#REF!,P2227)</f>
        <v>#REF!</v>
      </c>
      <c r="S2227" s="5" t="s">
        <v>52</v>
      </c>
      <c r="T2227" s="5">
        <v>593</v>
      </c>
      <c r="W2227" s="5" t="s">
        <v>446</v>
      </c>
      <c r="X2227" s="5">
        <v>0</v>
      </c>
      <c r="Y2227" s="5">
        <v>0</v>
      </c>
      <c r="Z2227" s="5">
        <v>12315.068493000001</v>
      </c>
      <c r="AA2227" s="5">
        <v>119</v>
      </c>
      <c r="AB2227" s="5">
        <v>1465493.1506670001</v>
      </c>
      <c r="AC2227" s="5" t="str">
        <f t="shared" si="106"/>
        <v>Bonos</v>
      </c>
      <c r="AD2227" s="5" t="s">
        <v>43</v>
      </c>
      <c r="AE2227" s="5">
        <f t="shared" si="107"/>
        <v>11</v>
      </c>
      <c r="AF2227" s="5">
        <f t="shared" si="108"/>
        <v>2016</v>
      </c>
    </row>
    <row r="2228" s="5" customFormat="1" ht="13">
      <c r="A2228" s="5" t="s">
        <v>44</v>
      </c>
      <c r="B2228" s="5" t="s">
        <v>44</v>
      </c>
      <c r="C2228" s="5" t="s">
        <v>156</v>
      </c>
      <c r="D2228" s="5" t="s">
        <v>21</v>
      </c>
      <c r="E2228" s="5" t="s">
        <v>44</v>
      </c>
      <c r="F2228" s="5" t="s">
        <v>68</v>
      </c>
      <c r="G2228" s="5" t="s">
        <v>69</v>
      </c>
      <c r="H2228" s="9" t="s">
        <v>400</v>
      </c>
      <c r="I2228" s="10"/>
      <c r="J2228" s="10">
        <v>42716</v>
      </c>
      <c r="K2228" s="5" t="s">
        <v>158</v>
      </c>
      <c r="L2228" s="5" t="s">
        <v>58</v>
      </c>
      <c r="M2228" s="11">
        <v>0.155</v>
      </c>
      <c r="N2228" s="5" t="e">
        <f>IF(AND(M2228&gt;#REF!,Cartera!O2228="Guaraníes"),"Rendimiento significativo",IF(AND(M2228&gt;#REF!,Cartera!O2228="Dólares americanos"),"Rendimiento significativo","Rendimiento no significativo"))</f>
        <v>#REF!</v>
      </c>
      <c r="O2228" s="5" t="s">
        <v>41</v>
      </c>
      <c r="P2228" s="12">
        <v>1316438.3562</v>
      </c>
      <c r="Q2228" s="12">
        <f>IF(O2228="Guaraníes",P2228,P2228*#REF!)</f>
        <v>1316438.3562</v>
      </c>
      <c r="R2228" s="12" t="e">
        <f>IF(O2228="Guaraníes",P2228/#REF!,P2228)</f>
        <v>#REF!</v>
      </c>
      <c r="S2228" s="5" t="s">
        <v>52</v>
      </c>
      <c r="T2228" s="5">
        <v>593</v>
      </c>
      <c r="W2228" s="5" t="s">
        <v>447</v>
      </c>
      <c r="X2228" s="5">
        <v>0</v>
      </c>
      <c r="Y2228" s="5">
        <v>0</v>
      </c>
      <c r="Z2228" s="5">
        <v>13164.383562000001</v>
      </c>
      <c r="AA2228" s="5">
        <v>100</v>
      </c>
      <c r="AB2228" s="5">
        <v>1316438.3562</v>
      </c>
      <c r="AC2228" s="5" t="str">
        <f t="shared" si="106"/>
        <v>Bonos</v>
      </c>
      <c r="AD2228" s="5" t="s">
        <v>43</v>
      </c>
      <c r="AE2228" s="5">
        <f t="shared" si="107"/>
        <v>12</v>
      </c>
      <c r="AF2228" s="5">
        <f t="shared" si="108"/>
        <v>2016</v>
      </c>
    </row>
    <row r="2229" s="5" customFormat="1" ht="13">
      <c r="A2229" s="5" t="s">
        <v>44</v>
      </c>
      <c r="B2229" s="5" t="s">
        <v>44</v>
      </c>
      <c r="C2229" s="5" t="s">
        <v>156</v>
      </c>
      <c r="D2229" s="5" t="s">
        <v>21</v>
      </c>
      <c r="E2229" s="5" t="s">
        <v>44</v>
      </c>
      <c r="F2229" s="5" t="s">
        <v>68</v>
      </c>
      <c r="G2229" s="5" t="s">
        <v>69</v>
      </c>
      <c r="H2229" s="9" t="s">
        <v>407</v>
      </c>
      <c r="I2229" s="10"/>
      <c r="J2229" s="10">
        <v>42718</v>
      </c>
      <c r="K2229" s="5" t="s">
        <v>158</v>
      </c>
      <c r="L2229" s="5" t="s">
        <v>58</v>
      </c>
      <c r="M2229" s="11">
        <v>0.12</v>
      </c>
      <c r="N2229" s="5" t="e">
        <f>IF(AND(M2229&gt;#REF!,Cartera!O2229="Guaraníes"),"Rendimiento significativo",IF(AND(M2229&gt;#REF!,Cartera!O2229="Dólares americanos"),"Rendimiento significativo","Rendimiento no significativo"))</f>
        <v>#REF!</v>
      </c>
      <c r="O2229" s="5" t="s">
        <v>41</v>
      </c>
      <c r="P2229" s="12">
        <v>1315068.4931999999</v>
      </c>
      <c r="Q2229" s="12">
        <f>IF(O2229="Guaraníes",P2229,P2229*#REF!)</f>
        <v>1315068.4931999999</v>
      </c>
      <c r="R2229" s="12" t="e">
        <f>IF(O2229="Guaraníes",P2229/#REF!,P2229)</f>
        <v>#REF!</v>
      </c>
      <c r="S2229" s="5" t="s">
        <v>52</v>
      </c>
      <c r="T2229" s="5">
        <v>593</v>
      </c>
      <c r="W2229" s="5" t="s">
        <v>448</v>
      </c>
      <c r="X2229" s="5">
        <v>0</v>
      </c>
      <c r="Y2229" s="5">
        <v>0</v>
      </c>
      <c r="Z2229" s="5">
        <v>13150.684932</v>
      </c>
      <c r="AA2229" s="5">
        <v>100</v>
      </c>
      <c r="AB2229" s="5">
        <v>1315068.4931999999</v>
      </c>
      <c r="AC2229" s="5" t="str">
        <f t="shared" si="106"/>
        <v>Bonos</v>
      </c>
      <c r="AD2229" s="5" t="s">
        <v>43</v>
      </c>
      <c r="AE2229" s="5">
        <f t="shared" si="107"/>
        <v>12</v>
      </c>
      <c r="AF2229" s="5">
        <f t="shared" si="108"/>
        <v>2016</v>
      </c>
    </row>
    <row r="2230" s="5" customFormat="1" ht="13">
      <c r="A2230" s="5" t="s">
        <v>44</v>
      </c>
      <c r="B2230" s="5" t="s">
        <v>44</v>
      </c>
      <c r="C2230" s="5" t="s">
        <v>156</v>
      </c>
      <c r="D2230" s="5" t="s">
        <v>21</v>
      </c>
      <c r="E2230" s="5" t="s">
        <v>44</v>
      </c>
      <c r="F2230" s="5" t="s">
        <v>68</v>
      </c>
      <c r="G2230" s="5" t="s">
        <v>69</v>
      </c>
      <c r="H2230" s="9" t="s">
        <v>402</v>
      </c>
      <c r="I2230" s="10"/>
      <c r="J2230" s="10">
        <v>42723</v>
      </c>
      <c r="K2230" s="5" t="s">
        <v>158</v>
      </c>
      <c r="L2230" s="5" t="s">
        <v>58</v>
      </c>
      <c r="M2230" s="11">
        <v>0.17999999999999999</v>
      </c>
      <c r="N2230" s="5" t="e">
        <f>IF(AND(M2230&gt;#REF!,Cartera!O2230="Guaraníes"),"Rendimiento significativo",IF(AND(M2230&gt;#REF!,Cartera!O2230="Dólares americanos"),"Rendimiento significativo","Rendimiento no significativo"))</f>
        <v>#REF!</v>
      </c>
      <c r="O2230" s="5" t="s">
        <v>41</v>
      </c>
      <c r="P2230" s="12">
        <v>1146575.3424749998</v>
      </c>
      <c r="Q2230" s="12">
        <f>IF(O2230="Guaraníes",P2230,P2230*#REF!)</f>
        <v>1146575.3424749998</v>
      </c>
      <c r="R2230" s="12" t="e">
        <f>IF(O2230="Guaraníes",P2230/#REF!,P2230)</f>
        <v>#REF!</v>
      </c>
      <c r="S2230" s="5" t="s">
        <v>52</v>
      </c>
      <c r="T2230" s="5">
        <v>593</v>
      </c>
      <c r="W2230" s="5" t="s">
        <v>449</v>
      </c>
      <c r="X2230" s="5">
        <v>0</v>
      </c>
      <c r="Y2230" s="5">
        <v>0</v>
      </c>
      <c r="Z2230" s="5">
        <v>15287.671232999999</v>
      </c>
      <c r="AA2230" s="5">
        <v>75</v>
      </c>
      <c r="AB2230" s="5">
        <v>1146575.3424750001</v>
      </c>
      <c r="AC2230" s="5" t="str">
        <f t="shared" si="106"/>
        <v>Bonos</v>
      </c>
      <c r="AD2230" s="5" t="s">
        <v>43</v>
      </c>
      <c r="AE2230" s="5">
        <f t="shared" si="107"/>
        <v>12</v>
      </c>
      <c r="AF2230" s="5">
        <f t="shared" si="108"/>
        <v>2016</v>
      </c>
    </row>
    <row r="2231" s="5" customFormat="1" ht="13">
      <c r="A2231" s="5" t="s">
        <v>44</v>
      </c>
      <c r="B2231" s="5" t="s">
        <v>44</v>
      </c>
      <c r="C2231" s="5" t="s">
        <v>156</v>
      </c>
      <c r="D2231" s="5" t="s">
        <v>21</v>
      </c>
      <c r="E2231" s="5" t="s">
        <v>44</v>
      </c>
      <c r="F2231" s="5" t="s">
        <v>68</v>
      </c>
      <c r="G2231" s="5" t="s">
        <v>69</v>
      </c>
      <c r="H2231" s="9" t="s">
        <v>404</v>
      </c>
      <c r="I2231" s="10"/>
      <c r="J2231" s="10">
        <v>42730</v>
      </c>
      <c r="K2231" s="5" t="s">
        <v>158</v>
      </c>
      <c r="L2231" s="5" t="s">
        <v>58</v>
      </c>
      <c r="M2231" s="11">
        <v>0.14499999999999999</v>
      </c>
      <c r="N2231" s="5" t="e">
        <f>IF(AND(M2231&gt;#REF!,Cartera!O2231="Guaraníes"),"Rendimiento significativo",IF(AND(M2231&gt;#REF!,Cartera!O2231="Dólares americanos"),"Rendimiento significativo","Rendimiento no significativo"))</f>
        <v>#REF!</v>
      </c>
      <c r="O2231" s="5" t="s">
        <v>41</v>
      </c>
      <c r="P2231" s="12">
        <v>1512767.1232730001</v>
      </c>
      <c r="Q2231" s="12">
        <f>IF(O2231="Guaraníes",P2231,P2231*#REF!)</f>
        <v>1512767.1232730001</v>
      </c>
      <c r="R2231" s="12" t="e">
        <f>IF(O2231="Guaraníes",P2231/#REF!,P2231)</f>
        <v>#REF!</v>
      </c>
      <c r="S2231" s="5" t="s">
        <v>52</v>
      </c>
      <c r="T2231" s="5">
        <v>593</v>
      </c>
      <c r="W2231" s="5" t="s">
        <v>450</v>
      </c>
      <c r="X2231" s="5">
        <v>0</v>
      </c>
      <c r="Y2231" s="5">
        <v>0</v>
      </c>
      <c r="Z2231" s="5">
        <v>12712.328767000001</v>
      </c>
      <c r="AA2231" s="5">
        <v>119</v>
      </c>
      <c r="AB2231" s="5">
        <v>1512767.1232729999</v>
      </c>
      <c r="AC2231" s="5" t="str">
        <f t="shared" ref="AC2231:AC2294" si="109">IF(ISNUMBER(SEARCH("Acciones",L2231)),"Acciones",IF(ISNUMBER(SEARCH("Bono",L2231)),"Bonos",IF(ISNUMBER(SEARCH("CDA",L2231)),"CDA",IF(ISNUMBER(SEARCH("Fondo",L2231)),"Fondo",0))))</f>
        <v>Bonos</v>
      </c>
      <c r="AD2231" s="5" t="s">
        <v>43</v>
      </c>
      <c r="AE2231" s="5">
        <f t="shared" si="107"/>
        <v>12</v>
      </c>
      <c r="AF2231" s="5">
        <f t="shared" si="108"/>
        <v>2016</v>
      </c>
    </row>
    <row r="2232" s="5" customFormat="1" ht="13">
      <c r="A2232" s="5" t="s">
        <v>44</v>
      </c>
      <c r="B2232" s="5" t="s">
        <v>44</v>
      </c>
      <c r="C2232" s="5" t="s">
        <v>156</v>
      </c>
      <c r="D2232" s="5" t="s">
        <v>21</v>
      </c>
      <c r="E2232" s="5" t="s">
        <v>44</v>
      </c>
      <c r="F2232" s="5" t="s">
        <v>68</v>
      </c>
      <c r="G2232" s="5" t="s">
        <v>69</v>
      </c>
      <c r="H2232" s="9" t="s">
        <v>400</v>
      </c>
      <c r="I2232" s="10"/>
      <c r="J2232" s="10">
        <v>42746</v>
      </c>
      <c r="K2232" s="5" t="s">
        <v>158</v>
      </c>
      <c r="L2232" s="5" t="s">
        <v>58</v>
      </c>
      <c r="M2232" s="11">
        <v>0.155</v>
      </c>
      <c r="N2232" s="5" t="e">
        <f>IF(AND(M2232&gt;#REF!,Cartera!O2232="Guaraníes"),"Rendimiento significativo",IF(AND(M2232&gt;#REF!,Cartera!O2232="Dólares americanos"),"Rendimiento significativo","Rendimiento no significativo"))</f>
        <v>#REF!</v>
      </c>
      <c r="O2232" s="5" t="s">
        <v>41</v>
      </c>
      <c r="P2232" s="12">
        <v>1273972.6027000002</v>
      </c>
      <c r="Q2232" s="12">
        <f>IF(O2232="Guaraníes",P2232,P2232*#REF!)</f>
        <v>1273972.6027000002</v>
      </c>
      <c r="R2232" s="12" t="e">
        <f>IF(O2232="Guaraníes",P2232/#REF!,P2232)</f>
        <v>#REF!</v>
      </c>
      <c r="S2232" s="5" t="s">
        <v>52</v>
      </c>
      <c r="T2232" s="5">
        <v>593</v>
      </c>
      <c r="W2232" s="5" t="s">
        <v>451</v>
      </c>
      <c r="X2232" s="5">
        <v>0</v>
      </c>
      <c r="Y2232" s="5">
        <v>0</v>
      </c>
      <c r="Z2232" s="5">
        <v>12739.726027000001</v>
      </c>
      <c r="AA2232" s="5">
        <v>100</v>
      </c>
      <c r="AB2232" s="5">
        <v>1273972.6026999999</v>
      </c>
      <c r="AC2232" s="5" t="str">
        <f t="shared" si="109"/>
        <v>Bonos</v>
      </c>
      <c r="AD2232" s="5" t="s">
        <v>43</v>
      </c>
      <c r="AE2232" s="5">
        <f t="shared" si="107"/>
        <v>1</v>
      </c>
      <c r="AF2232" s="5">
        <f t="shared" si="108"/>
        <v>2017</v>
      </c>
    </row>
    <row r="2233" s="5" customFormat="1" ht="13">
      <c r="A2233" s="5" t="s">
        <v>44</v>
      </c>
      <c r="B2233" s="5" t="s">
        <v>44</v>
      </c>
      <c r="C2233" s="5" t="s">
        <v>156</v>
      </c>
      <c r="D2233" s="5" t="s">
        <v>21</v>
      </c>
      <c r="E2233" s="5" t="s">
        <v>44</v>
      </c>
      <c r="F2233" s="5" t="s">
        <v>68</v>
      </c>
      <c r="G2233" s="5" t="s">
        <v>69</v>
      </c>
      <c r="H2233" s="9" t="s">
        <v>407</v>
      </c>
      <c r="I2233" s="10"/>
      <c r="J2233" s="10">
        <v>42748</v>
      </c>
      <c r="K2233" s="5" t="s">
        <v>158</v>
      </c>
      <c r="L2233" s="5" t="s">
        <v>58</v>
      </c>
      <c r="M2233" s="11">
        <v>0.12</v>
      </c>
      <c r="N2233" s="5" t="e">
        <f>IF(AND(M2233&gt;#REF!,Cartera!O2233="Guaraníes"),"Rendimiento significativo",IF(AND(M2233&gt;#REF!,Cartera!O2233="Dólares americanos"),"Rendimiento significativo","Rendimiento no significativo"))</f>
        <v>#REF!</v>
      </c>
      <c r="O2233" s="5" t="s">
        <v>41</v>
      </c>
      <c r="P2233" s="12">
        <v>1315068.4931999999</v>
      </c>
      <c r="Q2233" s="12">
        <f>IF(O2233="Guaraníes",P2233,P2233*#REF!)</f>
        <v>1315068.4931999999</v>
      </c>
      <c r="R2233" s="12" t="e">
        <f>IF(O2233="Guaraníes",P2233/#REF!,P2233)</f>
        <v>#REF!</v>
      </c>
      <c r="S2233" s="5" t="s">
        <v>52</v>
      </c>
      <c r="T2233" s="5">
        <v>593</v>
      </c>
      <c r="W2233" s="5" t="s">
        <v>452</v>
      </c>
      <c r="X2233" s="5">
        <v>0</v>
      </c>
      <c r="Y2233" s="5">
        <v>0</v>
      </c>
      <c r="Z2233" s="5">
        <v>13150.684932</v>
      </c>
      <c r="AA2233" s="5">
        <v>100</v>
      </c>
      <c r="AB2233" s="5">
        <v>1315068.4931999999</v>
      </c>
      <c r="AC2233" s="5" t="str">
        <f t="shared" si="109"/>
        <v>Bonos</v>
      </c>
      <c r="AD2233" s="5" t="s">
        <v>43</v>
      </c>
      <c r="AE2233" s="5">
        <f t="shared" si="107"/>
        <v>1</v>
      </c>
      <c r="AF2233" s="5">
        <f t="shared" si="108"/>
        <v>2017</v>
      </c>
    </row>
    <row r="2234" s="5" customFormat="1" ht="13">
      <c r="A2234" s="5" t="s">
        <v>44</v>
      </c>
      <c r="B2234" s="5" t="s">
        <v>44</v>
      </c>
      <c r="C2234" s="5" t="s">
        <v>156</v>
      </c>
      <c r="D2234" s="5" t="s">
        <v>21</v>
      </c>
      <c r="E2234" s="5" t="s">
        <v>44</v>
      </c>
      <c r="F2234" s="5" t="s">
        <v>68</v>
      </c>
      <c r="G2234" s="5" t="s">
        <v>69</v>
      </c>
      <c r="H2234" s="9" t="s">
        <v>402</v>
      </c>
      <c r="I2234" s="10"/>
      <c r="J2234" s="10">
        <v>42753</v>
      </c>
      <c r="K2234" s="5" t="s">
        <v>158</v>
      </c>
      <c r="L2234" s="5" t="s">
        <v>58</v>
      </c>
      <c r="M2234" s="11">
        <v>0.17999999999999999</v>
      </c>
      <c r="N2234" s="5" t="e">
        <f>IF(AND(M2234&gt;#REF!,Cartera!O2234="Guaraníes"),"Rendimiento significativo",IF(AND(M2234&gt;#REF!,Cartera!O2234="Dólares americanos"),"Rendimiento significativo","Rendimiento no significativo"))</f>
        <v>#REF!</v>
      </c>
      <c r="O2234" s="5" t="s">
        <v>41</v>
      </c>
      <c r="P2234" s="12">
        <v>1109589.0411</v>
      </c>
      <c r="Q2234" s="12">
        <f>IF(O2234="Guaraníes",P2234,P2234*#REF!)</f>
        <v>1109589.0411</v>
      </c>
      <c r="R2234" s="12" t="e">
        <f>IF(O2234="Guaraníes",P2234/#REF!,P2234)</f>
        <v>#REF!</v>
      </c>
      <c r="S2234" s="5" t="s">
        <v>52</v>
      </c>
      <c r="T2234" s="5">
        <v>593</v>
      </c>
      <c r="W2234" s="5" t="s">
        <v>453</v>
      </c>
      <c r="X2234" s="5">
        <v>0</v>
      </c>
      <c r="Y2234" s="5">
        <v>0</v>
      </c>
      <c r="Z2234" s="5">
        <v>14794.520548</v>
      </c>
      <c r="AA2234" s="5">
        <v>75</v>
      </c>
      <c r="AB2234" s="5">
        <v>1109589.0411</v>
      </c>
      <c r="AC2234" s="5" t="str">
        <f t="shared" si="109"/>
        <v>Bonos</v>
      </c>
      <c r="AD2234" s="5" t="s">
        <v>43</v>
      </c>
      <c r="AE2234" s="5">
        <f t="shared" si="107"/>
        <v>1</v>
      </c>
      <c r="AF2234" s="5">
        <f t="shared" si="108"/>
        <v>2017</v>
      </c>
    </row>
    <row r="2235" s="5" customFormat="1" ht="13">
      <c r="A2235" s="5" t="s">
        <v>44</v>
      </c>
      <c r="B2235" s="5" t="s">
        <v>44</v>
      </c>
      <c r="C2235" s="5" t="s">
        <v>156</v>
      </c>
      <c r="D2235" s="5" t="s">
        <v>21</v>
      </c>
      <c r="E2235" s="5" t="s">
        <v>44</v>
      </c>
      <c r="F2235" s="5" t="s">
        <v>68</v>
      </c>
      <c r="G2235" s="5" t="s">
        <v>69</v>
      </c>
      <c r="H2235" s="9" t="s">
        <v>404</v>
      </c>
      <c r="I2235" s="10"/>
      <c r="J2235" s="10">
        <v>42759</v>
      </c>
      <c r="K2235" s="5" t="s">
        <v>158</v>
      </c>
      <c r="L2235" s="5" t="s">
        <v>58</v>
      </c>
      <c r="M2235" s="11">
        <v>0.14499999999999999</v>
      </c>
      <c r="N2235" s="5" t="e">
        <f>IF(AND(M2235&gt;#REF!,Cartera!O2235="Guaraníes"),"Rendimiento significativo",IF(AND(M2235&gt;#REF!,Cartera!O2235="Dólares americanos"),"Rendimiento significativo","Rendimiento no significativo"))</f>
        <v>#REF!</v>
      </c>
      <c r="O2235" s="5" t="s">
        <v>41</v>
      </c>
      <c r="P2235" s="12">
        <v>1370945.205455</v>
      </c>
      <c r="Q2235" s="12">
        <f>IF(O2235="Guaraníes",P2235,P2235*#REF!)</f>
        <v>1370945.205455</v>
      </c>
      <c r="R2235" s="12" t="e">
        <f>IF(O2235="Guaraníes",P2235/#REF!,P2235)</f>
        <v>#REF!</v>
      </c>
      <c r="S2235" s="5" t="s">
        <v>52</v>
      </c>
      <c r="T2235" s="5">
        <v>593</v>
      </c>
      <c r="W2235" s="5" t="s">
        <v>454</v>
      </c>
      <c r="X2235" s="5">
        <v>0</v>
      </c>
      <c r="Y2235" s="5">
        <v>0</v>
      </c>
      <c r="Z2235" s="5">
        <v>11520.547945</v>
      </c>
      <c r="AA2235" s="5">
        <v>119</v>
      </c>
      <c r="AB2235" s="5">
        <v>1370945.205455</v>
      </c>
      <c r="AC2235" s="5" t="str">
        <f t="shared" si="109"/>
        <v>Bonos</v>
      </c>
      <c r="AD2235" s="5" t="s">
        <v>43</v>
      </c>
      <c r="AE2235" s="5">
        <f t="shared" si="107"/>
        <v>1</v>
      </c>
      <c r="AF2235" s="5">
        <f t="shared" si="108"/>
        <v>2017</v>
      </c>
    </row>
    <row r="2236" s="5" customFormat="1" ht="13">
      <c r="A2236" s="5" t="s">
        <v>44</v>
      </c>
      <c r="B2236" s="5" t="s">
        <v>44</v>
      </c>
      <c r="C2236" s="5" t="s">
        <v>99</v>
      </c>
      <c r="D2236" s="5" t="s">
        <v>21</v>
      </c>
      <c r="E2236" s="5" t="s">
        <v>44</v>
      </c>
      <c r="F2236" s="5" t="s">
        <v>100</v>
      </c>
      <c r="G2236" s="5" t="s">
        <v>69</v>
      </c>
      <c r="H2236" s="9" t="s">
        <v>238</v>
      </c>
      <c r="I2236" s="10"/>
      <c r="J2236" s="10">
        <v>42768</v>
      </c>
      <c r="K2236" s="5" t="s">
        <v>102</v>
      </c>
      <c r="L2236" s="5" t="s">
        <v>102</v>
      </c>
      <c r="M2236" s="11">
        <v>0.070000000000000007</v>
      </c>
      <c r="N2236" s="5" t="e">
        <f>IF(AND(M2236&gt;#REF!,Cartera!O2236="Guaraníes"),"Rendimiento significativo",IF(AND(M2236&gt;#REF!,Cartera!O2236="Dólares americanos"),"Rendimiento significativo","Rendimiento no significativo"))</f>
        <v>#REF!</v>
      </c>
      <c r="O2236" s="5" t="s">
        <v>41</v>
      </c>
      <c r="P2236" s="12">
        <v>2041643.8355999999</v>
      </c>
      <c r="Q2236" s="12">
        <f>IF(O2236="Guaraníes",P2236,P2236*#REF!)</f>
        <v>2041643.8355999999</v>
      </c>
      <c r="R2236" s="12" t="e">
        <f>IF(O2236="Guaraníes",P2236/#REF!,P2236)</f>
        <v>#REF!</v>
      </c>
      <c r="S2236" s="5" t="s">
        <v>52</v>
      </c>
      <c r="T2236" s="5">
        <v>593</v>
      </c>
      <c r="W2236" s="5" t="s">
        <v>455</v>
      </c>
      <c r="X2236" s="5">
        <v>0</v>
      </c>
      <c r="Y2236" s="5">
        <v>0</v>
      </c>
      <c r="Z2236" s="5">
        <v>40832.876711999997</v>
      </c>
      <c r="AA2236" s="5">
        <v>50</v>
      </c>
      <c r="AB2236" s="5">
        <v>2041643.8356000001</v>
      </c>
      <c r="AC2236" s="5" t="str">
        <f t="shared" si="109"/>
        <v>Bonos</v>
      </c>
      <c r="AD2236" s="5" t="s">
        <v>43</v>
      </c>
      <c r="AE2236" s="5">
        <f t="shared" si="107"/>
        <v>2</v>
      </c>
      <c r="AF2236" s="5">
        <f t="shared" si="108"/>
        <v>2017</v>
      </c>
    </row>
    <row r="2237" s="5" customFormat="1" ht="13">
      <c r="A2237" s="5" t="s">
        <v>44</v>
      </c>
      <c r="B2237" s="5" t="s">
        <v>44</v>
      </c>
      <c r="C2237" s="5" t="s">
        <v>156</v>
      </c>
      <c r="D2237" s="5" t="s">
        <v>21</v>
      </c>
      <c r="E2237" s="5" t="s">
        <v>44</v>
      </c>
      <c r="F2237" s="5" t="s">
        <v>68</v>
      </c>
      <c r="G2237" s="5" t="s">
        <v>69</v>
      </c>
      <c r="H2237" s="9" t="s">
        <v>400</v>
      </c>
      <c r="I2237" s="10"/>
      <c r="J2237" s="10">
        <v>42776</v>
      </c>
      <c r="K2237" s="5" t="s">
        <v>158</v>
      </c>
      <c r="L2237" s="5" t="s">
        <v>58</v>
      </c>
      <c r="M2237" s="11">
        <v>0.155</v>
      </c>
      <c r="N2237" s="5" t="e">
        <f>IF(AND(M2237&gt;#REF!,Cartera!O2237="Guaraníes"),"Rendimiento significativo",IF(AND(M2237&gt;#REF!,Cartera!O2237="Dólares americanos"),"Rendimiento significativo","Rendimiento no significativo"))</f>
        <v>#REF!</v>
      </c>
      <c r="O2237" s="5" t="s">
        <v>41</v>
      </c>
      <c r="P2237" s="12">
        <v>1273972.6027000002</v>
      </c>
      <c r="Q2237" s="12">
        <f>IF(O2237="Guaraníes",P2237,P2237*#REF!)</f>
        <v>1273972.6027000002</v>
      </c>
      <c r="R2237" s="12" t="e">
        <f>IF(O2237="Guaraníes",P2237/#REF!,P2237)</f>
        <v>#REF!</v>
      </c>
      <c r="S2237" s="5" t="s">
        <v>52</v>
      </c>
      <c r="T2237" s="5">
        <v>593</v>
      </c>
      <c r="W2237" s="5" t="s">
        <v>456</v>
      </c>
      <c r="X2237" s="5">
        <v>0</v>
      </c>
      <c r="Y2237" s="5">
        <v>0</v>
      </c>
      <c r="Z2237" s="5">
        <v>12739.726027000001</v>
      </c>
      <c r="AA2237" s="5">
        <v>100</v>
      </c>
      <c r="AB2237" s="5">
        <v>1273972.6026999999</v>
      </c>
      <c r="AC2237" s="5" t="str">
        <f t="shared" si="109"/>
        <v>Bonos</v>
      </c>
      <c r="AD2237" s="5" t="s">
        <v>43</v>
      </c>
      <c r="AE2237" s="5">
        <f t="shared" si="107"/>
        <v>2</v>
      </c>
      <c r="AF2237" s="5">
        <f t="shared" si="108"/>
        <v>2017</v>
      </c>
    </row>
    <row r="2238" s="5" customFormat="1" ht="13">
      <c r="A2238" s="5" t="s">
        <v>44</v>
      </c>
      <c r="B2238" s="5" t="s">
        <v>44</v>
      </c>
      <c r="C2238" s="5" t="s">
        <v>457</v>
      </c>
      <c r="D2238" s="5" t="s">
        <v>21</v>
      </c>
      <c r="E2238" s="5" t="s">
        <v>44</v>
      </c>
      <c r="F2238" s="5" t="s">
        <v>100</v>
      </c>
      <c r="G2238" s="5" t="s">
        <v>69</v>
      </c>
      <c r="H2238" s="9" t="s">
        <v>458</v>
      </c>
      <c r="I2238" s="10"/>
      <c r="J2238" s="10">
        <v>42776</v>
      </c>
      <c r="K2238" s="5" t="s">
        <v>173</v>
      </c>
      <c r="L2238" s="5" t="s">
        <v>58</v>
      </c>
      <c r="M2238" s="11">
        <v>0.13500000000000001</v>
      </c>
      <c r="N2238" s="5" t="e">
        <f>IF(AND(M2238&gt;#REF!,Cartera!O2238="Guaraníes"),"Rendimiento significativo",IF(AND(M2238&gt;#REF!,Cartera!O2238="Dólares americanos"),"Rendimiento significativo","Rendimiento no significativo"))</f>
        <v>#REF!</v>
      </c>
      <c r="O2238" s="5" t="s">
        <v>41</v>
      </c>
      <c r="P2238" s="12">
        <v>4899945.2055120002</v>
      </c>
      <c r="Q2238" s="12">
        <f>IF(O2238="Guaraníes",P2238,P2238*#REF!)</f>
        <v>4899945.2055120002</v>
      </c>
      <c r="R2238" s="12" t="e">
        <f>IF(O2238="Guaraníes",P2238/#REF!,P2238)</f>
        <v>#REF!</v>
      </c>
      <c r="S2238" s="5" t="s">
        <v>52</v>
      </c>
      <c r="T2238" s="5">
        <v>593</v>
      </c>
      <c r="W2238" s="5" t="s">
        <v>137</v>
      </c>
      <c r="X2238" s="5">
        <v>0</v>
      </c>
      <c r="Y2238" s="5">
        <v>0</v>
      </c>
      <c r="Z2238" s="5">
        <v>68054.794521000003</v>
      </c>
      <c r="AA2238" s="5">
        <v>72</v>
      </c>
      <c r="AB2238" s="5">
        <v>4899945.2055120002</v>
      </c>
      <c r="AC2238" s="5" t="str">
        <f t="shared" si="109"/>
        <v>Bonos</v>
      </c>
      <c r="AD2238" s="5" t="s">
        <v>43</v>
      </c>
      <c r="AE2238" s="5">
        <f t="shared" si="107"/>
        <v>2</v>
      </c>
      <c r="AF2238" s="5">
        <f t="shared" si="108"/>
        <v>2017</v>
      </c>
    </row>
    <row r="2239" s="5" customFormat="1" ht="13">
      <c r="A2239" s="5" t="s">
        <v>44</v>
      </c>
      <c r="B2239" s="5" t="s">
        <v>44</v>
      </c>
      <c r="C2239" s="5" t="s">
        <v>457</v>
      </c>
      <c r="D2239" s="5" t="s">
        <v>21</v>
      </c>
      <c r="E2239" s="5" t="s">
        <v>44</v>
      </c>
      <c r="F2239" s="5" t="s">
        <v>100</v>
      </c>
      <c r="G2239" s="5" t="s">
        <v>69</v>
      </c>
      <c r="H2239" s="9" t="s">
        <v>459</v>
      </c>
      <c r="I2239" s="10"/>
      <c r="J2239" s="10">
        <v>42776</v>
      </c>
      <c r="K2239" s="5" t="s">
        <v>173</v>
      </c>
      <c r="L2239" s="5" t="s">
        <v>58</v>
      </c>
      <c r="M2239" s="11">
        <v>0.14499999999999999</v>
      </c>
      <c r="N2239" s="5" t="e">
        <f>IF(AND(M2239&gt;#REF!,Cartera!O2239="Guaraníes"),"Rendimiento significativo",IF(AND(M2239&gt;#REF!,Cartera!O2239="Dólares americanos"),"Rendimiento significativo","Rendimiento no significativo"))</f>
        <v>#REF!</v>
      </c>
      <c r="O2239" s="5" t="s">
        <v>41</v>
      </c>
      <c r="P2239" s="12">
        <v>2046684.931508</v>
      </c>
      <c r="Q2239" s="12">
        <f>IF(O2239="Guaraníes",P2239,P2239*#REF!)</f>
        <v>2046684.931508</v>
      </c>
      <c r="R2239" s="12" t="e">
        <f>IF(O2239="Guaraníes",P2239/#REF!,P2239)</f>
        <v>#REF!</v>
      </c>
      <c r="S2239" s="5" t="s">
        <v>52</v>
      </c>
      <c r="T2239" s="5">
        <v>593</v>
      </c>
      <c r="W2239" s="5" t="s">
        <v>230</v>
      </c>
      <c r="X2239" s="5">
        <v>0</v>
      </c>
      <c r="Y2239" s="5">
        <v>0</v>
      </c>
      <c r="Z2239" s="5">
        <v>73095.890411</v>
      </c>
      <c r="AA2239" s="5">
        <v>28</v>
      </c>
      <c r="AB2239" s="5">
        <v>2046684.931508</v>
      </c>
      <c r="AC2239" s="5" t="str">
        <f t="shared" si="109"/>
        <v>Bonos</v>
      </c>
      <c r="AD2239" s="5" t="s">
        <v>43</v>
      </c>
      <c r="AE2239" s="5">
        <f t="shared" si="107"/>
        <v>2</v>
      </c>
      <c r="AF2239" s="5">
        <f t="shared" si="108"/>
        <v>2017</v>
      </c>
    </row>
    <row r="2240" s="5" customFormat="1" ht="13">
      <c r="A2240" s="5" t="s">
        <v>44</v>
      </c>
      <c r="B2240" s="5" t="s">
        <v>44</v>
      </c>
      <c r="C2240" s="5" t="s">
        <v>156</v>
      </c>
      <c r="D2240" s="5" t="s">
        <v>21</v>
      </c>
      <c r="E2240" s="5" t="s">
        <v>44</v>
      </c>
      <c r="F2240" s="5" t="s">
        <v>68</v>
      </c>
      <c r="G2240" s="5" t="s">
        <v>69</v>
      </c>
      <c r="H2240" s="9" t="s">
        <v>407</v>
      </c>
      <c r="I2240" s="10"/>
      <c r="J2240" s="10">
        <v>42779</v>
      </c>
      <c r="K2240" s="5" t="s">
        <v>158</v>
      </c>
      <c r="L2240" s="5" t="s">
        <v>58</v>
      </c>
      <c r="M2240" s="11">
        <v>0.12</v>
      </c>
      <c r="N2240" s="5" t="e">
        <f>IF(AND(M2240&gt;#REF!,Cartera!O2240="Guaraníes"),"Rendimiento significativo",IF(AND(M2240&gt;#REF!,Cartera!O2240="Dólares americanos"),"Rendimiento significativo","Rendimiento no significativo"))</f>
        <v>#REF!</v>
      </c>
      <c r="O2240" s="5" t="s">
        <v>41</v>
      </c>
      <c r="P2240" s="12">
        <v>1358904.1096000001</v>
      </c>
      <c r="Q2240" s="12">
        <f>IF(O2240="Guaraníes",P2240,P2240*#REF!)</f>
        <v>1358904.1096000001</v>
      </c>
      <c r="R2240" s="12" t="e">
        <f>IF(O2240="Guaraníes",P2240/#REF!,P2240)</f>
        <v>#REF!</v>
      </c>
      <c r="S2240" s="5" t="s">
        <v>52</v>
      </c>
      <c r="T2240" s="5">
        <v>593</v>
      </c>
      <c r="W2240" s="5" t="s">
        <v>460</v>
      </c>
      <c r="X2240" s="5">
        <v>0</v>
      </c>
      <c r="Y2240" s="5">
        <v>0</v>
      </c>
      <c r="Z2240" s="5">
        <v>13589.041096000001</v>
      </c>
      <c r="AA2240" s="5">
        <v>100</v>
      </c>
      <c r="AB2240" s="5">
        <v>1358904.1096000001</v>
      </c>
      <c r="AC2240" s="5" t="str">
        <f t="shared" si="109"/>
        <v>Bonos</v>
      </c>
      <c r="AD2240" s="5" t="s">
        <v>43</v>
      </c>
      <c r="AE2240" s="5">
        <f t="shared" si="107"/>
        <v>2</v>
      </c>
      <c r="AF2240" s="5">
        <f t="shared" si="108"/>
        <v>2017</v>
      </c>
    </row>
    <row r="2241" s="5" customFormat="1" ht="13">
      <c r="A2241" s="5" t="s">
        <v>44</v>
      </c>
      <c r="B2241" s="5" t="s">
        <v>44</v>
      </c>
      <c r="C2241" s="5" t="s">
        <v>156</v>
      </c>
      <c r="D2241" s="5" t="s">
        <v>21</v>
      </c>
      <c r="E2241" s="5" t="s">
        <v>44</v>
      </c>
      <c r="F2241" s="5" t="s">
        <v>68</v>
      </c>
      <c r="G2241" s="5" t="s">
        <v>69</v>
      </c>
      <c r="H2241" s="9" t="s">
        <v>402</v>
      </c>
      <c r="I2241" s="10"/>
      <c r="J2241" s="10">
        <v>42783</v>
      </c>
      <c r="K2241" s="5" t="s">
        <v>158</v>
      </c>
      <c r="L2241" s="5" t="s">
        <v>58</v>
      </c>
      <c r="M2241" s="11">
        <v>0.17999999999999999</v>
      </c>
      <c r="N2241" s="5" t="e">
        <f>IF(AND(M2241&gt;#REF!,Cartera!O2241="Guaraníes"),"Rendimiento significativo",IF(AND(M2241&gt;#REF!,Cartera!O2241="Dólares americanos"),"Rendimiento significativo","Rendimiento no significativo"))</f>
        <v>#REF!</v>
      </c>
      <c r="O2241" s="5" t="s">
        <v>41</v>
      </c>
      <c r="P2241" s="12">
        <v>1109589.0411</v>
      </c>
      <c r="Q2241" s="12">
        <f>IF(O2241="Guaraníes",P2241,P2241*#REF!)</f>
        <v>1109589.0411</v>
      </c>
      <c r="R2241" s="12" t="e">
        <f>IF(O2241="Guaraníes",P2241/#REF!,P2241)</f>
        <v>#REF!</v>
      </c>
      <c r="S2241" s="5" t="s">
        <v>52</v>
      </c>
      <c r="T2241" s="5">
        <v>593</v>
      </c>
      <c r="W2241" s="5" t="s">
        <v>461</v>
      </c>
      <c r="X2241" s="5">
        <v>0</v>
      </c>
      <c r="Y2241" s="5">
        <v>0</v>
      </c>
      <c r="Z2241" s="5">
        <v>14794.520548</v>
      </c>
      <c r="AA2241" s="5">
        <v>75</v>
      </c>
      <c r="AB2241" s="5">
        <v>1109589.0411</v>
      </c>
      <c r="AC2241" s="5" t="str">
        <f t="shared" si="109"/>
        <v>Bonos</v>
      </c>
      <c r="AD2241" s="5" t="s">
        <v>43</v>
      </c>
      <c r="AE2241" s="5">
        <f t="shared" si="107"/>
        <v>2</v>
      </c>
      <c r="AF2241" s="5">
        <f t="shared" si="108"/>
        <v>2017</v>
      </c>
    </row>
    <row r="2242" s="5" customFormat="1" ht="13">
      <c r="A2242" s="5" t="s">
        <v>44</v>
      </c>
      <c r="B2242" s="5" t="s">
        <v>44</v>
      </c>
      <c r="C2242" s="5" t="s">
        <v>156</v>
      </c>
      <c r="D2242" s="5" t="s">
        <v>21</v>
      </c>
      <c r="E2242" s="5" t="s">
        <v>44</v>
      </c>
      <c r="F2242" s="5" t="s">
        <v>68</v>
      </c>
      <c r="G2242" s="5" t="s">
        <v>69</v>
      </c>
      <c r="H2242" s="9" t="s">
        <v>404</v>
      </c>
      <c r="I2242" s="10"/>
      <c r="J2242" s="10">
        <v>42790</v>
      </c>
      <c r="K2242" s="5" t="s">
        <v>158</v>
      </c>
      <c r="L2242" s="5" t="s">
        <v>58</v>
      </c>
      <c r="M2242" s="11">
        <v>0.14499999999999999</v>
      </c>
      <c r="N2242" s="5" t="e">
        <f>IF(AND(M2242&gt;#REF!,Cartera!O2242="Guaraníes"),"Rendimiento significativo",IF(AND(M2242&gt;#REF!,Cartera!O2242="Dólares americanos"),"Rendimiento significativo","Rendimiento no significativo"))</f>
        <v>#REF!</v>
      </c>
      <c r="O2242" s="5" t="s">
        <v>41</v>
      </c>
      <c r="P2242" s="12">
        <v>1465493.1506670001</v>
      </c>
      <c r="Q2242" s="12">
        <f>IF(O2242="Guaraníes",P2242,P2242*#REF!)</f>
        <v>1465493.1506670001</v>
      </c>
      <c r="R2242" s="12" t="e">
        <f>IF(O2242="Guaraníes",P2242/#REF!,P2242)</f>
        <v>#REF!</v>
      </c>
      <c r="S2242" s="5" t="s">
        <v>52</v>
      </c>
      <c r="T2242" s="5">
        <v>593</v>
      </c>
      <c r="W2242" s="5" t="s">
        <v>462</v>
      </c>
      <c r="X2242" s="5">
        <v>0</v>
      </c>
      <c r="Y2242" s="5">
        <v>0</v>
      </c>
      <c r="Z2242" s="5">
        <v>12315.068493000001</v>
      </c>
      <c r="AA2242" s="5">
        <v>119</v>
      </c>
      <c r="AB2242" s="5">
        <v>1465493.1506670001</v>
      </c>
      <c r="AC2242" s="5" t="str">
        <f t="shared" si="109"/>
        <v>Bonos</v>
      </c>
      <c r="AD2242" s="5" t="s">
        <v>43</v>
      </c>
      <c r="AE2242" s="5">
        <f t="shared" si="107"/>
        <v>2</v>
      </c>
      <c r="AF2242" s="5">
        <f t="shared" si="108"/>
        <v>2017</v>
      </c>
    </row>
    <row r="2243" s="5" customFormat="1" ht="13">
      <c r="A2243" s="5" t="s">
        <v>44</v>
      </c>
      <c r="B2243" s="5" t="s">
        <v>44</v>
      </c>
      <c r="C2243" s="5" t="s">
        <v>156</v>
      </c>
      <c r="D2243" s="5" t="s">
        <v>21</v>
      </c>
      <c r="E2243" s="5" t="s">
        <v>44</v>
      </c>
      <c r="F2243" s="5" t="s">
        <v>68</v>
      </c>
      <c r="G2243" s="5" t="s">
        <v>69</v>
      </c>
      <c r="H2243" s="9" t="s">
        <v>400</v>
      </c>
      <c r="I2243" s="10"/>
      <c r="J2243" s="10">
        <v>42804</v>
      </c>
      <c r="K2243" s="5" t="s">
        <v>158</v>
      </c>
      <c r="L2243" s="5" t="s">
        <v>58</v>
      </c>
      <c r="M2243" s="11">
        <v>0.155</v>
      </c>
      <c r="N2243" s="5" t="e">
        <f>IF(AND(M2243&gt;#REF!,Cartera!O2243="Guaraníes"),"Rendimiento significativo",IF(AND(M2243&gt;#REF!,Cartera!O2243="Dólares americanos"),"Rendimiento significativo","Rendimiento no significativo"))</f>
        <v>#REF!</v>
      </c>
      <c r="O2243" s="5" t="s">
        <v>41</v>
      </c>
      <c r="P2243" s="12">
        <v>1189041.0959000001</v>
      </c>
      <c r="Q2243" s="12">
        <f>IF(O2243="Guaraníes",P2243,P2243*#REF!)</f>
        <v>1189041.0959000001</v>
      </c>
      <c r="R2243" s="12" t="e">
        <f>IF(O2243="Guaraníes",P2243/#REF!,P2243)</f>
        <v>#REF!</v>
      </c>
      <c r="S2243" s="5" t="s">
        <v>52</v>
      </c>
      <c r="T2243" s="5">
        <v>593</v>
      </c>
      <c r="W2243" s="5" t="s">
        <v>463</v>
      </c>
      <c r="X2243" s="5">
        <v>0</v>
      </c>
      <c r="Y2243" s="5">
        <v>0</v>
      </c>
      <c r="Z2243" s="5">
        <v>11890.410959000001</v>
      </c>
      <c r="AA2243" s="5">
        <v>100</v>
      </c>
      <c r="AB2243" s="5">
        <v>1189041.0959000001</v>
      </c>
      <c r="AC2243" s="5" t="str">
        <f t="shared" si="109"/>
        <v>Bonos</v>
      </c>
      <c r="AD2243" s="5" t="s">
        <v>43</v>
      </c>
      <c r="AE2243" s="5">
        <f t="shared" si="107"/>
        <v>3</v>
      </c>
      <c r="AF2243" s="5">
        <f t="shared" si="108"/>
        <v>2017</v>
      </c>
    </row>
    <row r="2244" s="5" customFormat="1" ht="13">
      <c r="A2244" s="5" t="s">
        <v>44</v>
      </c>
      <c r="B2244" s="5" t="s">
        <v>44</v>
      </c>
      <c r="C2244" s="5" t="s">
        <v>156</v>
      </c>
      <c r="D2244" s="5" t="s">
        <v>21</v>
      </c>
      <c r="E2244" s="5" t="s">
        <v>44</v>
      </c>
      <c r="F2244" s="5" t="s">
        <v>68</v>
      </c>
      <c r="G2244" s="5" t="s">
        <v>69</v>
      </c>
      <c r="H2244" s="9" t="s">
        <v>407</v>
      </c>
      <c r="I2244" s="10"/>
      <c r="J2244" s="10">
        <v>42809</v>
      </c>
      <c r="K2244" s="5" t="s">
        <v>158</v>
      </c>
      <c r="L2244" s="5" t="s">
        <v>58</v>
      </c>
      <c r="M2244" s="11">
        <v>0.12</v>
      </c>
      <c r="N2244" s="5" t="e">
        <f>IF(AND(M2244&gt;#REF!,Cartera!O2244="Guaraníes"),"Rendimiento significativo",IF(AND(M2244&gt;#REF!,Cartera!O2244="Dólares americanos"),"Rendimiento significativo","Rendimiento no significativo"))</f>
        <v>#REF!</v>
      </c>
      <c r="O2244" s="5" t="s">
        <v>41</v>
      </c>
      <c r="P2244" s="12">
        <v>1315068.4931999999</v>
      </c>
      <c r="Q2244" s="12">
        <f>IF(O2244="Guaraníes",P2244,P2244*#REF!)</f>
        <v>1315068.4931999999</v>
      </c>
      <c r="R2244" s="12" t="e">
        <f>IF(O2244="Guaraníes",P2244/#REF!,P2244)</f>
        <v>#REF!</v>
      </c>
      <c r="S2244" s="5" t="s">
        <v>52</v>
      </c>
      <c r="T2244" s="5">
        <v>593</v>
      </c>
      <c r="W2244" s="5" t="s">
        <v>464</v>
      </c>
      <c r="X2244" s="5">
        <v>0</v>
      </c>
      <c r="Y2244" s="5">
        <v>0</v>
      </c>
      <c r="Z2244" s="5">
        <v>13150.684932</v>
      </c>
      <c r="AA2244" s="5">
        <v>100</v>
      </c>
      <c r="AB2244" s="5">
        <v>1315068.4931999999</v>
      </c>
      <c r="AC2244" s="5" t="str">
        <f t="shared" si="109"/>
        <v>Bonos</v>
      </c>
      <c r="AD2244" s="5" t="s">
        <v>43</v>
      </c>
      <c r="AE2244" s="5">
        <f t="shared" si="107"/>
        <v>3</v>
      </c>
      <c r="AF2244" s="5">
        <f t="shared" si="108"/>
        <v>2017</v>
      </c>
    </row>
    <row r="2245" s="5" customFormat="1" ht="13">
      <c r="A2245" s="5" t="s">
        <v>44</v>
      </c>
      <c r="B2245" s="5" t="s">
        <v>44</v>
      </c>
      <c r="C2245" s="5" t="s">
        <v>156</v>
      </c>
      <c r="D2245" s="5" t="s">
        <v>21</v>
      </c>
      <c r="E2245" s="5" t="s">
        <v>44</v>
      </c>
      <c r="F2245" s="5" t="s">
        <v>68</v>
      </c>
      <c r="G2245" s="5" t="s">
        <v>69</v>
      </c>
      <c r="H2245" s="9" t="s">
        <v>402</v>
      </c>
      <c r="I2245" s="10"/>
      <c r="J2245" s="10">
        <v>42814</v>
      </c>
      <c r="K2245" s="5" t="s">
        <v>158</v>
      </c>
      <c r="L2245" s="5" t="s">
        <v>58</v>
      </c>
      <c r="M2245" s="11">
        <v>0.17999999999999999</v>
      </c>
      <c r="N2245" s="5" t="e">
        <f>IF(AND(M2245&gt;#REF!,Cartera!O2245="Guaraníes"),"Rendimiento significativo",IF(AND(M2245&gt;#REF!,Cartera!O2245="Dólares americanos"),"Rendimiento significativo","Rendimiento no significativo"))</f>
        <v>#REF!</v>
      </c>
      <c r="O2245" s="5" t="s">
        <v>41</v>
      </c>
      <c r="P2245" s="12">
        <v>1146575.3424749998</v>
      </c>
      <c r="Q2245" s="12">
        <f>IF(O2245="Guaraníes",P2245,P2245*#REF!)</f>
        <v>1146575.3424749998</v>
      </c>
      <c r="R2245" s="12" t="e">
        <f>IF(O2245="Guaraníes",P2245/#REF!,P2245)</f>
        <v>#REF!</v>
      </c>
      <c r="S2245" s="5" t="s">
        <v>52</v>
      </c>
      <c r="T2245" s="5">
        <v>593</v>
      </c>
      <c r="W2245" s="5" t="s">
        <v>465</v>
      </c>
      <c r="X2245" s="5">
        <v>0</v>
      </c>
      <c r="Y2245" s="5">
        <v>0</v>
      </c>
      <c r="Z2245" s="5">
        <v>15287.671232999999</v>
      </c>
      <c r="AA2245" s="5">
        <v>75</v>
      </c>
      <c r="AB2245" s="5">
        <v>1146575.3424750001</v>
      </c>
      <c r="AC2245" s="5" t="str">
        <f t="shared" si="109"/>
        <v>Bonos</v>
      </c>
      <c r="AD2245" s="5" t="s">
        <v>43</v>
      </c>
      <c r="AE2245" s="5">
        <f t="shared" si="107"/>
        <v>3</v>
      </c>
      <c r="AF2245" s="5">
        <f t="shared" si="108"/>
        <v>2017</v>
      </c>
    </row>
    <row r="2246" s="5" customFormat="1" ht="13">
      <c r="A2246" s="5" t="s">
        <v>44</v>
      </c>
      <c r="B2246" s="5" t="s">
        <v>44</v>
      </c>
      <c r="C2246" s="5" t="s">
        <v>156</v>
      </c>
      <c r="D2246" s="5" t="s">
        <v>21</v>
      </c>
      <c r="E2246" s="5" t="s">
        <v>44</v>
      </c>
      <c r="F2246" s="5" t="s">
        <v>68</v>
      </c>
      <c r="G2246" s="5" t="s">
        <v>69</v>
      </c>
      <c r="H2246" s="9" t="s">
        <v>404</v>
      </c>
      <c r="I2246" s="10"/>
      <c r="J2246" s="10">
        <v>42818</v>
      </c>
      <c r="K2246" s="5" t="s">
        <v>158</v>
      </c>
      <c r="L2246" s="5" t="s">
        <v>58</v>
      </c>
      <c r="M2246" s="11">
        <v>0.14499999999999999</v>
      </c>
      <c r="N2246" s="5" t="e">
        <f>IF(AND(M2246&gt;#REF!,Cartera!O2246="Guaraníes"),"Rendimiento significativo",IF(AND(M2246&gt;#REF!,Cartera!O2246="Dólares americanos"),"Rendimiento significativo","Rendimiento no significativo"))</f>
        <v>#REF!</v>
      </c>
      <c r="O2246" s="5" t="s">
        <v>41</v>
      </c>
      <c r="P2246" s="12">
        <v>1323671.232849</v>
      </c>
      <c r="Q2246" s="12">
        <f>IF(O2246="Guaraníes",P2246,P2246*#REF!)</f>
        <v>1323671.232849</v>
      </c>
      <c r="R2246" s="12" t="e">
        <f>IF(O2246="Guaraníes",P2246/#REF!,P2246)</f>
        <v>#REF!</v>
      </c>
      <c r="S2246" s="5" t="s">
        <v>52</v>
      </c>
      <c r="T2246" s="5">
        <v>593</v>
      </c>
      <c r="W2246" s="5" t="s">
        <v>466</v>
      </c>
      <c r="X2246" s="5">
        <v>0</v>
      </c>
      <c r="Y2246" s="5">
        <v>0</v>
      </c>
      <c r="Z2246" s="5">
        <v>11123.287671</v>
      </c>
      <c r="AA2246" s="5">
        <v>119</v>
      </c>
      <c r="AB2246" s="5">
        <v>1323671.232849</v>
      </c>
      <c r="AC2246" s="5" t="str">
        <f t="shared" si="109"/>
        <v>Bonos</v>
      </c>
      <c r="AD2246" s="5" t="s">
        <v>43</v>
      </c>
      <c r="AE2246" s="5">
        <f t="shared" si="107"/>
        <v>3</v>
      </c>
      <c r="AF2246" s="5">
        <f t="shared" si="108"/>
        <v>2017</v>
      </c>
    </row>
    <row r="2247" s="5" customFormat="1" ht="13">
      <c r="A2247" s="5" t="s">
        <v>44</v>
      </c>
      <c r="B2247" s="5" t="s">
        <v>44</v>
      </c>
      <c r="C2247" s="5" t="s">
        <v>156</v>
      </c>
      <c r="D2247" s="5" t="s">
        <v>21</v>
      </c>
      <c r="E2247" s="5" t="s">
        <v>44</v>
      </c>
      <c r="F2247" s="5" t="s">
        <v>68</v>
      </c>
      <c r="G2247" s="5" t="s">
        <v>69</v>
      </c>
      <c r="H2247" s="9" t="s">
        <v>400</v>
      </c>
      <c r="I2247" s="10"/>
      <c r="J2247" s="10">
        <v>42836</v>
      </c>
      <c r="K2247" s="5" t="s">
        <v>158</v>
      </c>
      <c r="L2247" s="5" t="s">
        <v>58</v>
      </c>
      <c r="M2247" s="11">
        <v>0.155</v>
      </c>
      <c r="N2247" s="5" t="e">
        <f>IF(AND(M2247&gt;#REF!,Cartera!O2247="Guaraníes"),"Rendimiento significativo",IF(AND(M2247&gt;#REF!,Cartera!O2247="Dólares americanos"),"Rendimiento significativo","Rendimiento no significativo"))</f>
        <v>#REF!</v>
      </c>
      <c r="O2247" s="5" t="s">
        <v>41</v>
      </c>
      <c r="P2247" s="12">
        <v>1358904.1096000001</v>
      </c>
      <c r="Q2247" s="12">
        <f>IF(O2247="Guaraníes",P2247,P2247*#REF!)</f>
        <v>1358904.1096000001</v>
      </c>
      <c r="R2247" s="12" t="e">
        <f>IF(O2247="Guaraníes",P2247/#REF!,P2247)</f>
        <v>#REF!</v>
      </c>
      <c r="S2247" s="5" t="s">
        <v>52</v>
      </c>
      <c r="T2247" s="5">
        <v>593</v>
      </c>
      <c r="W2247" s="5" t="s">
        <v>467</v>
      </c>
      <c r="X2247" s="5">
        <v>0</v>
      </c>
      <c r="Y2247" s="5">
        <v>0</v>
      </c>
      <c r="Z2247" s="5">
        <v>13589.041096000001</v>
      </c>
      <c r="AA2247" s="5">
        <v>100</v>
      </c>
      <c r="AB2247" s="5">
        <v>1358904.1096000001</v>
      </c>
      <c r="AC2247" s="5" t="str">
        <f t="shared" si="109"/>
        <v>Bonos</v>
      </c>
      <c r="AD2247" s="5" t="s">
        <v>43</v>
      </c>
      <c r="AE2247" s="5">
        <f t="shared" si="107"/>
        <v>4</v>
      </c>
      <c r="AF2247" s="5">
        <f t="shared" si="108"/>
        <v>2017</v>
      </c>
    </row>
    <row r="2248" s="5" customFormat="1" ht="13">
      <c r="A2248" s="5" t="s">
        <v>44</v>
      </c>
      <c r="B2248" s="5" t="s">
        <v>44</v>
      </c>
      <c r="C2248" s="5" t="s">
        <v>156</v>
      </c>
      <c r="D2248" s="5" t="s">
        <v>21</v>
      </c>
      <c r="E2248" s="5" t="s">
        <v>44</v>
      </c>
      <c r="F2248" s="5" t="s">
        <v>68</v>
      </c>
      <c r="G2248" s="5" t="s">
        <v>69</v>
      </c>
      <c r="H2248" s="9" t="s">
        <v>407</v>
      </c>
      <c r="I2248" s="10"/>
      <c r="J2248" s="10">
        <v>42842</v>
      </c>
      <c r="K2248" s="5" t="s">
        <v>158</v>
      </c>
      <c r="L2248" s="5" t="s">
        <v>58</v>
      </c>
      <c r="M2248" s="11">
        <v>0.12</v>
      </c>
      <c r="N2248" s="5" t="e">
        <f>IF(AND(M2248&gt;#REF!,Cartera!O2248="Guaraníes"),"Rendimiento significativo",IF(AND(M2248&gt;#REF!,Cartera!O2248="Dólares americanos"),"Rendimiento significativo","Rendimiento no significativo"))</f>
        <v>#REF!</v>
      </c>
      <c r="O2248" s="5" t="s">
        <v>41</v>
      </c>
      <c r="P2248" s="12">
        <v>1446575.3425</v>
      </c>
      <c r="Q2248" s="12">
        <f>IF(O2248="Guaraníes",P2248,P2248*#REF!)</f>
        <v>1446575.3425</v>
      </c>
      <c r="R2248" s="12" t="e">
        <f>IF(O2248="Guaraníes",P2248/#REF!,P2248)</f>
        <v>#REF!</v>
      </c>
      <c r="S2248" s="5" t="s">
        <v>52</v>
      </c>
      <c r="T2248" s="5">
        <v>593</v>
      </c>
      <c r="W2248" s="5" t="s">
        <v>468</v>
      </c>
      <c r="X2248" s="5">
        <v>0</v>
      </c>
      <c r="Y2248" s="5">
        <v>0</v>
      </c>
      <c r="Z2248" s="5">
        <v>14465.753425000001</v>
      </c>
      <c r="AA2248" s="5">
        <v>100</v>
      </c>
      <c r="AB2248" s="5">
        <v>1446575.3425</v>
      </c>
      <c r="AC2248" s="5" t="str">
        <f t="shared" si="109"/>
        <v>Bonos</v>
      </c>
      <c r="AD2248" s="5" t="s">
        <v>43</v>
      </c>
      <c r="AE2248" s="5">
        <f t="shared" si="107"/>
        <v>4</v>
      </c>
      <c r="AF2248" s="5">
        <f t="shared" si="108"/>
        <v>2017</v>
      </c>
    </row>
    <row r="2249" s="5" customFormat="1" ht="13">
      <c r="A2249" s="5" t="s">
        <v>44</v>
      </c>
      <c r="B2249" s="5" t="s">
        <v>44</v>
      </c>
      <c r="C2249" s="5" t="s">
        <v>156</v>
      </c>
      <c r="D2249" s="5" t="s">
        <v>21</v>
      </c>
      <c r="E2249" s="5" t="s">
        <v>44</v>
      </c>
      <c r="F2249" s="5" t="s">
        <v>68</v>
      </c>
      <c r="G2249" s="5" t="s">
        <v>69</v>
      </c>
      <c r="H2249" s="9" t="s">
        <v>402</v>
      </c>
      <c r="I2249" s="10"/>
      <c r="J2249" s="10">
        <v>42844</v>
      </c>
      <c r="K2249" s="5" t="s">
        <v>158</v>
      </c>
      <c r="L2249" s="5" t="s">
        <v>58</v>
      </c>
      <c r="M2249" s="11">
        <v>0.17999999999999999</v>
      </c>
      <c r="N2249" s="5" t="e">
        <f>IF(AND(M2249&gt;#REF!,Cartera!O2249="Guaraníes"),"Rendimiento significativo",IF(AND(M2249&gt;#REF!,Cartera!O2249="Dólares americanos"),"Rendimiento significativo","Rendimiento no significativo"))</f>
        <v>#REF!</v>
      </c>
      <c r="O2249" s="5" t="s">
        <v>41</v>
      </c>
      <c r="P2249" s="12">
        <v>1109589.0411</v>
      </c>
      <c r="Q2249" s="12">
        <f>IF(O2249="Guaraníes",P2249,P2249*#REF!)</f>
        <v>1109589.0411</v>
      </c>
      <c r="R2249" s="12" t="e">
        <f>IF(O2249="Guaraníes",P2249/#REF!,P2249)</f>
        <v>#REF!</v>
      </c>
      <c r="S2249" s="5" t="s">
        <v>52</v>
      </c>
      <c r="T2249" s="5">
        <v>593</v>
      </c>
      <c r="W2249" s="5" t="s">
        <v>469</v>
      </c>
      <c r="X2249" s="5">
        <v>0</v>
      </c>
      <c r="Y2249" s="5">
        <v>0</v>
      </c>
      <c r="Z2249" s="5">
        <v>14794.520548</v>
      </c>
      <c r="AA2249" s="5">
        <v>75</v>
      </c>
      <c r="AB2249" s="5">
        <v>1109589.0411</v>
      </c>
      <c r="AC2249" s="5" t="str">
        <f t="shared" si="109"/>
        <v>Bonos</v>
      </c>
      <c r="AD2249" s="5" t="s">
        <v>43</v>
      </c>
      <c r="AE2249" s="5">
        <f t="shared" si="107"/>
        <v>4</v>
      </c>
      <c r="AF2249" s="5">
        <f t="shared" si="108"/>
        <v>2017</v>
      </c>
    </row>
    <row r="2250" s="5" customFormat="1" ht="13">
      <c r="A2250" s="5" t="s">
        <v>44</v>
      </c>
      <c r="B2250" s="5" t="s">
        <v>44</v>
      </c>
      <c r="C2250" s="5" t="s">
        <v>156</v>
      </c>
      <c r="D2250" s="5" t="s">
        <v>21</v>
      </c>
      <c r="E2250" s="5" t="s">
        <v>44</v>
      </c>
      <c r="F2250" s="5" t="s">
        <v>68</v>
      </c>
      <c r="G2250" s="5" t="s">
        <v>69</v>
      </c>
      <c r="H2250" s="9" t="s">
        <v>404</v>
      </c>
      <c r="I2250" s="10"/>
      <c r="J2250" s="10">
        <v>42849</v>
      </c>
      <c r="K2250" s="5" t="s">
        <v>158</v>
      </c>
      <c r="L2250" s="5" t="s">
        <v>58</v>
      </c>
      <c r="M2250" s="11">
        <v>0.14499999999999999</v>
      </c>
      <c r="N2250" s="5" t="e">
        <f>IF(AND(M2250&gt;#REF!,Cartera!O2250="Guaraníes"),"Rendimiento significativo",IF(AND(M2250&gt;#REF!,Cartera!O2250="Dólares americanos"),"Rendimiento significativo","Rendimiento no significativo"))</f>
        <v>#REF!</v>
      </c>
      <c r="O2250" s="5" t="s">
        <v>41</v>
      </c>
      <c r="P2250" s="12">
        <v>1465493.1506670001</v>
      </c>
      <c r="Q2250" s="12">
        <f>IF(O2250="Guaraníes",P2250,P2250*#REF!)</f>
        <v>1465493.1506670001</v>
      </c>
      <c r="R2250" s="12" t="e">
        <f>IF(O2250="Guaraníes",P2250/#REF!,P2250)</f>
        <v>#REF!</v>
      </c>
      <c r="S2250" s="5" t="s">
        <v>52</v>
      </c>
      <c r="T2250" s="5">
        <v>593</v>
      </c>
      <c r="W2250" s="5" t="s">
        <v>470</v>
      </c>
      <c r="X2250" s="5">
        <v>0</v>
      </c>
      <c r="Y2250" s="5">
        <v>0</v>
      </c>
      <c r="Z2250" s="5">
        <v>12315.068493000001</v>
      </c>
      <c r="AA2250" s="5">
        <v>119</v>
      </c>
      <c r="AB2250" s="5">
        <v>1465493.1506670001</v>
      </c>
      <c r="AC2250" s="5" t="str">
        <f t="shared" si="109"/>
        <v>Bonos</v>
      </c>
      <c r="AD2250" s="5" t="s">
        <v>43</v>
      </c>
      <c r="AE2250" s="5">
        <f t="shared" si="107"/>
        <v>4</v>
      </c>
      <c r="AF2250" s="5">
        <f t="shared" si="108"/>
        <v>2017</v>
      </c>
    </row>
    <row r="2251" s="5" customFormat="1" ht="13">
      <c r="A2251" s="5" t="s">
        <v>44</v>
      </c>
      <c r="B2251" s="5" t="s">
        <v>44</v>
      </c>
      <c r="C2251" s="5" t="s">
        <v>156</v>
      </c>
      <c r="D2251" s="5" t="s">
        <v>21</v>
      </c>
      <c r="E2251" s="5" t="s">
        <v>44</v>
      </c>
      <c r="F2251" s="5" t="s">
        <v>68</v>
      </c>
      <c r="G2251" s="5" t="s">
        <v>69</v>
      </c>
      <c r="H2251" s="9" t="s">
        <v>400</v>
      </c>
      <c r="I2251" s="10"/>
      <c r="J2251" s="10">
        <v>42866</v>
      </c>
      <c r="K2251" s="5" t="s">
        <v>158</v>
      </c>
      <c r="L2251" s="5" t="s">
        <v>58</v>
      </c>
      <c r="M2251" s="11">
        <v>0.155</v>
      </c>
      <c r="N2251" s="5" t="e">
        <f>IF(AND(M2251&gt;#REF!,Cartera!O2251="Guaraníes"),"Rendimiento significativo",IF(AND(M2251&gt;#REF!,Cartera!O2251="Dólares americanos"),"Rendimiento significativo","Rendimiento no significativo"))</f>
        <v>#REF!</v>
      </c>
      <c r="O2251" s="5" t="s">
        <v>41</v>
      </c>
      <c r="P2251" s="12">
        <v>1273972.6027000002</v>
      </c>
      <c r="Q2251" s="12">
        <f>IF(O2251="Guaraníes",P2251,P2251*#REF!)</f>
        <v>1273972.6027000002</v>
      </c>
      <c r="R2251" s="12" t="e">
        <f>IF(O2251="Guaraníes",P2251/#REF!,P2251)</f>
        <v>#REF!</v>
      </c>
      <c r="S2251" s="5" t="s">
        <v>52</v>
      </c>
      <c r="T2251" s="5">
        <v>593</v>
      </c>
      <c r="W2251" s="5" t="s">
        <v>471</v>
      </c>
      <c r="X2251" s="5">
        <v>0</v>
      </c>
      <c r="Y2251" s="5">
        <v>0</v>
      </c>
      <c r="Z2251" s="5">
        <v>12739.726027000001</v>
      </c>
      <c r="AA2251" s="5">
        <v>100</v>
      </c>
      <c r="AB2251" s="5">
        <v>1273972.6026999999</v>
      </c>
      <c r="AC2251" s="5" t="str">
        <f t="shared" si="109"/>
        <v>Bonos</v>
      </c>
      <c r="AD2251" s="5" t="s">
        <v>43</v>
      </c>
      <c r="AE2251" s="5">
        <f t="shared" si="107"/>
        <v>5</v>
      </c>
      <c r="AF2251" s="5">
        <f t="shared" si="108"/>
        <v>2017</v>
      </c>
    </row>
    <row r="2252" s="5" customFormat="1" ht="13">
      <c r="A2252" s="5" t="s">
        <v>44</v>
      </c>
      <c r="B2252" s="5" t="s">
        <v>44</v>
      </c>
      <c r="C2252" s="5" t="s">
        <v>156</v>
      </c>
      <c r="D2252" s="5" t="s">
        <v>21</v>
      </c>
      <c r="E2252" s="5" t="s">
        <v>44</v>
      </c>
      <c r="F2252" s="5" t="s">
        <v>68</v>
      </c>
      <c r="G2252" s="5" t="s">
        <v>69</v>
      </c>
      <c r="H2252" s="9" t="s">
        <v>407</v>
      </c>
      <c r="I2252" s="10"/>
      <c r="J2252" s="10">
        <v>42871</v>
      </c>
      <c r="K2252" s="5" t="s">
        <v>158</v>
      </c>
      <c r="L2252" s="5" t="s">
        <v>58</v>
      </c>
      <c r="M2252" s="11">
        <v>0.12</v>
      </c>
      <c r="N2252" s="5" t="e">
        <f>IF(AND(M2252&gt;#REF!,Cartera!O2252="Guaraníes"),"Rendimiento significativo",IF(AND(M2252&gt;#REF!,Cartera!O2252="Dólares americanos"),"Rendimiento significativo","Rendimiento no significativo"))</f>
        <v>#REF!</v>
      </c>
      <c r="O2252" s="5" t="s">
        <v>41</v>
      </c>
      <c r="P2252" s="12">
        <v>1271232.8767000001</v>
      </c>
      <c r="Q2252" s="12">
        <f>IF(O2252="Guaraníes",P2252,P2252*#REF!)</f>
        <v>1271232.8767000001</v>
      </c>
      <c r="R2252" s="12" t="e">
        <f>IF(O2252="Guaraníes",P2252/#REF!,P2252)</f>
        <v>#REF!</v>
      </c>
      <c r="S2252" s="5" t="s">
        <v>52</v>
      </c>
      <c r="T2252" s="5">
        <v>593</v>
      </c>
      <c r="W2252" s="5" t="s">
        <v>472</v>
      </c>
      <c r="X2252" s="5">
        <v>0</v>
      </c>
      <c r="Y2252" s="5">
        <v>0</v>
      </c>
      <c r="Z2252" s="5">
        <v>12712.328767000001</v>
      </c>
      <c r="AA2252" s="5">
        <v>100</v>
      </c>
      <c r="AB2252" s="5">
        <v>1271232.8766999999</v>
      </c>
      <c r="AC2252" s="5" t="str">
        <f t="shared" si="109"/>
        <v>Bonos</v>
      </c>
      <c r="AD2252" s="5" t="s">
        <v>43</v>
      </c>
      <c r="AE2252" s="5">
        <f t="shared" si="107"/>
        <v>5</v>
      </c>
      <c r="AF2252" s="5">
        <f t="shared" si="108"/>
        <v>2017</v>
      </c>
    </row>
    <row r="2253" s="5" customFormat="1" ht="13">
      <c r="A2253" s="5" t="s">
        <v>44</v>
      </c>
      <c r="B2253" s="5" t="s">
        <v>44</v>
      </c>
      <c r="C2253" s="5" t="s">
        <v>156</v>
      </c>
      <c r="D2253" s="5" t="s">
        <v>21</v>
      </c>
      <c r="E2253" s="5" t="s">
        <v>44</v>
      </c>
      <c r="F2253" s="5" t="s">
        <v>68</v>
      </c>
      <c r="G2253" s="5" t="s">
        <v>69</v>
      </c>
      <c r="H2253" s="9" t="s">
        <v>402</v>
      </c>
      <c r="I2253" s="10"/>
      <c r="J2253" s="10">
        <v>42874</v>
      </c>
      <c r="K2253" s="5" t="s">
        <v>158</v>
      </c>
      <c r="L2253" s="5" t="s">
        <v>58</v>
      </c>
      <c r="M2253" s="11">
        <v>0.17999999999999999</v>
      </c>
      <c r="N2253" s="5" t="e">
        <f>IF(AND(M2253&gt;#REF!,Cartera!O2253="Guaraníes"),"Rendimiento significativo",IF(AND(M2253&gt;#REF!,Cartera!O2253="Dólares americanos"),"Rendimiento significativo","Rendimiento no significativo"))</f>
        <v>#REF!</v>
      </c>
      <c r="O2253" s="5" t="s">
        <v>41</v>
      </c>
      <c r="P2253" s="12">
        <v>1109589.0411</v>
      </c>
      <c r="Q2253" s="12">
        <f>IF(O2253="Guaraníes",P2253,P2253*#REF!)</f>
        <v>1109589.0411</v>
      </c>
      <c r="R2253" s="12" t="e">
        <f>IF(O2253="Guaraníes",P2253/#REF!,P2253)</f>
        <v>#REF!</v>
      </c>
      <c r="S2253" s="5" t="s">
        <v>52</v>
      </c>
      <c r="T2253" s="5">
        <v>593</v>
      </c>
      <c r="W2253" s="5" t="s">
        <v>473</v>
      </c>
      <c r="X2253" s="5">
        <v>0</v>
      </c>
      <c r="Y2253" s="5">
        <v>0</v>
      </c>
      <c r="Z2253" s="5">
        <v>14794.520548</v>
      </c>
      <c r="AA2253" s="5">
        <v>75</v>
      </c>
      <c r="AB2253" s="5">
        <v>1109589.0411</v>
      </c>
      <c r="AC2253" s="5" t="str">
        <f t="shared" si="109"/>
        <v>Bonos</v>
      </c>
      <c r="AD2253" s="5" t="s">
        <v>43</v>
      </c>
      <c r="AE2253" s="5">
        <f t="shared" si="107"/>
        <v>5</v>
      </c>
      <c r="AF2253" s="5">
        <f t="shared" si="108"/>
        <v>2017</v>
      </c>
    </row>
    <row r="2254" s="5" customFormat="1" ht="13">
      <c r="A2254" s="5" t="s">
        <v>44</v>
      </c>
      <c r="B2254" s="5" t="s">
        <v>44</v>
      </c>
      <c r="C2254" s="5" t="s">
        <v>156</v>
      </c>
      <c r="D2254" s="5" t="s">
        <v>21</v>
      </c>
      <c r="E2254" s="5" t="s">
        <v>44</v>
      </c>
      <c r="F2254" s="5" t="s">
        <v>68</v>
      </c>
      <c r="G2254" s="5" t="s">
        <v>69</v>
      </c>
      <c r="H2254" s="9" t="s">
        <v>404</v>
      </c>
      <c r="I2254" s="10"/>
      <c r="J2254" s="10">
        <v>42879</v>
      </c>
      <c r="K2254" s="5" t="s">
        <v>158</v>
      </c>
      <c r="L2254" s="5" t="s">
        <v>58</v>
      </c>
      <c r="M2254" s="11">
        <v>0.14499999999999999</v>
      </c>
      <c r="N2254" s="5" t="e">
        <f>IF(AND(M2254&gt;#REF!,Cartera!O2254="Guaraníes"),"Rendimiento significativo",IF(AND(M2254&gt;#REF!,Cartera!O2254="Dólares americanos"),"Rendimiento significativo","Rendimiento no significativo"))</f>
        <v>#REF!</v>
      </c>
      <c r="O2254" s="5" t="s">
        <v>41</v>
      </c>
      <c r="P2254" s="12">
        <v>1418219.1780610001</v>
      </c>
      <c r="Q2254" s="12">
        <f>IF(O2254="Guaraníes",P2254,P2254*#REF!)</f>
        <v>1418219.1780610001</v>
      </c>
      <c r="R2254" s="12" t="e">
        <f>IF(O2254="Guaraníes",P2254/#REF!,P2254)</f>
        <v>#REF!</v>
      </c>
      <c r="S2254" s="5" t="s">
        <v>52</v>
      </c>
      <c r="T2254" s="5">
        <v>593</v>
      </c>
      <c r="W2254" s="5" t="s">
        <v>474</v>
      </c>
      <c r="X2254" s="5">
        <v>0</v>
      </c>
      <c r="Y2254" s="5">
        <v>0</v>
      </c>
      <c r="Z2254" s="5">
        <v>11917.808219</v>
      </c>
      <c r="AA2254" s="5">
        <v>119</v>
      </c>
      <c r="AB2254" s="5">
        <v>1418219.1780610001</v>
      </c>
      <c r="AC2254" s="5" t="str">
        <f t="shared" si="109"/>
        <v>Bonos</v>
      </c>
      <c r="AD2254" s="5" t="s">
        <v>43</v>
      </c>
      <c r="AE2254" s="5">
        <f t="shared" si="107"/>
        <v>5</v>
      </c>
      <c r="AF2254" s="5">
        <f t="shared" si="108"/>
        <v>2017</v>
      </c>
    </row>
    <row r="2255" s="5" customFormat="1" ht="13">
      <c r="A2255" s="5" t="s">
        <v>44</v>
      </c>
      <c r="B2255" s="5" t="s">
        <v>44</v>
      </c>
      <c r="C2255" s="5" t="s">
        <v>156</v>
      </c>
      <c r="D2255" s="5" t="s">
        <v>21</v>
      </c>
      <c r="E2255" s="5" t="s">
        <v>44</v>
      </c>
      <c r="F2255" s="5" t="s">
        <v>68</v>
      </c>
      <c r="G2255" s="5" t="s">
        <v>69</v>
      </c>
      <c r="H2255" s="9" t="s">
        <v>400</v>
      </c>
      <c r="I2255" s="10"/>
      <c r="J2255" s="10">
        <v>42895</v>
      </c>
      <c r="K2255" s="5" t="s">
        <v>158</v>
      </c>
      <c r="L2255" s="5" t="s">
        <v>58</v>
      </c>
      <c r="M2255" s="11">
        <v>0.155</v>
      </c>
      <c r="N2255" s="5" t="e">
        <f>IF(AND(M2255&gt;#REF!,Cartera!O2255="Guaraníes"),"Rendimiento significativo",IF(AND(M2255&gt;#REF!,Cartera!O2255="Dólares americanos"),"Rendimiento significativo","Rendimiento no significativo"))</f>
        <v>#REF!</v>
      </c>
      <c r="O2255" s="5" t="s">
        <v>41</v>
      </c>
      <c r="P2255" s="12">
        <v>1231506.8493000001</v>
      </c>
      <c r="Q2255" s="12">
        <f>IF(O2255="Guaraníes",P2255,P2255*#REF!)</f>
        <v>1231506.8493000001</v>
      </c>
      <c r="R2255" s="12" t="e">
        <f>IF(O2255="Guaraníes",P2255/#REF!,P2255)</f>
        <v>#REF!</v>
      </c>
      <c r="S2255" s="5" t="s">
        <v>52</v>
      </c>
      <c r="T2255" s="5">
        <v>593</v>
      </c>
      <c r="W2255" s="5" t="s">
        <v>475</v>
      </c>
      <c r="X2255" s="5">
        <v>0</v>
      </c>
      <c r="Y2255" s="5">
        <v>0</v>
      </c>
      <c r="Z2255" s="5">
        <v>12315.068493000001</v>
      </c>
      <c r="AA2255" s="5">
        <v>100</v>
      </c>
      <c r="AB2255" s="5">
        <v>1231506.8492999999</v>
      </c>
      <c r="AC2255" s="5" t="str">
        <f t="shared" si="109"/>
        <v>Bonos</v>
      </c>
      <c r="AD2255" s="5" t="s">
        <v>43</v>
      </c>
      <c r="AE2255" s="5">
        <f t="shared" si="107"/>
        <v>6</v>
      </c>
      <c r="AF2255" s="5">
        <f t="shared" si="108"/>
        <v>2017</v>
      </c>
    </row>
    <row r="2256" s="5" customFormat="1" ht="13">
      <c r="A2256" s="5" t="s">
        <v>44</v>
      </c>
      <c r="B2256" s="5" t="s">
        <v>44</v>
      </c>
      <c r="C2256" s="5" t="s">
        <v>156</v>
      </c>
      <c r="D2256" s="5" t="s">
        <v>21</v>
      </c>
      <c r="E2256" s="5" t="s">
        <v>44</v>
      </c>
      <c r="F2256" s="5" t="s">
        <v>68</v>
      </c>
      <c r="G2256" s="5" t="s">
        <v>69</v>
      </c>
      <c r="H2256" s="9" t="s">
        <v>407</v>
      </c>
      <c r="I2256" s="10"/>
      <c r="J2256" s="10">
        <v>42900</v>
      </c>
      <c r="K2256" s="5" t="s">
        <v>158</v>
      </c>
      <c r="L2256" s="5" t="s">
        <v>58</v>
      </c>
      <c r="M2256" s="11">
        <v>0.12</v>
      </c>
      <c r="N2256" s="5" t="e">
        <f>IF(AND(M2256&gt;#REF!,Cartera!O2256="Guaraníes"),"Rendimiento significativo",IF(AND(M2256&gt;#REF!,Cartera!O2256="Dólares americanos"),"Rendimiento significativo","Rendimiento no significativo"))</f>
        <v>#REF!</v>
      </c>
      <c r="O2256" s="5" t="s">
        <v>41</v>
      </c>
      <c r="P2256" s="12">
        <v>1271232.8767000001</v>
      </c>
      <c r="Q2256" s="12">
        <f>IF(O2256="Guaraníes",P2256,P2256*#REF!)</f>
        <v>1271232.8767000001</v>
      </c>
      <c r="R2256" s="12" t="e">
        <f>IF(O2256="Guaraníes",P2256/#REF!,P2256)</f>
        <v>#REF!</v>
      </c>
      <c r="S2256" s="5" t="s">
        <v>52</v>
      </c>
      <c r="T2256" s="5">
        <v>593</v>
      </c>
      <c r="W2256" s="5" t="s">
        <v>476</v>
      </c>
      <c r="X2256" s="5">
        <v>0</v>
      </c>
      <c r="Y2256" s="5">
        <v>0</v>
      </c>
      <c r="Z2256" s="5">
        <v>12712.328767000001</v>
      </c>
      <c r="AA2256" s="5">
        <v>100</v>
      </c>
      <c r="AB2256" s="5">
        <v>1271232.8766999999</v>
      </c>
      <c r="AC2256" s="5" t="str">
        <f t="shared" si="109"/>
        <v>Bonos</v>
      </c>
      <c r="AD2256" s="5" t="s">
        <v>43</v>
      </c>
      <c r="AE2256" s="5">
        <f t="shared" si="107"/>
        <v>6</v>
      </c>
      <c r="AF2256" s="5">
        <f t="shared" si="108"/>
        <v>2017</v>
      </c>
    </row>
    <row r="2257" s="5" customFormat="1" ht="13">
      <c r="A2257" s="5" t="s">
        <v>44</v>
      </c>
      <c r="B2257" s="5" t="s">
        <v>44</v>
      </c>
      <c r="C2257" s="5" t="s">
        <v>156</v>
      </c>
      <c r="D2257" s="5" t="s">
        <v>21</v>
      </c>
      <c r="E2257" s="5" t="s">
        <v>44</v>
      </c>
      <c r="F2257" s="5" t="s">
        <v>68</v>
      </c>
      <c r="G2257" s="5" t="s">
        <v>69</v>
      </c>
      <c r="H2257" s="9" t="s">
        <v>402</v>
      </c>
      <c r="I2257" s="10"/>
      <c r="J2257" s="10">
        <v>42905</v>
      </c>
      <c r="K2257" s="5" t="s">
        <v>158</v>
      </c>
      <c r="L2257" s="5" t="s">
        <v>58</v>
      </c>
      <c r="M2257" s="11">
        <v>0.17999999999999999</v>
      </c>
      <c r="N2257" s="5" t="e">
        <f>IF(AND(M2257&gt;#REF!,Cartera!O2257="Guaraníes"),"Rendimiento significativo",IF(AND(M2257&gt;#REF!,Cartera!O2257="Dólares americanos"),"Rendimiento significativo","Rendimiento no significativo"))</f>
        <v>#REF!</v>
      </c>
      <c r="O2257" s="5" t="s">
        <v>41</v>
      </c>
      <c r="P2257" s="12">
        <v>1146575.3424749998</v>
      </c>
      <c r="Q2257" s="12">
        <f>IF(O2257="Guaraníes",P2257,P2257*#REF!)</f>
        <v>1146575.3424749998</v>
      </c>
      <c r="R2257" s="12" t="e">
        <f>IF(O2257="Guaraníes",P2257/#REF!,P2257)</f>
        <v>#REF!</v>
      </c>
      <c r="S2257" s="5" t="s">
        <v>52</v>
      </c>
      <c r="T2257" s="5">
        <v>593</v>
      </c>
      <c r="W2257" s="5" t="s">
        <v>477</v>
      </c>
      <c r="X2257" s="5">
        <v>0</v>
      </c>
      <c r="Y2257" s="5">
        <v>0</v>
      </c>
      <c r="Z2257" s="5">
        <v>15287.671232999999</v>
      </c>
      <c r="AA2257" s="5">
        <v>75</v>
      </c>
      <c r="AB2257" s="5">
        <v>1146575.3424750001</v>
      </c>
      <c r="AC2257" s="5" t="str">
        <f t="shared" si="109"/>
        <v>Bonos</v>
      </c>
      <c r="AD2257" s="5" t="s">
        <v>43</v>
      </c>
      <c r="AE2257" s="5">
        <f t="shared" si="107"/>
        <v>6</v>
      </c>
      <c r="AF2257" s="5">
        <f t="shared" si="108"/>
        <v>2017</v>
      </c>
    </row>
    <row r="2258" s="5" customFormat="1" ht="13">
      <c r="A2258" s="5" t="s">
        <v>44</v>
      </c>
      <c r="B2258" s="5" t="s">
        <v>44</v>
      </c>
      <c r="C2258" s="5" t="s">
        <v>156</v>
      </c>
      <c r="D2258" s="5" t="s">
        <v>21</v>
      </c>
      <c r="E2258" s="5" t="s">
        <v>44</v>
      </c>
      <c r="F2258" s="5" t="s">
        <v>68</v>
      </c>
      <c r="G2258" s="5" t="s">
        <v>69</v>
      </c>
      <c r="H2258" s="9" t="s">
        <v>404</v>
      </c>
      <c r="I2258" s="10"/>
      <c r="J2258" s="10">
        <v>42912</v>
      </c>
      <c r="K2258" s="5" t="s">
        <v>158</v>
      </c>
      <c r="L2258" s="5" t="s">
        <v>58</v>
      </c>
      <c r="M2258" s="11">
        <v>0.14499999999999999</v>
      </c>
      <c r="N2258" s="5" t="e">
        <f>IF(AND(M2258&gt;#REF!,Cartera!O2258="Guaraníes"),"Rendimiento significativo",IF(AND(M2258&gt;#REF!,Cartera!O2258="Dólares americanos"),"Rendimiento significativo","Rendimiento no significativo"))</f>
        <v>#REF!</v>
      </c>
      <c r="O2258" s="5" t="s">
        <v>41</v>
      </c>
      <c r="P2258" s="12">
        <v>1560041.0958789999</v>
      </c>
      <c r="Q2258" s="12">
        <f>IF(O2258="Guaraníes",P2258,P2258*#REF!)</f>
        <v>1560041.0958789999</v>
      </c>
      <c r="R2258" s="12" t="e">
        <f>IF(O2258="Guaraníes",P2258/#REF!,P2258)</f>
        <v>#REF!</v>
      </c>
      <c r="S2258" s="5" t="s">
        <v>52</v>
      </c>
      <c r="T2258" s="5">
        <v>593</v>
      </c>
      <c r="W2258" s="5" t="s">
        <v>478</v>
      </c>
      <c r="X2258" s="5">
        <v>0</v>
      </c>
      <c r="Y2258" s="5">
        <v>0</v>
      </c>
      <c r="Z2258" s="5">
        <v>13109.589040999999</v>
      </c>
      <c r="AA2258" s="5">
        <v>119</v>
      </c>
      <c r="AB2258" s="5">
        <v>1560041.0958789999</v>
      </c>
      <c r="AC2258" s="5" t="str">
        <f t="shared" si="109"/>
        <v>Bonos</v>
      </c>
      <c r="AD2258" s="5" t="s">
        <v>43</v>
      </c>
      <c r="AE2258" s="5">
        <f t="shared" ref="AE2258:AE2321" si="110">IFERROR((MONTH(J2258)),0)</f>
        <v>6</v>
      </c>
      <c r="AF2258" s="5">
        <f t="shared" ref="AF2258:AF2321" si="111">IFERROR((YEAR(J2258)),0)</f>
        <v>2017</v>
      </c>
    </row>
    <row r="2259" s="5" customFormat="1" ht="13">
      <c r="A2259" s="5" t="s">
        <v>44</v>
      </c>
      <c r="B2259" s="5" t="s">
        <v>44</v>
      </c>
      <c r="C2259" s="5" t="s">
        <v>176</v>
      </c>
      <c r="D2259" s="5" t="s">
        <v>21</v>
      </c>
      <c r="E2259" s="5" t="s">
        <v>44</v>
      </c>
      <c r="F2259" s="5" t="s">
        <v>68</v>
      </c>
      <c r="G2259" s="5" t="s">
        <v>69</v>
      </c>
      <c r="H2259" s="9" t="s">
        <v>479</v>
      </c>
      <c r="I2259" s="10"/>
      <c r="J2259" s="10">
        <v>42914</v>
      </c>
      <c r="K2259" s="5" t="s">
        <v>178</v>
      </c>
      <c r="L2259" s="5" t="s">
        <v>58</v>
      </c>
      <c r="M2259" s="11">
        <v>0.074999999999999997</v>
      </c>
      <c r="N2259" s="5" t="e">
        <f>IF(AND(M2259&gt;#REF!,Cartera!O2259="Guaraníes"),"Rendimiento significativo",IF(AND(M2259&gt;#REF!,Cartera!O2259="Dólares americanos"),"Rendimiento significativo","Rendimiento no significativo"))</f>
        <v>#REF!</v>
      </c>
      <c r="O2259" s="5" t="s">
        <v>51</v>
      </c>
      <c r="P2259" s="13">
        <v>635.75342999999998</v>
      </c>
      <c r="Q2259" s="12" t="e">
        <f>IF(O2259="Guaraníes",P2259,P2259*#REF!)</f>
        <v>#REF!</v>
      </c>
      <c r="R2259" s="12">
        <f>IF(O2259="Guaraníes",P2259/#REF!,P2259)</f>
        <v>635.75342999999998</v>
      </c>
      <c r="S2259" s="5" t="s">
        <v>52</v>
      </c>
      <c r="T2259" s="5">
        <v>593</v>
      </c>
      <c r="W2259" s="5" t="s">
        <v>196</v>
      </c>
      <c r="X2259" s="5">
        <v>0</v>
      </c>
      <c r="Y2259" s="5">
        <v>0</v>
      </c>
      <c r="Z2259" s="5">
        <v>21.191780999999999</v>
      </c>
      <c r="AA2259" s="5">
        <v>30</v>
      </c>
      <c r="AB2259" s="5">
        <v>635.75342999999998</v>
      </c>
      <c r="AC2259" s="5" t="str">
        <f t="shared" si="109"/>
        <v>Bonos</v>
      </c>
      <c r="AD2259" s="5" t="s">
        <v>43</v>
      </c>
      <c r="AE2259" s="5">
        <f t="shared" si="110"/>
        <v>6</v>
      </c>
      <c r="AF2259" s="5">
        <f t="shared" si="111"/>
        <v>2017</v>
      </c>
    </row>
    <row r="2260" s="5" customFormat="1" ht="13">
      <c r="A2260" s="5" t="s">
        <v>44</v>
      </c>
      <c r="B2260" s="5" t="s">
        <v>44</v>
      </c>
      <c r="C2260" s="5" t="s">
        <v>156</v>
      </c>
      <c r="D2260" s="5" t="s">
        <v>21</v>
      </c>
      <c r="E2260" s="5" t="s">
        <v>44</v>
      </c>
      <c r="F2260" s="5" t="s">
        <v>68</v>
      </c>
      <c r="G2260" s="5" t="s">
        <v>69</v>
      </c>
      <c r="H2260" s="9" t="s">
        <v>400</v>
      </c>
      <c r="I2260" s="10"/>
      <c r="J2260" s="10">
        <v>42927</v>
      </c>
      <c r="K2260" s="5" t="s">
        <v>158</v>
      </c>
      <c r="L2260" s="5" t="s">
        <v>58</v>
      </c>
      <c r="M2260" s="11">
        <v>0.155</v>
      </c>
      <c r="N2260" s="5" t="e">
        <f>IF(AND(M2260&gt;#REF!,Cartera!O2260="Guaraníes"),"Rendimiento significativo",IF(AND(M2260&gt;#REF!,Cartera!O2260="Dólares americanos"),"Rendimiento significativo","Rendimiento no significativo"))</f>
        <v>#REF!</v>
      </c>
      <c r="O2260" s="5" t="s">
        <v>41</v>
      </c>
      <c r="P2260" s="12">
        <v>1358904.1096000001</v>
      </c>
      <c r="Q2260" s="12">
        <f>IF(O2260="Guaraníes",P2260,P2260*#REF!)</f>
        <v>1358904.1096000001</v>
      </c>
      <c r="R2260" s="12" t="e">
        <f>IF(O2260="Guaraníes",P2260/#REF!,P2260)</f>
        <v>#REF!</v>
      </c>
      <c r="S2260" s="5" t="s">
        <v>52</v>
      </c>
      <c r="T2260" s="5">
        <v>593</v>
      </c>
      <c r="W2260" s="5" t="s">
        <v>406</v>
      </c>
      <c r="X2260" s="5">
        <v>0</v>
      </c>
      <c r="Y2260" s="5">
        <v>0</v>
      </c>
      <c r="Z2260" s="5">
        <v>13589.041096000001</v>
      </c>
      <c r="AA2260" s="5">
        <v>100</v>
      </c>
      <c r="AB2260" s="5">
        <v>1358904.1096000001</v>
      </c>
      <c r="AC2260" s="5" t="str">
        <f t="shared" si="109"/>
        <v>Bonos</v>
      </c>
      <c r="AD2260" s="5" t="s">
        <v>43</v>
      </c>
      <c r="AE2260" s="5">
        <f t="shared" si="110"/>
        <v>7</v>
      </c>
      <c r="AF2260" s="5">
        <f t="shared" si="111"/>
        <v>2017</v>
      </c>
    </row>
    <row r="2261" s="5" customFormat="1" ht="13">
      <c r="A2261" s="5" t="s">
        <v>44</v>
      </c>
      <c r="B2261" s="5" t="s">
        <v>44</v>
      </c>
      <c r="C2261" s="5" t="s">
        <v>156</v>
      </c>
      <c r="D2261" s="5" t="s">
        <v>21</v>
      </c>
      <c r="E2261" s="5" t="s">
        <v>44</v>
      </c>
      <c r="F2261" s="5" t="s">
        <v>68</v>
      </c>
      <c r="G2261" s="5" t="s">
        <v>69</v>
      </c>
      <c r="H2261" s="9" t="s">
        <v>407</v>
      </c>
      <c r="I2261" s="10"/>
      <c r="J2261" s="10">
        <v>42930</v>
      </c>
      <c r="K2261" s="5" t="s">
        <v>158</v>
      </c>
      <c r="L2261" s="5" t="s">
        <v>58</v>
      </c>
      <c r="M2261" s="11">
        <v>0.12</v>
      </c>
      <c r="N2261" s="5" t="e">
        <f>IF(AND(M2261&gt;#REF!,Cartera!O2261="Guaraníes"),"Rendimiento significativo",IF(AND(M2261&gt;#REF!,Cartera!O2261="Dólares americanos"),"Rendimiento significativo","Rendimiento no significativo"))</f>
        <v>#REF!</v>
      </c>
      <c r="O2261" s="5" t="s">
        <v>41</v>
      </c>
      <c r="P2261" s="12">
        <v>1315068.4931999999</v>
      </c>
      <c r="Q2261" s="12">
        <f>IF(O2261="Guaraníes",P2261,P2261*#REF!)</f>
        <v>1315068.4931999999</v>
      </c>
      <c r="R2261" s="12" t="e">
        <f>IF(O2261="Guaraníes",P2261/#REF!,P2261)</f>
        <v>#REF!</v>
      </c>
      <c r="S2261" s="5" t="s">
        <v>52</v>
      </c>
      <c r="T2261" s="5">
        <v>593</v>
      </c>
      <c r="W2261" s="5" t="s">
        <v>480</v>
      </c>
      <c r="X2261" s="5">
        <v>0</v>
      </c>
      <c r="Y2261" s="5">
        <v>0</v>
      </c>
      <c r="Z2261" s="5">
        <v>13150.684932</v>
      </c>
      <c r="AA2261" s="5">
        <v>100</v>
      </c>
      <c r="AB2261" s="5">
        <v>1315068.4931999999</v>
      </c>
      <c r="AC2261" s="5" t="str">
        <f t="shared" si="109"/>
        <v>Bonos</v>
      </c>
      <c r="AD2261" s="5" t="s">
        <v>43</v>
      </c>
      <c r="AE2261" s="5">
        <f t="shared" si="110"/>
        <v>7</v>
      </c>
      <c r="AF2261" s="5">
        <f t="shared" si="111"/>
        <v>2017</v>
      </c>
    </row>
    <row r="2262" s="5" customFormat="1" ht="13">
      <c r="A2262" s="5" t="s">
        <v>44</v>
      </c>
      <c r="B2262" s="5" t="s">
        <v>44</v>
      </c>
      <c r="C2262" s="5" t="s">
        <v>156</v>
      </c>
      <c r="D2262" s="5" t="s">
        <v>21</v>
      </c>
      <c r="E2262" s="5" t="s">
        <v>44</v>
      </c>
      <c r="F2262" s="5" t="s">
        <v>68</v>
      </c>
      <c r="G2262" s="5" t="s">
        <v>69</v>
      </c>
      <c r="H2262" s="9" t="s">
        <v>402</v>
      </c>
      <c r="I2262" s="10"/>
      <c r="J2262" s="10">
        <v>42935</v>
      </c>
      <c r="K2262" s="5" t="s">
        <v>158</v>
      </c>
      <c r="L2262" s="5" t="s">
        <v>58</v>
      </c>
      <c r="M2262" s="11">
        <v>0.17999999999999999</v>
      </c>
      <c r="N2262" s="5" t="e">
        <f>IF(AND(M2262&gt;#REF!,Cartera!O2262="Guaraníes"),"Rendimiento significativo",IF(AND(M2262&gt;#REF!,Cartera!O2262="Dólares americanos"),"Rendimiento significativo","Rendimiento no significativo"))</f>
        <v>#REF!</v>
      </c>
      <c r="O2262" s="5" t="s">
        <v>41</v>
      </c>
      <c r="P2262" s="12">
        <v>1109589.0411</v>
      </c>
      <c r="Q2262" s="12">
        <f>IF(O2262="Guaraníes",P2262,P2262*#REF!)</f>
        <v>1109589.0411</v>
      </c>
      <c r="R2262" s="12" t="e">
        <f>IF(O2262="Guaraníes",P2262/#REF!,P2262)</f>
        <v>#REF!</v>
      </c>
      <c r="S2262" s="5" t="s">
        <v>52</v>
      </c>
      <c r="T2262" s="5">
        <v>593</v>
      </c>
      <c r="W2262" s="5" t="s">
        <v>481</v>
      </c>
      <c r="X2262" s="5">
        <v>0</v>
      </c>
      <c r="Y2262" s="5">
        <v>0</v>
      </c>
      <c r="Z2262" s="5">
        <v>14794.520548</v>
      </c>
      <c r="AA2262" s="5">
        <v>75</v>
      </c>
      <c r="AB2262" s="5">
        <v>1109589.0411</v>
      </c>
      <c r="AC2262" s="5" t="str">
        <f t="shared" si="109"/>
        <v>Bonos</v>
      </c>
      <c r="AD2262" s="5" t="s">
        <v>43</v>
      </c>
      <c r="AE2262" s="5">
        <f t="shared" si="110"/>
        <v>7</v>
      </c>
      <c r="AF2262" s="5">
        <f t="shared" si="111"/>
        <v>2017</v>
      </c>
    </row>
    <row r="2263" s="5" customFormat="1" ht="13">
      <c r="A2263" s="5" t="s">
        <v>44</v>
      </c>
      <c r="B2263" s="5" t="s">
        <v>44</v>
      </c>
      <c r="C2263" s="5" t="s">
        <v>156</v>
      </c>
      <c r="D2263" s="5" t="s">
        <v>21</v>
      </c>
      <c r="E2263" s="5" t="s">
        <v>44</v>
      </c>
      <c r="F2263" s="5" t="s">
        <v>68</v>
      </c>
      <c r="G2263" s="5" t="s">
        <v>69</v>
      </c>
      <c r="H2263" s="9" t="s">
        <v>404</v>
      </c>
      <c r="I2263" s="10"/>
      <c r="J2263" s="10">
        <v>42940</v>
      </c>
      <c r="K2263" s="5" t="s">
        <v>158</v>
      </c>
      <c r="L2263" s="5" t="s">
        <v>58</v>
      </c>
      <c r="M2263" s="11">
        <v>0.14499999999999999</v>
      </c>
      <c r="N2263" s="5" t="e">
        <f>IF(AND(M2263&gt;#REF!,Cartera!O2263="Guaraníes"),"Rendimiento significativo",IF(AND(M2263&gt;#REF!,Cartera!O2263="Dólares americanos"),"Rendimiento significativo","Rendimiento no significativo"))</f>
        <v>#REF!</v>
      </c>
      <c r="O2263" s="5" t="s">
        <v>41</v>
      </c>
      <c r="P2263" s="12">
        <v>1323671.232849</v>
      </c>
      <c r="Q2263" s="12">
        <f>IF(O2263="Guaraníes",P2263,P2263*#REF!)</f>
        <v>1323671.232849</v>
      </c>
      <c r="R2263" s="12" t="e">
        <f>IF(O2263="Guaraníes",P2263/#REF!,P2263)</f>
        <v>#REF!</v>
      </c>
      <c r="S2263" s="5" t="s">
        <v>52</v>
      </c>
      <c r="T2263" s="5">
        <v>593</v>
      </c>
      <c r="W2263" s="5" t="s">
        <v>482</v>
      </c>
      <c r="X2263" s="5">
        <v>0</v>
      </c>
      <c r="Y2263" s="5">
        <v>0</v>
      </c>
      <c r="Z2263" s="5">
        <v>11123.287671</v>
      </c>
      <c r="AA2263" s="5">
        <v>119</v>
      </c>
      <c r="AB2263" s="5">
        <v>1323671.232849</v>
      </c>
      <c r="AC2263" s="5" t="str">
        <f t="shared" si="109"/>
        <v>Bonos</v>
      </c>
      <c r="AD2263" s="5" t="s">
        <v>43</v>
      </c>
      <c r="AE2263" s="5">
        <f t="shared" si="110"/>
        <v>7</v>
      </c>
      <c r="AF2263" s="5">
        <f t="shared" si="111"/>
        <v>2017</v>
      </c>
    </row>
    <row r="2264" s="5" customFormat="1" ht="13">
      <c r="A2264" s="5" t="s">
        <v>44</v>
      </c>
      <c r="B2264" s="5" t="s">
        <v>44</v>
      </c>
      <c r="C2264" s="5" t="s">
        <v>99</v>
      </c>
      <c r="D2264" s="5" t="s">
        <v>21</v>
      </c>
      <c r="E2264" s="5" t="s">
        <v>44</v>
      </c>
      <c r="F2264" s="5" t="s">
        <v>100</v>
      </c>
      <c r="G2264" s="5" t="s">
        <v>69</v>
      </c>
      <c r="H2264" s="9" t="s">
        <v>238</v>
      </c>
      <c r="I2264" s="10"/>
      <c r="J2264" s="10">
        <v>42949</v>
      </c>
      <c r="K2264" s="5" t="s">
        <v>102</v>
      </c>
      <c r="L2264" s="5" t="s">
        <v>102</v>
      </c>
      <c r="M2264" s="11">
        <v>0.070000000000000007</v>
      </c>
      <c r="N2264" s="5" t="e">
        <f>IF(AND(M2264&gt;#REF!,Cartera!O2264="Guaraníes"),"Rendimiento significativo",IF(AND(M2264&gt;#REF!,Cartera!O2264="Dólares americanos"),"Rendimiento significativo","Rendimiento no significativo"))</f>
        <v>#REF!</v>
      </c>
      <c r="O2264" s="5" t="s">
        <v>41</v>
      </c>
      <c r="P2264" s="12">
        <v>2008356.1644000001</v>
      </c>
      <c r="Q2264" s="12">
        <f>IF(O2264="Guaraníes",P2264,P2264*#REF!)</f>
        <v>2008356.1644000001</v>
      </c>
      <c r="R2264" s="12" t="e">
        <f>IF(O2264="Guaraníes",P2264/#REF!,P2264)</f>
        <v>#REF!</v>
      </c>
      <c r="S2264" s="5" t="s">
        <v>52</v>
      </c>
      <c r="T2264" s="5">
        <v>593</v>
      </c>
      <c r="W2264" s="5" t="s">
        <v>483</v>
      </c>
      <c r="X2264" s="5">
        <v>0</v>
      </c>
      <c r="Y2264" s="5">
        <v>0</v>
      </c>
      <c r="Z2264" s="5">
        <v>40167.123288000003</v>
      </c>
      <c r="AA2264" s="5">
        <v>50</v>
      </c>
      <c r="AB2264" s="5">
        <v>2008356.1643999999</v>
      </c>
      <c r="AC2264" s="5" t="str">
        <f t="shared" si="109"/>
        <v>Bonos</v>
      </c>
      <c r="AD2264" s="5" t="s">
        <v>43</v>
      </c>
      <c r="AE2264" s="5">
        <f t="shared" si="110"/>
        <v>8</v>
      </c>
      <c r="AF2264" s="5">
        <f t="shared" si="111"/>
        <v>2017</v>
      </c>
    </row>
    <row r="2265" s="5" customFormat="1" ht="13">
      <c r="A2265" s="5" t="s">
        <v>44</v>
      </c>
      <c r="B2265" s="5" t="s">
        <v>44</v>
      </c>
      <c r="C2265" s="5" t="s">
        <v>156</v>
      </c>
      <c r="D2265" s="5" t="s">
        <v>21</v>
      </c>
      <c r="E2265" s="5" t="s">
        <v>44</v>
      </c>
      <c r="F2265" s="5" t="s">
        <v>68</v>
      </c>
      <c r="G2265" s="5" t="s">
        <v>69</v>
      </c>
      <c r="H2265" s="9" t="s">
        <v>400</v>
      </c>
      <c r="I2265" s="10"/>
      <c r="J2265" s="10">
        <v>42958</v>
      </c>
      <c r="K2265" s="5" t="s">
        <v>158</v>
      </c>
      <c r="L2265" s="5" t="s">
        <v>58</v>
      </c>
      <c r="M2265" s="11">
        <v>0.155</v>
      </c>
      <c r="N2265" s="5" t="e">
        <f>IF(AND(M2265&gt;#REF!,Cartera!O2265="Guaraníes"),"Rendimiento significativo",IF(AND(M2265&gt;#REF!,Cartera!O2265="Dólares americanos"),"Rendimiento significativo","Rendimiento no significativo"))</f>
        <v>#REF!</v>
      </c>
      <c r="O2265" s="5" t="s">
        <v>41</v>
      </c>
      <c r="P2265" s="12">
        <v>1316438.3562</v>
      </c>
      <c r="Q2265" s="12">
        <f>IF(O2265="Guaraníes",P2265,P2265*#REF!)</f>
        <v>1316438.3562</v>
      </c>
      <c r="R2265" s="12" t="e">
        <f>IF(O2265="Guaraníes",P2265/#REF!,P2265)</f>
        <v>#REF!</v>
      </c>
      <c r="S2265" s="5" t="s">
        <v>52</v>
      </c>
      <c r="T2265" s="5">
        <v>593</v>
      </c>
      <c r="W2265" s="5" t="s">
        <v>406</v>
      </c>
      <c r="X2265" s="5">
        <v>0</v>
      </c>
      <c r="Y2265" s="5">
        <v>0</v>
      </c>
      <c r="Z2265" s="5">
        <v>13164.383562000001</v>
      </c>
      <c r="AA2265" s="5">
        <v>100</v>
      </c>
      <c r="AB2265" s="5">
        <v>1316438.3562</v>
      </c>
      <c r="AC2265" s="5" t="str">
        <f t="shared" si="109"/>
        <v>Bonos</v>
      </c>
      <c r="AD2265" s="5" t="s">
        <v>43</v>
      </c>
      <c r="AE2265" s="5">
        <f t="shared" si="110"/>
        <v>8</v>
      </c>
      <c r="AF2265" s="5">
        <f t="shared" si="111"/>
        <v>2017</v>
      </c>
    </row>
    <row r="2266" s="5" customFormat="1" ht="13">
      <c r="A2266" s="5" t="s">
        <v>44</v>
      </c>
      <c r="B2266" s="5" t="s">
        <v>44</v>
      </c>
      <c r="C2266" s="5" t="s">
        <v>457</v>
      </c>
      <c r="D2266" s="5" t="s">
        <v>21</v>
      </c>
      <c r="E2266" s="5" t="s">
        <v>44</v>
      </c>
      <c r="F2266" s="5" t="s">
        <v>100</v>
      </c>
      <c r="G2266" s="5" t="s">
        <v>69</v>
      </c>
      <c r="H2266" s="9" t="s">
        <v>458</v>
      </c>
      <c r="I2266" s="10"/>
      <c r="J2266" s="10">
        <v>42958</v>
      </c>
      <c r="K2266" s="5" t="s">
        <v>173</v>
      </c>
      <c r="L2266" s="5" t="s">
        <v>58</v>
      </c>
      <c r="M2266" s="11">
        <v>0.13500000000000001</v>
      </c>
      <c r="N2266" s="5" t="e">
        <f>IF(AND(M2266&gt;#REF!,Cartera!O2266="Guaraníes"),"Rendimiento significativo",IF(AND(M2266&gt;#REF!,Cartera!O2266="Dólares americanos"),"Rendimiento significativo","Rendimiento no significativo"))</f>
        <v>#REF!</v>
      </c>
      <c r="O2266" s="5" t="s">
        <v>41</v>
      </c>
      <c r="P2266" s="12">
        <v>4846684.9314959999</v>
      </c>
      <c r="Q2266" s="12">
        <f>IF(O2266="Guaraníes",P2266,P2266*#REF!)</f>
        <v>4846684.9314959999</v>
      </c>
      <c r="R2266" s="12" t="e">
        <f>IF(O2266="Guaraníes",P2266/#REF!,P2266)</f>
        <v>#REF!</v>
      </c>
      <c r="S2266" s="5" t="s">
        <v>52</v>
      </c>
      <c r="T2266" s="5">
        <v>593</v>
      </c>
      <c r="W2266" s="5" t="s">
        <v>484</v>
      </c>
      <c r="X2266" s="5">
        <v>0</v>
      </c>
      <c r="Y2266" s="5">
        <v>0</v>
      </c>
      <c r="Z2266" s="5">
        <v>67315.068492999999</v>
      </c>
      <c r="AA2266" s="5">
        <v>72</v>
      </c>
      <c r="AB2266" s="5">
        <v>4846684.9314959999</v>
      </c>
      <c r="AC2266" s="5" t="str">
        <f t="shared" si="109"/>
        <v>Bonos</v>
      </c>
      <c r="AD2266" s="5" t="s">
        <v>43</v>
      </c>
      <c r="AE2266" s="5">
        <f t="shared" si="110"/>
        <v>8</v>
      </c>
      <c r="AF2266" s="5">
        <f t="shared" si="111"/>
        <v>2017</v>
      </c>
    </row>
    <row r="2267" s="5" customFormat="1" ht="13">
      <c r="A2267" s="5" t="s">
        <v>44</v>
      </c>
      <c r="B2267" s="5" t="s">
        <v>44</v>
      </c>
      <c r="C2267" s="5" t="s">
        <v>457</v>
      </c>
      <c r="D2267" s="5" t="s">
        <v>21</v>
      </c>
      <c r="E2267" s="5" t="s">
        <v>44</v>
      </c>
      <c r="F2267" s="5" t="s">
        <v>100</v>
      </c>
      <c r="G2267" s="5" t="s">
        <v>69</v>
      </c>
      <c r="H2267" s="9" t="s">
        <v>459</v>
      </c>
      <c r="I2267" s="10"/>
      <c r="J2267" s="10">
        <v>42958</v>
      </c>
      <c r="K2267" s="5" t="s">
        <v>173</v>
      </c>
      <c r="L2267" s="5" t="s">
        <v>58</v>
      </c>
      <c r="M2267" s="11">
        <v>0.14499999999999999</v>
      </c>
      <c r="N2267" s="5" t="e">
        <f>IF(AND(M2267&gt;#REF!,Cartera!O2267="Guaraníes"),"Rendimiento significativo",IF(AND(M2267&gt;#REF!,Cartera!O2267="Dólares americanos"),"Rendimiento significativo","Rendimiento no significativo"))</f>
        <v>#REF!</v>
      </c>
      <c r="O2267" s="5" t="s">
        <v>41</v>
      </c>
      <c r="P2267" s="12">
        <v>2024438.356164</v>
      </c>
      <c r="Q2267" s="12">
        <f>IF(O2267="Guaraníes",P2267,P2267*#REF!)</f>
        <v>2024438.356164</v>
      </c>
      <c r="R2267" s="12" t="e">
        <f>IF(O2267="Guaraníes",P2267/#REF!,P2267)</f>
        <v>#REF!</v>
      </c>
      <c r="S2267" s="5" t="s">
        <v>52</v>
      </c>
      <c r="T2267" s="5">
        <v>593</v>
      </c>
      <c r="W2267" s="5" t="s">
        <v>297</v>
      </c>
      <c r="X2267" s="5">
        <v>0</v>
      </c>
      <c r="Y2267" s="5">
        <v>0</v>
      </c>
      <c r="Z2267" s="5">
        <v>72301.369863</v>
      </c>
      <c r="AA2267" s="5">
        <v>28</v>
      </c>
      <c r="AB2267" s="5">
        <v>2024438.356164</v>
      </c>
      <c r="AC2267" s="5" t="str">
        <f t="shared" si="109"/>
        <v>Bonos</v>
      </c>
      <c r="AD2267" s="5" t="s">
        <v>43</v>
      </c>
      <c r="AE2267" s="5">
        <f t="shared" si="110"/>
        <v>8</v>
      </c>
      <c r="AF2267" s="5">
        <f t="shared" si="111"/>
        <v>2017</v>
      </c>
    </row>
    <row r="2268" s="5" customFormat="1" ht="13">
      <c r="A2268" s="5" t="s">
        <v>44</v>
      </c>
      <c r="B2268" s="5" t="s">
        <v>44</v>
      </c>
      <c r="C2268" s="5" t="s">
        <v>156</v>
      </c>
      <c r="D2268" s="5" t="s">
        <v>21</v>
      </c>
      <c r="E2268" s="5" t="s">
        <v>44</v>
      </c>
      <c r="F2268" s="5" t="s">
        <v>68</v>
      </c>
      <c r="G2268" s="5" t="s">
        <v>69</v>
      </c>
      <c r="H2268" s="9" t="s">
        <v>407</v>
      </c>
      <c r="I2268" s="10"/>
      <c r="J2268" s="10">
        <v>42961</v>
      </c>
      <c r="K2268" s="5" t="s">
        <v>158</v>
      </c>
      <c r="L2268" s="5" t="s">
        <v>58</v>
      </c>
      <c r="M2268" s="11">
        <v>0.12</v>
      </c>
      <c r="N2268" s="5" t="e">
        <f>IF(AND(M2268&gt;#REF!,Cartera!O2268="Guaraníes"),"Rendimiento significativo",IF(AND(M2268&gt;#REF!,Cartera!O2268="Dólares americanos"),"Rendimiento significativo","Rendimiento no significativo"))</f>
        <v>#REF!</v>
      </c>
      <c r="O2268" s="5" t="s">
        <v>41</v>
      </c>
      <c r="P2268" s="12">
        <v>1358904.1096000001</v>
      </c>
      <c r="Q2268" s="12">
        <f>IF(O2268="Guaraníes",P2268,P2268*#REF!)</f>
        <v>1358904.1096000001</v>
      </c>
      <c r="R2268" s="12" t="e">
        <f>IF(O2268="Guaraníes",P2268/#REF!,P2268)</f>
        <v>#REF!</v>
      </c>
      <c r="S2268" s="5" t="s">
        <v>52</v>
      </c>
      <c r="T2268" s="5">
        <v>593</v>
      </c>
      <c r="W2268" s="5" t="s">
        <v>412</v>
      </c>
      <c r="X2268" s="5">
        <v>0</v>
      </c>
      <c r="Y2268" s="5">
        <v>0</v>
      </c>
      <c r="Z2268" s="5">
        <v>13589.041096000001</v>
      </c>
      <c r="AA2268" s="5">
        <v>100</v>
      </c>
      <c r="AB2268" s="5">
        <v>1358904.1096000001</v>
      </c>
      <c r="AC2268" s="5" t="str">
        <f t="shared" si="109"/>
        <v>Bonos</v>
      </c>
      <c r="AD2268" s="5" t="s">
        <v>43</v>
      </c>
      <c r="AE2268" s="5">
        <f t="shared" si="110"/>
        <v>8</v>
      </c>
      <c r="AF2268" s="5">
        <f t="shared" si="111"/>
        <v>2017</v>
      </c>
    </row>
    <row r="2269" s="5" customFormat="1" ht="13">
      <c r="A2269" s="5" t="s">
        <v>44</v>
      </c>
      <c r="B2269" s="5" t="s">
        <v>44</v>
      </c>
      <c r="C2269" s="5" t="s">
        <v>156</v>
      </c>
      <c r="D2269" s="5" t="s">
        <v>21</v>
      </c>
      <c r="E2269" s="5" t="s">
        <v>44</v>
      </c>
      <c r="F2269" s="5" t="s">
        <v>68</v>
      </c>
      <c r="G2269" s="5" t="s">
        <v>69</v>
      </c>
      <c r="H2269" s="9" t="s">
        <v>402</v>
      </c>
      <c r="I2269" s="10"/>
      <c r="J2269" s="10">
        <v>42965</v>
      </c>
      <c r="K2269" s="5" t="s">
        <v>158</v>
      </c>
      <c r="L2269" s="5" t="s">
        <v>58</v>
      </c>
      <c r="M2269" s="11">
        <v>0.17999999999999999</v>
      </c>
      <c r="N2269" s="5" t="e">
        <f>IF(AND(M2269&gt;#REF!,Cartera!O2269="Guaraníes"),"Rendimiento significativo",IF(AND(M2269&gt;#REF!,Cartera!O2269="Dólares americanos"),"Rendimiento significativo","Rendimiento no significativo"))</f>
        <v>#REF!</v>
      </c>
      <c r="O2269" s="5" t="s">
        <v>41</v>
      </c>
      <c r="P2269" s="12">
        <v>1109589.0411</v>
      </c>
      <c r="Q2269" s="12">
        <f>IF(O2269="Guaraníes",P2269,P2269*#REF!)</f>
        <v>1109589.0411</v>
      </c>
      <c r="R2269" s="12" t="e">
        <f>IF(O2269="Guaraníes",P2269/#REF!,P2269)</f>
        <v>#REF!</v>
      </c>
      <c r="S2269" s="5" t="s">
        <v>52</v>
      </c>
      <c r="T2269" s="5">
        <v>593</v>
      </c>
      <c r="W2269" s="5" t="s">
        <v>413</v>
      </c>
      <c r="X2269" s="5">
        <v>0</v>
      </c>
      <c r="Y2269" s="5">
        <v>0</v>
      </c>
      <c r="Z2269" s="5">
        <v>14794.520548</v>
      </c>
      <c r="AA2269" s="5">
        <v>75</v>
      </c>
      <c r="AB2269" s="5">
        <v>1109589.0411</v>
      </c>
      <c r="AC2269" s="5" t="str">
        <f t="shared" si="109"/>
        <v>Bonos</v>
      </c>
      <c r="AD2269" s="5" t="s">
        <v>43</v>
      </c>
      <c r="AE2269" s="5">
        <f t="shared" si="110"/>
        <v>8</v>
      </c>
      <c r="AF2269" s="5">
        <f t="shared" si="111"/>
        <v>2017</v>
      </c>
    </row>
    <row r="2270" s="5" customFormat="1" ht="13">
      <c r="A2270" s="5" t="s">
        <v>44</v>
      </c>
      <c r="B2270" s="5" t="s">
        <v>44</v>
      </c>
      <c r="C2270" s="5" t="s">
        <v>156</v>
      </c>
      <c r="D2270" s="5" t="s">
        <v>21</v>
      </c>
      <c r="E2270" s="5" t="s">
        <v>44</v>
      </c>
      <c r="F2270" s="5" t="s">
        <v>68</v>
      </c>
      <c r="G2270" s="5" t="s">
        <v>69</v>
      </c>
      <c r="H2270" s="9" t="s">
        <v>404</v>
      </c>
      <c r="I2270" s="10"/>
      <c r="J2270" s="10">
        <v>42971</v>
      </c>
      <c r="K2270" s="5" t="s">
        <v>158</v>
      </c>
      <c r="L2270" s="5" t="s">
        <v>58</v>
      </c>
      <c r="M2270" s="11">
        <v>0.14499999999999999</v>
      </c>
      <c r="N2270" s="5" t="e">
        <f>IF(AND(M2270&gt;#REF!,Cartera!O2270="Guaraníes"),"Rendimiento significativo",IF(AND(M2270&gt;#REF!,Cartera!O2270="Dólares americanos"),"Rendimiento significativo","Rendimiento no significativo"))</f>
        <v>#REF!</v>
      </c>
      <c r="O2270" s="5" t="s">
        <v>41</v>
      </c>
      <c r="P2270" s="12">
        <v>1465493.1506670001</v>
      </c>
      <c r="Q2270" s="12">
        <f>IF(O2270="Guaraníes",P2270,P2270*#REF!)</f>
        <v>1465493.1506670001</v>
      </c>
      <c r="R2270" s="12" t="e">
        <f>IF(O2270="Guaraníes",P2270/#REF!,P2270)</f>
        <v>#REF!</v>
      </c>
      <c r="S2270" s="5" t="s">
        <v>52</v>
      </c>
      <c r="T2270" s="5">
        <v>593</v>
      </c>
      <c r="W2270" s="5" t="s">
        <v>414</v>
      </c>
      <c r="X2270" s="5">
        <v>0</v>
      </c>
      <c r="Y2270" s="5">
        <v>0</v>
      </c>
      <c r="Z2270" s="5">
        <v>12315.068493000001</v>
      </c>
      <c r="AA2270" s="5">
        <v>119</v>
      </c>
      <c r="AB2270" s="5">
        <v>1465493.1506670001</v>
      </c>
      <c r="AC2270" s="5" t="str">
        <f t="shared" si="109"/>
        <v>Bonos</v>
      </c>
      <c r="AD2270" s="5" t="s">
        <v>43</v>
      </c>
      <c r="AE2270" s="5">
        <f t="shared" si="110"/>
        <v>8</v>
      </c>
      <c r="AF2270" s="5">
        <f t="shared" si="111"/>
        <v>2017</v>
      </c>
    </row>
    <row r="2271" s="5" customFormat="1" ht="13">
      <c r="A2271" s="5" t="s">
        <v>44</v>
      </c>
      <c r="B2271" s="5" t="s">
        <v>44</v>
      </c>
      <c r="C2271" s="5" t="s">
        <v>156</v>
      </c>
      <c r="D2271" s="5" t="s">
        <v>21</v>
      </c>
      <c r="E2271" s="5" t="s">
        <v>44</v>
      </c>
      <c r="F2271" s="5" t="s">
        <v>68</v>
      </c>
      <c r="G2271" s="5" t="s">
        <v>69</v>
      </c>
      <c r="H2271" s="9" t="s">
        <v>485</v>
      </c>
      <c r="I2271" s="10"/>
      <c r="J2271" s="10">
        <v>42984</v>
      </c>
      <c r="K2271" s="5" t="s">
        <v>158</v>
      </c>
      <c r="L2271" s="5" t="s">
        <v>58</v>
      </c>
      <c r="M2271" s="11">
        <v>0.17999999999999999</v>
      </c>
      <c r="N2271" s="5" t="e">
        <f>IF(AND(M2271&gt;#REF!,Cartera!O2271="Guaraníes"),"Rendimiento significativo",IF(AND(M2271&gt;#REF!,Cartera!O2271="Dólares americanos"),"Rendimiento significativo","Rendimiento no significativo"))</f>
        <v>#REF!</v>
      </c>
      <c r="O2271" s="5" t="s">
        <v>41</v>
      </c>
      <c r="P2271" s="12">
        <v>3358356.1643960001</v>
      </c>
      <c r="Q2271" s="12">
        <f>IF(O2271="Guaraníes",P2271,P2271*#REF!)</f>
        <v>3358356.1643960001</v>
      </c>
      <c r="R2271" s="12" t="e">
        <f>IF(O2271="Guaraníes",P2271/#REF!,P2271)</f>
        <v>#REF!</v>
      </c>
      <c r="S2271" s="5" t="s">
        <v>52</v>
      </c>
      <c r="T2271" s="5">
        <v>593</v>
      </c>
      <c r="W2271" s="5" t="s">
        <v>486</v>
      </c>
      <c r="X2271" s="5">
        <v>0</v>
      </c>
      <c r="Y2271" s="5">
        <v>0</v>
      </c>
      <c r="Z2271" s="5">
        <v>14794.520548</v>
      </c>
      <c r="AA2271" s="5">
        <v>227</v>
      </c>
      <c r="AB2271" s="5">
        <v>3358356.1643960001</v>
      </c>
      <c r="AC2271" s="5" t="str">
        <f t="shared" si="109"/>
        <v>Bonos</v>
      </c>
      <c r="AD2271" s="5" t="s">
        <v>43</v>
      </c>
      <c r="AE2271" s="5">
        <f t="shared" si="110"/>
        <v>9</v>
      </c>
      <c r="AF2271" s="5">
        <f t="shared" si="111"/>
        <v>2017</v>
      </c>
    </row>
    <row r="2272" s="5" customFormat="1" ht="13">
      <c r="A2272" s="5" t="s">
        <v>44</v>
      </c>
      <c r="B2272" s="5" t="s">
        <v>44</v>
      </c>
      <c r="C2272" s="5" t="s">
        <v>156</v>
      </c>
      <c r="D2272" s="5" t="s">
        <v>21</v>
      </c>
      <c r="E2272" s="5" t="s">
        <v>44</v>
      </c>
      <c r="F2272" s="5" t="s">
        <v>68</v>
      </c>
      <c r="G2272" s="5" t="s">
        <v>69</v>
      </c>
      <c r="H2272" s="9" t="s">
        <v>400</v>
      </c>
      <c r="I2272" s="10"/>
      <c r="J2272" s="10">
        <v>42989</v>
      </c>
      <c r="K2272" s="5" t="s">
        <v>158</v>
      </c>
      <c r="L2272" s="5" t="s">
        <v>58</v>
      </c>
      <c r="M2272" s="11">
        <v>0.155</v>
      </c>
      <c r="N2272" s="5" t="e">
        <f>IF(AND(M2272&gt;#REF!,Cartera!O2272="Guaraníes"),"Rendimiento significativo",IF(AND(M2272&gt;#REF!,Cartera!O2272="Dólares americanos"),"Rendimiento significativo","Rendimiento no significativo"))</f>
        <v>#REF!</v>
      </c>
      <c r="O2272" s="5" t="s">
        <v>41</v>
      </c>
      <c r="P2272" s="12">
        <v>1316438.3562</v>
      </c>
      <c r="Q2272" s="12">
        <f>IF(O2272="Guaraníes",P2272,P2272*#REF!)</f>
        <v>1316438.3562</v>
      </c>
      <c r="R2272" s="12" t="e">
        <f>IF(O2272="Guaraníes",P2272/#REF!,P2272)</f>
        <v>#REF!</v>
      </c>
      <c r="S2272" s="5" t="s">
        <v>52</v>
      </c>
      <c r="T2272" s="5">
        <v>593</v>
      </c>
      <c r="W2272" s="5" t="s">
        <v>406</v>
      </c>
      <c r="X2272" s="5">
        <v>0</v>
      </c>
      <c r="Y2272" s="5">
        <v>0</v>
      </c>
      <c r="Z2272" s="5">
        <v>13164.383562000001</v>
      </c>
      <c r="AA2272" s="5">
        <v>100</v>
      </c>
      <c r="AB2272" s="5">
        <v>1316438.3562</v>
      </c>
      <c r="AC2272" s="5" t="str">
        <f t="shared" si="109"/>
        <v>Bonos</v>
      </c>
      <c r="AD2272" s="5" t="s">
        <v>43</v>
      </c>
      <c r="AE2272" s="5">
        <f t="shared" si="110"/>
        <v>9</v>
      </c>
      <c r="AF2272" s="5">
        <f t="shared" si="111"/>
        <v>2017</v>
      </c>
    </row>
    <row r="2273" s="5" customFormat="1" ht="13">
      <c r="A2273" s="5" t="s">
        <v>44</v>
      </c>
      <c r="B2273" s="5" t="s">
        <v>44</v>
      </c>
      <c r="C2273" s="5" t="s">
        <v>156</v>
      </c>
      <c r="D2273" s="5" t="s">
        <v>21</v>
      </c>
      <c r="E2273" s="5" t="s">
        <v>44</v>
      </c>
      <c r="F2273" s="5" t="s">
        <v>68</v>
      </c>
      <c r="G2273" s="5" t="s">
        <v>69</v>
      </c>
      <c r="H2273" s="9" t="s">
        <v>407</v>
      </c>
      <c r="I2273" s="10"/>
      <c r="J2273" s="10">
        <v>42992</v>
      </c>
      <c r="K2273" s="5" t="s">
        <v>158</v>
      </c>
      <c r="L2273" s="5" t="s">
        <v>58</v>
      </c>
      <c r="M2273" s="11">
        <v>0.12</v>
      </c>
      <c r="N2273" s="5" t="e">
        <f>IF(AND(M2273&gt;#REF!,Cartera!O2273="Guaraníes"),"Rendimiento significativo",IF(AND(M2273&gt;#REF!,Cartera!O2273="Dólares americanos"),"Rendimiento significativo","Rendimiento no significativo"))</f>
        <v>#REF!</v>
      </c>
      <c r="O2273" s="5" t="s">
        <v>41</v>
      </c>
      <c r="P2273" s="12">
        <v>1358904.1096000001</v>
      </c>
      <c r="Q2273" s="12">
        <f>IF(O2273="Guaraníes",P2273,P2273*#REF!)</f>
        <v>1358904.1096000001</v>
      </c>
      <c r="R2273" s="12" t="e">
        <f>IF(O2273="Guaraníes",P2273/#REF!,P2273)</f>
        <v>#REF!</v>
      </c>
      <c r="S2273" s="5" t="s">
        <v>52</v>
      </c>
      <c r="T2273" s="5">
        <v>593</v>
      </c>
      <c r="W2273" s="5" t="s">
        <v>480</v>
      </c>
      <c r="X2273" s="5">
        <v>0</v>
      </c>
      <c r="Y2273" s="5">
        <v>0</v>
      </c>
      <c r="Z2273" s="5">
        <v>13589.041096000001</v>
      </c>
      <c r="AA2273" s="5">
        <v>100</v>
      </c>
      <c r="AB2273" s="5">
        <v>1358904.1096000001</v>
      </c>
      <c r="AC2273" s="5" t="str">
        <f t="shared" si="109"/>
        <v>Bonos</v>
      </c>
      <c r="AD2273" s="5" t="s">
        <v>43</v>
      </c>
      <c r="AE2273" s="5">
        <f t="shared" si="110"/>
        <v>9</v>
      </c>
      <c r="AF2273" s="5">
        <f t="shared" si="111"/>
        <v>2017</v>
      </c>
    </row>
    <row r="2274" s="5" customFormat="1" ht="13">
      <c r="A2274" s="5" t="s">
        <v>44</v>
      </c>
      <c r="B2274" s="5" t="s">
        <v>44</v>
      </c>
      <c r="C2274" s="5" t="s">
        <v>156</v>
      </c>
      <c r="D2274" s="5" t="s">
        <v>21</v>
      </c>
      <c r="E2274" s="5" t="s">
        <v>44</v>
      </c>
      <c r="F2274" s="5" t="s">
        <v>68</v>
      </c>
      <c r="G2274" s="5" t="s">
        <v>69</v>
      </c>
      <c r="H2274" s="9" t="s">
        <v>402</v>
      </c>
      <c r="I2274" s="10"/>
      <c r="J2274" s="10">
        <v>42996</v>
      </c>
      <c r="K2274" s="5" t="s">
        <v>158</v>
      </c>
      <c r="L2274" s="5" t="s">
        <v>58</v>
      </c>
      <c r="M2274" s="11">
        <v>0.17999999999999999</v>
      </c>
      <c r="N2274" s="5" t="e">
        <f>IF(AND(M2274&gt;#REF!,Cartera!O2274="Guaraníes"),"Rendimiento significativo",IF(AND(M2274&gt;#REF!,Cartera!O2274="Dólares americanos"),"Rendimiento significativo","Rendimiento no significativo"))</f>
        <v>#REF!</v>
      </c>
      <c r="O2274" s="5" t="s">
        <v>41</v>
      </c>
      <c r="P2274" s="12">
        <v>1146575.3424749998</v>
      </c>
      <c r="Q2274" s="12">
        <f>IF(O2274="Guaraníes",P2274,P2274*#REF!)</f>
        <v>1146575.3424749998</v>
      </c>
      <c r="R2274" s="12" t="e">
        <f>IF(O2274="Guaraníes",P2274/#REF!,P2274)</f>
        <v>#REF!</v>
      </c>
      <c r="S2274" s="5" t="s">
        <v>52</v>
      </c>
      <c r="T2274" s="5">
        <v>593</v>
      </c>
      <c r="W2274" s="5" t="s">
        <v>481</v>
      </c>
      <c r="X2274" s="5">
        <v>0</v>
      </c>
      <c r="Y2274" s="5">
        <v>0</v>
      </c>
      <c r="Z2274" s="5">
        <v>15287.671232999999</v>
      </c>
      <c r="AA2274" s="5">
        <v>75</v>
      </c>
      <c r="AB2274" s="5">
        <v>1146575.3424750001</v>
      </c>
      <c r="AC2274" s="5" t="str">
        <f t="shared" si="109"/>
        <v>Bonos</v>
      </c>
      <c r="AD2274" s="5" t="s">
        <v>43</v>
      </c>
      <c r="AE2274" s="5">
        <f t="shared" si="110"/>
        <v>9</v>
      </c>
      <c r="AF2274" s="5">
        <f t="shared" si="111"/>
        <v>2017</v>
      </c>
    </row>
    <row r="2275" s="5" customFormat="1" ht="13">
      <c r="A2275" s="5" t="s">
        <v>44</v>
      </c>
      <c r="B2275" s="5" t="s">
        <v>44</v>
      </c>
      <c r="C2275" s="5" t="s">
        <v>156</v>
      </c>
      <c r="D2275" s="5" t="s">
        <v>21</v>
      </c>
      <c r="E2275" s="5" t="s">
        <v>44</v>
      </c>
      <c r="F2275" s="5" t="s">
        <v>68</v>
      </c>
      <c r="G2275" s="5" t="s">
        <v>69</v>
      </c>
      <c r="H2275" s="9" t="s">
        <v>404</v>
      </c>
      <c r="I2275" s="10"/>
      <c r="J2275" s="10">
        <v>43003</v>
      </c>
      <c r="K2275" s="5" t="s">
        <v>158</v>
      </c>
      <c r="L2275" s="5" t="s">
        <v>58</v>
      </c>
      <c r="M2275" s="11">
        <v>0.14499999999999999</v>
      </c>
      <c r="N2275" s="5" t="e">
        <f>IF(AND(M2275&gt;#REF!,Cartera!O2275="Guaraníes"),"Rendimiento significativo",IF(AND(M2275&gt;#REF!,Cartera!O2275="Dólares americanos"),"Rendimiento significativo","Rendimiento no significativo"))</f>
        <v>#REF!</v>
      </c>
      <c r="O2275" s="5" t="s">
        <v>41</v>
      </c>
      <c r="P2275" s="12">
        <v>1512767.1232730001</v>
      </c>
      <c r="Q2275" s="12">
        <f>IF(O2275="Guaraníes",P2275,P2275*#REF!)</f>
        <v>1512767.1232730001</v>
      </c>
      <c r="R2275" s="12" t="e">
        <f>IF(O2275="Guaraníes",P2275/#REF!,P2275)</f>
        <v>#REF!</v>
      </c>
      <c r="S2275" s="5" t="s">
        <v>52</v>
      </c>
      <c r="T2275" s="5">
        <v>593</v>
      </c>
      <c r="W2275" s="5" t="s">
        <v>482</v>
      </c>
      <c r="X2275" s="5">
        <v>0</v>
      </c>
      <c r="Y2275" s="5">
        <v>0</v>
      </c>
      <c r="Z2275" s="5">
        <v>12712.328767000001</v>
      </c>
      <c r="AA2275" s="5">
        <v>119</v>
      </c>
      <c r="AB2275" s="5">
        <v>1512767.1232729999</v>
      </c>
      <c r="AC2275" s="5" t="str">
        <f t="shared" si="109"/>
        <v>Bonos</v>
      </c>
      <c r="AD2275" s="5" t="s">
        <v>43</v>
      </c>
      <c r="AE2275" s="5">
        <f t="shared" si="110"/>
        <v>9</v>
      </c>
      <c r="AF2275" s="5">
        <f t="shared" si="111"/>
        <v>2017</v>
      </c>
    </row>
    <row r="2276" s="5" customFormat="1" ht="13">
      <c r="A2276" s="5" t="s">
        <v>44</v>
      </c>
      <c r="B2276" s="5" t="s">
        <v>44</v>
      </c>
      <c r="C2276" s="5" t="s">
        <v>176</v>
      </c>
      <c r="D2276" s="5" t="s">
        <v>21</v>
      </c>
      <c r="E2276" s="5" t="s">
        <v>44</v>
      </c>
      <c r="F2276" s="5" t="s">
        <v>68</v>
      </c>
      <c r="G2276" s="5" t="s">
        <v>69</v>
      </c>
      <c r="H2276" s="9" t="s">
        <v>479</v>
      </c>
      <c r="I2276" s="10"/>
      <c r="J2276" s="10">
        <v>43005</v>
      </c>
      <c r="K2276" s="5" t="s">
        <v>178</v>
      </c>
      <c r="L2276" s="5" t="s">
        <v>58</v>
      </c>
      <c r="M2276" s="11">
        <v>0.074999999999999997</v>
      </c>
      <c r="N2276" s="5" t="e">
        <f>IF(AND(M2276&gt;#REF!,Cartera!O2276="Guaraníes"),"Rendimiento significativo",IF(AND(M2276&gt;#REF!,Cartera!O2276="Dólares americanos"),"Rendimiento significativo","Rendimiento no significativo"))</f>
        <v>#REF!</v>
      </c>
      <c r="O2276" s="5" t="s">
        <v>51</v>
      </c>
      <c r="P2276" s="13">
        <v>635.75342999999998</v>
      </c>
      <c r="Q2276" s="12" t="e">
        <f>IF(O2276="Guaraníes",P2276,P2276*#REF!)</f>
        <v>#REF!</v>
      </c>
      <c r="R2276" s="12">
        <f>IF(O2276="Guaraníes",P2276/#REF!,P2276)</f>
        <v>635.75342999999998</v>
      </c>
      <c r="S2276" s="5" t="s">
        <v>52</v>
      </c>
      <c r="T2276" s="5">
        <v>593</v>
      </c>
      <c r="W2276" s="5" t="s">
        <v>204</v>
      </c>
      <c r="X2276" s="5">
        <v>0</v>
      </c>
      <c r="Y2276" s="5">
        <v>0</v>
      </c>
      <c r="Z2276" s="5">
        <v>21.191780999999999</v>
      </c>
      <c r="AA2276" s="5">
        <v>30</v>
      </c>
      <c r="AB2276" s="5">
        <v>635.75342999999998</v>
      </c>
      <c r="AC2276" s="5" t="str">
        <f t="shared" si="109"/>
        <v>Bonos</v>
      </c>
      <c r="AD2276" s="5" t="s">
        <v>43</v>
      </c>
      <c r="AE2276" s="5">
        <f t="shared" si="110"/>
        <v>9</v>
      </c>
      <c r="AF2276" s="5">
        <f t="shared" si="111"/>
        <v>2017</v>
      </c>
    </row>
    <row r="2277" s="5" customFormat="1" ht="13">
      <c r="A2277" s="5" t="s">
        <v>44</v>
      </c>
      <c r="B2277" s="5" t="s">
        <v>44</v>
      </c>
      <c r="C2277" s="5" t="s">
        <v>156</v>
      </c>
      <c r="D2277" s="5" t="s">
        <v>21</v>
      </c>
      <c r="E2277" s="5" t="s">
        <v>44</v>
      </c>
      <c r="F2277" s="5" t="s">
        <v>68</v>
      </c>
      <c r="G2277" s="5" t="s">
        <v>69</v>
      </c>
      <c r="H2277" s="9" t="s">
        <v>485</v>
      </c>
      <c r="I2277" s="10"/>
      <c r="J2277" s="10">
        <v>43014</v>
      </c>
      <c r="K2277" s="5" t="s">
        <v>158</v>
      </c>
      <c r="L2277" s="5" t="s">
        <v>58</v>
      </c>
      <c r="M2277" s="11">
        <v>0.17999999999999999</v>
      </c>
      <c r="N2277" s="5" t="e">
        <f>IF(AND(M2277&gt;#REF!,Cartera!O2277="Guaraníes"),"Rendimiento significativo",IF(AND(M2277&gt;#REF!,Cartera!O2277="Dólares americanos"),"Rendimiento significativo","Rendimiento no significativo"))</f>
        <v>#REF!</v>
      </c>
      <c r="O2277" s="5" t="s">
        <v>41</v>
      </c>
      <c r="P2277" s="12">
        <v>3358356.1643960001</v>
      </c>
      <c r="Q2277" s="12">
        <f>IF(O2277="Guaraníes",P2277,P2277*#REF!)</f>
        <v>3358356.1643960001</v>
      </c>
      <c r="R2277" s="12" t="e">
        <f>IF(O2277="Guaraníes",P2277/#REF!,P2277)</f>
        <v>#REF!</v>
      </c>
      <c r="S2277" s="5" t="s">
        <v>52</v>
      </c>
      <c r="T2277" s="5">
        <v>593</v>
      </c>
      <c r="W2277" s="5" t="s">
        <v>487</v>
      </c>
      <c r="X2277" s="5">
        <v>0</v>
      </c>
      <c r="Y2277" s="5">
        <v>0</v>
      </c>
      <c r="Z2277" s="5">
        <v>14794.520548</v>
      </c>
      <c r="AA2277" s="5">
        <v>227</v>
      </c>
      <c r="AB2277" s="5">
        <v>3358356.1643960001</v>
      </c>
      <c r="AC2277" s="5" t="str">
        <f t="shared" si="109"/>
        <v>Bonos</v>
      </c>
      <c r="AD2277" s="5" t="s">
        <v>43</v>
      </c>
      <c r="AE2277" s="5">
        <f t="shared" si="110"/>
        <v>10</v>
      </c>
      <c r="AF2277" s="5">
        <f t="shared" si="111"/>
        <v>2017</v>
      </c>
    </row>
    <row r="2278" s="5" customFormat="1" ht="13">
      <c r="A2278" s="5" t="s">
        <v>44</v>
      </c>
      <c r="B2278" s="5" t="s">
        <v>44</v>
      </c>
      <c r="C2278" s="5" t="s">
        <v>156</v>
      </c>
      <c r="D2278" s="5" t="s">
        <v>21</v>
      </c>
      <c r="E2278" s="5" t="s">
        <v>44</v>
      </c>
      <c r="F2278" s="5" t="s">
        <v>68</v>
      </c>
      <c r="G2278" s="5" t="s">
        <v>69</v>
      </c>
      <c r="H2278" s="9" t="s">
        <v>400</v>
      </c>
      <c r="I2278" s="10"/>
      <c r="J2278" s="10">
        <v>43019</v>
      </c>
      <c r="K2278" s="5" t="s">
        <v>158</v>
      </c>
      <c r="L2278" s="5" t="s">
        <v>58</v>
      </c>
      <c r="M2278" s="11">
        <v>0.155</v>
      </c>
      <c r="N2278" s="5" t="e">
        <f>IF(AND(M2278&gt;#REF!,Cartera!O2278="Guaraníes"),"Rendimiento significativo",IF(AND(M2278&gt;#REF!,Cartera!O2278="Dólares americanos"),"Rendimiento significativo","Rendimiento no significativo"))</f>
        <v>#REF!</v>
      </c>
      <c r="O2278" s="5" t="s">
        <v>41</v>
      </c>
      <c r="P2278" s="12">
        <v>1273972.6027000002</v>
      </c>
      <c r="Q2278" s="12">
        <f>IF(O2278="Guaraníes",P2278,P2278*#REF!)</f>
        <v>1273972.6027000002</v>
      </c>
      <c r="R2278" s="12" t="e">
        <f>IF(O2278="Guaraníes",P2278/#REF!,P2278)</f>
        <v>#REF!</v>
      </c>
      <c r="S2278" s="5" t="s">
        <v>52</v>
      </c>
      <c r="T2278" s="5">
        <v>593</v>
      </c>
      <c r="W2278" s="5" t="s">
        <v>415</v>
      </c>
      <c r="X2278" s="5">
        <v>0</v>
      </c>
      <c r="Y2278" s="5">
        <v>0</v>
      </c>
      <c r="Z2278" s="5">
        <v>12739.726027000001</v>
      </c>
      <c r="AA2278" s="5">
        <v>100</v>
      </c>
      <c r="AB2278" s="5">
        <v>1273972.6026999999</v>
      </c>
      <c r="AC2278" s="5" t="str">
        <f t="shared" si="109"/>
        <v>Bonos</v>
      </c>
      <c r="AD2278" s="5" t="s">
        <v>43</v>
      </c>
      <c r="AE2278" s="5">
        <f t="shared" si="110"/>
        <v>10</v>
      </c>
      <c r="AF2278" s="5">
        <f t="shared" si="111"/>
        <v>2017</v>
      </c>
    </row>
    <row r="2279" s="5" customFormat="1" ht="13">
      <c r="A2279" s="5" t="s">
        <v>44</v>
      </c>
      <c r="B2279" s="5" t="s">
        <v>44</v>
      </c>
      <c r="C2279" s="5" t="s">
        <v>156</v>
      </c>
      <c r="D2279" s="5" t="s">
        <v>21</v>
      </c>
      <c r="E2279" s="5" t="s">
        <v>44</v>
      </c>
      <c r="F2279" s="5" t="s">
        <v>68</v>
      </c>
      <c r="G2279" s="5" t="s">
        <v>69</v>
      </c>
      <c r="H2279" s="9" t="s">
        <v>407</v>
      </c>
      <c r="I2279" s="10"/>
      <c r="J2279" s="10">
        <v>43024</v>
      </c>
      <c r="K2279" s="5" t="s">
        <v>158</v>
      </c>
      <c r="L2279" s="5" t="s">
        <v>58</v>
      </c>
      <c r="M2279" s="11">
        <v>0.12</v>
      </c>
      <c r="N2279" s="5" t="e">
        <f>IF(AND(M2279&gt;#REF!,Cartera!O2279="Guaraníes"),"Rendimiento significativo",IF(AND(M2279&gt;#REF!,Cartera!O2279="Dólares americanos"),"Rendimiento significativo","Rendimiento no significativo"))</f>
        <v>#REF!</v>
      </c>
      <c r="O2279" s="5" t="s">
        <v>41</v>
      </c>
      <c r="P2279" s="12">
        <v>1402739.726</v>
      </c>
      <c r="Q2279" s="12">
        <f>IF(O2279="Guaraníes",P2279,P2279*#REF!)</f>
        <v>1402739.726</v>
      </c>
      <c r="R2279" s="12" t="e">
        <f>IF(O2279="Guaraníes",P2279/#REF!,P2279)</f>
        <v>#REF!</v>
      </c>
      <c r="S2279" s="5" t="s">
        <v>52</v>
      </c>
      <c r="T2279" s="5">
        <v>593</v>
      </c>
      <c r="W2279" s="5" t="s">
        <v>416</v>
      </c>
      <c r="X2279" s="5">
        <v>0</v>
      </c>
      <c r="Y2279" s="5">
        <v>0</v>
      </c>
      <c r="Z2279" s="5">
        <v>14027.39726</v>
      </c>
      <c r="AA2279" s="5">
        <v>100</v>
      </c>
      <c r="AB2279" s="5">
        <v>1402739.726</v>
      </c>
      <c r="AC2279" s="5" t="str">
        <f t="shared" si="109"/>
        <v>Bonos</v>
      </c>
      <c r="AD2279" s="5" t="s">
        <v>43</v>
      </c>
      <c r="AE2279" s="5">
        <f t="shared" si="110"/>
        <v>10</v>
      </c>
      <c r="AF2279" s="5">
        <f t="shared" si="111"/>
        <v>2017</v>
      </c>
    </row>
    <row r="2280" s="5" customFormat="1" ht="13">
      <c r="A2280" s="5" t="s">
        <v>44</v>
      </c>
      <c r="B2280" s="5" t="s">
        <v>44</v>
      </c>
      <c r="C2280" s="5" t="s">
        <v>156</v>
      </c>
      <c r="D2280" s="5" t="s">
        <v>21</v>
      </c>
      <c r="E2280" s="5" t="s">
        <v>44</v>
      </c>
      <c r="F2280" s="5" t="s">
        <v>68</v>
      </c>
      <c r="G2280" s="5" t="s">
        <v>69</v>
      </c>
      <c r="H2280" s="9" t="s">
        <v>402</v>
      </c>
      <c r="I2280" s="10"/>
      <c r="J2280" s="10">
        <v>43027</v>
      </c>
      <c r="K2280" s="5" t="s">
        <v>158</v>
      </c>
      <c r="L2280" s="5" t="s">
        <v>58</v>
      </c>
      <c r="M2280" s="11">
        <v>0.17999999999999999</v>
      </c>
      <c r="N2280" s="5" t="e">
        <f>IF(AND(M2280&gt;#REF!,Cartera!O2280="Guaraníes"),"Rendimiento significativo",IF(AND(M2280&gt;#REF!,Cartera!O2280="Dólares americanos"),"Rendimiento significativo","Rendimiento no significativo"))</f>
        <v>#REF!</v>
      </c>
      <c r="O2280" s="5" t="s">
        <v>41</v>
      </c>
      <c r="P2280" s="12">
        <v>1146575.3424749998</v>
      </c>
      <c r="Q2280" s="12">
        <f>IF(O2280="Guaraníes",P2280,P2280*#REF!)</f>
        <v>1146575.3424749998</v>
      </c>
      <c r="R2280" s="12" t="e">
        <f>IF(O2280="Guaraníes",P2280/#REF!,P2280)</f>
        <v>#REF!</v>
      </c>
      <c r="S2280" s="5" t="s">
        <v>52</v>
      </c>
      <c r="T2280" s="5">
        <v>593</v>
      </c>
      <c r="W2280" s="5" t="s">
        <v>417</v>
      </c>
      <c r="X2280" s="5">
        <v>0</v>
      </c>
      <c r="Y2280" s="5">
        <v>0</v>
      </c>
      <c r="Z2280" s="5">
        <v>15287.671232999999</v>
      </c>
      <c r="AA2280" s="5">
        <v>75</v>
      </c>
      <c r="AB2280" s="5">
        <v>1146575.3424750001</v>
      </c>
      <c r="AC2280" s="5" t="str">
        <f t="shared" si="109"/>
        <v>Bonos</v>
      </c>
      <c r="AD2280" s="5" t="s">
        <v>43</v>
      </c>
      <c r="AE2280" s="5">
        <f t="shared" si="110"/>
        <v>10</v>
      </c>
      <c r="AF2280" s="5">
        <f t="shared" si="111"/>
        <v>2017</v>
      </c>
    </row>
    <row r="2281" s="5" customFormat="1" ht="13">
      <c r="A2281" s="5" t="s">
        <v>44</v>
      </c>
      <c r="B2281" s="5" t="s">
        <v>44</v>
      </c>
      <c r="C2281" s="5" t="s">
        <v>156</v>
      </c>
      <c r="D2281" s="5" t="s">
        <v>21</v>
      </c>
      <c r="E2281" s="5" t="s">
        <v>44</v>
      </c>
      <c r="F2281" s="5" t="s">
        <v>68</v>
      </c>
      <c r="G2281" s="5" t="s">
        <v>69</v>
      </c>
      <c r="H2281" s="9" t="s">
        <v>485</v>
      </c>
      <c r="I2281" s="10"/>
      <c r="J2281" s="10">
        <v>43045</v>
      </c>
      <c r="K2281" s="5" t="s">
        <v>158</v>
      </c>
      <c r="L2281" s="5" t="s">
        <v>58</v>
      </c>
      <c r="M2281" s="11">
        <v>0.17999999999999999</v>
      </c>
      <c r="N2281" s="5" t="e">
        <f>IF(AND(M2281&gt;#REF!,Cartera!O2281="Guaraníes"),"Rendimiento significativo",IF(AND(M2281&gt;#REF!,Cartera!O2281="Dólares americanos"),"Rendimiento significativo","Rendimiento no significativo"))</f>
        <v>#REF!</v>
      </c>
      <c r="O2281" s="5" t="s">
        <v>41</v>
      </c>
      <c r="P2281" s="12">
        <v>3470301.369891</v>
      </c>
      <c r="Q2281" s="12">
        <f>IF(O2281="Guaraníes",P2281,P2281*#REF!)</f>
        <v>3470301.369891</v>
      </c>
      <c r="R2281" s="12" t="e">
        <f>IF(O2281="Guaraníes",P2281/#REF!,P2281)</f>
        <v>#REF!</v>
      </c>
      <c r="S2281" s="5" t="s">
        <v>52</v>
      </c>
      <c r="T2281" s="5">
        <v>593</v>
      </c>
      <c r="W2281" s="5" t="e">
        <v>#REF!</v>
      </c>
      <c r="X2281" s="5">
        <v>0</v>
      </c>
      <c r="Y2281" s="5">
        <v>0</v>
      </c>
      <c r="Z2281" s="5">
        <v>15287.671232999999</v>
      </c>
      <c r="AA2281" s="5">
        <v>227</v>
      </c>
      <c r="AB2281" s="5">
        <v>3470301.369891</v>
      </c>
      <c r="AC2281" s="5" t="str">
        <f t="shared" si="109"/>
        <v>Bonos</v>
      </c>
      <c r="AD2281" s="5" t="s">
        <v>43</v>
      </c>
      <c r="AE2281" s="5">
        <f t="shared" si="110"/>
        <v>11</v>
      </c>
      <c r="AF2281" s="5">
        <f t="shared" si="111"/>
        <v>2017</v>
      </c>
    </row>
    <row r="2282" s="5" customFormat="1" ht="13">
      <c r="A2282" s="5" t="s">
        <v>44</v>
      </c>
      <c r="B2282" s="5" t="s">
        <v>44</v>
      </c>
      <c r="C2282" s="5" t="s">
        <v>156</v>
      </c>
      <c r="D2282" s="5" t="s">
        <v>21</v>
      </c>
      <c r="E2282" s="5" t="s">
        <v>44</v>
      </c>
      <c r="F2282" s="5" t="s">
        <v>68</v>
      </c>
      <c r="G2282" s="5" t="s">
        <v>69</v>
      </c>
      <c r="H2282" s="9" t="s">
        <v>400</v>
      </c>
      <c r="I2282" s="10"/>
      <c r="J2282" s="10">
        <v>43049</v>
      </c>
      <c r="K2282" s="5" t="s">
        <v>158</v>
      </c>
      <c r="L2282" s="5" t="s">
        <v>58</v>
      </c>
      <c r="M2282" s="11">
        <v>0.155</v>
      </c>
      <c r="N2282" s="5" t="e">
        <f>IF(AND(M2282&gt;#REF!,Cartera!O2282="Guaraníes"),"Rendimiento significativo",IF(AND(M2282&gt;#REF!,Cartera!O2282="Dólares americanos"),"Rendimiento significativo","Rendimiento no significativo"))</f>
        <v>#REF!</v>
      </c>
      <c r="O2282" s="5" t="s">
        <v>41</v>
      </c>
      <c r="P2282" s="12">
        <v>1273972.6027000002</v>
      </c>
      <c r="Q2282" s="12">
        <f>IF(O2282="Guaraníes",P2282,P2282*#REF!)</f>
        <v>1273972.6027000002</v>
      </c>
      <c r="R2282" s="12" t="e">
        <f>IF(O2282="Guaraníes",P2282/#REF!,P2282)</f>
        <v>#REF!</v>
      </c>
      <c r="S2282" s="5" t="s">
        <v>52</v>
      </c>
      <c r="T2282" s="5">
        <v>593</v>
      </c>
      <c r="W2282" s="5" t="e">
        <v>#REF!</v>
      </c>
      <c r="X2282" s="5">
        <v>0</v>
      </c>
      <c r="Y2282" s="5">
        <v>0</v>
      </c>
      <c r="Z2282" s="5">
        <v>12739.726027000001</v>
      </c>
      <c r="AA2282" s="5">
        <v>100</v>
      </c>
      <c r="AB2282" s="5">
        <v>1273972.6026999999</v>
      </c>
      <c r="AC2282" s="5" t="str">
        <f t="shared" si="109"/>
        <v>Bonos</v>
      </c>
      <c r="AD2282" s="5" t="s">
        <v>43</v>
      </c>
      <c r="AE2282" s="5">
        <f t="shared" si="110"/>
        <v>11</v>
      </c>
      <c r="AF2282" s="5">
        <f t="shared" si="111"/>
        <v>2017</v>
      </c>
    </row>
    <row r="2283" s="5" customFormat="1" ht="13">
      <c r="A2283" s="5" t="s">
        <v>44</v>
      </c>
      <c r="B2283" s="5" t="s">
        <v>44</v>
      </c>
      <c r="C2283" s="5" t="s">
        <v>156</v>
      </c>
      <c r="D2283" s="5" t="s">
        <v>21</v>
      </c>
      <c r="E2283" s="5" t="s">
        <v>44</v>
      </c>
      <c r="F2283" s="5" t="s">
        <v>68</v>
      </c>
      <c r="G2283" s="5" t="s">
        <v>69</v>
      </c>
      <c r="H2283" s="9" t="s">
        <v>407</v>
      </c>
      <c r="I2283" s="10"/>
      <c r="J2283" s="10">
        <v>43054</v>
      </c>
      <c r="K2283" s="5" t="s">
        <v>158</v>
      </c>
      <c r="L2283" s="5" t="s">
        <v>58</v>
      </c>
      <c r="M2283" s="11">
        <v>0.12</v>
      </c>
      <c r="N2283" s="5" t="e">
        <f>IF(AND(M2283&gt;#REF!,Cartera!O2283="Guaraníes"),"Rendimiento significativo",IF(AND(M2283&gt;#REF!,Cartera!O2283="Dólares americanos"),"Rendimiento significativo","Rendimiento no significativo"))</f>
        <v>#REF!</v>
      </c>
      <c r="O2283" s="5" t="s">
        <v>41</v>
      </c>
      <c r="P2283" s="12">
        <v>1315068.4931999999</v>
      </c>
      <c r="Q2283" s="12">
        <f>IF(O2283="Guaraníes",P2283,P2283*#REF!)</f>
        <v>1315068.4931999999</v>
      </c>
      <c r="R2283" s="12" t="e">
        <f>IF(O2283="Guaraníes",P2283/#REF!,P2283)</f>
        <v>#REF!</v>
      </c>
      <c r="S2283" s="5" t="s">
        <v>52</v>
      </c>
      <c r="T2283" s="5">
        <v>593</v>
      </c>
      <c r="W2283" s="5" t="e">
        <v>#REF!</v>
      </c>
      <c r="X2283" s="5">
        <v>0</v>
      </c>
      <c r="Y2283" s="5">
        <v>0</v>
      </c>
      <c r="Z2283" s="5">
        <v>13150.684932</v>
      </c>
      <c r="AA2283" s="5">
        <v>100</v>
      </c>
      <c r="AB2283" s="5">
        <v>1315068.4931999999</v>
      </c>
      <c r="AC2283" s="5" t="str">
        <f t="shared" si="109"/>
        <v>Bonos</v>
      </c>
      <c r="AD2283" s="5" t="s">
        <v>43</v>
      </c>
      <c r="AE2283" s="5">
        <f t="shared" si="110"/>
        <v>11</v>
      </c>
      <c r="AF2283" s="5">
        <f t="shared" si="111"/>
        <v>2017</v>
      </c>
    </row>
    <row r="2284" s="5" customFormat="1" ht="13">
      <c r="A2284" s="5" t="s">
        <v>44</v>
      </c>
      <c r="B2284" s="5" t="s">
        <v>44</v>
      </c>
      <c r="C2284" s="5" t="s">
        <v>156</v>
      </c>
      <c r="D2284" s="5" t="s">
        <v>21</v>
      </c>
      <c r="E2284" s="5" t="s">
        <v>44</v>
      </c>
      <c r="F2284" s="5" t="s">
        <v>68</v>
      </c>
      <c r="G2284" s="5" t="s">
        <v>69</v>
      </c>
      <c r="H2284" s="9" t="s">
        <v>402</v>
      </c>
      <c r="I2284" s="10"/>
      <c r="J2284" s="10">
        <v>43056</v>
      </c>
      <c r="K2284" s="5" t="s">
        <v>158</v>
      </c>
      <c r="L2284" s="5" t="s">
        <v>58</v>
      </c>
      <c r="M2284" s="11">
        <v>0.17999999999999999</v>
      </c>
      <c r="N2284" s="5" t="e">
        <f>IF(AND(M2284&gt;#REF!,Cartera!O2284="Guaraníes"),"Rendimiento significativo",IF(AND(M2284&gt;#REF!,Cartera!O2284="Dólares americanos"),"Rendimiento significativo","Rendimiento no significativo"))</f>
        <v>#REF!</v>
      </c>
      <c r="O2284" s="5" t="s">
        <v>41</v>
      </c>
      <c r="P2284" s="12">
        <v>1072602.739725</v>
      </c>
      <c r="Q2284" s="12">
        <f>IF(O2284="Guaraníes",P2284,P2284*#REF!)</f>
        <v>1072602.739725</v>
      </c>
      <c r="R2284" s="12" t="e">
        <f>IF(O2284="Guaraníes",P2284/#REF!,P2284)</f>
        <v>#REF!</v>
      </c>
      <c r="S2284" s="5" t="s">
        <v>52</v>
      </c>
      <c r="T2284" s="5">
        <v>593</v>
      </c>
      <c r="W2284" s="5" t="e">
        <v>#REF!</v>
      </c>
      <c r="X2284" s="5">
        <v>0</v>
      </c>
      <c r="Y2284" s="5">
        <v>0</v>
      </c>
      <c r="Z2284" s="5">
        <v>14301.369863</v>
      </c>
      <c r="AA2284" s="5">
        <v>75</v>
      </c>
      <c r="AB2284" s="5">
        <v>1072602.739725</v>
      </c>
      <c r="AC2284" s="5" t="str">
        <f t="shared" si="109"/>
        <v>Bonos</v>
      </c>
      <c r="AD2284" s="5" t="s">
        <v>43</v>
      </c>
      <c r="AE2284" s="5">
        <f t="shared" si="110"/>
        <v>11</v>
      </c>
      <c r="AF2284" s="5">
        <f t="shared" si="111"/>
        <v>2017</v>
      </c>
    </row>
    <row r="2285" s="5" customFormat="1" ht="13">
      <c r="A2285" s="5" t="s">
        <v>44</v>
      </c>
      <c r="B2285" s="5" t="s">
        <v>44</v>
      </c>
      <c r="C2285" s="5" t="s">
        <v>156</v>
      </c>
      <c r="D2285" s="5" t="s">
        <v>21</v>
      </c>
      <c r="E2285" s="5" t="s">
        <v>44</v>
      </c>
      <c r="F2285" s="5" t="s">
        <v>68</v>
      </c>
      <c r="G2285" s="5" t="s">
        <v>69</v>
      </c>
      <c r="H2285" s="9" t="s">
        <v>400</v>
      </c>
      <c r="I2285" s="10"/>
      <c r="J2285" s="10">
        <v>43080</v>
      </c>
      <c r="K2285" s="5" t="s">
        <v>158</v>
      </c>
      <c r="L2285" s="5" t="s">
        <v>58</v>
      </c>
      <c r="M2285" s="11">
        <v>0.155</v>
      </c>
      <c r="N2285" s="5" t="e">
        <f>IF(AND(M2285&gt;#REF!,Cartera!O2285="Guaraníes"),"Rendimiento significativo",IF(AND(M2285&gt;#REF!,Cartera!O2285="Dólares americanos"),"Rendimiento significativo","Rendimiento no significativo"))</f>
        <v>#REF!</v>
      </c>
      <c r="O2285" s="5" t="s">
        <v>41</v>
      </c>
      <c r="P2285" s="12">
        <v>1316438.3562</v>
      </c>
      <c r="Q2285" s="12">
        <f>IF(O2285="Guaraníes",P2285,P2285*#REF!)</f>
        <v>1316438.3562</v>
      </c>
      <c r="R2285" s="12" t="e">
        <f>IF(O2285="Guaraníes",P2285/#REF!,P2285)</f>
        <v>#REF!</v>
      </c>
      <c r="S2285" s="5" t="s">
        <v>52</v>
      </c>
      <c r="T2285" s="5">
        <v>593</v>
      </c>
      <c r="W2285" s="5" t="e">
        <v>#REF!</v>
      </c>
      <c r="X2285" s="5">
        <v>0</v>
      </c>
      <c r="Y2285" s="5">
        <v>0</v>
      </c>
      <c r="Z2285" s="5">
        <v>13164.383562000001</v>
      </c>
      <c r="AA2285" s="5">
        <v>100</v>
      </c>
      <c r="AB2285" s="5">
        <v>1316438.3562</v>
      </c>
      <c r="AC2285" s="5" t="str">
        <f t="shared" si="109"/>
        <v>Bonos</v>
      </c>
      <c r="AD2285" s="5" t="s">
        <v>43</v>
      </c>
      <c r="AE2285" s="5">
        <f t="shared" si="110"/>
        <v>12</v>
      </c>
      <c r="AF2285" s="5">
        <f t="shared" si="111"/>
        <v>2017</v>
      </c>
    </row>
    <row r="2286" s="5" customFormat="1" ht="13">
      <c r="A2286" s="5" t="s">
        <v>44</v>
      </c>
      <c r="B2286" s="5" t="s">
        <v>44</v>
      </c>
      <c r="C2286" s="5" t="s">
        <v>156</v>
      </c>
      <c r="D2286" s="5" t="s">
        <v>21</v>
      </c>
      <c r="E2286" s="5" t="s">
        <v>44</v>
      </c>
      <c r="F2286" s="5" t="s">
        <v>68</v>
      </c>
      <c r="G2286" s="5" t="s">
        <v>69</v>
      </c>
      <c r="H2286" s="9" t="s">
        <v>407</v>
      </c>
      <c r="I2286" s="10"/>
      <c r="J2286" s="10">
        <v>43084</v>
      </c>
      <c r="K2286" s="5" t="s">
        <v>158</v>
      </c>
      <c r="L2286" s="5" t="s">
        <v>58</v>
      </c>
      <c r="M2286" s="11">
        <v>0.12</v>
      </c>
      <c r="N2286" s="5" t="e">
        <f>IF(AND(M2286&gt;#REF!,Cartera!O2286="Guaraníes"),"Rendimiento significativo",IF(AND(M2286&gt;#REF!,Cartera!O2286="Dólares americanos"),"Rendimiento significativo","Rendimiento no significativo"))</f>
        <v>#REF!</v>
      </c>
      <c r="O2286" s="5" t="s">
        <v>41</v>
      </c>
      <c r="P2286" s="12">
        <v>1315068.4931999999</v>
      </c>
      <c r="Q2286" s="12">
        <f>IF(O2286="Guaraníes",P2286,P2286*#REF!)</f>
        <v>1315068.4931999999</v>
      </c>
      <c r="R2286" s="12" t="e">
        <f>IF(O2286="Guaraníes",P2286/#REF!,P2286)</f>
        <v>#REF!</v>
      </c>
      <c r="S2286" s="5" t="s">
        <v>52</v>
      </c>
      <c r="T2286" s="5">
        <v>593</v>
      </c>
      <c r="W2286" s="5" t="e">
        <v>#REF!</v>
      </c>
      <c r="X2286" s="5">
        <v>0</v>
      </c>
      <c r="Y2286" s="5">
        <v>0</v>
      </c>
      <c r="Z2286" s="5">
        <v>13150.684932</v>
      </c>
      <c r="AA2286" s="5">
        <v>100</v>
      </c>
      <c r="AB2286" s="5">
        <v>1315068.4931999999</v>
      </c>
      <c r="AC2286" s="5" t="str">
        <f t="shared" si="109"/>
        <v>Bonos</v>
      </c>
      <c r="AD2286" s="5" t="s">
        <v>43</v>
      </c>
      <c r="AE2286" s="5">
        <f t="shared" si="110"/>
        <v>12</v>
      </c>
      <c r="AF2286" s="5">
        <f t="shared" si="111"/>
        <v>2017</v>
      </c>
    </row>
    <row r="2287" s="5" customFormat="1" ht="13">
      <c r="A2287" s="5" t="s">
        <v>44</v>
      </c>
      <c r="B2287" s="5" t="s">
        <v>44</v>
      </c>
      <c r="C2287" s="5" t="s">
        <v>156</v>
      </c>
      <c r="D2287" s="5" t="s">
        <v>21</v>
      </c>
      <c r="E2287" s="5" t="s">
        <v>44</v>
      </c>
      <c r="F2287" s="5" t="s">
        <v>68</v>
      </c>
      <c r="G2287" s="5" t="s">
        <v>69</v>
      </c>
      <c r="H2287" s="9" t="s">
        <v>402</v>
      </c>
      <c r="I2287" s="10"/>
      <c r="J2287" s="10">
        <v>43087</v>
      </c>
      <c r="K2287" s="5" t="s">
        <v>158</v>
      </c>
      <c r="L2287" s="5" t="s">
        <v>58</v>
      </c>
      <c r="M2287" s="11">
        <v>0.17999999999999999</v>
      </c>
      <c r="N2287" s="5" t="e">
        <f>IF(AND(M2287&gt;#REF!,Cartera!O2287="Guaraníes"),"Rendimiento significativo",IF(AND(M2287&gt;#REF!,Cartera!O2287="Dólares americanos"),"Rendimiento significativo","Rendimiento no significativo"))</f>
        <v>#REF!</v>
      </c>
      <c r="O2287" s="5" t="s">
        <v>41</v>
      </c>
      <c r="P2287" s="12">
        <v>1146575.3424749998</v>
      </c>
      <c r="Q2287" s="12">
        <f>IF(O2287="Guaraníes",P2287,P2287*#REF!)</f>
        <v>1146575.3424749998</v>
      </c>
      <c r="R2287" s="12" t="e">
        <f>IF(O2287="Guaraníes",P2287/#REF!,P2287)</f>
        <v>#REF!</v>
      </c>
      <c r="S2287" s="5" t="s">
        <v>52</v>
      </c>
      <c r="T2287" s="5">
        <v>593</v>
      </c>
      <c r="W2287" s="5" t="e">
        <v>#REF!</v>
      </c>
      <c r="X2287" s="5">
        <v>0</v>
      </c>
      <c r="Y2287" s="5">
        <v>0</v>
      </c>
      <c r="Z2287" s="5">
        <v>15287.671232999999</v>
      </c>
      <c r="AA2287" s="5">
        <v>75</v>
      </c>
      <c r="AB2287" s="5">
        <v>1146575.3424750001</v>
      </c>
      <c r="AC2287" s="5" t="str">
        <f t="shared" si="109"/>
        <v>Bonos</v>
      </c>
      <c r="AD2287" s="5" t="s">
        <v>43</v>
      </c>
      <c r="AE2287" s="5">
        <f t="shared" si="110"/>
        <v>12</v>
      </c>
      <c r="AF2287" s="5">
        <f t="shared" si="111"/>
        <v>2017</v>
      </c>
    </row>
    <row r="2288" s="5" customFormat="1" ht="13">
      <c r="A2288" s="5" t="s">
        <v>44</v>
      </c>
      <c r="B2288" s="5" t="s">
        <v>44</v>
      </c>
      <c r="C2288" s="5" t="s">
        <v>176</v>
      </c>
      <c r="D2288" s="5" t="s">
        <v>21</v>
      </c>
      <c r="E2288" s="5" t="s">
        <v>44</v>
      </c>
      <c r="F2288" s="5" t="s">
        <v>68</v>
      </c>
      <c r="G2288" s="5" t="s">
        <v>69</v>
      </c>
      <c r="H2288" s="9" t="s">
        <v>479</v>
      </c>
      <c r="I2288" s="10"/>
      <c r="J2288" s="10">
        <v>43096</v>
      </c>
      <c r="K2288" s="5" t="s">
        <v>178</v>
      </c>
      <c r="L2288" s="5" t="s">
        <v>58</v>
      </c>
      <c r="M2288" s="11">
        <v>0.074999999999999997</v>
      </c>
      <c r="N2288" s="5" t="e">
        <f>IF(AND(M2288&gt;#REF!,Cartera!O2288="Guaraníes"),"Rendimiento significativo",IF(AND(M2288&gt;#REF!,Cartera!O2288="Dólares americanos"),"Rendimiento significativo","Rendimiento no significativo"))</f>
        <v>#REF!</v>
      </c>
      <c r="O2288" s="5" t="s">
        <v>51</v>
      </c>
      <c r="P2288" s="13">
        <v>635.75342999999998</v>
      </c>
      <c r="Q2288" s="12" t="e">
        <f>IF(O2288="Guaraníes",P2288,P2288*#REF!)</f>
        <v>#REF!</v>
      </c>
      <c r="R2288" s="12">
        <f>IF(O2288="Guaraníes",P2288/#REF!,P2288)</f>
        <v>635.75342999999998</v>
      </c>
      <c r="S2288" s="5" t="s">
        <v>52</v>
      </c>
      <c r="T2288" s="5">
        <v>593</v>
      </c>
      <c r="W2288" s="5" t="e">
        <v>#REF!</v>
      </c>
      <c r="X2288" s="5">
        <v>0</v>
      </c>
      <c r="Y2288" s="5">
        <v>0</v>
      </c>
      <c r="Z2288" s="5">
        <v>21.191780999999999</v>
      </c>
      <c r="AA2288" s="5">
        <v>30</v>
      </c>
      <c r="AB2288" s="5">
        <v>635.75342999999998</v>
      </c>
      <c r="AC2288" s="5" t="str">
        <f t="shared" si="109"/>
        <v>Bonos</v>
      </c>
      <c r="AD2288" s="5" t="s">
        <v>43</v>
      </c>
      <c r="AE2288" s="5">
        <f t="shared" si="110"/>
        <v>12</v>
      </c>
      <c r="AF2288" s="5">
        <f t="shared" si="111"/>
        <v>2017</v>
      </c>
    </row>
    <row r="2289" s="5" customFormat="1" ht="13">
      <c r="A2289" s="5" t="s">
        <v>44</v>
      </c>
      <c r="B2289" s="5" t="s">
        <v>44</v>
      </c>
      <c r="C2289" s="5" t="s">
        <v>156</v>
      </c>
      <c r="D2289" s="5" t="s">
        <v>21</v>
      </c>
      <c r="E2289" s="5" t="s">
        <v>44</v>
      </c>
      <c r="F2289" s="5" t="s">
        <v>68</v>
      </c>
      <c r="G2289" s="5" t="s">
        <v>69</v>
      </c>
      <c r="H2289" s="9" t="s">
        <v>400</v>
      </c>
      <c r="I2289" s="10"/>
      <c r="J2289" s="10">
        <v>43111</v>
      </c>
      <c r="K2289" s="5" t="s">
        <v>158</v>
      </c>
      <c r="L2289" s="5" t="s">
        <v>58</v>
      </c>
      <c r="M2289" s="11">
        <v>0.155</v>
      </c>
      <c r="N2289" s="5" t="e">
        <f>IF(AND(M2289&gt;#REF!,Cartera!O2289="Guaraníes"),"Rendimiento significativo",IF(AND(M2289&gt;#REF!,Cartera!O2289="Dólares americanos"),"Rendimiento significativo","Rendimiento no significativo"))</f>
        <v>#REF!</v>
      </c>
      <c r="O2289" s="5" t="s">
        <v>41</v>
      </c>
      <c r="P2289" s="12">
        <v>1316438.3562</v>
      </c>
      <c r="Q2289" s="12">
        <f>IF(O2289="Guaraníes",P2289,P2289*#REF!)</f>
        <v>1316438.3562</v>
      </c>
      <c r="R2289" s="12" t="e">
        <f>IF(O2289="Guaraníes",P2289/#REF!,P2289)</f>
        <v>#REF!</v>
      </c>
      <c r="S2289" s="5" t="s">
        <v>52</v>
      </c>
      <c r="T2289" s="5">
        <v>593</v>
      </c>
      <c r="W2289" s="5" t="e">
        <v>#REF!</v>
      </c>
      <c r="X2289" s="5">
        <v>0</v>
      </c>
      <c r="Y2289" s="5">
        <v>0</v>
      </c>
      <c r="Z2289" s="5">
        <v>13164.383562000001</v>
      </c>
      <c r="AA2289" s="5">
        <v>100</v>
      </c>
      <c r="AB2289" s="5">
        <v>1316438.3562</v>
      </c>
      <c r="AC2289" s="5" t="str">
        <f t="shared" si="109"/>
        <v>Bonos</v>
      </c>
      <c r="AD2289" s="5" t="s">
        <v>43</v>
      </c>
      <c r="AE2289" s="5">
        <f t="shared" si="110"/>
        <v>1</v>
      </c>
      <c r="AF2289" s="5">
        <f t="shared" si="111"/>
        <v>2018</v>
      </c>
    </row>
    <row r="2290" s="5" customFormat="1" ht="13">
      <c r="A2290" s="5" t="s">
        <v>488</v>
      </c>
      <c r="B2290" s="5" t="s">
        <v>488</v>
      </c>
      <c r="C2290" s="5" t="s">
        <v>489</v>
      </c>
      <c r="D2290" s="5" t="s">
        <v>20</v>
      </c>
      <c r="E2290" s="5" t="s">
        <v>488</v>
      </c>
      <c r="F2290" s="5" t="s">
        <v>68</v>
      </c>
      <c r="G2290" s="5" t="s">
        <v>69</v>
      </c>
      <c r="H2290" s="9" t="s">
        <v>490</v>
      </c>
      <c r="I2290" s="10">
        <v>42018</v>
      </c>
      <c r="J2290" s="10">
        <v>43115</v>
      </c>
      <c r="K2290" s="5" t="s">
        <v>491</v>
      </c>
      <c r="L2290" s="5" t="s">
        <v>58</v>
      </c>
      <c r="M2290" s="11">
        <v>0.14499999999999999</v>
      </c>
      <c r="N2290" s="5" t="e">
        <f>IF(AND(M2290&gt;#REF!,Cartera!O2290="Guaraníes"),"Rendimiento significativo",IF(AND(M2290&gt;#REF!,Cartera!O2290="Dólares americanos"),"Rendimiento significativo","Rendimiento no significativo"))</f>
        <v>#REF!</v>
      </c>
      <c r="O2290" s="5" t="s">
        <v>41</v>
      </c>
      <c r="P2290" s="12">
        <v>25000000</v>
      </c>
      <c r="Q2290" s="12">
        <f>IF(O2290="Guaraníes",P2290,P2290*#REF!)</f>
        <v>25000000</v>
      </c>
      <c r="R2290" s="12" t="e">
        <f>IF(O2290="Guaraníes",P2290/#REF!,P2290)</f>
        <v>#REF!</v>
      </c>
      <c r="S2290" s="5" t="s">
        <v>52</v>
      </c>
      <c r="AC2290" s="5" t="str">
        <f t="shared" si="109"/>
        <v>Bonos</v>
      </c>
      <c r="AD2290" s="5" t="s">
        <v>43</v>
      </c>
      <c r="AE2290" s="5">
        <f t="shared" si="110"/>
        <v>1</v>
      </c>
      <c r="AF2290" s="5">
        <f t="shared" si="111"/>
        <v>2018</v>
      </c>
    </row>
    <row r="2291" s="5" customFormat="1" ht="13">
      <c r="A2291" s="5" t="s">
        <v>44</v>
      </c>
      <c r="B2291" s="5" t="s">
        <v>44</v>
      </c>
      <c r="C2291" s="5" t="s">
        <v>156</v>
      </c>
      <c r="D2291" s="5" t="s">
        <v>21</v>
      </c>
      <c r="E2291" s="5" t="s">
        <v>44</v>
      </c>
      <c r="F2291" s="5" t="s">
        <v>68</v>
      </c>
      <c r="G2291" s="5" t="s">
        <v>69</v>
      </c>
      <c r="H2291" s="9" t="s">
        <v>407</v>
      </c>
      <c r="I2291" s="10"/>
      <c r="J2291" s="10">
        <v>43115</v>
      </c>
      <c r="K2291" s="5" t="s">
        <v>158</v>
      </c>
      <c r="L2291" s="5" t="s">
        <v>58</v>
      </c>
      <c r="M2291" s="11">
        <v>0.12</v>
      </c>
      <c r="N2291" s="5" t="e">
        <f>IF(AND(M2291&gt;#REF!,Cartera!O2291="Guaraníes"),"Rendimiento significativo",IF(AND(M2291&gt;#REF!,Cartera!O2291="Dólares americanos"),"Rendimiento significativo","Rendimiento no significativo"))</f>
        <v>#REF!</v>
      </c>
      <c r="O2291" s="5" t="s">
        <v>41</v>
      </c>
      <c r="P2291" s="12">
        <v>1358904.1096000001</v>
      </c>
      <c r="Q2291" s="12">
        <f>IF(O2291="Guaraníes",P2291,P2291*#REF!)</f>
        <v>1358904.1096000001</v>
      </c>
      <c r="R2291" s="12" t="e">
        <f>IF(O2291="Guaraníes",P2291/#REF!,P2291)</f>
        <v>#REF!</v>
      </c>
      <c r="S2291" s="5" t="s">
        <v>52</v>
      </c>
      <c r="T2291" s="5">
        <v>593</v>
      </c>
      <c r="W2291" s="5" t="s">
        <v>408</v>
      </c>
      <c r="X2291" s="5">
        <v>0</v>
      </c>
      <c r="Y2291" s="5">
        <v>0</v>
      </c>
      <c r="Z2291" s="5">
        <v>13589.041096000001</v>
      </c>
      <c r="AA2291" s="5">
        <v>100</v>
      </c>
      <c r="AB2291" s="5">
        <v>1358904.1096000001</v>
      </c>
      <c r="AC2291" s="5" t="str">
        <f t="shared" si="109"/>
        <v>Bonos</v>
      </c>
      <c r="AD2291" s="5" t="s">
        <v>43</v>
      </c>
      <c r="AE2291" s="5">
        <f t="shared" si="110"/>
        <v>1</v>
      </c>
      <c r="AF2291" s="5">
        <f t="shared" si="111"/>
        <v>2018</v>
      </c>
    </row>
    <row r="2292" s="5" customFormat="1" ht="13">
      <c r="A2292" s="5" t="s">
        <v>44</v>
      </c>
      <c r="B2292" s="5" t="s">
        <v>44</v>
      </c>
      <c r="C2292" s="5" t="s">
        <v>156</v>
      </c>
      <c r="D2292" s="5" t="s">
        <v>21</v>
      </c>
      <c r="E2292" s="5" t="s">
        <v>44</v>
      </c>
      <c r="F2292" s="5" t="s">
        <v>68</v>
      </c>
      <c r="G2292" s="5" t="s">
        <v>69</v>
      </c>
      <c r="H2292" s="9" t="s">
        <v>402</v>
      </c>
      <c r="I2292" s="10"/>
      <c r="J2292" s="10">
        <v>43118</v>
      </c>
      <c r="K2292" s="5" t="s">
        <v>158</v>
      </c>
      <c r="L2292" s="5" t="s">
        <v>58</v>
      </c>
      <c r="M2292" s="11">
        <v>0.17999999999999999</v>
      </c>
      <c r="N2292" s="5" t="e">
        <f>IF(AND(M2292&gt;#REF!,Cartera!O2292="Guaraníes"),"Rendimiento significativo",IF(AND(M2292&gt;#REF!,Cartera!O2292="Dólares americanos"),"Rendimiento significativo","Rendimiento no significativo"))</f>
        <v>#REF!</v>
      </c>
      <c r="O2292" s="5" t="s">
        <v>41</v>
      </c>
      <c r="P2292" s="12">
        <v>1146575.3424749998</v>
      </c>
      <c r="Q2292" s="12">
        <f>IF(O2292="Guaraníes",P2292,P2292*#REF!)</f>
        <v>1146575.3424749998</v>
      </c>
      <c r="R2292" s="12" t="e">
        <f>IF(O2292="Guaraníes",P2292/#REF!,P2292)</f>
        <v>#REF!</v>
      </c>
      <c r="S2292" s="5" t="s">
        <v>52</v>
      </c>
      <c r="T2292" s="5">
        <v>593</v>
      </c>
      <c r="W2292" s="5" t="s">
        <v>409</v>
      </c>
      <c r="X2292" s="5">
        <v>0</v>
      </c>
      <c r="Y2292" s="5">
        <v>0</v>
      </c>
      <c r="Z2292" s="5">
        <v>15287.671232999999</v>
      </c>
      <c r="AA2292" s="5">
        <v>75</v>
      </c>
      <c r="AB2292" s="5">
        <v>1146575.3424750001</v>
      </c>
      <c r="AC2292" s="5" t="str">
        <f t="shared" si="109"/>
        <v>Bonos</v>
      </c>
      <c r="AD2292" s="5" t="s">
        <v>43</v>
      </c>
      <c r="AE2292" s="5">
        <f t="shared" si="110"/>
        <v>1</v>
      </c>
      <c r="AF2292" s="5">
        <f t="shared" si="111"/>
        <v>2018</v>
      </c>
    </row>
    <row r="2293" s="5" customFormat="1" ht="13">
      <c r="A2293" s="5" t="s">
        <v>44</v>
      </c>
      <c r="B2293" s="5" t="s">
        <v>44</v>
      </c>
      <c r="C2293" s="5" t="s">
        <v>99</v>
      </c>
      <c r="D2293" s="5" t="s">
        <v>21</v>
      </c>
      <c r="E2293" s="5" t="s">
        <v>44</v>
      </c>
      <c r="F2293" s="5" t="s">
        <v>100</v>
      </c>
      <c r="G2293" s="5" t="s">
        <v>69</v>
      </c>
      <c r="H2293" s="9" t="s">
        <v>238</v>
      </c>
      <c r="I2293" s="10"/>
      <c r="J2293" s="10">
        <v>43133</v>
      </c>
      <c r="K2293" s="5" t="s">
        <v>102</v>
      </c>
      <c r="L2293" s="5" t="s">
        <v>102</v>
      </c>
      <c r="M2293" s="11">
        <v>0.070000000000000007</v>
      </c>
      <c r="N2293" s="5" t="e">
        <f>IF(AND(M2293&gt;#REF!,Cartera!O2293="Guaraníes"),"Rendimiento significativo",IF(AND(M2293&gt;#REF!,Cartera!O2293="Dólares americanos"),"Rendimiento significativo","Rendimiento no significativo"))</f>
        <v>#REF!</v>
      </c>
      <c r="O2293" s="5" t="s">
        <v>41</v>
      </c>
      <c r="P2293" s="12">
        <v>2041643.8355999999</v>
      </c>
      <c r="Q2293" s="12">
        <f>IF(O2293="Guaraníes",P2293,P2293*#REF!)</f>
        <v>2041643.8355999999</v>
      </c>
      <c r="R2293" s="12" t="e">
        <f>IF(O2293="Guaraníes",P2293/#REF!,P2293)</f>
        <v>#REF!</v>
      </c>
      <c r="S2293" s="5" t="s">
        <v>52</v>
      </c>
      <c r="T2293" s="5">
        <v>593</v>
      </c>
      <c r="W2293" s="5" t="s">
        <v>492</v>
      </c>
      <c r="X2293" s="5">
        <v>0</v>
      </c>
      <c r="Y2293" s="5">
        <v>0</v>
      </c>
      <c r="Z2293" s="5">
        <v>40832.876711999997</v>
      </c>
      <c r="AA2293" s="5">
        <v>50</v>
      </c>
      <c r="AB2293" s="5">
        <v>2041643.8356000001</v>
      </c>
      <c r="AC2293" s="5" t="str">
        <f t="shared" si="109"/>
        <v>Bonos</v>
      </c>
      <c r="AD2293" s="5" t="s">
        <v>43</v>
      </c>
      <c r="AE2293" s="5">
        <f t="shared" si="110"/>
        <v>2</v>
      </c>
      <c r="AF2293" s="5">
        <f t="shared" si="111"/>
        <v>2018</v>
      </c>
    </row>
    <row r="2294" s="5" customFormat="1" ht="13">
      <c r="A2294" s="5" t="s">
        <v>44</v>
      </c>
      <c r="B2294" s="5" t="s">
        <v>44</v>
      </c>
      <c r="C2294" s="5" t="s">
        <v>457</v>
      </c>
      <c r="D2294" s="5" t="s">
        <v>21</v>
      </c>
      <c r="E2294" s="5" t="s">
        <v>44</v>
      </c>
      <c r="F2294" s="5" t="s">
        <v>100</v>
      </c>
      <c r="G2294" s="5" t="s">
        <v>69</v>
      </c>
      <c r="H2294" s="9" t="s">
        <v>458</v>
      </c>
      <c r="I2294" s="10"/>
      <c r="J2294" s="10">
        <v>43140</v>
      </c>
      <c r="K2294" s="5" t="s">
        <v>173</v>
      </c>
      <c r="L2294" s="5" t="s">
        <v>58</v>
      </c>
      <c r="M2294" s="11">
        <v>0.13500000000000001</v>
      </c>
      <c r="N2294" s="5" t="e">
        <f>IF(AND(M2294&gt;#REF!,Cartera!O2294="Guaraníes"),"Rendimiento significativo",IF(AND(M2294&gt;#REF!,Cartera!O2294="Dólares americanos"),"Rendimiento significativo","Rendimiento no significativo"))</f>
        <v>#REF!</v>
      </c>
      <c r="O2294" s="5" t="s">
        <v>41</v>
      </c>
      <c r="P2294" s="12">
        <v>4846684.9314959999</v>
      </c>
      <c r="Q2294" s="12">
        <f>IF(O2294="Guaraníes",P2294,P2294*#REF!)</f>
        <v>4846684.9314959999</v>
      </c>
      <c r="R2294" s="12" t="e">
        <f>IF(O2294="Guaraníes",P2294/#REF!,P2294)</f>
        <v>#REF!</v>
      </c>
      <c r="S2294" s="5" t="s">
        <v>52</v>
      </c>
      <c r="T2294" s="5">
        <v>593</v>
      </c>
      <c r="W2294" s="5" t="s">
        <v>301</v>
      </c>
      <c r="X2294" s="5">
        <v>0</v>
      </c>
      <c r="Y2294" s="5">
        <v>0</v>
      </c>
      <c r="Z2294" s="5">
        <v>67315.068492999999</v>
      </c>
      <c r="AA2294" s="5">
        <v>72</v>
      </c>
      <c r="AB2294" s="5">
        <v>4846684.9314959999</v>
      </c>
      <c r="AC2294" s="5" t="str">
        <f t="shared" si="109"/>
        <v>Bonos</v>
      </c>
      <c r="AD2294" s="5" t="s">
        <v>43</v>
      </c>
      <c r="AE2294" s="5">
        <f t="shared" si="110"/>
        <v>2</v>
      </c>
      <c r="AF2294" s="5">
        <f t="shared" si="111"/>
        <v>2018</v>
      </c>
    </row>
    <row r="2295" s="5" customFormat="1" ht="13">
      <c r="A2295" s="5" t="s">
        <v>44</v>
      </c>
      <c r="B2295" s="5" t="s">
        <v>44</v>
      </c>
      <c r="C2295" s="5" t="s">
        <v>457</v>
      </c>
      <c r="D2295" s="5" t="s">
        <v>21</v>
      </c>
      <c r="E2295" s="5" t="s">
        <v>44</v>
      </c>
      <c r="F2295" s="5" t="s">
        <v>100</v>
      </c>
      <c r="G2295" s="5" t="s">
        <v>69</v>
      </c>
      <c r="H2295" s="9" t="s">
        <v>459</v>
      </c>
      <c r="I2295" s="10"/>
      <c r="J2295" s="10">
        <v>43140</v>
      </c>
      <c r="K2295" s="5" t="s">
        <v>173</v>
      </c>
      <c r="L2295" s="5" t="s">
        <v>58</v>
      </c>
      <c r="M2295" s="11">
        <v>0.14499999999999999</v>
      </c>
      <c r="N2295" s="5" t="e">
        <f>IF(AND(M2295&gt;#REF!,Cartera!O2295="Guaraníes"),"Rendimiento significativo",IF(AND(M2295&gt;#REF!,Cartera!O2295="Dólares americanos"),"Rendimiento significativo","Rendimiento no significativo"))</f>
        <v>#REF!</v>
      </c>
      <c r="O2295" s="5" t="s">
        <v>41</v>
      </c>
      <c r="P2295" s="12">
        <v>2024438.356164</v>
      </c>
      <c r="Q2295" s="12">
        <f>IF(O2295="Guaraníes",P2295,P2295*#REF!)</f>
        <v>2024438.356164</v>
      </c>
      <c r="R2295" s="12" t="e">
        <f>IF(O2295="Guaraníes",P2295/#REF!,P2295)</f>
        <v>#REF!</v>
      </c>
      <c r="S2295" s="5" t="s">
        <v>52</v>
      </c>
      <c r="T2295" s="5">
        <v>593</v>
      </c>
      <c r="W2295" s="5" t="s">
        <v>302</v>
      </c>
      <c r="X2295" s="5">
        <v>0</v>
      </c>
      <c r="Y2295" s="5">
        <v>0</v>
      </c>
      <c r="Z2295" s="5">
        <v>72301.369863</v>
      </c>
      <c r="AA2295" s="5">
        <v>28</v>
      </c>
      <c r="AB2295" s="5">
        <v>2024438.356164</v>
      </c>
      <c r="AC2295" s="5" t="str">
        <f t="shared" ref="AC2295:AC2358" si="112">IF(ISNUMBER(SEARCH("Acciones",L2295)),"Acciones",IF(ISNUMBER(SEARCH("Bono",L2295)),"Bonos",IF(ISNUMBER(SEARCH("CDA",L2295)),"CDA",IF(ISNUMBER(SEARCH("Fondo",L2295)),"Fondo",0))))</f>
        <v>Bonos</v>
      </c>
      <c r="AD2295" s="5" t="s">
        <v>43</v>
      </c>
      <c r="AE2295" s="5">
        <f t="shared" si="110"/>
        <v>2</v>
      </c>
      <c r="AF2295" s="5">
        <f t="shared" si="111"/>
        <v>2018</v>
      </c>
    </row>
    <row r="2296" s="5" customFormat="1" ht="13">
      <c r="A2296" s="5" t="s">
        <v>488</v>
      </c>
      <c r="B2296" s="5" t="s">
        <v>488</v>
      </c>
      <c r="C2296" s="5" t="s">
        <v>493</v>
      </c>
      <c r="D2296" s="5" t="s">
        <v>20</v>
      </c>
      <c r="E2296" s="5" t="s">
        <v>488</v>
      </c>
      <c r="F2296" s="5" t="s">
        <v>68</v>
      </c>
      <c r="G2296" s="5" t="s">
        <v>69</v>
      </c>
      <c r="H2296" s="9" t="s">
        <v>494</v>
      </c>
      <c r="I2296" s="10">
        <v>42051</v>
      </c>
      <c r="J2296" s="10">
        <v>43143</v>
      </c>
      <c r="K2296" s="5" t="s">
        <v>491</v>
      </c>
      <c r="L2296" s="5" t="s">
        <v>58</v>
      </c>
      <c r="M2296" s="11">
        <v>0.17999999999999999</v>
      </c>
      <c r="N2296" s="5" t="e">
        <f>IF(AND(M2296&gt;#REF!,Cartera!O2296="Guaraníes"),"Rendimiento significativo",IF(AND(M2296&gt;#REF!,Cartera!O2296="Dólares americanos"),"Rendimiento significativo","Rendimiento no significativo"))</f>
        <v>#REF!</v>
      </c>
      <c r="O2296" s="5" t="s">
        <v>41</v>
      </c>
      <c r="P2296" s="12">
        <v>50000000</v>
      </c>
      <c r="Q2296" s="12">
        <f>IF(O2296="Guaraníes",P2296,P2296*#REF!)</f>
        <v>50000000</v>
      </c>
      <c r="R2296" s="12" t="e">
        <f>IF(O2296="Guaraníes",P2296/#REF!,P2296)</f>
        <v>#REF!</v>
      </c>
      <c r="S2296" s="5" t="s">
        <v>52</v>
      </c>
      <c r="AC2296" s="5" t="str">
        <f t="shared" si="112"/>
        <v>Bonos</v>
      </c>
      <c r="AD2296" s="5" t="s">
        <v>43</v>
      </c>
      <c r="AE2296" s="5">
        <f t="shared" si="110"/>
        <v>2</v>
      </c>
      <c r="AF2296" s="5">
        <f t="shared" si="111"/>
        <v>2018</v>
      </c>
    </row>
    <row r="2297" s="5" customFormat="1" ht="13">
      <c r="A2297" s="5" t="s">
        <v>44</v>
      </c>
      <c r="B2297" s="5" t="s">
        <v>44</v>
      </c>
      <c r="C2297" s="5" t="s">
        <v>156</v>
      </c>
      <c r="D2297" s="5" t="s">
        <v>21</v>
      </c>
      <c r="E2297" s="5" t="s">
        <v>44</v>
      </c>
      <c r="F2297" s="5" t="s">
        <v>68</v>
      </c>
      <c r="G2297" s="5" t="s">
        <v>69</v>
      </c>
      <c r="H2297" s="9" t="s">
        <v>400</v>
      </c>
      <c r="I2297" s="10"/>
      <c r="J2297" s="10">
        <v>43143</v>
      </c>
      <c r="K2297" s="5" t="s">
        <v>158</v>
      </c>
      <c r="L2297" s="5" t="s">
        <v>58</v>
      </c>
      <c r="M2297" s="11">
        <v>0.155</v>
      </c>
      <c r="N2297" s="5" t="e">
        <f>IF(AND(M2297&gt;#REF!,Cartera!O2297="Guaraníes"),"Rendimiento significativo",IF(AND(M2297&gt;#REF!,Cartera!O2297="Dólares americanos"),"Rendimiento significativo","Rendimiento no significativo"))</f>
        <v>#REF!</v>
      </c>
      <c r="O2297" s="5" t="s">
        <v>41</v>
      </c>
      <c r="P2297" s="12">
        <v>1358904.1096000001</v>
      </c>
      <c r="Q2297" s="12">
        <f>IF(O2297="Guaraníes",P2297,P2297*#REF!)</f>
        <v>1358904.1096000001</v>
      </c>
      <c r="R2297" s="12" t="e">
        <f>IF(O2297="Guaraníes",P2297/#REF!,P2297)</f>
        <v>#REF!</v>
      </c>
      <c r="S2297" s="5" t="s">
        <v>52</v>
      </c>
      <c r="T2297" s="5">
        <v>593</v>
      </c>
      <c r="W2297" s="5" t="s">
        <v>401</v>
      </c>
      <c r="X2297" s="5">
        <v>0</v>
      </c>
      <c r="Y2297" s="5">
        <v>0</v>
      </c>
      <c r="Z2297" s="5">
        <v>13589.041096000001</v>
      </c>
      <c r="AA2297" s="5">
        <v>100</v>
      </c>
      <c r="AB2297" s="5">
        <v>1358904.1096000001</v>
      </c>
      <c r="AC2297" s="5" t="str">
        <f t="shared" si="112"/>
        <v>Bonos</v>
      </c>
      <c r="AD2297" s="5" t="s">
        <v>43</v>
      </c>
      <c r="AE2297" s="5">
        <f t="shared" si="110"/>
        <v>2</v>
      </c>
      <c r="AF2297" s="5">
        <f t="shared" si="111"/>
        <v>2018</v>
      </c>
    </row>
    <row r="2298" s="5" customFormat="1" ht="13">
      <c r="A2298" s="5" t="s">
        <v>44</v>
      </c>
      <c r="B2298" s="5" t="s">
        <v>44</v>
      </c>
      <c r="C2298" s="5" t="s">
        <v>156</v>
      </c>
      <c r="D2298" s="5" t="s">
        <v>21</v>
      </c>
      <c r="E2298" s="5" t="s">
        <v>44</v>
      </c>
      <c r="F2298" s="5" t="s">
        <v>68</v>
      </c>
      <c r="G2298" s="5" t="s">
        <v>69</v>
      </c>
      <c r="H2298" s="9" t="s">
        <v>407</v>
      </c>
      <c r="I2298" s="10"/>
      <c r="J2298" s="10">
        <v>43145</v>
      </c>
      <c r="K2298" s="5" t="s">
        <v>158</v>
      </c>
      <c r="L2298" s="5" t="s">
        <v>58</v>
      </c>
      <c r="M2298" s="11">
        <v>0.12</v>
      </c>
      <c r="N2298" s="5" t="e">
        <f>IF(AND(M2298&gt;#REF!,Cartera!O2298="Guaraníes"),"Rendimiento significativo",IF(AND(M2298&gt;#REF!,Cartera!O2298="Dólares americanos"),"Rendimiento significativo","Rendimiento no significativo"))</f>
        <v>#REF!</v>
      </c>
      <c r="O2298" s="5" t="s">
        <v>41</v>
      </c>
      <c r="P2298" s="12">
        <v>1315068.4931999999</v>
      </c>
      <c r="Q2298" s="12">
        <f>IF(O2298="Guaraníes",P2298,P2298*#REF!)</f>
        <v>1315068.4931999999</v>
      </c>
      <c r="R2298" s="12" t="e">
        <f>IF(O2298="Guaraníes",P2298/#REF!,P2298)</f>
        <v>#REF!</v>
      </c>
      <c r="S2298" s="5" t="s">
        <v>52</v>
      </c>
      <c r="T2298" s="5">
        <v>593</v>
      </c>
      <c r="W2298" s="5" t="s">
        <v>460</v>
      </c>
      <c r="X2298" s="5">
        <v>0</v>
      </c>
      <c r="Y2298" s="5">
        <v>0</v>
      </c>
      <c r="Z2298" s="5">
        <v>13150.684932</v>
      </c>
      <c r="AA2298" s="5">
        <v>100</v>
      </c>
      <c r="AB2298" s="5">
        <v>1315068.4931999999</v>
      </c>
      <c r="AC2298" s="5" t="str">
        <f t="shared" si="112"/>
        <v>Bonos</v>
      </c>
      <c r="AD2298" s="5" t="s">
        <v>43</v>
      </c>
      <c r="AE2298" s="5">
        <f t="shared" si="110"/>
        <v>2</v>
      </c>
      <c r="AF2298" s="5">
        <f t="shared" si="111"/>
        <v>2018</v>
      </c>
    </row>
    <row r="2299" s="5" customFormat="1" ht="13">
      <c r="A2299" s="5" t="s">
        <v>44</v>
      </c>
      <c r="B2299" s="5" t="s">
        <v>44</v>
      </c>
      <c r="C2299" s="5" t="s">
        <v>156</v>
      </c>
      <c r="D2299" s="5" t="s">
        <v>21</v>
      </c>
      <c r="E2299" s="5" t="s">
        <v>44</v>
      </c>
      <c r="F2299" s="5" t="s">
        <v>68</v>
      </c>
      <c r="G2299" s="5" t="s">
        <v>69</v>
      </c>
      <c r="H2299" s="9" t="s">
        <v>402</v>
      </c>
      <c r="I2299" s="10"/>
      <c r="J2299" s="10">
        <v>43147</v>
      </c>
      <c r="K2299" s="5" t="s">
        <v>158</v>
      </c>
      <c r="L2299" s="5" t="s">
        <v>58</v>
      </c>
      <c r="M2299" s="11">
        <v>0.17999999999999999</v>
      </c>
      <c r="N2299" s="5" t="e">
        <f>IF(AND(M2299&gt;#REF!,Cartera!O2299="Guaraníes"),"Rendimiento significativo",IF(AND(M2299&gt;#REF!,Cartera!O2299="Dólares americanos"),"Rendimiento significativo","Rendimiento no significativo"))</f>
        <v>#REF!</v>
      </c>
      <c r="O2299" s="5" t="s">
        <v>41</v>
      </c>
      <c r="P2299" s="12">
        <v>1072602.739725</v>
      </c>
      <c r="Q2299" s="12">
        <f>IF(O2299="Guaraníes",P2299,P2299*#REF!)</f>
        <v>1072602.739725</v>
      </c>
      <c r="R2299" s="12" t="e">
        <f>IF(O2299="Guaraníes",P2299/#REF!,P2299)</f>
        <v>#REF!</v>
      </c>
      <c r="S2299" s="5" t="s">
        <v>52</v>
      </c>
      <c r="T2299" s="5">
        <v>593</v>
      </c>
      <c r="W2299" s="5" t="s">
        <v>461</v>
      </c>
      <c r="X2299" s="5">
        <v>0</v>
      </c>
      <c r="Y2299" s="5">
        <v>0</v>
      </c>
      <c r="Z2299" s="5">
        <v>14301.369863</v>
      </c>
      <c r="AA2299" s="5">
        <v>75</v>
      </c>
      <c r="AB2299" s="5">
        <v>1072602.739725</v>
      </c>
      <c r="AC2299" s="5" t="str">
        <f t="shared" si="112"/>
        <v>Bonos</v>
      </c>
      <c r="AD2299" s="5" t="s">
        <v>43</v>
      </c>
      <c r="AE2299" s="5">
        <f t="shared" si="110"/>
        <v>2</v>
      </c>
      <c r="AF2299" s="5">
        <f t="shared" si="111"/>
        <v>2018</v>
      </c>
    </row>
    <row r="2300" s="5" customFormat="1" ht="13">
      <c r="A2300" s="5" t="s">
        <v>44</v>
      </c>
      <c r="B2300" s="5" t="s">
        <v>44</v>
      </c>
      <c r="C2300" s="5" t="s">
        <v>156</v>
      </c>
      <c r="D2300" s="5" t="s">
        <v>21</v>
      </c>
      <c r="E2300" s="5" t="s">
        <v>44</v>
      </c>
      <c r="F2300" s="5" t="s">
        <v>68</v>
      </c>
      <c r="G2300" s="5" t="s">
        <v>69</v>
      </c>
      <c r="H2300" s="9" t="s">
        <v>400</v>
      </c>
      <c r="I2300" s="10"/>
      <c r="J2300" s="10">
        <v>43171</v>
      </c>
      <c r="K2300" s="5" t="s">
        <v>158</v>
      </c>
      <c r="L2300" s="5" t="s">
        <v>58</v>
      </c>
      <c r="M2300" s="11">
        <v>0.155</v>
      </c>
      <c r="N2300" s="5" t="e">
        <f>IF(AND(M2300&gt;#REF!,Cartera!O2300="Guaraníes"),"Rendimiento significativo",IF(AND(M2300&gt;#REF!,Cartera!O2300="Dólares americanos"),"Rendimiento significativo","Rendimiento no significativo"))</f>
        <v>#REF!</v>
      </c>
      <c r="O2300" s="5" t="s">
        <v>41</v>
      </c>
      <c r="P2300" s="12">
        <v>1189041.0959000001</v>
      </c>
      <c r="Q2300" s="12">
        <f>IF(O2300="Guaraníes",P2300,P2300*#REF!)</f>
        <v>1189041.0959000001</v>
      </c>
      <c r="R2300" s="12" t="e">
        <f>IF(O2300="Guaraníes",P2300/#REF!,P2300)</f>
        <v>#REF!</v>
      </c>
      <c r="S2300" s="5" t="s">
        <v>52</v>
      </c>
      <c r="T2300" s="5">
        <v>593</v>
      </c>
      <c r="W2300" s="5" t="s">
        <v>411</v>
      </c>
      <c r="X2300" s="5">
        <v>0</v>
      </c>
      <c r="Y2300" s="5">
        <v>0</v>
      </c>
      <c r="Z2300" s="5">
        <v>11890.410959000001</v>
      </c>
      <c r="AA2300" s="5">
        <v>100</v>
      </c>
      <c r="AB2300" s="5">
        <v>1189041.0959000001</v>
      </c>
      <c r="AC2300" s="5" t="str">
        <f t="shared" si="112"/>
        <v>Bonos</v>
      </c>
      <c r="AD2300" s="5" t="s">
        <v>43</v>
      </c>
      <c r="AE2300" s="5">
        <f t="shared" si="110"/>
        <v>3</v>
      </c>
      <c r="AF2300" s="5">
        <f t="shared" si="111"/>
        <v>2018</v>
      </c>
    </row>
    <row r="2301" s="5" customFormat="1" ht="13">
      <c r="A2301" s="5" t="s">
        <v>44</v>
      </c>
      <c r="B2301" s="5" t="s">
        <v>44</v>
      </c>
      <c r="C2301" s="5" t="s">
        <v>156</v>
      </c>
      <c r="D2301" s="5" t="s">
        <v>21</v>
      </c>
      <c r="E2301" s="5" t="s">
        <v>44</v>
      </c>
      <c r="F2301" s="5" t="s">
        <v>68</v>
      </c>
      <c r="G2301" s="5" t="s">
        <v>69</v>
      </c>
      <c r="H2301" s="9" t="s">
        <v>407</v>
      </c>
      <c r="I2301" s="10"/>
      <c r="J2301" s="10">
        <v>43175</v>
      </c>
      <c r="K2301" s="5" t="s">
        <v>158</v>
      </c>
      <c r="L2301" s="5" t="s">
        <v>58</v>
      </c>
      <c r="M2301" s="11">
        <v>0.12</v>
      </c>
      <c r="N2301" s="5" t="e">
        <f>IF(AND(M2301&gt;#REF!,Cartera!O2301="Guaraníes"),"Rendimiento significativo",IF(AND(M2301&gt;#REF!,Cartera!O2301="Dólares americanos"),"Rendimiento significativo","Rendimiento no significativo"))</f>
        <v>#REF!</v>
      </c>
      <c r="O2301" s="5" t="s">
        <v>41</v>
      </c>
      <c r="P2301" s="12">
        <v>1315068.4931999999</v>
      </c>
      <c r="Q2301" s="12">
        <f>IF(O2301="Guaraníes",P2301,P2301*#REF!)</f>
        <v>1315068.4931999999</v>
      </c>
      <c r="R2301" s="12" t="e">
        <f>IF(O2301="Guaraníes",P2301/#REF!,P2301)</f>
        <v>#REF!</v>
      </c>
      <c r="S2301" s="5" t="s">
        <v>52</v>
      </c>
      <c r="T2301" s="5">
        <v>593</v>
      </c>
      <c r="W2301" s="5" t="s">
        <v>412</v>
      </c>
      <c r="X2301" s="5">
        <v>0</v>
      </c>
      <c r="Y2301" s="5">
        <v>0</v>
      </c>
      <c r="Z2301" s="5">
        <v>13150.684932</v>
      </c>
      <c r="AA2301" s="5">
        <v>100</v>
      </c>
      <c r="AB2301" s="5">
        <v>1315068.4931999999</v>
      </c>
      <c r="AC2301" s="5" t="str">
        <f t="shared" si="112"/>
        <v>Bonos</v>
      </c>
      <c r="AD2301" s="5" t="s">
        <v>43</v>
      </c>
      <c r="AE2301" s="5">
        <f t="shared" si="110"/>
        <v>3</v>
      </c>
      <c r="AF2301" s="5">
        <f t="shared" si="111"/>
        <v>2018</v>
      </c>
    </row>
    <row r="2302" s="5" customFormat="1" ht="13">
      <c r="A2302" s="5" t="s">
        <v>44</v>
      </c>
      <c r="B2302" s="5" t="s">
        <v>44</v>
      </c>
      <c r="C2302" s="5" t="s">
        <v>156</v>
      </c>
      <c r="D2302" s="5" t="s">
        <v>21</v>
      </c>
      <c r="E2302" s="5" t="s">
        <v>44</v>
      </c>
      <c r="F2302" s="5" t="s">
        <v>68</v>
      </c>
      <c r="G2302" s="5" t="s">
        <v>69</v>
      </c>
      <c r="H2302" s="9" t="s">
        <v>402</v>
      </c>
      <c r="I2302" s="10"/>
      <c r="J2302" s="10">
        <v>43179</v>
      </c>
      <c r="K2302" s="5" t="s">
        <v>158</v>
      </c>
      <c r="L2302" s="5" t="s">
        <v>58</v>
      </c>
      <c r="M2302" s="11">
        <v>0.17999999999999999</v>
      </c>
      <c r="N2302" s="5" t="e">
        <f>IF(AND(M2302&gt;#REF!,Cartera!O2302="Guaraníes"),"Rendimiento significativo",IF(AND(M2302&gt;#REF!,Cartera!O2302="Dólares americanos"),"Rendimiento significativo","Rendimiento no significativo"))</f>
        <v>#REF!</v>
      </c>
      <c r="O2302" s="5" t="s">
        <v>41</v>
      </c>
      <c r="P2302" s="12">
        <v>1183561.6438499999</v>
      </c>
      <c r="Q2302" s="12">
        <f>IF(O2302="Guaraníes",P2302,P2302*#REF!)</f>
        <v>1183561.6438499999</v>
      </c>
      <c r="R2302" s="12" t="e">
        <f>IF(O2302="Guaraníes",P2302/#REF!,P2302)</f>
        <v>#REF!</v>
      </c>
      <c r="S2302" s="5" t="s">
        <v>52</v>
      </c>
      <c r="T2302" s="5">
        <v>593</v>
      </c>
      <c r="W2302" s="5" t="s">
        <v>413</v>
      </c>
      <c r="X2302" s="5">
        <v>0</v>
      </c>
      <c r="Y2302" s="5">
        <v>0</v>
      </c>
      <c r="Z2302" s="5">
        <v>15780.821918</v>
      </c>
      <c r="AA2302" s="5">
        <v>75</v>
      </c>
      <c r="AB2302" s="5">
        <v>1183561.6438500001</v>
      </c>
      <c r="AC2302" s="5" t="str">
        <f t="shared" si="112"/>
        <v>Bonos</v>
      </c>
      <c r="AD2302" s="5" t="s">
        <v>43</v>
      </c>
      <c r="AE2302" s="5">
        <f t="shared" si="110"/>
        <v>3</v>
      </c>
      <c r="AF2302" s="5">
        <f t="shared" si="111"/>
        <v>2018</v>
      </c>
    </row>
    <row r="2303" s="5" customFormat="1" ht="13">
      <c r="A2303" s="5" t="s">
        <v>44</v>
      </c>
      <c r="B2303" s="5" t="s">
        <v>44</v>
      </c>
      <c r="C2303" s="5" t="s">
        <v>176</v>
      </c>
      <c r="D2303" s="5" t="s">
        <v>21</v>
      </c>
      <c r="E2303" s="5" t="s">
        <v>44</v>
      </c>
      <c r="F2303" s="5" t="s">
        <v>68</v>
      </c>
      <c r="G2303" s="5" t="s">
        <v>69</v>
      </c>
      <c r="H2303" s="9" t="s">
        <v>479</v>
      </c>
      <c r="I2303" s="10"/>
      <c r="J2303" s="10">
        <v>43187</v>
      </c>
      <c r="K2303" s="5" t="s">
        <v>178</v>
      </c>
      <c r="L2303" s="5" t="s">
        <v>58</v>
      </c>
      <c r="M2303" s="11">
        <v>0.074999999999999997</v>
      </c>
      <c r="N2303" s="5" t="e">
        <f>IF(AND(M2303&gt;#REF!,Cartera!O2303="Guaraníes"),"Rendimiento significativo",IF(AND(M2303&gt;#REF!,Cartera!O2303="Dólares americanos"),"Rendimiento significativo","Rendimiento no significativo"))</f>
        <v>#REF!</v>
      </c>
      <c r="O2303" s="5" t="s">
        <v>51</v>
      </c>
      <c r="P2303" s="13">
        <v>635.75342999999998</v>
      </c>
      <c r="Q2303" s="12" t="e">
        <f>IF(O2303="Guaraníes",P2303,P2303*#REF!)</f>
        <v>#REF!</v>
      </c>
      <c r="R2303" s="12">
        <f>IF(O2303="Guaraníes",P2303/#REF!,P2303)</f>
        <v>635.75342999999998</v>
      </c>
      <c r="S2303" s="5" t="s">
        <v>52</v>
      </c>
      <c r="T2303" s="5">
        <v>593</v>
      </c>
      <c r="W2303" s="5" t="s">
        <v>205</v>
      </c>
      <c r="X2303" s="5">
        <v>0</v>
      </c>
      <c r="Y2303" s="5">
        <v>0</v>
      </c>
      <c r="Z2303" s="5">
        <v>21.191780999999999</v>
      </c>
      <c r="AA2303" s="5">
        <v>30</v>
      </c>
      <c r="AB2303" s="5">
        <v>635.75342999999998</v>
      </c>
      <c r="AC2303" s="5" t="str">
        <f t="shared" si="112"/>
        <v>Bonos</v>
      </c>
      <c r="AD2303" s="5" t="s">
        <v>43</v>
      </c>
      <c r="AE2303" s="5">
        <f t="shared" si="110"/>
        <v>3</v>
      </c>
      <c r="AF2303" s="5">
        <f t="shared" si="111"/>
        <v>2018</v>
      </c>
    </row>
    <row r="2304" s="5" customFormat="1" ht="13">
      <c r="A2304" s="5" t="s">
        <v>44</v>
      </c>
      <c r="B2304" s="5" t="s">
        <v>44</v>
      </c>
      <c r="C2304" s="5" t="s">
        <v>156</v>
      </c>
      <c r="D2304" s="5" t="s">
        <v>21</v>
      </c>
      <c r="E2304" s="5" t="s">
        <v>44</v>
      </c>
      <c r="F2304" s="5" t="s">
        <v>68</v>
      </c>
      <c r="G2304" s="5" t="s">
        <v>69</v>
      </c>
      <c r="H2304" s="9" t="s">
        <v>400</v>
      </c>
      <c r="I2304" s="10"/>
      <c r="J2304" s="10">
        <v>43201</v>
      </c>
      <c r="K2304" s="5" t="s">
        <v>158</v>
      </c>
      <c r="L2304" s="5" t="s">
        <v>58</v>
      </c>
      <c r="M2304" s="11">
        <v>0.155</v>
      </c>
      <c r="N2304" s="5" t="e">
        <f>IF(AND(M2304&gt;#REF!,Cartera!O2304="Guaraníes"),"Rendimiento significativo",IF(AND(M2304&gt;#REF!,Cartera!O2304="Dólares americanos"),"Rendimiento significativo","Rendimiento no significativo"))</f>
        <v>#REF!</v>
      </c>
      <c r="O2304" s="5" t="s">
        <v>41</v>
      </c>
      <c r="P2304" s="12">
        <v>1273972.6027000002</v>
      </c>
      <c r="Q2304" s="12">
        <f>IF(O2304="Guaraníes",P2304,P2304*#REF!)</f>
        <v>1273972.6027000002</v>
      </c>
      <c r="R2304" s="12" t="e">
        <f>IF(O2304="Guaraníes",P2304/#REF!,P2304)</f>
        <v>#REF!</v>
      </c>
      <c r="S2304" s="5" t="s">
        <v>52</v>
      </c>
      <c r="T2304" s="5">
        <v>593</v>
      </c>
      <c r="W2304" s="5" t="s">
        <v>415</v>
      </c>
      <c r="X2304" s="5">
        <v>0</v>
      </c>
      <c r="Y2304" s="5">
        <v>0</v>
      </c>
      <c r="Z2304" s="5">
        <v>12739.726027000001</v>
      </c>
      <c r="AA2304" s="5">
        <v>100</v>
      </c>
      <c r="AB2304" s="5">
        <v>1273972.6026999999</v>
      </c>
      <c r="AC2304" s="5" t="str">
        <f t="shared" si="112"/>
        <v>Bonos</v>
      </c>
      <c r="AD2304" s="5" t="s">
        <v>43</v>
      </c>
      <c r="AE2304" s="5">
        <f t="shared" si="110"/>
        <v>4</v>
      </c>
      <c r="AF2304" s="5">
        <f t="shared" si="111"/>
        <v>2018</v>
      </c>
    </row>
    <row r="2305" s="5" customFormat="1" ht="13">
      <c r="A2305" s="5" t="s">
        <v>44</v>
      </c>
      <c r="B2305" s="5" t="s">
        <v>44</v>
      </c>
      <c r="C2305" s="5" t="s">
        <v>156</v>
      </c>
      <c r="D2305" s="5" t="s">
        <v>21</v>
      </c>
      <c r="E2305" s="5" t="s">
        <v>44</v>
      </c>
      <c r="F2305" s="5" t="s">
        <v>68</v>
      </c>
      <c r="G2305" s="5" t="s">
        <v>69</v>
      </c>
      <c r="H2305" s="9" t="s">
        <v>407</v>
      </c>
      <c r="I2305" s="10"/>
      <c r="J2305" s="10">
        <v>43206</v>
      </c>
      <c r="K2305" s="5" t="s">
        <v>158</v>
      </c>
      <c r="L2305" s="5" t="s">
        <v>58</v>
      </c>
      <c r="M2305" s="11">
        <v>0.12</v>
      </c>
      <c r="N2305" s="5" t="e">
        <f>IF(AND(M2305&gt;#REF!,Cartera!O2305="Guaraníes"),"Rendimiento significativo",IF(AND(M2305&gt;#REF!,Cartera!O2305="Dólares americanos"),"Rendimiento significativo","Rendimiento no significativo"))</f>
        <v>#REF!</v>
      </c>
      <c r="O2305" s="5" t="s">
        <v>41</v>
      </c>
      <c r="P2305" s="12">
        <v>1358904.1096000001</v>
      </c>
      <c r="Q2305" s="12">
        <f>IF(O2305="Guaraníes",P2305,P2305*#REF!)</f>
        <v>1358904.1096000001</v>
      </c>
      <c r="R2305" s="12" t="e">
        <f>IF(O2305="Guaraníes",P2305/#REF!,P2305)</f>
        <v>#REF!</v>
      </c>
      <c r="S2305" s="5" t="s">
        <v>52</v>
      </c>
      <c r="T2305" s="5">
        <v>593</v>
      </c>
      <c r="W2305" s="5" t="s">
        <v>416</v>
      </c>
      <c r="X2305" s="5">
        <v>0</v>
      </c>
      <c r="Y2305" s="5">
        <v>0</v>
      </c>
      <c r="Z2305" s="5">
        <v>13589.041096000001</v>
      </c>
      <c r="AA2305" s="5">
        <v>100</v>
      </c>
      <c r="AB2305" s="5">
        <v>1358904.1096000001</v>
      </c>
      <c r="AC2305" s="5" t="str">
        <f t="shared" si="112"/>
        <v>Bonos</v>
      </c>
      <c r="AD2305" s="5" t="s">
        <v>43</v>
      </c>
      <c r="AE2305" s="5">
        <f t="shared" si="110"/>
        <v>4</v>
      </c>
      <c r="AF2305" s="5">
        <f t="shared" si="111"/>
        <v>2018</v>
      </c>
    </row>
    <row r="2306" s="5" customFormat="1" ht="13">
      <c r="A2306" s="5" t="s">
        <v>44</v>
      </c>
      <c r="B2306" s="5" t="s">
        <v>44</v>
      </c>
      <c r="C2306" s="5" t="s">
        <v>156</v>
      </c>
      <c r="D2306" s="5" t="s">
        <v>21</v>
      </c>
      <c r="E2306" s="5" t="s">
        <v>44</v>
      </c>
      <c r="F2306" s="5" t="s">
        <v>68</v>
      </c>
      <c r="G2306" s="5" t="s">
        <v>69</v>
      </c>
      <c r="H2306" s="9" t="s">
        <v>402</v>
      </c>
      <c r="I2306" s="10"/>
      <c r="J2306" s="10">
        <v>43210</v>
      </c>
      <c r="K2306" s="5" t="s">
        <v>158</v>
      </c>
      <c r="L2306" s="5" t="s">
        <v>58</v>
      </c>
      <c r="M2306" s="11">
        <v>0.17999999999999999</v>
      </c>
      <c r="N2306" s="5" t="e">
        <f>IF(AND(M2306&gt;#REF!,Cartera!O2306="Guaraníes"),"Rendimiento significativo",IF(AND(M2306&gt;#REF!,Cartera!O2306="Dólares americanos"),"Rendimiento significativo","Rendimiento no significativo"))</f>
        <v>#REF!</v>
      </c>
      <c r="O2306" s="5" t="s">
        <v>41</v>
      </c>
      <c r="P2306" s="12">
        <v>1146575.3424749998</v>
      </c>
      <c r="Q2306" s="12">
        <f>IF(O2306="Guaraníes",P2306,P2306*#REF!)</f>
        <v>1146575.3424749998</v>
      </c>
      <c r="R2306" s="12" t="e">
        <f>IF(O2306="Guaraníes",P2306/#REF!,P2306)</f>
        <v>#REF!</v>
      </c>
      <c r="S2306" s="5" t="s">
        <v>52</v>
      </c>
      <c r="T2306" s="5">
        <v>593</v>
      </c>
      <c r="W2306" s="5" t="s">
        <v>417</v>
      </c>
      <c r="X2306" s="5">
        <v>0</v>
      </c>
      <c r="Y2306" s="5">
        <v>0</v>
      </c>
      <c r="Z2306" s="5">
        <v>15287.671232999999</v>
      </c>
      <c r="AA2306" s="5">
        <v>75</v>
      </c>
      <c r="AB2306" s="5">
        <v>1146575.3424750001</v>
      </c>
      <c r="AC2306" s="5" t="str">
        <f t="shared" si="112"/>
        <v>Bonos</v>
      </c>
      <c r="AD2306" s="5" t="s">
        <v>43</v>
      </c>
      <c r="AE2306" s="5">
        <f t="shared" si="110"/>
        <v>4</v>
      </c>
      <c r="AF2306" s="5">
        <f t="shared" si="111"/>
        <v>2018</v>
      </c>
    </row>
    <row r="2307" s="5" customFormat="1" ht="13">
      <c r="A2307" s="5" t="s">
        <v>44</v>
      </c>
      <c r="B2307" s="5" t="s">
        <v>44</v>
      </c>
      <c r="C2307" s="5" t="s">
        <v>156</v>
      </c>
      <c r="D2307" s="5" t="s">
        <v>21</v>
      </c>
      <c r="E2307" s="5" t="s">
        <v>44</v>
      </c>
      <c r="F2307" s="5" t="s">
        <v>68</v>
      </c>
      <c r="G2307" s="5" t="s">
        <v>69</v>
      </c>
      <c r="H2307" s="9" t="s">
        <v>400</v>
      </c>
      <c r="I2307" s="10"/>
      <c r="J2307" s="10">
        <v>43231</v>
      </c>
      <c r="K2307" s="5" t="s">
        <v>158</v>
      </c>
      <c r="L2307" s="5" t="s">
        <v>58</v>
      </c>
      <c r="M2307" s="11">
        <v>0.155</v>
      </c>
      <c r="N2307" s="5" t="e">
        <f>IF(AND(M2307&gt;#REF!,Cartera!O2307="Guaraníes"),"Rendimiento significativo",IF(AND(M2307&gt;#REF!,Cartera!O2307="Dólares americanos"),"Rendimiento significativo","Rendimiento no significativo"))</f>
        <v>#REF!</v>
      </c>
      <c r="O2307" s="5" t="s">
        <v>41</v>
      </c>
      <c r="P2307" s="12">
        <v>1273972.6027000002</v>
      </c>
      <c r="Q2307" s="12">
        <f>IF(O2307="Guaraníes",P2307,P2307*#REF!)</f>
        <v>1273972.6027000002</v>
      </c>
      <c r="R2307" s="12" t="e">
        <f>IF(O2307="Guaraníes",P2307/#REF!,P2307)</f>
        <v>#REF!</v>
      </c>
      <c r="S2307" s="5" t="s">
        <v>52</v>
      </c>
      <c r="T2307" s="5">
        <v>593</v>
      </c>
      <c r="W2307" s="5" t="s">
        <v>495</v>
      </c>
      <c r="X2307" s="5">
        <v>0</v>
      </c>
      <c r="Y2307" s="5">
        <v>0</v>
      </c>
      <c r="Z2307" s="5">
        <v>12739.726027000001</v>
      </c>
      <c r="AA2307" s="5">
        <v>100</v>
      </c>
      <c r="AB2307" s="5">
        <v>1273972.6026999999</v>
      </c>
      <c r="AC2307" s="5" t="str">
        <f t="shared" si="112"/>
        <v>Bonos</v>
      </c>
      <c r="AD2307" s="5" t="s">
        <v>43</v>
      </c>
      <c r="AE2307" s="5">
        <f t="shared" si="110"/>
        <v>5</v>
      </c>
      <c r="AF2307" s="5">
        <f t="shared" si="111"/>
        <v>2018</v>
      </c>
    </row>
    <row r="2308" s="5" customFormat="1" ht="13">
      <c r="A2308" s="5" t="s">
        <v>44</v>
      </c>
      <c r="B2308" s="5" t="s">
        <v>44</v>
      </c>
      <c r="C2308" s="5" t="s">
        <v>156</v>
      </c>
      <c r="D2308" s="5" t="s">
        <v>21</v>
      </c>
      <c r="E2308" s="5" t="s">
        <v>44</v>
      </c>
      <c r="F2308" s="5" t="s">
        <v>68</v>
      </c>
      <c r="G2308" s="5" t="s">
        <v>69</v>
      </c>
      <c r="H2308" s="9" t="s">
        <v>407</v>
      </c>
      <c r="I2308" s="10"/>
      <c r="J2308" s="10">
        <v>43236</v>
      </c>
      <c r="K2308" s="5" t="s">
        <v>158</v>
      </c>
      <c r="L2308" s="5" t="s">
        <v>58</v>
      </c>
      <c r="M2308" s="11">
        <v>0.12</v>
      </c>
      <c r="N2308" s="5" t="e">
        <f>IF(AND(M2308&gt;#REF!,Cartera!O2308="Guaraníes"),"Rendimiento significativo",IF(AND(M2308&gt;#REF!,Cartera!O2308="Dólares americanos"),"Rendimiento significativo","Rendimiento no significativo"))</f>
        <v>#REF!</v>
      </c>
      <c r="O2308" s="5" t="s">
        <v>41</v>
      </c>
      <c r="P2308" s="12">
        <v>1315068.4931999999</v>
      </c>
      <c r="Q2308" s="12">
        <f>IF(O2308="Guaraníes",P2308,P2308*#REF!)</f>
        <v>1315068.4931999999</v>
      </c>
      <c r="R2308" s="12" t="e">
        <f>IF(O2308="Guaraníes",P2308/#REF!,P2308)</f>
        <v>#REF!</v>
      </c>
      <c r="S2308" s="5" t="s">
        <v>52</v>
      </c>
      <c r="T2308" s="5">
        <v>593</v>
      </c>
      <c r="W2308" s="5" t="s">
        <v>496</v>
      </c>
      <c r="X2308" s="5">
        <v>0</v>
      </c>
      <c r="Y2308" s="5">
        <v>0</v>
      </c>
      <c r="Z2308" s="5">
        <v>13150.684932</v>
      </c>
      <c r="AA2308" s="5">
        <v>100</v>
      </c>
      <c r="AB2308" s="5">
        <v>1315068.4931999999</v>
      </c>
      <c r="AC2308" s="5" t="str">
        <f t="shared" si="112"/>
        <v>Bonos</v>
      </c>
      <c r="AD2308" s="5" t="s">
        <v>43</v>
      </c>
      <c r="AE2308" s="5">
        <f t="shared" si="110"/>
        <v>5</v>
      </c>
      <c r="AF2308" s="5">
        <f t="shared" si="111"/>
        <v>2018</v>
      </c>
    </row>
    <row r="2309" s="5" customFormat="1" ht="13">
      <c r="A2309" s="5" t="s">
        <v>44</v>
      </c>
      <c r="B2309" s="5" t="s">
        <v>44</v>
      </c>
      <c r="C2309" s="5" t="s">
        <v>156</v>
      </c>
      <c r="D2309" s="5" t="s">
        <v>21</v>
      </c>
      <c r="E2309" s="5" t="s">
        <v>44</v>
      </c>
      <c r="F2309" s="5" t="s">
        <v>68</v>
      </c>
      <c r="G2309" s="5" t="s">
        <v>69</v>
      </c>
      <c r="H2309" s="9" t="s">
        <v>402</v>
      </c>
      <c r="I2309" s="10"/>
      <c r="J2309" s="10">
        <v>43241</v>
      </c>
      <c r="K2309" s="5" t="s">
        <v>158</v>
      </c>
      <c r="L2309" s="5" t="s">
        <v>58</v>
      </c>
      <c r="M2309" s="11">
        <v>0.17999999999999999</v>
      </c>
      <c r="N2309" s="5" t="e">
        <f>IF(AND(M2309&gt;#REF!,Cartera!O2309="Guaraníes"),"Rendimiento significativo",IF(AND(M2309&gt;#REF!,Cartera!O2309="Dólares americanos"),"Rendimiento significativo","Rendimiento no significativo"))</f>
        <v>#REF!</v>
      </c>
      <c r="O2309" s="5" t="s">
        <v>41</v>
      </c>
      <c r="P2309" s="12">
        <v>1146575.3424749998</v>
      </c>
      <c r="Q2309" s="12">
        <f>IF(O2309="Guaraníes",P2309,P2309*#REF!)</f>
        <v>1146575.3424749998</v>
      </c>
      <c r="R2309" s="12" t="e">
        <f>IF(O2309="Guaraníes",P2309/#REF!,P2309)</f>
        <v>#REF!</v>
      </c>
      <c r="S2309" s="5" t="s">
        <v>52</v>
      </c>
      <c r="T2309" s="5">
        <v>593</v>
      </c>
      <c r="W2309" s="5" t="s">
        <v>497</v>
      </c>
      <c r="X2309" s="5">
        <v>0</v>
      </c>
      <c r="Y2309" s="5">
        <v>0</v>
      </c>
      <c r="Z2309" s="5">
        <v>15287.671232999999</v>
      </c>
      <c r="AA2309" s="5">
        <v>75</v>
      </c>
      <c r="AB2309" s="5">
        <v>1146575.3424750001</v>
      </c>
      <c r="AC2309" s="5" t="str">
        <f t="shared" si="112"/>
        <v>Bonos</v>
      </c>
      <c r="AD2309" s="5" t="s">
        <v>43</v>
      </c>
      <c r="AE2309" s="5">
        <f t="shared" si="110"/>
        <v>5</v>
      </c>
      <c r="AF2309" s="5">
        <f t="shared" si="111"/>
        <v>2018</v>
      </c>
    </row>
    <row r="2310" s="5" customFormat="1" ht="13">
      <c r="A2310" s="5" t="s">
        <v>44</v>
      </c>
      <c r="B2310" s="5" t="s">
        <v>44</v>
      </c>
      <c r="C2310" s="5" t="s">
        <v>156</v>
      </c>
      <c r="D2310" s="5" t="s">
        <v>21</v>
      </c>
      <c r="E2310" s="5" t="s">
        <v>44</v>
      </c>
      <c r="F2310" s="5" t="s">
        <v>68</v>
      </c>
      <c r="G2310" s="5" t="s">
        <v>69</v>
      </c>
      <c r="H2310" s="9" t="s">
        <v>400</v>
      </c>
      <c r="I2310" s="10"/>
      <c r="J2310" s="10">
        <v>43262</v>
      </c>
      <c r="K2310" s="5" t="s">
        <v>158</v>
      </c>
      <c r="L2310" s="5" t="s">
        <v>58</v>
      </c>
      <c r="M2310" s="11">
        <v>0.155</v>
      </c>
      <c r="N2310" s="5" t="e">
        <f>IF(AND(M2310&gt;#REF!,Cartera!O2310="Guaraníes"),"Rendimiento significativo",IF(AND(M2310&gt;#REF!,Cartera!O2310="Dólares americanos"),"Rendimiento significativo","Rendimiento no significativo"))</f>
        <v>#REF!</v>
      </c>
      <c r="O2310" s="5" t="s">
        <v>41</v>
      </c>
      <c r="P2310" s="12">
        <v>1316438.3562</v>
      </c>
      <c r="Q2310" s="12">
        <f>IF(O2310="Guaraníes",P2310,P2310*#REF!)</f>
        <v>1316438.3562</v>
      </c>
      <c r="R2310" s="12" t="e">
        <f>IF(O2310="Guaraníes",P2310/#REF!,P2310)</f>
        <v>#REF!</v>
      </c>
      <c r="S2310" s="5" t="s">
        <v>52</v>
      </c>
      <c r="T2310" s="5">
        <v>593</v>
      </c>
      <c r="W2310" s="5" t="s">
        <v>498</v>
      </c>
      <c r="X2310" s="5">
        <v>0</v>
      </c>
      <c r="Y2310" s="5">
        <v>0</v>
      </c>
      <c r="Z2310" s="5">
        <v>13164.383562000001</v>
      </c>
      <c r="AA2310" s="5">
        <v>100</v>
      </c>
      <c r="AB2310" s="5">
        <v>1316438.3562</v>
      </c>
      <c r="AC2310" s="5" t="str">
        <f t="shared" si="112"/>
        <v>Bonos</v>
      </c>
      <c r="AD2310" s="5" t="s">
        <v>43</v>
      </c>
      <c r="AE2310" s="5">
        <f t="shared" si="110"/>
        <v>6</v>
      </c>
      <c r="AF2310" s="5">
        <f t="shared" si="111"/>
        <v>2018</v>
      </c>
    </row>
    <row r="2311" s="5" customFormat="1" ht="13">
      <c r="A2311" s="5" t="s">
        <v>44</v>
      </c>
      <c r="B2311" s="5" t="s">
        <v>44</v>
      </c>
      <c r="C2311" s="5" t="s">
        <v>156</v>
      </c>
      <c r="D2311" s="5" t="s">
        <v>21</v>
      </c>
      <c r="E2311" s="5" t="s">
        <v>44</v>
      </c>
      <c r="F2311" s="5" t="s">
        <v>68</v>
      </c>
      <c r="G2311" s="5" t="s">
        <v>69</v>
      </c>
      <c r="H2311" s="9" t="s">
        <v>407</v>
      </c>
      <c r="I2311" s="10"/>
      <c r="J2311" s="10">
        <v>43266</v>
      </c>
      <c r="K2311" s="5" t="s">
        <v>158</v>
      </c>
      <c r="L2311" s="5" t="s">
        <v>58</v>
      </c>
      <c r="M2311" s="11">
        <v>0.12</v>
      </c>
      <c r="N2311" s="5" t="e">
        <f>IF(AND(M2311&gt;#REF!,Cartera!O2311="Guaraníes"),"Rendimiento significativo",IF(AND(M2311&gt;#REF!,Cartera!O2311="Dólares americanos"),"Rendimiento significativo","Rendimiento no significativo"))</f>
        <v>#REF!</v>
      </c>
      <c r="O2311" s="5" t="s">
        <v>41</v>
      </c>
      <c r="P2311" s="12">
        <v>1315068.4931999999</v>
      </c>
      <c r="Q2311" s="12">
        <f>IF(O2311="Guaraníes",P2311,P2311*#REF!)</f>
        <v>1315068.4931999999</v>
      </c>
      <c r="R2311" s="12" t="e">
        <f>IF(O2311="Guaraníes",P2311/#REF!,P2311)</f>
        <v>#REF!</v>
      </c>
      <c r="S2311" s="5" t="s">
        <v>52</v>
      </c>
      <c r="T2311" s="5">
        <v>593</v>
      </c>
      <c r="W2311" s="5" t="s">
        <v>499</v>
      </c>
      <c r="X2311" s="5">
        <v>0</v>
      </c>
      <c r="Y2311" s="5">
        <v>0</v>
      </c>
      <c r="Z2311" s="5">
        <v>13150.684932</v>
      </c>
      <c r="AA2311" s="5">
        <v>100</v>
      </c>
      <c r="AB2311" s="5">
        <v>1315068.4931999999</v>
      </c>
      <c r="AC2311" s="5" t="str">
        <f t="shared" si="112"/>
        <v>Bonos</v>
      </c>
      <c r="AD2311" s="5" t="s">
        <v>43</v>
      </c>
      <c r="AE2311" s="5">
        <f t="shared" si="110"/>
        <v>6</v>
      </c>
      <c r="AF2311" s="5">
        <f t="shared" si="111"/>
        <v>2018</v>
      </c>
    </row>
    <row r="2312" s="5" customFormat="1" ht="13">
      <c r="A2312" s="5" t="s">
        <v>44</v>
      </c>
      <c r="B2312" s="5" t="s">
        <v>44</v>
      </c>
      <c r="C2312" s="5" t="s">
        <v>176</v>
      </c>
      <c r="D2312" s="5" t="s">
        <v>21</v>
      </c>
      <c r="E2312" s="5" t="s">
        <v>44</v>
      </c>
      <c r="F2312" s="5" t="s">
        <v>68</v>
      </c>
      <c r="G2312" s="5" t="s">
        <v>69</v>
      </c>
      <c r="H2312" s="9" t="s">
        <v>479</v>
      </c>
      <c r="I2312" s="10"/>
      <c r="J2312" s="10">
        <v>43278</v>
      </c>
      <c r="K2312" s="5" t="s">
        <v>178</v>
      </c>
      <c r="L2312" s="5" t="s">
        <v>58</v>
      </c>
      <c r="M2312" s="11">
        <v>0.074999999999999997</v>
      </c>
      <c r="N2312" s="5" t="e">
        <f>IF(AND(M2312&gt;#REF!,Cartera!O2312="Guaraníes"),"Rendimiento significativo",IF(AND(M2312&gt;#REF!,Cartera!O2312="Dólares americanos"),"Rendimiento significativo","Rendimiento no significativo"))</f>
        <v>#REF!</v>
      </c>
      <c r="O2312" s="5" t="s">
        <v>51</v>
      </c>
      <c r="P2312" s="13">
        <v>635.75342999999998</v>
      </c>
      <c r="Q2312" s="12" t="e">
        <f>IF(O2312="Guaraníes",P2312,P2312*#REF!)</f>
        <v>#REF!</v>
      </c>
      <c r="R2312" s="12">
        <f>IF(O2312="Guaraníes",P2312/#REF!,P2312)</f>
        <v>635.75342999999998</v>
      </c>
      <c r="S2312" s="5" t="s">
        <v>52</v>
      </c>
      <c r="T2312" s="5">
        <v>593</v>
      </c>
      <c r="W2312" s="5" t="s">
        <v>371</v>
      </c>
      <c r="X2312" s="5">
        <v>0</v>
      </c>
      <c r="Y2312" s="5">
        <v>0</v>
      </c>
      <c r="Z2312" s="5">
        <v>21.191780999999999</v>
      </c>
      <c r="AA2312" s="5">
        <v>30</v>
      </c>
      <c r="AB2312" s="5">
        <v>635.75342999999998</v>
      </c>
      <c r="AC2312" s="5" t="str">
        <f t="shared" si="112"/>
        <v>Bonos</v>
      </c>
      <c r="AD2312" s="5" t="s">
        <v>43</v>
      </c>
      <c r="AE2312" s="5">
        <f t="shared" si="110"/>
        <v>6</v>
      </c>
      <c r="AF2312" s="5">
        <f t="shared" si="111"/>
        <v>2018</v>
      </c>
    </row>
    <row r="2313" s="5" customFormat="1" ht="13">
      <c r="A2313" s="5" t="s">
        <v>44</v>
      </c>
      <c r="B2313" s="5" t="s">
        <v>44</v>
      </c>
      <c r="C2313" s="5" t="s">
        <v>156</v>
      </c>
      <c r="D2313" s="5" t="s">
        <v>21</v>
      </c>
      <c r="E2313" s="5" t="s">
        <v>44</v>
      </c>
      <c r="F2313" s="5" t="s">
        <v>68</v>
      </c>
      <c r="G2313" s="5" t="s">
        <v>69</v>
      </c>
      <c r="H2313" s="9" t="s">
        <v>400</v>
      </c>
      <c r="I2313" s="10"/>
      <c r="J2313" s="10">
        <v>43292</v>
      </c>
      <c r="K2313" s="5" t="s">
        <v>158</v>
      </c>
      <c r="L2313" s="5" t="s">
        <v>58</v>
      </c>
      <c r="M2313" s="11">
        <v>0.155</v>
      </c>
      <c r="N2313" s="5" t="e">
        <f>IF(AND(M2313&gt;#REF!,Cartera!O2313="Guaraníes"),"Rendimiento significativo",IF(AND(M2313&gt;#REF!,Cartera!O2313="Dólares americanos"),"Rendimiento significativo","Rendimiento no significativo"))</f>
        <v>#REF!</v>
      </c>
      <c r="O2313" s="5" t="s">
        <v>41</v>
      </c>
      <c r="P2313" s="12">
        <v>1273972.6027000002</v>
      </c>
      <c r="Q2313" s="12">
        <f>IF(O2313="Guaraníes",P2313,P2313*#REF!)</f>
        <v>1273972.6027000002</v>
      </c>
      <c r="R2313" s="12" t="e">
        <f>IF(O2313="Guaraníes",P2313/#REF!,P2313)</f>
        <v>#REF!</v>
      </c>
      <c r="S2313" s="5" t="s">
        <v>52</v>
      </c>
      <c r="T2313" s="5">
        <v>593</v>
      </c>
      <c r="W2313" s="5" t="e">
        <v>#REF!</v>
      </c>
      <c r="X2313" s="5">
        <v>0</v>
      </c>
      <c r="Y2313" s="5">
        <v>0</v>
      </c>
      <c r="Z2313" s="5">
        <v>12739.726027000001</v>
      </c>
      <c r="AA2313" s="5">
        <v>100</v>
      </c>
      <c r="AB2313" s="5">
        <v>1273972.6026999999</v>
      </c>
      <c r="AC2313" s="5" t="str">
        <f t="shared" si="112"/>
        <v>Bonos</v>
      </c>
      <c r="AD2313" s="5" t="s">
        <v>43</v>
      </c>
      <c r="AE2313" s="5">
        <f t="shared" si="110"/>
        <v>7</v>
      </c>
      <c r="AF2313" s="5">
        <f t="shared" si="111"/>
        <v>2018</v>
      </c>
    </row>
    <row r="2314" s="5" customFormat="1" ht="13">
      <c r="A2314" s="5" t="s">
        <v>44</v>
      </c>
      <c r="B2314" s="5" t="s">
        <v>44</v>
      </c>
      <c r="C2314" s="5" t="s">
        <v>156</v>
      </c>
      <c r="D2314" s="5" t="s">
        <v>21</v>
      </c>
      <c r="E2314" s="5" t="s">
        <v>44</v>
      </c>
      <c r="F2314" s="5" t="s">
        <v>68</v>
      </c>
      <c r="G2314" s="5" t="s">
        <v>69</v>
      </c>
      <c r="H2314" s="9" t="s">
        <v>407</v>
      </c>
      <c r="I2314" s="10"/>
      <c r="J2314" s="10">
        <v>43297</v>
      </c>
      <c r="K2314" s="5" t="s">
        <v>158</v>
      </c>
      <c r="L2314" s="5" t="s">
        <v>58</v>
      </c>
      <c r="M2314" s="11">
        <v>0.12</v>
      </c>
      <c r="N2314" s="5" t="e">
        <f>IF(AND(M2314&gt;#REF!,Cartera!O2314="Guaraníes"),"Rendimiento significativo",IF(AND(M2314&gt;#REF!,Cartera!O2314="Dólares americanos"),"Rendimiento significativo","Rendimiento no significativo"))</f>
        <v>#REF!</v>
      </c>
      <c r="O2314" s="5" t="s">
        <v>41</v>
      </c>
      <c r="P2314" s="12">
        <v>1358904.1096000001</v>
      </c>
      <c r="Q2314" s="12">
        <f>IF(O2314="Guaraníes",P2314,P2314*#REF!)</f>
        <v>1358904.1096000001</v>
      </c>
      <c r="R2314" s="12" t="e">
        <f>IF(O2314="Guaraníes",P2314/#REF!,P2314)</f>
        <v>#REF!</v>
      </c>
      <c r="S2314" s="5" t="s">
        <v>52</v>
      </c>
      <c r="T2314" s="5">
        <v>593</v>
      </c>
      <c r="W2314" s="5" t="e">
        <v>#REF!</v>
      </c>
      <c r="X2314" s="5">
        <v>0</v>
      </c>
      <c r="Y2314" s="5">
        <v>0</v>
      </c>
      <c r="Z2314" s="5">
        <v>13589.041096000001</v>
      </c>
      <c r="AA2314" s="5">
        <v>100</v>
      </c>
      <c r="AB2314" s="5">
        <v>1358904.1096000001</v>
      </c>
      <c r="AC2314" s="5" t="str">
        <f t="shared" si="112"/>
        <v>Bonos</v>
      </c>
      <c r="AD2314" s="5" t="s">
        <v>43</v>
      </c>
      <c r="AE2314" s="5">
        <f t="shared" si="110"/>
        <v>7</v>
      </c>
      <c r="AF2314" s="5">
        <f t="shared" si="111"/>
        <v>2018</v>
      </c>
    </row>
    <row r="2315" s="5" customFormat="1" ht="13">
      <c r="A2315" s="5" t="s">
        <v>44</v>
      </c>
      <c r="B2315" s="5" t="s">
        <v>44</v>
      </c>
      <c r="C2315" s="5" t="s">
        <v>99</v>
      </c>
      <c r="D2315" s="5" t="s">
        <v>21</v>
      </c>
      <c r="E2315" s="5" t="s">
        <v>44</v>
      </c>
      <c r="F2315" s="5" t="s">
        <v>100</v>
      </c>
      <c r="G2315" s="5" t="s">
        <v>69</v>
      </c>
      <c r="H2315" s="9" t="s">
        <v>238</v>
      </c>
      <c r="I2315" s="10"/>
      <c r="J2315" s="10">
        <v>43314</v>
      </c>
      <c r="K2315" s="5" t="s">
        <v>102</v>
      </c>
      <c r="L2315" s="5" t="s">
        <v>102</v>
      </c>
      <c r="M2315" s="11">
        <v>0.070000000000000007</v>
      </c>
      <c r="N2315" s="5" t="e">
        <f>IF(AND(M2315&gt;#REF!,Cartera!O2315="Guaraníes"),"Rendimiento significativo",IF(AND(M2315&gt;#REF!,Cartera!O2315="Dólares americanos"),"Rendimiento significativo","Rendimiento no significativo"))</f>
        <v>#REF!</v>
      </c>
      <c r="O2315" s="5" t="s">
        <v>41</v>
      </c>
      <c r="P2315" s="12">
        <v>2008356.1644000001</v>
      </c>
      <c r="Q2315" s="12">
        <f>IF(O2315="Guaraníes",P2315,P2315*#REF!)</f>
        <v>2008356.1644000001</v>
      </c>
      <c r="R2315" s="12" t="e">
        <f>IF(O2315="Guaraníes",P2315/#REF!,P2315)</f>
        <v>#REF!</v>
      </c>
      <c r="S2315" s="5" t="s">
        <v>52</v>
      </c>
      <c r="T2315" s="5">
        <v>593</v>
      </c>
      <c r="W2315" s="5" t="e">
        <v>#REF!</v>
      </c>
      <c r="X2315" s="5">
        <v>0</v>
      </c>
      <c r="Y2315" s="5">
        <v>0</v>
      </c>
      <c r="Z2315" s="5">
        <v>40167.123288000003</v>
      </c>
      <c r="AA2315" s="5">
        <v>50</v>
      </c>
      <c r="AB2315" s="5">
        <v>2008356.1643999999</v>
      </c>
      <c r="AC2315" s="5" t="str">
        <f t="shared" si="112"/>
        <v>Bonos</v>
      </c>
      <c r="AD2315" s="5" t="s">
        <v>43</v>
      </c>
      <c r="AE2315" s="5">
        <f t="shared" si="110"/>
        <v>8</v>
      </c>
      <c r="AF2315" s="5">
        <f t="shared" si="111"/>
        <v>2018</v>
      </c>
    </row>
    <row r="2316" s="5" customFormat="1" ht="13">
      <c r="A2316" s="5" t="s">
        <v>44</v>
      </c>
      <c r="B2316" s="5" t="s">
        <v>44</v>
      </c>
      <c r="C2316" s="5" t="s">
        <v>156</v>
      </c>
      <c r="D2316" s="5" t="s">
        <v>21</v>
      </c>
      <c r="E2316" s="5" t="s">
        <v>44</v>
      </c>
      <c r="F2316" s="5" t="s">
        <v>68</v>
      </c>
      <c r="G2316" s="5" t="s">
        <v>69</v>
      </c>
      <c r="H2316" s="9" t="s">
        <v>400</v>
      </c>
      <c r="I2316" s="10"/>
      <c r="J2316" s="10">
        <v>43322</v>
      </c>
      <c r="K2316" s="5" t="s">
        <v>158</v>
      </c>
      <c r="L2316" s="5" t="s">
        <v>58</v>
      </c>
      <c r="M2316" s="11">
        <v>0.155</v>
      </c>
      <c r="N2316" s="5" t="e">
        <f>IF(AND(M2316&gt;#REF!,Cartera!O2316="Guaraníes"),"Rendimiento significativo",IF(AND(M2316&gt;#REF!,Cartera!O2316="Dólares americanos"),"Rendimiento significativo","Rendimiento no significativo"))</f>
        <v>#REF!</v>
      </c>
      <c r="O2316" s="5" t="s">
        <v>41</v>
      </c>
      <c r="P2316" s="12">
        <v>1273972.6027000002</v>
      </c>
      <c r="Q2316" s="12">
        <f>IF(O2316="Guaraníes",P2316,P2316*#REF!)</f>
        <v>1273972.6027000002</v>
      </c>
      <c r="R2316" s="12" t="e">
        <f>IF(O2316="Guaraníes",P2316/#REF!,P2316)</f>
        <v>#REF!</v>
      </c>
      <c r="S2316" s="5" t="s">
        <v>52</v>
      </c>
      <c r="T2316" s="5">
        <v>593</v>
      </c>
      <c r="W2316" s="5" t="e">
        <v>#REF!</v>
      </c>
      <c r="X2316" s="5">
        <v>0</v>
      </c>
      <c r="Y2316" s="5">
        <v>0</v>
      </c>
      <c r="Z2316" s="5">
        <v>12739.726027000001</v>
      </c>
      <c r="AA2316" s="5">
        <v>100</v>
      </c>
      <c r="AB2316" s="5">
        <v>1273972.6026999999</v>
      </c>
      <c r="AC2316" s="5" t="str">
        <f t="shared" si="112"/>
        <v>Bonos</v>
      </c>
      <c r="AD2316" s="5" t="s">
        <v>43</v>
      </c>
      <c r="AE2316" s="5">
        <f t="shared" si="110"/>
        <v>8</v>
      </c>
      <c r="AF2316" s="5">
        <f t="shared" si="111"/>
        <v>2018</v>
      </c>
    </row>
    <row r="2317" s="5" customFormat="1" ht="13">
      <c r="A2317" s="5" t="s">
        <v>44</v>
      </c>
      <c r="B2317" s="5" t="s">
        <v>44</v>
      </c>
      <c r="C2317" s="5" t="s">
        <v>457</v>
      </c>
      <c r="D2317" s="5" t="s">
        <v>21</v>
      </c>
      <c r="E2317" s="5" t="s">
        <v>44</v>
      </c>
      <c r="F2317" s="5" t="s">
        <v>100</v>
      </c>
      <c r="G2317" s="5" t="s">
        <v>69</v>
      </c>
      <c r="H2317" s="9" t="s">
        <v>458</v>
      </c>
      <c r="I2317" s="10"/>
      <c r="J2317" s="10">
        <v>43322</v>
      </c>
      <c r="K2317" s="5" t="s">
        <v>173</v>
      </c>
      <c r="L2317" s="5" t="s">
        <v>58</v>
      </c>
      <c r="M2317" s="11">
        <v>0.13500000000000001</v>
      </c>
      <c r="N2317" s="5" t="e">
        <f>IF(AND(M2317&gt;#REF!,Cartera!O2317="Guaraníes"),"Rendimiento significativo",IF(AND(M2317&gt;#REF!,Cartera!O2317="Dólares americanos"),"Rendimiento significativo","Rendimiento no significativo"))</f>
        <v>#REF!</v>
      </c>
      <c r="O2317" s="5" t="s">
        <v>41</v>
      </c>
      <c r="P2317" s="12">
        <v>4846684.9314959999</v>
      </c>
      <c r="Q2317" s="12">
        <f>IF(O2317="Guaraníes",P2317,P2317*#REF!)</f>
        <v>4846684.9314959999</v>
      </c>
      <c r="R2317" s="12" t="e">
        <f>IF(O2317="Guaraníes",P2317/#REF!,P2317)</f>
        <v>#REF!</v>
      </c>
      <c r="S2317" s="5" t="s">
        <v>52</v>
      </c>
      <c r="T2317" s="5">
        <v>593</v>
      </c>
      <c r="W2317" s="5" t="e">
        <v>#REF!</v>
      </c>
      <c r="X2317" s="5">
        <v>0</v>
      </c>
      <c r="Y2317" s="5">
        <v>0</v>
      </c>
      <c r="Z2317" s="5">
        <v>67315.068492999999</v>
      </c>
      <c r="AA2317" s="5">
        <v>72</v>
      </c>
      <c r="AB2317" s="5">
        <v>4846684.9314959999</v>
      </c>
      <c r="AC2317" s="5" t="str">
        <f t="shared" si="112"/>
        <v>Bonos</v>
      </c>
      <c r="AD2317" s="5" t="s">
        <v>43</v>
      </c>
      <c r="AE2317" s="5">
        <f t="shared" si="110"/>
        <v>8</v>
      </c>
      <c r="AF2317" s="5">
        <f t="shared" si="111"/>
        <v>2018</v>
      </c>
    </row>
    <row r="2318" s="5" customFormat="1" ht="13">
      <c r="A2318" s="5" t="s">
        <v>44</v>
      </c>
      <c r="B2318" s="5" t="s">
        <v>44</v>
      </c>
      <c r="C2318" s="5" t="s">
        <v>457</v>
      </c>
      <c r="D2318" s="5" t="s">
        <v>21</v>
      </c>
      <c r="E2318" s="5" t="s">
        <v>44</v>
      </c>
      <c r="F2318" s="5" t="s">
        <v>100</v>
      </c>
      <c r="G2318" s="5" t="s">
        <v>69</v>
      </c>
      <c r="H2318" s="9" t="s">
        <v>459</v>
      </c>
      <c r="I2318" s="10"/>
      <c r="J2318" s="10">
        <v>43322</v>
      </c>
      <c r="K2318" s="5" t="s">
        <v>173</v>
      </c>
      <c r="L2318" s="5" t="s">
        <v>58</v>
      </c>
      <c r="M2318" s="11">
        <v>0.14499999999999999</v>
      </c>
      <c r="N2318" s="5" t="e">
        <f>IF(AND(M2318&gt;#REF!,Cartera!O2318="Guaraníes"),"Rendimiento significativo",IF(AND(M2318&gt;#REF!,Cartera!O2318="Dólares americanos"),"Rendimiento significativo","Rendimiento no significativo"))</f>
        <v>#REF!</v>
      </c>
      <c r="O2318" s="5" t="s">
        <v>41</v>
      </c>
      <c r="P2318" s="12">
        <v>2024438.356164</v>
      </c>
      <c r="Q2318" s="12">
        <f>IF(O2318="Guaraníes",P2318,P2318*#REF!)</f>
        <v>2024438.356164</v>
      </c>
      <c r="R2318" s="12" t="e">
        <f>IF(O2318="Guaraníes",P2318/#REF!,P2318)</f>
        <v>#REF!</v>
      </c>
      <c r="S2318" s="5" t="s">
        <v>52</v>
      </c>
      <c r="T2318" s="5">
        <v>593</v>
      </c>
      <c r="W2318" s="5" t="e">
        <v>#REF!</v>
      </c>
      <c r="X2318" s="5">
        <v>0</v>
      </c>
      <c r="Y2318" s="5">
        <v>0</v>
      </c>
      <c r="Z2318" s="5">
        <v>72301.369863</v>
      </c>
      <c r="AA2318" s="5">
        <v>28</v>
      </c>
      <c r="AB2318" s="5">
        <v>2024438.356164</v>
      </c>
      <c r="AC2318" s="5" t="str">
        <f t="shared" si="112"/>
        <v>Bonos</v>
      </c>
      <c r="AD2318" s="5" t="s">
        <v>43</v>
      </c>
      <c r="AE2318" s="5">
        <f t="shared" si="110"/>
        <v>8</v>
      </c>
      <c r="AF2318" s="5">
        <f t="shared" si="111"/>
        <v>2018</v>
      </c>
    </row>
    <row r="2319" s="5" customFormat="1" ht="13">
      <c r="A2319" s="5" t="s">
        <v>44</v>
      </c>
      <c r="B2319" s="5" t="s">
        <v>44</v>
      </c>
      <c r="C2319" s="5" t="s">
        <v>156</v>
      </c>
      <c r="D2319" s="5" t="s">
        <v>21</v>
      </c>
      <c r="E2319" s="5" t="s">
        <v>44</v>
      </c>
      <c r="F2319" s="5" t="s">
        <v>68</v>
      </c>
      <c r="G2319" s="5" t="s">
        <v>69</v>
      </c>
      <c r="H2319" s="9" t="s">
        <v>407</v>
      </c>
      <c r="I2319" s="10"/>
      <c r="J2319" s="10">
        <v>43328</v>
      </c>
      <c r="K2319" s="5" t="s">
        <v>158</v>
      </c>
      <c r="L2319" s="5" t="s">
        <v>58</v>
      </c>
      <c r="M2319" s="11">
        <v>0.12</v>
      </c>
      <c r="N2319" s="5" t="e">
        <f>IF(AND(M2319&gt;#REF!,Cartera!O2319="Guaraníes"),"Rendimiento significativo",IF(AND(M2319&gt;#REF!,Cartera!O2319="Dólares americanos"),"Rendimiento significativo","Rendimiento no significativo"))</f>
        <v>#REF!</v>
      </c>
      <c r="O2319" s="5" t="s">
        <v>41</v>
      </c>
      <c r="P2319" s="12">
        <v>1358904.1096000001</v>
      </c>
      <c r="Q2319" s="12">
        <f>IF(O2319="Guaraníes",P2319,P2319*#REF!)</f>
        <v>1358904.1096000001</v>
      </c>
      <c r="R2319" s="12" t="e">
        <f>IF(O2319="Guaraníes",P2319/#REF!,P2319)</f>
        <v>#REF!</v>
      </c>
      <c r="S2319" s="5" t="s">
        <v>52</v>
      </c>
      <c r="T2319" s="5">
        <v>593</v>
      </c>
      <c r="W2319" s="5" t="e">
        <v>#REF!</v>
      </c>
      <c r="X2319" s="5">
        <v>0</v>
      </c>
      <c r="Y2319" s="5">
        <v>0</v>
      </c>
      <c r="Z2319" s="5">
        <v>13589.041096000001</v>
      </c>
      <c r="AA2319" s="5">
        <v>100</v>
      </c>
      <c r="AB2319" s="5">
        <v>1358904.1096000001</v>
      </c>
      <c r="AC2319" s="5" t="str">
        <f t="shared" si="112"/>
        <v>Bonos</v>
      </c>
      <c r="AD2319" s="5" t="s">
        <v>43</v>
      </c>
      <c r="AE2319" s="5">
        <f t="shared" si="110"/>
        <v>8</v>
      </c>
      <c r="AF2319" s="5">
        <f t="shared" si="111"/>
        <v>2018</v>
      </c>
    </row>
    <row r="2320" s="5" customFormat="1" ht="13">
      <c r="A2320" s="5" t="s">
        <v>44</v>
      </c>
      <c r="B2320" s="5" t="s">
        <v>44</v>
      </c>
      <c r="C2320" s="5" t="s">
        <v>67</v>
      </c>
      <c r="D2320" s="5" t="s">
        <v>21</v>
      </c>
      <c r="E2320" s="5" t="s">
        <v>44</v>
      </c>
      <c r="F2320" s="5" t="s">
        <v>68</v>
      </c>
      <c r="G2320" s="5" t="s">
        <v>69</v>
      </c>
      <c r="H2320" s="9" t="s">
        <v>376</v>
      </c>
      <c r="I2320" s="10"/>
      <c r="J2320" s="10">
        <v>43341</v>
      </c>
      <c r="K2320" s="5" t="s">
        <v>71</v>
      </c>
      <c r="L2320" s="5" t="s">
        <v>58</v>
      </c>
      <c r="M2320" s="11">
        <v>0.070000000000000007</v>
      </c>
      <c r="N2320" s="5" t="e">
        <f>IF(AND(M2320&gt;#REF!,Cartera!O2320="Guaraníes"),"Rendimiento significativo",IF(AND(M2320&gt;#REF!,Cartera!O2320="Dólares americanos"),"Rendimiento significativo","Rendimiento no significativo"))</f>
        <v>#REF!</v>
      </c>
      <c r="O2320" s="5" t="s">
        <v>41</v>
      </c>
      <c r="P2320" s="12">
        <v>1907260.27394</v>
      </c>
      <c r="Q2320" s="12">
        <f>IF(O2320="Guaraníes",P2320,P2320*#REF!)</f>
        <v>1907260.27394</v>
      </c>
      <c r="R2320" s="12" t="e">
        <f>IF(O2320="Guaraníes",P2320/#REF!,P2320)</f>
        <v>#REF!</v>
      </c>
      <c r="S2320" s="5" t="s">
        <v>52</v>
      </c>
      <c r="T2320" s="5">
        <v>593</v>
      </c>
      <c r="W2320" s="5" t="s">
        <v>405</v>
      </c>
      <c r="X2320" s="5">
        <v>0</v>
      </c>
      <c r="Y2320" s="5">
        <v>0</v>
      </c>
      <c r="Z2320" s="5">
        <v>22438.356164000001</v>
      </c>
      <c r="AA2320" s="5">
        <v>85</v>
      </c>
      <c r="AB2320" s="5">
        <v>1907260.27394</v>
      </c>
      <c r="AC2320" s="5" t="str">
        <f t="shared" si="112"/>
        <v>Bonos</v>
      </c>
      <c r="AD2320" s="5" t="s">
        <v>43</v>
      </c>
      <c r="AE2320" s="5">
        <f t="shared" si="110"/>
        <v>8</v>
      </c>
      <c r="AF2320" s="5">
        <f t="shared" si="111"/>
        <v>2018</v>
      </c>
    </row>
    <row r="2321" s="5" customFormat="1" ht="13">
      <c r="A2321" s="5" t="s">
        <v>44</v>
      </c>
      <c r="B2321" s="5" t="s">
        <v>44</v>
      </c>
      <c r="C2321" s="5" t="s">
        <v>156</v>
      </c>
      <c r="D2321" s="5" t="s">
        <v>21</v>
      </c>
      <c r="E2321" s="5" t="s">
        <v>44</v>
      </c>
      <c r="F2321" s="5" t="s">
        <v>68</v>
      </c>
      <c r="G2321" s="5" t="s">
        <v>69</v>
      </c>
      <c r="H2321" s="9" t="s">
        <v>400</v>
      </c>
      <c r="I2321" s="10"/>
      <c r="J2321" s="10">
        <v>43354</v>
      </c>
      <c r="K2321" s="5" t="s">
        <v>158</v>
      </c>
      <c r="L2321" s="5" t="s">
        <v>58</v>
      </c>
      <c r="M2321" s="11">
        <v>0.155</v>
      </c>
      <c r="N2321" s="5" t="e">
        <f>IF(AND(M2321&gt;#REF!,Cartera!O2321="Guaraníes"),"Rendimiento significativo",IF(AND(M2321&gt;#REF!,Cartera!O2321="Dólares americanos"),"Rendimiento significativo","Rendimiento no significativo"))</f>
        <v>#REF!</v>
      </c>
      <c r="O2321" s="5" t="s">
        <v>41</v>
      </c>
      <c r="P2321" s="12">
        <v>1358904.1096000001</v>
      </c>
      <c r="Q2321" s="12">
        <f>IF(O2321="Guaraníes",P2321,P2321*#REF!)</f>
        <v>1358904.1096000001</v>
      </c>
      <c r="R2321" s="12" t="e">
        <f>IF(O2321="Guaraníes",P2321/#REF!,P2321)</f>
        <v>#REF!</v>
      </c>
      <c r="S2321" s="5" t="s">
        <v>52</v>
      </c>
      <c r="T2321" s="5">
        <v>593</v>
      </c>
      <c r="W2321" s="5" t="s">
        <v>406</v>
      </c>
      <c r="X2321" s="5">
        <v>0</v>
      </c>
      <c r="Y2321" s="5">
        <v>0</v>
      </c>
      <c r="Z2321" s="5">
        <v>13589.041096000001</v>
      </c>
      <c r="AA2321" s="5">
        <v>100</v>
      </c>
      <c r="AB2321" s="5">
        <v>1358904.1096000001</v>
      </c>
      <c r="AC2321" s="5" t="str">
        <f t="shared" si="112"/>
        <v>Bonos</v>
      </c>
      <c r="AD2321" s="5" t="s">
        <v>43</v>
      </c>
      <c r="AE2321" s="5">
        <f t="shared" si="110"/>
        <v>9</v>
      </c>
      <c r="AF2321" s="5">
        <f t="shared" si="111"/>
        <v>2018</v>
      </c>
    </row>
    <row r="2322" s="5" customFormat="1" ht="13">
      <c r="A2322" s="5" t="s">
        <v>44</v>
      </c>
      <c r="B2322" s="5" t="s">
        <v>44</v>
      </c>
      <c r="C2322" s="5" t="s">
        <v>156</v>
      </c>
      <c r="D2322" s="5" t="s">
        <v>21</v>
      </c>
      <c r="E2322" s="5" t="s">
        <v>44</v>
      </c>
      <c r="F2322" s="5" t="s">
        <v>68</v>
      </c>
      <c r="G2322" s="5" t="s">
        <v>69</v>
      </c>
      <c r="H2322" s="9" t="s">
        <v>407</v>
      </c>
      <c r="I2322" s="10"/>
      <c r="J2322" s="10">
        <v>43357</v>
      </c>
      <c r="K2322" s="5" t="s">
        <v>158</v>
      </c>
      <c r="L2322" s="5" t="s">
        <v>58</v>
      </c>
      <c r="M2322" s="11">
        <v>0.12</v>
      </c>
      <c r="N2322" s="5" t="e">
        <f>IF(AND(M2322&gt;#REF!,Cartera!O2322="Guaraníes"),"Rendimiento significativo",IF(AND(M2322&gt;#REF!,Cartera!O2322="Dólares americanos"),"Rendimiento significativo","Rendimiento no significativo"))</f>
        <v>#REF!</v>
      </c>
      <c r="O2322" s="5" t="s">
        <v>41</v>
      </c>
      <c r="P2322" s="12">
        <v>1271232.8767000001</v>
      </c>
      <c r="Q2322" s="12">
        <f>IF(O2322="Guaraníes",P2322,P2322*#REF!)</f>
        <v>1271232.8767000001</v>
      </c>
      <c r="R2322" s="12" t="e">
        <f>IF(O2322="Guaraníes",P2322/#REF!,P2322)</f>
        <v>#REF!</v>
      </c>
      <c r="S2322" s="5" t="s">
        <v>52</v>
      </c>
      <c r="T2322" s="5">
        <v>593</v>
      </c>
      <c r="W2322" s="5" t="s">
        <v>480</v>
      </c>
      <c r="X2322" s="5">
        <v>0</v>
      </c>
      <c r="Y2322" s="5">
        <v>0</v>
      </c>
      <c r="Z2322" s="5">
        <v>12712.328767000001</v>
      </c>
      <c r="AA2322" s="5">
        <v>100</v>
      </c>
      <c r="AB2322" s="5">
        <v>1271232.8766999999</v>
      </c>
      <c r="AC2322" s="5" t="str">
        <f t="shared" si="112"/>
        <v>Bonos</v>
      </c>
      <c r="AD2322" s="5" t="s">
        <v>43</v>
      </c>
      <c r="AE2322" s="5">
        <f t="shared" ref="AE2322:AE2385" si="113">IFERROR((MONTH(J2322)),0)</f>
        <v>9</v>
      </c>
      <c r="AF2322" s="5">
        <f t="shared" ref="AF2322:AF2385" si="114">IFERROR((YEAR(J2322)),0)</f>
        <v>2018</v>
      </c>
    </row>
    <row r="2323" s="5" customFormat="1" ht="13">
      <c r="A2323" s="5" t="s">
        <v>44</v>
      </c>
      <c r="B2323" s="5" t="s">
        <v>44</v>
      </c>
      <c r="C2323" s="5" t="s">
        <v>176</v>
      </c>
      <c r="D2323" s="5" t="s">
        <v>21</v>
      </c>
      <c r="E2323" s="5" t="s">
        <v>44</v>
      </c>
      <c r="F2323" s="5" t="s">
        <v>68</v>
      </c>
      <c r="G2323" s="5" t="s">
        <v>69</v>
      </c>
      <c r="H2323" s="9" t="s">
        <v>479</v>
      </c>
      <c r="I2323" s="10"/>
      <c r="J2323" s="10">
        <v>43369</v>
      </c>
      <c r="K2323" s="5" t="s">
        <v>178</v>
      </c>
      <c r="L2323" s="5" t="s">
        <v>58</v>
      </c>
      <c r="M2323" s="11">
        <v>0.074999999999999997</v>
      </c>
      <c r="N2323" s="5" t="e">
        <f>IF(AND(M2323&gt;#REF!,Cartera!O2323="Guaraníes"),"Rendimiento significativo",IF(AND(M2323&gt;#REF!,Cartera!O2323="Dólares americanos"),"Rendimiento significativo","Rendimiento no significativo"))</f>
        <v>#REF!</v>
      </c>
      <c r="O2323" s="5" t="s">
        <v>51</v>
      </c>
      <c r="P2323" s="13">
        <v>635.75342999999998</v>
      </c>
      <c r="Q2323" s="12" t="e">
        <f>IF(O2323="Guaraníes",P2323,P2323*#REF!)</f>
        <v>#REF!</v>
      </c>
      <c r="R2323" s="12">
        <f>IF(O2323="Guaraníes",P2323/#REF!,P2323)</f>
        <v>635.75342999999998</v>
      </c>
      <c r="S2323" s="5" t="s">
        <v>52</v>
      </c>
      <c r="T2323" s="5">
        <v>593</v>
      </c>
      <c r="W2323" s="5" t="s">
        <v>202</v>
      </c>
      <c r="X2323" s="5">
        <v>0</v>
      </c>
      <c r="Y2323" s="5">
        <v>0</v>
      </c>
      <c r="Z2323" s="5">
        <v>21.191780999999999</v>
      </c>
      <c r="AA2323" s="5">
        <v>30</v>
      </c>
      <c r="AB2323" s="5">
        <v>635.75342999999998</v>
      </c>
      <c r="AC2323" s="5" t="str">
        <f t="shared" si="112"/>
        <v>Bonos</v>
      </c>
      <c r="AD2323" s="5" t="s">
        <v>43</v>
      </c>
      <c r="AE2323" s="5">
        <f t="shared" si="113"/>
        <v>9</v>
      </c>
      <c r="AF2323" s="5">
        <f t="shared" si="114"/>
        <v>2018</v>
      </c>
    </row>
    <row r="2324" s="5" customFormat="1" ht="13">
      <c r="A2324" s="5" t="s">
        <v>44</v>
      </c>
      <c r="B2324" s="5" t="s">
        <v>44</v>
      </c>
      <c r="C2324" s="5" t="s">
        <v>156</v>
      </c>
      <c r="D2324" s="5" t="s">
        <v>21</v>
      </c>
      <c r="E2324" s="5" t="s">
        <v>44</v>
      </c>
      <c r="F2324" s="5" t="s">
        <v>68</v>
      </c>
      <c r="G2324" s="5" t="s">
        <v>69</v>
      </c>
      <c r="H2324" s="9" t="s">
        <v>400</v>
      </c>
      <c r="I2324" s="10"/>
      <c r="J2324" s="10">
        <v>43384</v>
      </c>
      <c r="K2324" s="5" t="s">
        <v>158</v>
      </c>
      <c r="L2324" s="5" t="s">
        <v>58</v>
      </c>
      <c r="M2324" s="11">
        <v>0.155</v>
      </c>
      <c r="N2324" s="5" t="e">
        <f>IF(AND(M2324&gt;#REF!,Cartera!O2324="Guaraníes"),"Rendimiento significativo",IF(AND(M2324&gt;#REF!,Cartera!O2324="Dólares americanos"),"Rendimiento significativo","Rendimiento no significativo"))</f>
        <v>#REF!</v>
      </c>
      <c r="O2324" s="5" t="s">
        <v>41</v>
      </c>
      <c r="P2324" s="12">
        <v>1273972.6027000002</v>
      </c>
      <c r="Q2324" s="12">
        <f>IF(O2324="Guaraníes",P2324,P2324*#REF!)</f>
        <v>1273972.6027000002</v>
      </c>
      <c r="R2324" s="12" t="e">
        <f>IF(O2324="Guaraníes",P2324/#REF!,P2324)</f>
        <v>#REF!</v>
      </c>
      <c r="S2324" s="5" t="s">
        <v>52</v>
      </c>
      <c r="T2324" s="5">
        <v>593</v>
      </c>
      <c r="W2324" s="5" t="s">
        <v>463</v>
      </c>
      <c r="X2324" s="5">
        <v>0</v>
      </c>
      <c r="Y2324" s="5">
        <v>0</v>
      </c>
      <c r="Z2324" s="5">
        <v>12739.726027000001</v>
      </c>
      <c r="AA2324" s="5">
        <v>100</v>
      </c>
      <c r="AB2324" s="5">
        <v>1273972.6026999999</v>
      </c>
      <c r="AC2324" s="5" t="str">
        <f t="shared" si="112"/>
        <v>Bonos</v>
      </c>
      <c r="AD2324" s="5" t="s">
        <v>43</v>
      </c>
      <c r="AE2324" s="5">
        <f t="shared" si="113"/>
        <v>10</v>
      </c>
      <c r="AF2324" s="5">
        <f t="shared" si="114"/>
        <v>2018</v>
      </c>
    </row>
    <row r="2325" s="5" customFormat="1" ht="13">
      <c r="A2325" s="5" t="s">
        <v>44</v>
      </c>
      <c r="B2325" s="5" t="s">
        <v>44</v>
      </c>
      <c r="C2325" s="5" t="s">
        <v>156</v>
      </c>
      <c r="D2325" s="5" t="s">
        <v>21</v>
      </c>
      <c r="E2325" s="5" t="s">
        <v>44</v>
      </c>
      <c r="F2325" s="5" t="s">
        <v>68</v>
      </c>
      <c r="G2325" s="5" t="s">
        <v>69</v>
      </c>
      <c r="H2325" s="9" t="s">
        <v>407</v>
      </c>
      <c r="I2325" s="10"/>
      <c r="J2325" s="10">
        <v>43388</v>
      </c>
      <c r="K2325" s="5" t="s">
        <v>158</v>
      </c>
      <c r="L2325" s="5" t="s">
        <v>58</v>
      </c>
      <c r="M2325" s="11">
        <v>0.12</v>
      </c>
      <c r="N2325" s="5" t="e">
        <f>IF(AND(M2325&gt;#REF!,Cartera!O2325="Guaraníes"),"Rendimiento significativo",IF(AND(M2325&gt;#REF!,Cartera!O2325="Dólares americanos"),"Rendimiento significativo","Rendimiento no significativo"))</f>
        <v>#REF!</v>
      </c>
      <c r="O2325" s="5" t="s">
        <v>41</v>
      </c>
      <c r="P2325" s="12">
        <v>1358904.1096000001</v>
      </c>
      <c r="Q2325" s="12">
        <f>IF(O2325="Guaraníes",P2325,P2325*#REF!)</f>
        <v>1358904.1096000001</v>
      </c>
      <c r="R2325" s="12" t="e">
        <f>IF(O2325="Guaraníes",P2325/#REF!,P2325)</f>
        <v>#REF!</v>
      </c>
      <c r="S2325" s="5" t="s">
        <v>52</v>
      </c>
      <c r="T2325" s="5">
        <v>593</v>
      </c>
      <c r="W2325" s="5" t="s">
        <v>464</v>
      </c>
      <c r="X2325" s="5">
        <v>0</v>
      </c>
      <c r="Y2325" s="5">
        <v>0</v>
      </c>
      <c r="Z2325" s="5">
        <v>13589.041096000001</v>
      </c>
      <c r="AA2325" s="5">
        <v>100</v>
      </c>
      <c r="AB2325" s="5">
        <v>1358904.1096000001</v>
      </c>
      <c r="AC2325" s="5" t="str">
        <f t="shared" si="112"/>
        <v>Bonos</v>
      </c>
      <c r="AD2325" s="5" t="s">
        <v>43</v>
      </c>
      <c r="AE2325" s="5">
        <f t="shared" si="113"/>
        <v>10</v>
      </c>
      <c r="AF2325" s="5">
        <f t="shared" si="114"/>
        <v>2018</v>
      </c>
    </row>
    <row r="2326" s="5" customFormat="1" ht="13">
      <c r="A2326" s="5" t="s">
        <v>44</v>
      </c>
      <c r="B2326" s="5" t="s">
        <v>44</v>
      </c>
      <c r="C2326" s="5" t="s">
        <v>156</v>
      </c>
      <c r="D2326" s="5" t="s">
        <v>21</v>
      </c>
      <c r="E2326" s="5" t="s">
        <v>44</v>
      </c>
      <c r="F2326" s="5" t="s">
        <v>68</v>
      </c>
      <c r="G2326" s="5" t="s">
        <v>69</v>
      </c>
      <c r="H2326" s="9" t="s">
        <v>400</v>
      </c>
      <c r="I2326" s="10"/>
      <c r="J2326" s="10">
        <v>43416</v>
      </c>
      <c r="K2326" s="5" t="s">
        <v>158</v>
      </c>
      <c r="L2326" s="5" t="s">
        <v>58</v>
      </c>
      <c r="M2326" s="11">
        <v>0.155</v>
      </c>
      <c r="N2326" s="5" t="e">
        <f>IF(AND(M2326&gt;#REF!,Cartera!O2326="Guaraníes"),"Rendimiento significativo",IF(AND(M2326&gt;#REF!,Cartera!O2326="Dólares americanos"),"Rendimiento significativo","Rendimiento no significativo"))</f>
        <v>#REF!</v>
      </c>
      <c r="O2326" s="5" t="s">
        <v>41</v>
      </c>
      <c r="P2326" s="12">
        <v>1358904.1096000001</v>
      </c>
      <c r="Q2326" s="12">
        <f>IF(O2326="Guaraníes",P2326,P2326*#REF!)</f>
        <v>1358904.1096000001</v>
      </c>
      <c r="R2326" s="12" t="e">
        <f>IF(O2326="Guaraníes",P2326/#REF!,P2326)</f>
        <v>#REF!</v>
      </c>
      <c r="S2326" s="5" t="s">
        <v>52</v>
      </c>
      <c r="T2326" s="5">
        <v>593</v>
      </c>
      <c r="W2326" s="5" t="s">
        <v>500</v>
      </c>
      <c r="X2326" s="5">
        <v>0</v>
      </c>
      <c r="Y2326" s="5">
        <v>0</v>
      </c>
      <c r="Z2326" s="5">
        <v>13589.041096000001</v>
      </c>
      <c r="AA2326" s="5">
        <v>100</v>
      </c>
      <c r="AB2326" s="5">
        <v>1358904.1096000001</v>
      </c>
      <c r="AC2326" s="5" t="str">
        <f t="shared" si="112"/>
        <v>Bonos</v>
      </c>
      <c r="AD2326" s="5" t="s">
        <v>43</v>
      </c>
      <c r="AE2326" s="5">
        <f t="shared" si="113"/>
        <v>11</v>
      </c>
      <c r="AF2326" s="5">
        <f t="shared" si="114"/>
        <v>2018</v>
      </c>
    </row>
    <row r="2327" s="5" customFormat="1" ht="13">
      <c r="A2327" s="5" t="s">
        <v>44</v>
      </c>
      <c r="B2327" s="5" t="s">
        <v>44</v>
      </c>
      <c r="C2327" s="5" t="s">
        <v>156</v>
      </c>
      <c r="D2327" s="5" t="s">
        <v>21</v>
      </c>
      <c r="E2327" s="5" t="s">
        <v>44</v>
      </c>
      <c r="F2327" s="5" t="s">
        <v>68</v>
      </c>
      <c r="G2327" s="5" t="s">
        <v>69</v>
      </c>
      <c r="H2327" s="9" t="s">
        <v>407</v>
      </c>
      <c r="I2327" s="10"/>
      <c r="J2327" s="10">
        <v>43418</v>
      </c>
      <c r="K2327" s="5" t="s">
        <v>158</v>
      </c>
      <c r="L2327" s="5" t="s">
        <v>58</v>
      </c>
      <c r="M2327" s="11">
        <v>0.12</v>
      </c>
      <c r="N2327" s="5" t="e">
        <f>IF(AND(M2327&gt;#REF!,Cartera!O2327="Guaraníes"),"Rendimiento significativo",IF(AND(M2327&gt;#REF!,Cartera!O2327="Dólares americanos"),"Rendimiento significativo","Rendimiento no significativo"))</f>
        <v>#REF!</v>
      </c>
      <c r="O2327" s="5" t="s">
        <v>41</v>
      </c>
      <c r="P2327" s="12">
        <v>1315068.4931999999</v>
      </c>
      <c r="Q2327" s="12">
        <f>IF(O2327="Guaraníes",P2327,P2327*#REF!)</f>
        <v>1315068.4931999999</v>
      </c>
      <c r="R2327" s="12" t="e">
        <f>IF(O2327="Guaraníes",P2327/#REF!,P2327)</f>
        <v>#REF!</v>
      </c>
      <c r="S2327" s="5" t="s">
        <v>52</v>
      </c>
      <c r="T2327" s="5">
        <v>593</v>
      </c>
      <c r="W2327" s="5" t="s">
        <v>501</v>
      </c>
      <c r="X2327" s="5">
        <v>0</v>
      </c>
      <c r="Y2327" s="5">
        <v>0</v>
      </c>
      <c r="Z2327" s="5">
        <v>13150.684932</v>
      </c>
      <c r="AA2327" s="5">
        <v>100</v>
      </c>
      <c r="AB2327" s="5">
        <v>1315068.4931999999</v>
      </c>
      <c r="AC2327" s="5" t="str">
        <f t="shared" si="112"/>
        <v>Bonos</v>
      </c>
      <c r="AD2327" s="5" t="s">
        <v>43</v>
      </c>
      <c r="AE2327" s="5">
        <f t="shared" si="113"/>
        <v>11</v>
      </c>
      <c r="AF2327" s="5">
        <f t="shared" si="114"/>
        <v>2018</v>
      </c>
    </row>
    <row r="2328" s="5" customFormat="1" ht="13">
      <c r="A2328" s="5" t="s">
        <v>44</v>
      </c>
      <c r="B2328" s="5" t="s">
        <v>44</v>
      </c>
      <c r="C2328" s="5" t="s">
        <v>67</v>
      </c>
      <c r="D2328" s="5" t="s">
        <v>21</v>
      </c>
      <c r="E2328" s="5" t="s">
        <v>44</v>
      </c>
      <c r="F2328" s="5" t="s">
        <v>68</v>
      </c>
      <c r="G2328" s="5" t="s">
        <v>69</v>
      </c>
      <c r="H2328" s="9" t="s">
        <v>376</v>
      </c>
      <c r="I2328" s="10"/>
      <c r="J2328" s="10">
        <v>43432</v>
      </c>
      <c r="K2328" s="5" t="s">
        <v>71</v>
      </c>
      <c r="L2328" s="5" t="s">
        <v>58</v>
      </c>
      <c r="M2328" s="11">
        <v>0.070000000000000007</v>
      </c>
      <c r="N2328" s="5" t="e">
        <f>IF(AND(M2328&gt;#REF!,Cartera!O2328="Guaraníes"),"Rendimiento significativo",IF(AND(M2328&gt;#REF!,Cartera!O2328="Dólares americanos"),"Rendimiento significativo","Rendimiento no significativo"))</f>
        <v>#REF!</v>
      </c>
      <c r="O2328" s="5" t="s">
        <v>41</v>
      </c>
      <c r="P2328" s="12">
        <v>1907260.27394</v>
      </c>
      <c r="Q2328" s="12">
        <f>IF(O2328="Guaraníes",P2328,P2328*#REF!)</f>
        <v>1907260.27394</v>
      </c>
      <c r="R2328" s="12" t="e">
        <f>IF(O2328="Guaraníes",P2328/#REF!,P2328)</f>
        <v>#REF!</v>
      </c>
      <c r="S2328" s="5" t="s">
        <v>52</v>
      </c>
      <c r="T2328" s="5">
        <v>593</v>
      </c>
      <c r="W2328" s="5" t="s">
        <v>502</v>
      </c>
      <c r="X2328" s="5">
        <v>0</v>
      </c>
      <c r="Y2328" s="5">
        <v>0</v>
      </c>
      <c r="Z2328" s="5">
        <v>22438.356164000001</v>
      </c>
      <c r="AA2328" s="5">
        <v>85</v>
      </c>
      <c r="AB2328" s="5">
        <v>1907260.27394</v>
      </c>
      <c r="AC2328" s="5" t="str">
        <f t="shared" si="112"/>
        <v>Bonos</v>
      </c>
      <c r="AD2328" s="5" t="s">
        <v>43</v>
      </c>
      <c r="AE2328" s="5">
        <f t="shared" si="113"/>
        <v>11</v>
      </c>
      <c r="AF2328" s="5">
        <f t="shared" si="114"/>
        <v>2018</v>
      </c>
    </row>
    <row r="2329" s="5" customFormat="1" ht="13">
      <c r="A2329" s="5" t="s">
        <v>44</v>
      </c>
      <c r="B2329" s="5" t="s">
        <v>44</v>
      </c>
      <c r="C2329" s="5" t="s">
        <v>156</v>
      </c>
      <c r="D2329" s="5" t="s">
        <v>21</v>
      </c>
      <c r="E2329" s="5" t="s">
        <v>44</v>
      </c>
      <c r="F2329" s="5" t="s">
        <v>68</v>
      </c>
      <c r="G2329" s="5" t="s">
        <v>69</v>
      </c>
      <c r="H2329" s="9" t="s">
        <v>400</v>
      </c>
      <c r="I2329" s="10"/>
      <c r="J2329" s="10">
        <v>43445</v>
      </c>
      <c r="K2329" s="5" t="s">
        <v>158</v>
      </c>
      <c r="L2329" s="5" t="s">
        <v>58</v>
      </c>
      <c r="M2329" s="11">
        <v>0.155</v>
      </c>
      <c r="N2329" s="5" t="e">
        <f>IF(AND(M2329&gt;#REF!,Cartera!O2329="Guaraníes"),"Rendimiento significativo",IF(AND(M2329&gt;#REF!,Cartera!O2329="Dólares americanos"),"Rendimiento significativo","Rendimiento no significativo"))</f>
        <v>#REF!</v>
      </c>
      <c r="O2329" s="5" t="s">
        <v>41</v>
      </c>
      <c r="P2329" s="12">
        <v>1231506.8493000001</v>
      </c>
      <c r="Q2329" s="12">
        <f>IF(O2329="Guaraníes",P2329,P2329*#REF!)</f>
        <v>1231506.8493000001</v>
      </c>
      <c r="R2329" s="12" t="e">
        <f>IF(O2329="Guaraníes",P2329/#REF!,P2329)</f>
        <v>#REF!</v>
      </c>
      <c r="S2329" s="5" t="s">
        <v>52</v>
      </c>
      <c r="T2329" s="5">
        <v>593</v>
      </c>
      <c r="W2329" s="5" t="s">
        <v>503</v>
      </c>
      <c r="X2329" s="5">
        <v>0</v>
      </c>
      <c r="Y2329" s="5">
        <v>0</v>
      </c>
      <c r="Z2329" s="5">
        <v>12315.068493000001</v>
      </c>
      <c r="AA2329" s="5">
        <v>100</v>
      </c>
      <c r="AB2329" s="5">
        <v>1231506.8492999999</v>
      </c>
      <c r="AC2329" s="5" t="str">
        <f t="shared" si="112"/>
        <v>Bonos</v>
      </c>
      <c r="AD2329" s="5" t="s">
        <v>43</v>
      </c>
      <c r="AE2329" s="5">
        <f t="shared" si="113"/>
        <v>12</v>
      </c>
      <c r="AF2329" s="5">
        <f t="shared" si="114"/>
        <v>2018</v>
      </c>
    </row>
    <row r="2330" s="5" customFormat="1" ht="13">
      <c r="A2330" s="5" t="s">
        <v>44</v>
      </c>
      <c r="B2330" s="5" t="s">
        <v>44</v>
      </c>
      <c r="C2330" s="5" t="s">
        <v>156</v>
      </c>
      <c r="D2330" s="5" t="s">
        <v>21</v>
      </c>
      <c r="E2330" s="5" t="s">
        <v>44</v>
      </c>
      <c r="F2330" s="5" t="s">
        <v>68</v>
      </c>
      <c r="G2330" s="5" t="s">
        <v>69</v>
      </c>
      <c r="H2330" s="9" t="s">
        <v>407</v>
      </c>
      <c r="I2330" s="10"/>
      <c r="J2330" s="10">
        <v>43448</v>
      </c>
      <c r="K2330" s="5" t="s">
        <v>158</v>
      </c>
      <c r="L2330" s="5" t="s">
        <v>58</v>
      </c>
      <c r="M2330" s="11">
        <v>0.12</v>
      </c>
      <c r="N2330" s="5" t="e">
        <f>IF(AND(M2330&gt;#REF!,Cartera!O2330="Guaraníes"),"Rendimiento significativo",IF(AND(M2330&gt;#REF!,Cartera!O2330="Dólares americanos"),"Rendimiento significativo","Rendimiento no significativo"))</f>
        <v>#REF!</v>
      </c>
      <c r="O2330" s="5" t="s">
        <v>41</v>
      </c>
      <c r="P2330" s="12">
        <v>1315068.4931999999</v>
      </c>
      <c r="Q2330" s="12">
        <f>IF(O2330="Guaraníes",P2330,P2330*#REF!)</f>
        <v>1315068.4931999999</v>
      </c>
      <c r="R2330" s="12" t="e">
        <f>IF(O2330="Guaraníes",P2330/#REF!,P2330)</f>
        <v>#REF!</v>
      </c>
      <c r="S2330" s="5" t="s">
        <v>52</v>
      </c>
      <c r="T2330" s="5">
        <v>593</v>
      </c>
      <c r="W2330" s="5" t="s">
        <v>504</v>
      </c>
      <c r="X2330" s="5">
        <v>0</v>
      </c>
      <c r="Y2330" s="5">
        <v>0</v>
      </c>
      <c r="Z2330" s="5">
        <v>13150.684932</v>
      </c>
      <c r="AA2330" s="5">
        <v>100</v>
      </c>
      <c r="AB2330" s="5">
        <v>1315068.4931999999</v>
      </c>
      <c r="AC2330" s="5" t="str">
        <f t="shared" si="112"/>
        <v>Bonos</v>
      </c>
      <c r="AD2330" s="5" t="s">
        <v>43</v>
      </c>
      <c r="AE2330" s="5">
        <f t="shared" si="113"/>
        <v>12</v>
      </c>
      <c r="AF2330" s="5">
        <f t="shared" si="114"/>
        <v>2018</v>
      </c>
    </row>
    <row r="2331" s="5" customFormat="1" ht="13">
      <c r="A2331" s="5" t="s">
        <v>44</v>
      </c>
      <c r="B2331" s="5" t="s">
        <v>44</v>
      </c>
      <c r="C2331" s="5" t="s">
        <v>176</v>
      </c>
      <c r="D2331" s="5" t="s">
        <v>21</v>
      </c>
      <c r="E2331" s="5" t="s">
        <v>44</v>
      </c>
      <c r="F2331" s="5" t="s">
        <v>68</v>
      </c>
      <c r="G2331" s="5" t="s">
        <v>69</v>
      </c>
      <c r="H2331" s="9" t="s">
        <v>479</v>
      </c>
      <c r="I2331" s="10"/>
      <c r="J2331" s="10">
        <v>43460</v>
      </c>
      <c r="K2331" s="5" t="s">
        <v>178</v>
      </c>
      <c r="L2331" s="5" t="s">
        <v>58</v>
      </c>
      <c r="M2331" s="11">
        <v>0.074999999999999997</v>
      </c>
      <c r="N2331" s="5" t="e">
        <f>IF(AND(M2331&gt;#REF!,Cartera!O2331="Guaraníes"),"Rendimiento significativo",IF(AND(M2331&gt;#REF!,Cartera!O2331="Dólares americanos"),"Rendimiento significativo","Rendimiento no significativo"))</f>
        <v>#REF!</v>
      </c>
      <c r="O2331" s="5" t="s">
        <v>51</v>
      </c>
      <c r="P2331" s="13">
        <v>635.75342999999998</v>
      </c>
      <c r="Q2331" s="12" t="e">
        <f>IF(O2331="Guaraníes",P2331,P2331*#REF!)</f>
        <v>#REF!</v>
      </c>
      <c r="R2331" s="12">
        <f>IF(O2331="Guaraníes",P2331/#REF!,P2331)</f>
        <v>635.75342999999998</v>
      </c>
      <c r="S2331" s="5" t="s">
        <v>52</v>
      </c>
      <c r="T2331" s="5">
        <v>593</v>
      </c>
      <c r="W2331" s="5" t="s">
        <v>88</v>
      </c>
      <c r="X2331" s="5">
        <v>0</v>
      </c>
      <c r="Y2331" s="5">
        <v>0</v>
      </c>
      <c r="Z2331" s="5">
        <v>21.191780999999999</v>
      </c>
      <c r="AA2331" s="5">
        <v>30</v>
      </c>
      <c r="AB2331" s="5">
        <v>635.75342999999998</v>
      </c>
      <c r="AC2331" s="5" t="str">
        <f t="shared" si="112"/>
        <v>Bonos</v>
      </c>
      <c r="AD2331" s="5" t="s">
        <v>43</v>
      </c>
      <c r="AE2331" s="5">
        <f t="shared" si="113"/>
        <v>12</v>
      </c>
      <c r="AF2331" s="5">
        <f t="shared" si="114"/>
        <v>2018</v>
      </c>
    </row>
    <row r="2332" s="5" customFormat="1" ht="13">
      <c r="A2332" s="5" t="s">
        <v>488</v>
      </c>
      <c r="B2332" s="5" t="s">
        <v>488</v>
      </c>
      <c r="C2332" s="5" t="s">
        <v>489</v>
      </c>
      <c r="D2332" s="5" t="s">
        <v>20</v>
      </c>
      <c r="E2332" s="5" t="s">
        <v>488</v>
      </c>
      <c r="F2332" s="5" t="s">
        <v>68</v>
      </c>
      <c r="G2332" s="5" t="s">
        <v>69</v>
      </c>
      <c r="H2332" s="9" t="s">
        <v>505</v>
      </c>
      <c r="I2332" s="10">
        <v>42018</v>
      </c>
      <c r="J2332" s="10">
        <v>43476</v>
      </c>
      <c r="K2332" s="5" t="s">
        <v>491</v>
      </c>
      <c r="L2332" s="5" t="s">
        <v>58</v>
      </c>
      <c r="M2332" s="11">
        <v>0.14999999999999999</v>
      </c>
      <c r="N2332" s="5" t="e">
        <f>IF(AND(M2332&gt;#REF!,Cartera!O2332="Guaraníes"),"Rendimiento significativo",IF(AND(M2332&gt;#REF!,Cartera!O2332="Dólares americanos"),"Rendimiento significativo","Rendimiento no significativo"))</f>
        <v>#REF!</v>
      </c>
      <c r="O2332" s="5" t="s">
        <v>41</v>
      </c>
      <c r="P2332" s="12">
        <v>25000000</v>
      </c>
      <c r="Q2332" s="12">
        <f>IF(O2332="Guaraníes",P2332,P2332*#REF!)</f>
        <v>25000000</v>
      </c>
      <c r="R2332" s="12" t="e">
        <f>IF(O2332="Guaraníes",P2332/#REF!,P2332)</f>
        <v>#REF!</v>
      </c>
      <c r="S2332" s="5" t="s">
        <v>52</v>
      </c>
      <c r="AC2332" s="5" t="str">
        <f t="shared" si="112"/>
        <v>Bonos</v>
      </c>
      <c r="AD2332" s="5" t="s">
        <v>43</v>
      </c>
      <c r="AE2332" s="5">
        <f t="shared" si="113"/>
        <v>1</v>
      </c>
      <c r="AF2332" s="5">
        <f t="shared" si="114"/>
        <v>2019</v>
      </c>
    </row>
    <row r="2333" s="5" customFormat="1" ht="13">
      <c r="A2333" s="5" t="s">
        <v>44</v>
      </c>
      <c r="B2333" s="5" t="s">
        <v>44</v>
      </c>
      <c r="C2333" s="5" t="s">
        <v>156</v>
      </c>
      <c r="D2333" s="5" t="s">
        <v>21</v>
      </c>
      <c r="E2333" s="5" t="s">
        <v>44</v>
      </c>
      <c r="F2333" s="5" t="s">
        <v>68</v>
      </c>
      <c r="G2333" s="5" t="s">
        <v>69</v>
      </c>
      <c r="H2333" s="9" t="s">
        <v>400</v>
      </c>
      <c r="I2333" s="10"/>
      <c r="J2333" s="10">
        <v>43476</v>
      </c>
      <c r="K2333" s="5" t="s">
        <v>158</v>
      </c>
      <c r="L2333" s="5" t="s">
        <v>58</v>
      </c>
      <c r="M2333" s="11">
        <v>0.155</v>
      </c>
      <c r="N2333" s="5" t="e">
        <f>IF(AND(M2333&gt;#REF!,Cartera!O2333="Guaraníes"),"Rendimiento significativo",IF(AND(M2333&gt;#REF!,Cartera!O2333="Dólares americanos"),"Rendimiento significativo","Rendimiento no significativo"))</f>
        <v>#REF!</v>
      </c>
      <c r="O2333" s="5" t="s">
        <v>41</v>
      </c>
      <c r="P2333" s="12">
        <v>1316438.3562</v>
      </c>
      <c r="Q2333" s="12">
        <f>IF(O2333="Guaraníes",P2333,P2333*#REF!)</f>
        <v>1316438.3562</v>
      </c>
      <c r="R2333" s="12" t="e">
        <f>IF(O2333="Guaraníes",P2333/#REF!,P2333)</f>
        <v>#REF!</v>
      </c>
      <c r="S2333" s="5" t="s">
        <v>52</v>
      </c>
      <c r="T2333" s="5">
        <v>593</v>
      </c>
      <c r="W2333" s="5" t="s">
        <v>401</v>
      </c>
      <c r="X2333" s="5">
        <v>0</v>
      </c>
      <c r="Y2333" s="5">
        <v>0</v>
      </c>
      <c r="Z2333" s="5">
        <v>13164.383562000001</v>
      </c>
      <c r="AA2333" s="5">
        <v>100</v>
      </c>
      <c r="AB2333" s="5">
        <v>1316438.3562</v>
      </c>
      <c r="AC2333" s="5" t="str">
        <f t="shared" si="112"/>
        <v>Bonos</v>
      </c>
      <c r="AD2333" s="5" t="s">
        <v>43</v>
      </c>
      <c r="AE2333" s="5">
        <f t="shared" si="113"/>
        <v>1</v>
      </c>
      <c r="AF2333" s="5">
        <f t="shared" si="114"/>
        <v>2019</v>
      </c>
    </row>
    <row r="2334" s="5" customFormat="1" ht="13">
      <c r="A2334" s="5" t="s">
        <v>44</v>
      </c>
      <c r="B2334" s="5" t="s">
        <v>44</v>
      </c>
      <c r="C2334" s="5" t="s">
        <v>156</v>
      </c>
      <c r="D2334" s="5" t="s">
        <v>21</v>
      </c>
      <c r="E2334" s="5" t="s">
        <v>44</v>
      </c>
      <c r="F2334" s="5" t="s">
        <v>68</v>
      </c>
      <c r="G2334" s="5" t="s">
        <v>69</v>
      </c>
      <c r="H2334" s="9" t="s">
        <v>407</v>
      </c>
      <c r="I2334" s="10"/>
      <c r="J2334" s="10">
        <v>43479</v>
      </c>
      <c r="K2334" s="5" t="s">
        <v>158</v>
      </c>
      <c r="L2334" s="5" t="s">
        <v>58</v>
      </c>
      <c r="M2334" s="11">
        <v>0.12</v>
      </c>
      <c r="N2334" s="5" t="e">
        <f>IF(AND(M2334&gt;#REF!,Cartera!O2334="Guaraníes"),"Rendimiento significativo",IF(AND(M2334&gt;#REF!,Cartera!O2334="Dólares americanos"),"Rendimiento significativo","Rendimiento no significativo"))</f>
        <v>#REF!</v>
      </c>
      <c r="O2334" s="5" t="s">
        <v>41</v>
      </c>
      <c r="P2334" s="12">
        <v>1358904.1096000001</v>
      </c>
      <c r="Q2334" s="12">
        <f>IF(O2334="Guaraníes",P2334,P2334*#REF!)</f>
        <v>1358904.1096000001</v>
      </c>
      <c r="R2334" s="12" t="e">
        <f>IF(O2334="Guaraníes",P2334/#REF!,P2334)</f>
        <v>#REF!</v>
      </c>
      <c r="S2334" s="5" t="s">
        <v>52</v>
      </c>
      <c r="T2334" s="5">
        <v>593</v>
      </c>
      <c r="W2334" s="5" t="s">
        <v>460</v>
      </c>
      <c r="X2334" s="5">
        <v>0</v>
      </c>
      <c r="Y2334" s="5">
        <v>0</v>
      </c>
      <c r="Z2334" s="5">
        <v>13589.041096000001</v>
      </c>
      <c r="AA2334" s="5">
        <v>100</v>
      </c>
      <c r="AB2334" s="5">
        <v>1358904.1096000001</v>
      </c>
      <c r="AC2334" s="5" t="str">
        <f t="shared" si="112"/>
        <v>Bonos</v>
      </c>
      <c r="AD2334" s="5" t="s">
        <v>43</v>
      </c>
      <c r="AE2334" s="5">
        <f t="shared" si="113"/>
        <v>1</v>
      </c>
      <c r="AF2334" s="5">
        <f t="shared" si="114"/>
        <v>2019</v>
      </c>
    </row>
    <row r="2335" s="5" customFormat="1" ht="13">
      <c r="A2335" s="5" t="s">
        <v>44</v>
      </c>
      <c r="B2335" s="5" t="s">
        <v>44</v>
      </c>
      <c r="C2335" s="5" t="s">
        <v>99</v>
      </c>
      <c r="D2335" s="5" t="s">
        <v>21</v>
      </c>
      <c r="E2335" s="5" t="s">
        <v>44</v>
      </c>
      <c r="F2335" s="5" t="s">
        <v>100</v>
      </c>
      <c r="G2335" s="5" t="s">
        <v>69</v>
      </c>
      <c r="H2335" s="9" t="s">
        <v>238</v>
      </c>
      <c r="I2335" s="10"/>
      <c r="J2335" s="10">
        <v>43498</v>
      </c>
      <c r="K2335" s="5" t="s">
        <v>102</v>
      </c>
      <c r="L2335" s="5" t="s">
        <v>102</v>
      </c>
      <c r="M2335" s="11">
        <v>0.070000000000000007</v>
      </c>
      <c r="N2335" s="5" t="e">
        <f>IF(AND(M2335&gt;#REF!,Cartera!O2335="Guaraníes"),"Rendimiento significativo",IF(AND(M2335&gt;#REF!,Cartera!O2335="Dólares americanos"),"Rendimiento significativo","Rendimiento no significativo"))</f>
        <v>#REF!</v>
      </c>
      <c r="O2335" s="5" t="s">
        <v>41</v>
      </c>
      <c r="P2335" s="12">
        <v>2041643.8355999999</v>
      </c>
      <c r="Q2335" s="12">
        <f>IF(O2335="Guaraníes",P2335,P2335*#REF!)</f>
        <v>2041643.8355999999</v>
      </c>
      <c r="R2335" s="12" t="e">
        <f>IF(O2335="Guaraníes",P2335/#REF!,P2335)</f>
        <v>#REF!</v>
      </c>
      <c r="S2335" s="5" t="s">
        <v>52</v>
      </c>
      <c r="T2335" s="5">
        <v>593</v>
      </c>
      <c r="W2335" s="5" t="s">
        <v>492</v>
      </c>
      <c r="X2335" s="5">
        <v>0</v>
      </c>
      <c r="Y2335" s="5">
        <v>0</v>
      </c>
      <c r="Z2335" s="5">
        <v>40832.876711999997</v>
      </c>
      <c r="AA2335" s="5">
        <v>50</v>
      </c>
      <c r="AB2335" s="5">
        <v>2041643.8356000001</v>
      </c>
      <c r="AC2335" s="5" t="str">
        <f t="shared" si="112"/>
        <v>Bonos</v>
      </c>
      <c r="AD2335" s="5" t="s">
        <v>43</v>
      </c>
      <c r="AE2335" s="5">
        <f t="shared" si="113"/>
        <v>2</v>
      </c>
      <c r="AF2335" s="5">
        <f t="shared" si="114"/>
        <v>2019</v>
      </c>
    </row>
    <row r="2336" s="5" customFormat="1" ht="13">
      <c r="A2336" s="5" t="s">
        <v>44</v>
      </c>
      <c r="B2336" s="5" t="s">
        <v>44</v>
      </c>
      <c r="C2336" s="5" t="s">
        <v>457</v>
      </c>
      <c r="D2336" s="5" t="s">
        <v>21</v>
      </c>
      <c r="E2336" s="5" t="s">
        <v>44</v>
      </c>
      <c r="F2336" s="5" t="s">
        <v>100</v>
      </c>
      <c r="G2336" s="5" t="s">
        <v>69</v>
      </c>
      <c r="H2336" s="9" t="s">
        <v>458</v>
      </c>
      <c r="I2336" s="10"/>
      <c r="J2336" s="10">
        <v>43504</v>
      </c>
      <c r="K2336" s="5" t="s">
        <v>173</v>
      </c>
      <c r="L2336" s="5" t="s">
        <v>58</v>
      </c>
      <c r="M2336" s="11">
        <v>0.13500000000000001</v>
      </c>
      <c r="N2336" s="5" t="e">
        <f>IF(AND(M2336&gt;#REF!,Cartera!O2336="Guaraníes"),"Rendimiento significativo",IF(AND(M2336&gt;#REF!,Cartera!O2336="Dólares americanos"),"Rendimiento significativo","Rendimiento no significativo"))</f>
        <v>#REF!</v>
      </c>
      <c r="O2336" s="5" t="s">
        <v>41</v>
      </c>
      <c r="P2336" s="12">
        <v>4846684.9314959999</v>
      </c>
      <c r="Q2336" s="12">
        <f>IF(O2336="Guaraníes",P2336,P2336*#REF!)</f>
        <v>4846684.9314959999</v>
      </c>
      <c r="R2336" s="12" t="e">
        <f>IF(O2336="Guaraníes",P2336/#REF!,P2336)</f>
        <v>#REF!</v>
      </c>
      <c r="S2336" s="5" t="s">
        <v>52</v>
      </c>
      <c r="T2336" s="5">
        <v>593</v>
      </c>
      <c r="W2336" s="5" t="s">
        <v>301</v>
      </c>
      <c r="X2336" s="5">
        <v>0</v>
      </c>
      <c r="Y2336" s="5">
        <v>0</v>
      </c>
      <c r="Z2336" s="5">
        <v>67315.068492999999</v>
      </c>
      <c r="AA2336" s="5">
        <v>72</v>
      </c>
      <c r="AB2336" s="5">
        <v>4846684.9314959999</v>
      </c>
      <c r="AC2336" s="5" t="str">
        <f t="shared" si="112"/>
        <v>Bonos</v>
      </c>
      <c r="AD2336" s="5" t="s">
        <v>43</v>
      </c>
      <c r="AE2336" s="5">
        <f t="shared" si="113"/>
        <v>2</v>
      </c>
      <c r="AF2336" s="5">
        <f t="shared" si="114"/>
        <v>2019</v>
      </c>
    </row>
    <row r="2337" s="5" customFormat="1" ht="13">
      <c r="A2337" s="5" t="s">
        <v>44</v>
      </c>
      <c r="B2337" s="5" t="s">
        <v>44</v>
      </c>
      <c r="C2337" s="5" t="s">
        <v>457</v>
      </c>
      <c r="D2337" s="5" t="s">
        <v>21</v>
      </c>
      <c r="E2337" s="5" t="s">
        <v>44</v>
      </c>
      <c r="F2337" s="5" t="s">
        <v>100</v>
      </c>
      <c r="G2337" s="5" t="s">
        <v>69</v>
      </c>
      <c r="H2337" s="9" t="s">
        <v>459</v>
      </c>
      <c r="I2337" s="10"/>
      <c r="J2337" s="10">
        <v>43504</v>
      </c>
      <c r="K2337" s="5" t="s">
        <v>173</v>
      </c>
      <c r="L2337" s="5" t="s">
        <v>58</v>
      </c>
      <c r="M2337" s="11">
        <v>0.14499999999999999</v>
      </c>
      <c r="N2337" s="5" t="e">
        <f>IF(AND(M2337&gt;#REF!,Cartera!O2337="Guaraníes"),"Rendimiento significativo",IF(AND(M2337&gt;#REF!,Cartera!O2337="Dólares americanos"),"Rendimiento significativo","Rendimiento no significativo"))</f>
        <v>#REF!</v>
      </c>
      <c r="O2337" s="5" t="s">
        <v>41</v>
      </c>
      <c r="P2337" s="12">
        <v>2024438.356164</v>
      </c>
      <c r="Q2337" s="12">
        <f>IF(O2337="Guaraníes",P2337,P2337*#REF!)</f>
        <v>2024438.356164</v>
      </c>
      <c r="R2337" s="12" t="e">
        <f>IF(O2337="Guaraníes",P2337/#REF!,P2337)</f>
        <v>#REF!</v>
      </c>
      <c r="S2337" s="5" t="s">
        <v>52</v>
      </c>
      <c r="T2337" s="5">
        <v>593</v>
      </c>
      <c r="W2337" s="5" t="s">
        <v>302</v>
      </c>
      <c r="X2337" s="5">
        <v>0</v>
      </c>
      <c r="Y2337" s="5">
        <v>0</v>
      </c>
      <c r="Z2337" s="5">
        <v>72301.369863</v>
      </c>
      <c r="AA2337" s="5">
        <v>28</v>
      </c>
      <c r="AB2337" s="5">
        <v>2024438.356164</v>
      </c>
      <c r="AC2337" s="5" t="str">
        <f t="shared" si="112"/>
        <v>Bonos</v>
      </c>
      <c r="AD2337" s="5" t="s">
        <v>43</v>
      </c>
      <c r="AE2337" s="5">
        <f t="shared" si="113"/>
        <v>2</v>
      </c>
      <c r="AF2337" s="5">
        <f t="shared" si="114"/>
        <v>2019</v>
      </c>
    </row>
    <row r="2338" s="5" customFormat="1" ht="13">
      <c r="A2338" s="5" t="s">
        <v>44</v>
      </c>
      <c r="B2338" s="5" t="s">
        <v>44</v>
      </c>
      <c r="C2338" s="5" t="s">
        <v>156</v>
      </c>
      <c r="D2338" s="5" t="s">
        <v>21</v>
      </c>
      <c r="E2338" s="5" t="s">
        <v>44</v>
      </c>
      <c r="F2338" s="5" t="s">
        <v>68</v>
      </c>
      <c r="G2338" s="5" t="s">
        <v>69</v>
      </c>
      <c r="H2338" s="9" t="s">
        <v>400</v>
      </c>
      <c r="I2338" s="10"/>
      <c r="J2338" s="10">
        <v>43507</v>
      </c>
      <c r="K2338" s="5" t="s">
        <v>158</v>
      </c>
      <c r="L2338" s="5" t="s">
        <v>58</v>
      </c>
      <c r="M2338" s="11">
        <v>0.155</v>
      </c>
      <c r="N2338" s="5" t="e">
        <f>IF(AND(M2338&gt;#REF!,Cartera!O2338="Guaraníes"),"Rendimiento significativo",IF(AND(M2338&gt;#REF!,Cartera!O2338="Dólares americanos"),"Rendimiento significativo","Rendimiento no significativo"))</f>
        <v>#REF!</v>
      </c>
      <c r="O2338" s="5" t="s">
        <v>41</v>
      </c>
      <c r="P2338" s="12">
        <v>1316438.3562</v>
      </c>
      <c r="Q2338" s="12">
        <f>IF(O2338="Guaraníes",P2338,P2338*#REF!)</f>
        <v>1316438.3562</v>
      </c>
      <c r="R2338" s="12" t="e">
        <f>IF(O2338="Guaraníes",P2338/#REF!,P2338)</f>
        <v>#REF!</v>
      </c>
      <c r="S2338" s="5" t="s">
        <v>52</v>
      </c>
      <c r="T2338" s="5">
        <v>593</v>
      </c>
      <c r="W2338" s="5" t="s">
        <v>506</v>
      </c>
      <c r="X2338" s="5">
        <v>0</v>
      </c>
      <c r="Y2338" s="5">
        <v>0</v>
      </c>
      <c r="Z2338" s="5">
        <v>13164.383562000001</v>
      </c>
      <c r="AA2338" s="5">
        <v>100</v>
      </c>
      <c r="AB2338" s="5">
        <v>1316438.3562</v>
      </c>
      <c r="AC2338" s="5" t="str">
        <f t="shared" si="112"/>
        <v>Bonos</v>
      </c>
      <c r="AD2338" s="5" t="s">
        <v>43</v>
      </c>
      <c r="AE2338" s="5">
        <f t="shared" si="113"/>
        <v>2</v>
      </c>
      <c r="AF2338" s="5">
        <f t="shared" si="114"/>
        <v>2019</v>
      </c>
    </row>
    <row r="2339" s="5" customFormat="1" ht="13">
      <c r="A2339" s="5" t="s">
        <v>44</v>
      </c>
      <c r="B2339" s="5" t="s">
        <v>44</v>
      </c>
      <c r="C2339" s="5" t="s">
        <v>156</v>
      </c>
      <c r="D2339" s="5" t="s">
        <v>21</v>
      </c>
      <c r="E2339" s="5" t="s">
        <v>44</v>
      </c>
      <c r="F2339" s="5" t="s">
        <v>68</v>
      </c>
      <c r="G2339" s="5" t="s">
        <v>69</v>
      </c>
      <c r="H2339" s="9" t="s">
        <v>407</v>
      </c>
      <c r="I2339" s="10"/>
      <c r="J2339" s="10">
        <v>43509</v>
      </c>
      <c r="K2339" s="5" t="s">
        <v>158</v>
      </c>
      <c r="L2339" s="5" t="s">
        <v>58</v>
      </c>
      <c r="M2339" s="11">
        <v>0.12</v>
      </c>
      <c r="N2339" s="5" t="e">
        <f>IF(AND(M2339&gt;#REF!,Cartera!O2339="Guaraníes"),"Rendimiento significativo",IF(AND(M2339&gt;#REF!,Cartera!O2339="Dólares americanos"),"Rendimiento significativo","Rendimiento no significativo"))</f>
        <v>#REF!</v>
      </c>
      <c r="O2339" s="5" t="s">
        <v>41</v>
      </c>
      <c r="P2339" s="12">
        <v>1315068.4931999999</v>
      </c>
      <c r="Q2339" s="12">
        <f>IF(O2339="Guaraníes",P2339,P2339*#REF!)</f>
        <v>1315068.4931999999</v>
      </c>
      <c r="R2339" s="12" t="e">
        <f>IF(O2339="Guaraníes",P2339/#REF!,P2339)</f>
        <v>#REF!</v>
      </c>
      <c r="S2339" s="5" t="s">
        <v>52</v>
      </c>
      <c r="T2339" s="5">
        <v>593</v>
      </c>
      <c r="W2339" s="5" t="s">
        <v>507</v>
      </c>
      <c r="X2339" s="5">
        <v>0</v>
      </c>
      <c r="Y2339" s="5">
        <v>0</v>
      </c>
      <c r="Z2339" s="5">
        <v>13150.684932</v>
      </c>
      <c r="AA2339" s="5">
        <v>100</v>
      </c>
      <c r="AB2339" s="5">
        <v>1315068.4931999999</v>
      </c>
      <c r="AC2339" s="5" t="str">
        <f t="shared" si="112"/>
        <v>Bonos</v>
      </c>
      <c r="AD2339" s="5" t="s">
        <v>43</v>
      </c>
      <c r="AE2339" s="5">
        <f t="shared" si="113"/>
        <v>2</v>
      </c>
      <c r="AF2339" s="5">
        <f t="shared" si="114"/>
        <v>2019</v>
      </c>
    </row>
    <row r="2340" s="5" customFormat="1" ht="13">
      <c r="A2340" s="5" t="s">
        <v>44</v>
      </c>
      <c r="B2340" s="5" t="s">
        <v>44</v>
      </c>
      <c r="C2340" s="5" t="s">
        <v>67</v>
      </c>
      <c r="D2340" s="5" t="s">
        <v>21</v>
      </c>
      <c r="E2340" s="5" t="s">
        <v>44</v>
      </c>
      <c r="F2340" s="5" t="s">
        <v>68</v>
      </c>
      <c r="G2340" s="5" t="s">
        <v>69</v>
      </c>
      <c r="H2340" s="9" t="s">
        <v>376</v>
      </c>
      <c r="I2340" s="10"/>
      <c r="J2340" s="10">
        <v>43523</v>
      </c>
      <c r="K2340" s="5" t="s">
        <v>71</v>
      </c>
      <c r="L2340" s="5" t="s">
        <v>58</v>
      </c>
      <c r="M2340" s="11">
        <v>0.070000000000000007</v>
      </c>
      <c r="N2340" s="5" t="e">
        <f>IF(AND(M2340&gt;#REF!,Cartera!O2340="Guaraníes"),"Rendimiento significativo",IF(AND(M2340&gt;#REF!,Cartera!O2340="Dólares americanos"),"Rendimiento significativo","Rendimiento no significativo"))</f>
        <v>#REF!</v>
      </c>
      <c r="O2340" s="5" t="s">
        <v>41</v>
      </c>
      <c r="P2340" s="12">
        <v>1907260.27394</v>
      </c>
      <c r="Q2340" s="12">
        <f>IF(O2340="Guaraníes",P2340,P2340*#REF!)</f>
        <v>1907260.27394</v>
      </c>
      <c r="R2340" s="12" t="e">
        <f>IF(O2340="Guaraníes",P2340/#REF!,P2340)</f>
        <v>#REF!</v>
      </c>
      <c r="S2340" s="5" t="s">
        <v>52</v>
      </c>
      <c r="T2340" s="5">
        <v>593</v>
      </c>
      <c r="W2340" s="5" t="s">
        <v>466</v>
      </c>
      <c r="X2340" s="5">
        <v>0</v>
      </c>
      <c r="Y2340" s="5">
        <v>0</v>
      </c>
      <c r="Z2340" s="5">
        <v>22438.356164000001</v>
      </c>
      <c r="AA2340" s="5">
        <v>85</v>
      </c>
      <c r="AB2340" s="5">
        <v>1907260.27394</v>
      </c>
      <c r="AC2340" s="5" t="str">
        <f t="shared" si="112"/>
        <v>Bonos</v>
      </c>
      <c r="AD2340" s="5" t="s">
        <v>43</v>
      </c>
      <c r="AE2340" s="5">
        <f t="shared" si="113"/>
        <v>2</v>
      </c>
      <c r="AF2340" s="5">
        <f t="shared" si="114"/>
        <v>2019</v>
      </c>
    </row>
    <row r="2341" s="5" customFormat="1" ht="13">
      <c r="A2341" s="5" t="s">
        <v>44</v>
      </c>
      <c r="B2341" s="5" t="s">
        <v>44</v>
      </c>
      <c r="C2341" s="5" t="s">
        <v>156</v>
      </c>
      <c r="D2341" s="5" t="s">
        <v>21</v>
      </c>
      <c r="E2341" s="5" t="s">
        <v>44</v>
      </c>
      <c r="F2341" s="5" t="s">
        <v>68</v>
      </c>
      <c r="G2341" s="5" t="s">
        <v>69</v>
      </c>
      <c r="H2341" s="9" t="s">
        <v>400</v>
      </c>
      <c r="I2341" s="10"/>
      <c r="J2341" s="10">
        <v>43535</v>
      </c>
      <c r="K2341" s="5" t="s">
        <v>158</v>
      </c>
      <c r="L2341" s="5" t="s">
        <v>58</v>
      </c>
      <c r="M2341" s="11">
        <v>0.155</v>
      </c>
      <c r="N2341" s="5" t="e">
        <f>IF(AND(M2341&gt;#REF!,Cartera!O2341="Guaraníes"),"Rendimiento significativo",IF(AND(M2341&gt;#REF!,Cartera!O2341="Dólares americanos"),"Rendimiento significativo","Rendimiento no significativo"))</f>
        <v>#REF!</v>
      </c>
      <c r="O2341" s="5" t="s">
        <v>41</v>
      </c>
      <c r="P2341" s="12">
        <v>1189041.0959000001</v>
      </c>
      <c r="Q2341" s="12">
        <f>IF(O2341="Guaraníes",P2341,P2341*#REF!)</f>
        <v>1189041.0959000001</v>
      </c>
      <c r="R2341" s="12" t="e">
        <f>IF(O2341="Guaraníes",P2341/#REF!,P2341)</f>
        <v>#REF!</v>
      </c>
      <c r="S2341" s="5" t="s">
        <v>52</v>
      </c>
      <c r="T2341" s="5">
        <v>593</v>
      </c>
      <c r="W2341" s="5" t="s">
        <v>467</v>
      </c>
      <c r="X2341" s="5">
        <v>0</v>
      </c>
      <c r="Y2341" s="5">
        <v>0</v>
      </c>
      <c r="Z2341" s="5">
        <v>11890.410959000001</v>
      </c>
      <c r="AA2341" s="5">
        <v>100</v>
      </c>
      <c r="AB2341" s="5">
        <v>1189041.0959000001</v>
      </c>
      <c r="AC2341" s="5" t="str">
        <f t="shared" si="112"/>
        <v>Bonos</v>
      </c>
      <c r="AD2341" s="5" t="s">
        <v>43</v>
      </c>
      <c r="AE2341" s="5">
        <f t="shared" si="113"/>
        <v>3</v>
      </c>
      <c r="AF2341" s="5">
        <f t="shared" si="114"/>
        <v>2019</v>
      </c>
    </row>
    <row r="2342" s="5" customFormat="1" ht="13">
      <c r="A2342" s="5" t="s">
        <v>44</v>
      </c>
      <c r="B2342" s="5" t="s">
        <v>44</v>
      </c>
      <c r="C2342" s="5" t="s">
        <v>156</v>
      </c>
      <c r="D2342" s="5" t="s">
        <v>21</v>
      </c>
      <c r="E2342" s="5" t="s">
        <v>44</v>
      </c>
      <c r="F2342" s="5" t="s">
        <v>68</v>
      </c>
      <c r="G2342" s="5" t="s">
        <v>69</v>
      </c>
      <c r="H2342" s="9" t="s">
        <v>407</v>
      </c>
      <c r="I2342" s="10"/>
      <c r="J2342" s="10">
        <v>43539</v>
      </c>
      <c r="K2342" s="5" t="s">
        <v>158</v>
      </c>
      <c r="L2342" s="5" t="s">
        <v>58</v>
      </c>
      <c r="M2342" s="11">
        <v>0.12</v>
      </c>
      <c r="N2342" s="5" t="e">
        <f>IF(AND(M2342&gt;#REF!,Cartera!O2342="Guaraníes"),"Rendimiento significativo",IF(AND(M2342&gt;#REF!,Cartera!O2342="Dólares americanos"),"Rendimiento significativo","Rendimiento no significativo"))</f>
        <v>#REF!</v>
      </c>
      <c r="O2342" s="5" t="s">
        <v>41</v>
      </c>
      <c r="P2342" s="12">
        <v>1315068.4931999999</v>
      </c>
      <c r="Q2342" s="12">
        <f>IF(O2342="Guaraníes",P2342,P2342*#REF!)</f>
        <v>1315068.4931999999</v>
      </c>
      <c r="R2342" s="12" t="e">
        <f>IF(O2342="Guaraníes",P2342/#REF!,P2342)</f>
        <v>#REF!</v>
      </c>
      <c r="S2342" s="5" t="s">
        <v>52</v>
      </c>
      <c r="T2342" s="5">
        <v>593</v>
      </c>
      <c r="W2342" s="5" t="s">
        <v>468</v>
      </c>
      <c r="X2342" s="5">
        <v>0</v>
      </c>
      <c r="Y2342" s="5">
        <v>0</v>
      </c>
      <c r="Z2342" s="5">
        <v>13150.684932</v>
      </c>
      <c r="AA2342" s="5">
        <v>100</v>
      </c>
      <c r="AB2342" s="5">
        <v>1315068.4931999999</v>
      </c>
      <c r="AC2342" s="5" t="str">
        <f t="shared" si="112"/>
        <v>Bonos</v>
      </c>
      <c r="AD2342" s="5" t="s">
        <v>43</v>
      </c>
      <c r="AE2342" s="5">
        <f t="shared" si="113"/>
        <v>3</v>
      </c>
      <c r="AF2342" s="5">
        <f t="shared" si="114"/>
        <v>2019</v>
      </c>
    </row>
    <row r="2343" s="5" customFormat="1" ht="13">
      <c r="A2343" s="5" t="s">
        <v>44</v>
      </c>
      <c r="B2343" s="5" t="s">
        <v>44</v>
      </c>
      <c r="C2343" s="5" t="s">
        <v>176</v>
      </c>
      <c r="D2343" s="5" t="s">
        <v>21</v>
      </c>
      <c r="E2343" s="5" t="s">
        <v>44</v>
      </c>
      <c r="F2343" s="5" t="s">
        <v>68</v>
      </c>
      <c r="G2343" s="5" t="s">
        <v>69</v>
      </c>
      <c r="H2343" s="9" t="s">
        <v>479</v>
      </c>
      <c r="I2343" s="10"/>
      <c r="J2343" s="10">
        <v>43551</v>
      </c>
      <c r="K2343" s="5" t="s">
        <v>178</v>
      </c>
      <c r="L2343" s="5" t="s">
        <v>58</v>
      </c>
      <c r="M2343" s="11">
        <v>0.074999999999999997</v>
      </c>
      <c r="N2343" s="5" t="e">
        <f>IF(AND(M2343&gt;#REF!,Cartera!O2343="Guaraníes"),"Rendimiento significativo",IF(AND(M2343&gt;#REF!,Cartera!O2343="Dólares americanos"),"Rendimiento significativo","Rendimiento no significativo"))</f>
        <v>#REF!</v>
      </c>
      <c r="O2343" s="5" t="s">
        <v>51</v>
      </c>
      <c r="P2343" s="13">
        <v>635.75342999999998</v>
      </c>
      <c r="Q2343" s="12" t="e">
        <f>IF(O2343="Guaraníes",P2343,P2343*#REF!)</f>
        <v>#REF!</v>
      </c>
      <c r="R2343" s="12">
        <f>IF(O2343="Guaraníes",P2343/#REF!,P2343)</f>
        <v>635.75342999999998</v>
      </c>
      <c r="S2343" s="5" t="s">
        <v>52</v>
      </c>
      <c r="T2343" s="5">
        <v>593</v>
      </c>
      <c r="W2343" s="5" t="s">
        <v>367</v>
      </c>
      <c r="X2343" s="5">
        <v>0</v>
      </c>
      <c r="Y2343" s="5">
        <v>0</v>
      </c>
      <c r="Z2343" s="5">
        <v>21.191780999999999</v>
      </c>
      <c r="AA2343" s="5">
        <v>30</v>
      </c>
      <c r="AB2343" s="5">
        <v>635.75342999999998</v>
      </c>
      <c r="AC2343" s="5" t="str">
        <f t="shared" si="112"/>
        <v>Bonos</v>
      </c>
      <c r="AD2343" s="5" t="s">
        <v>43</v>
      </c>
      <c r="AE2343" s="5">
        <f t="shared" si="113"/>
        <v>3</v>
      </c>
      <c r="AF2343" s="5">
        <f t="shared" si="114"/>
        <v>2019</v>
      </c>
    </row>
    <row r="2344" s="5" customFormat="1" ht="13">
      <c r="A2344" s="5" t="s">
        <v>44</v>
      </c>
      <c r="B2344" s="5" t="s">
        <v>44</v>
      </c>
      <c r="C2344" s="5" t="s">
        <v>156</v>
      </c>
      <c r="D2344" s="5" t="s">
        <v>21</v>
      </c>
      <c r="E2344" s="5" t="s">
        <v>44</v>
      </c>
      <c r="F2344" s="5" t="s">
        <v>68</v>
      </c>
      <c r="G2344" s="5" t="s">
        <v>69</v>
      </c>
      <c r="H2344" s="9" t="s">
        <v>400</v>
      </c>
      <c r="I2344" s="10"/>
      <c r="J2344" s="10">
        <v>43566</v>
      </c>
      <c r="K2344" s="5" t="s">
        <v>158</v>
      </c>
      <c r="L2344" s="5" t="s">
        <v>58</v>
      </c>
      <c r="M2344" s="11">
        <v>0.155</v>
      </c>
      <c r="N2344" s="5" t="e">
        <f>IF(AND(M2344&gt;#REF!,Cartera!O2344="Guaraníes"),"Rendimiento significativo",IF(AND(M2344&gt;#REF!,Cartera!O2344="Dólares americanos"),"Rendimiento significativo","Rendimiento no significativo"))</f>
        <v>#REF!</v>
      </c>
      <c r="O2344" s="5" t="s">
        <v>41</v>
      </c>
      <c r="P2344" s="12">
        <v>1316438.3562</v>
      </c>
      <c r="Q2344" s="12">
        <f>IF(O2344="Guaraníes",P2344,P2344*#REF!)</f>
        <v>1316438.3562</v>
      </c>
      <c r="R2344" s="12" t="e">
        <f>IF(O2344="Guaraníes",P2344/#REF!,P2344)</f>
        <v>#REF!</v>
      </c>
      <c r="S2344" s="5" t="s">
        <v>52</v>
      </c>
      <c r="T2344" s="5">
        <v>593</v>
      </c>
      <c r="W2344" s="5" t="s">
        <v>419</v>
      </c>
      <c r="X2344" s="5">
        <v>0</v>
      </c>
      <c r="Y2344" s="5">
        <v>0</v>
      </c>
      <c r="Z2344" s="5">
        <v>13164.383562000001</v>
      </c>
      <c r="AA2344" s="5">
        <v>100</v>
      </c>
      <c r="AB2344" s="5">
        <v>1316438.3562</v>
      </c>
      <c r="AC2344" s="5" t="str">
        <f t="shared" si="112"/>
        <v>Bonos</v>
      </c>
      <c r="AD2344" s="5" t="s">
        <v>43</v>
      </c>
      <c r="AE2344" s="5">
        <f t="shared" si="113"/>
        <v>4</v>
      </c>
      <c r="AF2344" s="5">
        <f t="shared" si="114"/>
        <v>2019</v>
      </c>
    </row>
    <row r="2345" s="5" customFormat="1" ht="13">
      <c r="A2345" s="5" t="s">
        <v>44</v>
      </c>
      <c r="B2345" s="5" t="s">
        <v>44</v>
      </c>
      <c r="C2345" s="5" t="s">
        <v>156</v>
      </c>
      <c r="D2345" s="5" t="s">
        <v>21</v>
      </c>
      <c r="E2345" s="5" t="s">
        <v>44</v>
      </c>
      <c r="F2345" s="5" t="s">
        <v>68</v>
      </c>
      <c r="G2345" s="5" t="s">
        <v>69</v>
      </c>
      <c r="H2345" s="9" t="s">
        <v>407</v>
      </c>
      <c r="I2345" s="10"/>
      <c r="J2345" s="10">
        <v>43570</v>
      </c>
      <c r="K2345" s="5" t="s">
        <v>158</v>
      </c>
      <c r="L2345" s="5" t="s">
        <v>58</v>
      </c>
      <c r="M2345" s="11">
        <v>0.12</v>
      </c>
      <c r="N2345" s="5" t="e">
        <f>IF(AND(M2345&gt;#REF!,Cartera!O2345="Guaraníes"),"Rendimiento significativo",IF(AND(M2345&gt;#REF!,Cartera!O2345="Dólares americanos"),"Rendimiento significativo","Rendimiento no significativo"))</f>
        <v>#REF!</v>
      </c>
      <c r="O2345" s="5" t="s">
        <v>41</v>
      </c>
      <c r="P2345" s="12">
        <v>1358904.1096000001</v>
      </c>
      <c r="Q2345" s="12">
        <f>IF(O2345="Guaraníes",P2345,P2345*#REF!)</f>
        <v>1358904.1096000001</v>
      </c>
      <c r="R2345" s="12" t="e">
        <f>IF(O2345="Guaraníes",P2345/#REF!,P2345)</f>
        <v>#REF!</v>
      </c>
      <c r="S2345" s="5" t="s">
        <v>52</v>
      </c>
      <c r="T2345" s="5">
        <v>593</v>
      </c>
      <c r="W2345" s="5" t="s">
        <v>420</v>
      </c>
      <c r="X2345" s="5">
        <v>0</v>
      </c>
      <c r="Y2345" s="5">
        <v>0</v>
      </c>
      <c r="Z2345" s="5">
        <v>13589.041096000001</v>
      </c>
      <c r="AA2345" s="5">
        <v>100</v>
      </c>
      <c r="AB2345" s="5">
        <v>1358904.1096000001</v>
      </c>
      <c r="AC2345" s="5" t="str">
        <f t="shared" si="112"/>
        <v>Bonos</v>
      </c>
      <c r="AD2345" s="5" t="s">
        <v>43</v>
      </c>
      <c r="AE2345" s="5">
        <f t="shared" si="113"/>
        <v>4</v>
      </c>
      <c r="AF2345" s="5">
        <f t="shared" si="114"/>
        <v>2019</v>
      </c>
    </row>
    <row r="2346" s="5" customFormat="1" ht="13">
      <c r="A2346" s="5" t="s">
        <v>44</v>
      </c>
      <c r="B2346" s="5" t="s">
        <v>44</v>
      </c>
      <c r="C2346" s="5" t="s">
        <v>156</v>
      </c>
      <c r="D2346" s="5" t="s">
        <v>21</v>
      </c>
      <c r="E2346" s="5" t="s">
        <v>44</v>
      </c>
      <c r="F2346" s="5" t="s">
        <v>68</v>
      </c>
      <c r="G2346" s="5" t="s">
        <v>69</v>
      </c>
      <c r="H2346" s="9" t="s">
        <v>400</v>
      </c>
      <c r="I2346" s="10"/>
      <c r="J2346" s="10">
        <v>43595</v>
      </c>
      <c r="K2346" s="5" t="s">
        <v>158</v>
      </c>
      <c r="L2346" s="5" t="s">
        <v>58</v>
      </c>
      <c r="M2346" s="11">
        <v>0.155</v>
      </c>
      <c r="N2346" s="5" t="e">
        <f>IF(AND(M2346&gt;#REF!,Cartera!O2346="Guaraníes"),"Rendimiento significativo",IF(AND(M2346&gt;#REF!,Cartera!O2346="Dólares americanos"),"Rendimiento significativo","Rendimiento no significativo"))</f>
        <v>#REF!</v>
      </c>
      <c r="O2346" s="5" t="s">
        <v>41</v>
      </c>
      <c r="P2346" s="12">
        <v>1231506.8493000001</v>
      </c>
      <c r="Q2346" s="12">
        <f>IF(O2346="Guaraníes",P2346,P2346*#REF!)</f>
        <v>1231506.8493000001</v>
      </c>
      <c r="R2346" s="12" t="e">
        <f>IF(O2346="Guaraníes",P2346/#REF!,P2346)</f>
        <v>#REF!</v>
      </c>
      <c r="S2346" s="5" t="s">
        <v>52</v>
      </c>
      <c r="T2346" s="5">
        <v>593</v>
      </c>
      <c r="W2346" s="5" t="s">
        <v>498</v>
      </c>
      <c r="X2346" s="5">
        <v>0</v>
      </c>
      <c r="Y2346" s="5">
        <v>0</v>
      </c>
      <c r="Z2346" s="5">
        <v>12315.068493000001</v>
      </c>
      <c r="AA2346" s="5">
        <v>100</v>
      </c>
      <c r="AB2346" s="5">
        <v>1231506.8492999999</v>
      </c>
      <c r="AC2346" s="5" t="str">
        <f t="shared" si="112"/>
        <v>Bonos</v>
      </c>
      <c r="AD2346" s="5" t="s">
        <v>43</v>
      </c>
      <c r="AE2346" s="5">
        <f t="shared" si="113"/>
        <v>5</v>
      </c>
      <c r="AF2346" s="5">
        <f t="shared" si="114"/>
        <v>2019</v>
      </c>
    </row>
    <row r="2347" s="5" customFormat="1" ht="13">
      <c r="A2347" s="5" t="s">
        <v>44</v>
      </c>
      <c r="B2347" s="5" t="s">
        <v>44</v>
      </c>
      <c r="C2347" s="5" t="s">
        <v>156</v>
      </c>
      <c r="D2347" s="5" t="s">
        <v>21</v>
      </c>
      <c r="E2347" s="5" t="s">
        <v>44</v>
      </c>
      <c r="F2347" s="5" t="s">
        <v>68</v>
      </c>
      <c r="G2347" s="5" t="s">
        <v>69</v>
      </c>
      <c r="H2347" s="9" t="s">
        <v>407</v>
      </c>
      <c r="I2347" s="10"/>
      <c r="J2347" s="10">
        <v>43601</v>
      </c>
      <c r="K2347" s="5" t="s">
        <v>158</v>
      </c>
      <c r="L2347" s="5" t="s">
        <v>58</v>
      </c>
      <c r="M2347" s="11">
        <v>0.12</v>
      </c>
      <c r="N2347" s="5" t="e">
        <f>IF(AND(M2347&gt;#REF!,Cartera!O2347="Guaraníes"),"Rendimiento significativo",IF(AND(M2347&gt;#REF!,Cartera!O2347="Dólares americanos"),"Rendimiento significativo","Rendimiento no significativo"))</f>
        <v>#REF!</v>
      </c>
      <c r="O2347" s="5" t="s">
        <v>41</v>
      </c>
      <c r="P2347" s="12">
        <v>1358904.1096000001</v>
      </c>
      <c r="Q2347" s="12">
        <f>IF(O2347="Guaraníes",P2347,P2347*#REF!)</f>
        <v>1358904.1096000001</v>
      </c>
      <c r="R2347" s="12" t="e">
        <f>IF(O2347="Guaraníes",P2347/#REF!,P2347)</f>
        <v>#REF!</v>
      </c>
      <c r="S2347" s="5" t="s">
        <v>52</v>
      </c>
      <c r="T2347" s="5">
        <v>593</v>
      </c>
      <c r="W2347" s="5" t="s">
        <v>499</v>
      </c>
      <c r="X2347" s="5">
        <v>0</v>
      </c>
      <c r="Y2347" s="5">
        <v>0</v>
      </c>
      <c r="Z2347" s="5">
        <v>13589.041096000001</v>
      </c>
      <c r="AA2347" s="5">
        <v>100</v>
      </c>
      <c r="AB2347" s="5">
        <v>1358904.1096000001</v>
      </c>
      <c r="AC2347" s="5" t="str">
        <f t="shared" si="112"/>
        <v>Bonos</v>
      </c>
      <c r="AD2347" s="5" t="s">
        <v>43</v>
      </c>
      <c r="AE2347" s="5">
        <f t="shared" si="113"/>
        <v>5</v>
      </c>
      <c r="AF2347" s="5">
        <f t="shared" si="114"/>
        <v>2019</v>
      </c>
    </row>
    <row r="2348" s="5" customFormat="1" ht="13">
      <c r="A2348" s="5" t="s">
        <v>44</v>
      </c>
      <c r="B2348" s="5" t="s">
        <v>44</v>
      </c>
      <c r="C2348" s="5" t="s">
        <v>67</v>
      </c>
      <c r="D2348" s="5" t="s">
        <v>21</v>
      </c>
      <c r="E2348" s="5" t="s">
        <v>44</v>
      </c>
      <c r="F2348" s="5" t="s">
        <v>68</v>
      </c>
      <c r="G2348" s="5" t="s">
        <v>69</v>
      </c>
      <c r="H2348" s="9" t="s">
        <v>376</v>
      </c>
      <c r="I2348" s="10"/>
      <c r="J2348" s="10">
        <v>43614</v>
      </c>
      <c r="K2348" s="5" t="s">
        <v>71</v>
      </c>
      <c r="L2348" s="5" t="s">
        <v>58</v>
      </c>
      <c r="M2348" s="11">
        <v>0.070000000000000007</v>
      </c>
      <c r="N2348" s="5" t="e">
        <f>IF(AND(M2348&gt;#REF!,Cartera!O2348="Guaraníes"),"Rendimiento significativo",IF(AND(M2348&gt;#REF!,Cartera!O2348="Dólares americanos"),"Rendimiento significativo","Rendimiento no significativo"))</f>
        <v>#REF!</v>
      </c>
      <c r="O2348" s="5" t="s">
        <v>41</v>
      </c>
      <c r="P2348" s="12">
        <v>1907260.27394</v>
      </c>
      <c r="Q2348" s="12">
        <f>IF(O2348="Guaraníes",P2348,P2348*#REF!)</f>
        <v>1907260.27394</v>
      </c>
      <c r="R2348" s="12" t="e">
        <f>IF(O2348="Guaraníes",P2348/#REF!,P2348)</f>
        <v>#REF!</v>
      </c>
      <c r="S2348" s="5" t="s">
        <v>52</v>
      </c>
      <c r="T2348" s="5">
        <v>593</v>
      </c>
      <c r="W2348" s="5" t="s">
        <v>474</v>
      </c>
      <c r="X2348" s="5">
        <v>0</v>
      </c>
      <c r="Y2348" s="5">
        <v>0</v>
      </c>
      <c r="Z2348" s="5">
        <v>22438.356164000001</v>
      </c>
      <c r="AA2348" s="5">
        <v>85</v>
      </c>
      <c r="AB2348" s="5">
        <v>1907260.27394</v>
      </c>
      <c r="AC2348" s="5" t="str">
        <f t="shared" si="112"/>
        <v>Bonos</v>
      </c>
      <c r="AD2348" s="5" t="s">
        <v>43</v>
      </c>
      <c r="AE2348" s="5">
        <f t="shared" si="113"/>
        <v>5</v>
      </c>
      <c r="AF2348" s="5">
        <f t="shared" si="114"/>
        <v>2019</v>
      </c>
    </row>
    <row r="2349" s="5" customFormat="1" ht="13">
      <c r="A2349" s="5" t="s">
        <v>44</v>
      </c>
      <c r="B2349" s="5" t="s">
        <v>44</v>
      </c>
      <c r="C2349" s="5" t="s">
        <v>156</v>
      </c>
      <c r="D2349" s="5" t="s">
        <v>21</v>
      </c>
      <c r="E2349" s="5" t="s">
        <v>44</v>
      </c>
      <c r="F2349" s="5" t="s">
        <v>68</v>
      </c>
      <c r="G2349" s="5" t="s">
        <v>69</v>
      </c>
      <c r="H2349" s="9" t="s">
        <v>400</v>
      </c>
      <c r="I2349" s="10"/>
      <c r="J2349" s="10">
        <v>43627</v>
      </c>
      <c r="K2349" s="5" t="s">
        <v>158</v>
      </c>
      <c r="L2349" s="5" t="s">
        <v>58</v>
      </c>
      <c r="M2349" s="11">
        <v>0.155</v>
      </c>
      <c r="N2349" s="5" t="e">
        <f>IF(AND(M2349&gt;#REF!,Cartera!O2349="Guaraníes"),"Rendimiento significativo",IF(AND(M2349&gt;#REF!,Cartera!O2349="Dólares americanos"),"Rendimiento significativo","Rendimiento no significativo"))</f>
        <v>#REF!</v>
      </c>
      <c r="O2349" s="5" t="s">
        <v>41</v>
      </c>
      <c r="P2349" s="12">
        <v>1358904.1096000001</v>
      </c>
      <c r="Q2349" s="12">
        <f>IF(O2349="Guaraníes",P2349,P2349*#REF!)</f>
        <v>1358904.1096000001</v>
      </c>
      <c r="R2349" s="12" t="e">
        <f>IF(O2349="Guaraníes",P2349/#REF!,P2349)</f>
        <v>#REF!</v>
      </c>
      <c r="S2349" s="5" t="s">
        <v>52</v>
      </c>
      <c r="T2349" s="5">
        <v>593</v>
      </c>
      <c r="W2349" s="5" t="s">
        <v>475</v>
      </c>
      <c r="X2349" s="5">
        <v>0</v>
      </c>
      <c r="Y2349" s="5">
        <v>0</v>
      </c>
      <c r="Z2349" s="5">
        <v>13589.041096000001</v>
      </c>
      <c r="AA2349" s="5">
        <v>100</v>
      </c>
      <c r="AB2349" s="5">
        <v>1358904.1096000001</v>
      </c>
      <c r="AC2349" s="5" t="str">
        <f t="shared" si="112"/>
        <v>Bonos</v>
      </c>
      <c r="AD2349" s="5" t="s">
        <v>43</v>
      </c>
      <c r="AE2349" s="5">
        <f t="shared" si="113"/>
        <v>6</v>
      </c>
      <c r="AF2349" s="5">
        <f t="shared" si="114"/>
        <v>2019</v>
      </c>
    </row>
    <row r="2350" s="5" customFormat="1" ht="13">
      <c r="A2350" s="5" t="s">
        <v>44</v>
      </c>
      <c r="B2350" s="5" t="s">
        <v>44</v>
      </c>
      <c r="C2350" s="5" t="s">
        <v>156</v>
      </c>
      <c r="D2350" s="5" t="s">
        <v>21</v>
      </c>
      <c r="E2350" s="5" t="s">
        <v>44</v>
      </c>
      <c r="F2350" s="5" t="s">
        <v>68</v>
      </c>
      <c r="G2350" s="5" t="s">
        <v>69</v>
      </c>
      <c r="H2350" s="9" t="s">
        <v>407</v>
      </c>
      <c r="I2350" s="10"/>
      <c r="J2350" s="10">
        <v>43630</v>
      </c>
      <c r="K2350" s="5" t="s">
        <v>158</v>
      </c>
      <c r="L2350" s="5" t="s">
        <v>58</v>
      </c>
      <c r="M2350" s="11">
        <v>0.12</v>
      </c>
      <c r="N2350" s="5" t="e">
        <f>IF(AND(M2350&gt;#REF!,Cartera!O2350="Guaraníes"),"Rendimiento significativo",IF(AND(M2350&gt;#REF!,Cartera!O2350="Dólares americanos"),"Rendimiento significativo","Rendimiento no significativo"))</f>
        <v>#REF!</v>
      </c>
      <c r="O2350" s="5" t="s">
        <v>41</v>
      </c>
      <c r="P2350" s="12">
        <v>1271232.8767000001</v>
      </c>
      <c r="Q2350" s="12">
        <f>IF(O2350="Guaraníes",P2350,P2350*#REF!)</f>
        <v>1271232.8767000001</v>
      </c>
      <c r="R2350" s="12" t="e">
        <f>IF(O2350="Guaraníes",P2350/#REF!,P2350)</f>
        <v>#REF!</v>
      </c>
      <c r="S2350" s="5" t="s">
        <v>52</v>
      </c>
      <c r="T2350" s="5">
        <v>593</v>
      </c>
      <c r="W2350" s="5" t="s">
        <v>476</v>
      </c>
      <c r="X2350" s="5">
        <v>0</v>
      </c>
      <c r="Y2350" s="5">
        <v>0</v>
      </c>
      <c r="Z2350" s="5">
        <v>12712.328767000001</v>
      </c>
      <c r="AA2350" s="5">
        <v>100</v>
      </c>
      <c r="AB2350" s="5">
        <v>1271232.8766999999</v>
      </c>
      <c r="AC2350" s="5" t="str">
        <f t="shared" si="112"/>
        <v>Bonos</v>
      </c>
      <c r="AD2350" s="5" t="s">
        <v>43</v>
      </c>
      <c r="AE2350" s="5">
        <f t="shared" si="113"/>
        <v>6</v>
      </c>
      <c r="AF2350" s="5">
        <f t="shared" si="114"/>
        <v>2019</v>
      </c>
    </row>
    <row r="2351" s="5" customFormat="1" ht="13">
      <c r="A2351" s="5" t="s">
        <v>44</v>
      </c>
      <c r="B2351" s="5" t="s">
        <v>44</v>
      </c>
      <c r="C2351" s="5" t="s">
        <v>176</v>
      </c>
      <c r="D2351" s="5" t="s">
        <v>21</v>
      </c>
      <c r="E2351" s="5" t="s">
        <v>44</v>
      </c>
      <c r="F2351" s="5" t="s">
        <v>68</v>
      </c>
      <c r="G2351" s="5" t="s">
        <v>69</v>
      </c>
      <c r="H2351" s="9" t="s">
        <v>479</v>
      </c>
      <c r="I2351" s="10"/>
      <c r="J2351" s="10">
        <v>43642</v>
      </c>
      <c r="K2351" s="5" t="s">
        <v>178</v>
      </c>
      <c r="L2351" s="5" t="s">
        <v>58</v>
      </c>
      <c r="M2351" s="11">
        <v>0.074999999999999997</v>
      </c>
      <c r="N2351" s="5" t="e">
        <f>IF(AND(M2351&gt;#REF!,Cartera!O2351="Guaraníes"),"Rendimiento significativo",IF(AND(M2351&gt;#REF!,Cartera!O2351="Dólares americanos"),"Rendimiento significativo","Rendimiento no significativo"))</f>
        <v>#REF!</v>
      </c>
      <c r="O2351" s="5" t="s">
        <v>51</v>
      </c>
      <c r="P2351" s="13">
        <v>635.75342999999998</v>
      </c>
      <c r="Q2351" s="12" t="e">
        <f>IF(O2351="Guaraníes",P2351,P2351*#REF!)</f>
        <v>#REF!</v>
      </c>
      <c r="R2351" s="12">
        <f>IF(O2351="Guaraníes",P2351/#REF!,P2351)</f>
        <v>635.75342999999998</v>
      </c>
      <c r="S2351" s="5" t="s">
        <v>52</v>
      </c>
      <c r="T2351" s="5">
        <v>593</v>
      </c>
      <c r="W2351" s="5" t="s">
        <v>398</v>
      </c>
      <c r="X2351" s="5">
        <v>0</v>
      </c>
      <c r="Y2351" s="5">
        <v>0</v>
      </c>
      <c r="Z2351" s="5">
        <v>21.191780999999999</v>
      </c>
      <c r="AA2351" s="5">
        <v>30</v>
      </c>
      <c r="AB2351" s="5">
        <v>635.75342999999998</v>
      </c>
      <c r="AC2351" s="5" t="str">
        <f t="shared" si="112"/>
        <v>Bonos</v>
      </c>
      <c r="AD2351" s="5" t="s">
        <v>43</v>
      </c>
      <c r="AE2351" s="5">
        <f t="shared" si="113"/>
        <v>6</v>
      </c>
      <c r="AF2351" s="5">
        <f t="shared" si="114"/>
        <v>2019</v>
      </c>
    </row>
    <row r="2352" s="5" customFormat="1" ht="13">
      <c r="A2352" s="5" t="s">
        <v>488</v>
      </c>
      <c r="B2352" s="5" t="s">
        <v>488</v>
      </c>
      <c r="C2352" s="5" t="s">
        <v>493</v>
      </c>
      <c r="D2352" s="5" t="s">
        <v>20</v>
      </c>
      <c r="E2352" s="5" t="s">
        <v>488</v>
      </c>
      <c r="F2352" s="5" t="s">
        <v>68</v>
      </c>
      <c r="G2352" s="5" t="s">
        <v>69</v>
      </c>
      <c r="H2352" s="9" t="s">
        <v>508</v>
      </c>
      <c r="I2352" s="10">
        <v>42040</v>
      </c>
      <c r="J2352" s="10">
        <v>43651</v>
      </c>
      <c r="K2352" s="5" t="s">
        <v>509</v>
      </c>
      <c r="L2352" s="5" t="s">
        <v>58</v>
      </c>
      <c r="M2352" s="11">
        <v>0.14499999999999999</v>
      </c>
      <c r="N2352" s="5" t="e">
        <f>IF(AND(M2352&gt;#REF!,Cartera!O2352="Guaraníes"),"Rendimiento significativo",IF(AND(M2352&gt;#REF!,Cartera!O2352="Dólares americanos"),"Rendimiento significativo","Rendimiento no significativo"))</f>
        <v>#REF!</v>
      </c>
      <c r="O2352" s="5" t="s">
        <v>41</v>
      </c>
      <c r="P2352" s="12">
        <v>72000000</v>
      </c>
      <c r="Q2352" s="12">
        <f>IF(O2352="Guaraníes",P2352,P2352*#REF!)</f>
        <v>72000000</v>
      </c>
      <c r="R2352" s="12" t="e">
        <f>IF(O2352="Guaraníes",P2352/#REF!,P2352)</f>
        <v>#REF!</v>
      </c>
      <c r="S2352" s="5" t="s">
        <v>52</v>
      </c>
      <c r="AC2352" s="5" t="str">
        <f t="shared" si="112"/>
        <v>Bonos</v>
      </c>
      <c r="AD2352" s="5" t="s">
        <v>43</v>
      </c>
      <c r="AE2352" s="5">
        <f t="shared" si="113"/>
        <v>7</v>
      </c>
      <c r="AF2352" s="5">
        <f t="shared" si="114"/>
        <v>2019</v>
      </c>
    </row>
    <row r="2353" s="5" customFormat="1" ht="13">
      <c r="A2353" s="5" t="s">
        <v>44</v>
      </c>
      <c r="B2353" s="5" t="s">
        <v>44</v>
      </c>
      <c r="C2353" s="5" t="s">
        <v>156</v>
      </c>
      <c r="D2353" s="5" t="s">
        <v>21</v>
      </c>
      <c r="E2353" s="5" t="s">
        <v>44</v>
      </c>
      <c r="F2353" s="5" t="s">
        <v>68</v>
      </c>
      <c r="G2353" s="5" t="s">
        <v>69</v>
      </c>
      <c r="H2353" s="9" t="s">
        <v>400</v>
      </c>
      <c r="I2353" s="10"/>
      <c r="J2353" s="10">
        <v>43657</v>
      </c>
      <c r="K2353" s="5" t="s">
        <v>158</v>
      </c>
      <c r="L2353" s="5" t="s">
        <v>58</v>
      </c>
      <c r="M2353" s="11">
        <v>0.155</v>
      </c>
      <c r="N2353" s="5" t="e">
        <f>IF(AND(M2353&gt;#REF!,Cartera!O2353="Guaraníes"),"Rendimiento significativo",IF(AND(M2353&gt;#REF!,Cartera!O2353="Dólares americanos"),"Rendimiento significativo","Rendimiento no significativo"))</f>
        <v>#REF!</v>
      </c>
      <c r="O2353" s="5" t="s">
        <v>41</v>
      </c>
      <c r="P2353" s="12">
        <v>1273972.6027000002</v>
      </c>
      <c r="Q2353" s="12">
        <f>IF(O2353="Guaraníes",P2353,P2353*#REF!)</f>
        <v>1273972.6027000002</v>
      </c>
      <c r="R2353" s="12" t="e">
        <f>IF(O2353="Guaraníes",P2353/#REF!,P2353)</f>
        <v>#REF!</v>
      </c>
      <c r="S2353" s="5" t="s">
        <v>52</v>
      </c>
      <c r="T2353" s="5">
        <v>593</v>
      </c>
      <c r="W2353" s="5" t="s">
        <v>401</v>
      </c>
      <c r="X2353" s="5">
        <v>0</v>
      </c>
      <c r="Y2353" s="5">
        <v>0</v>
      </c>
      <c r="Z2353" s="5">
        <v>12739.726027000001</v>
      </c>
      <c r="AA2353" s="5">
        <v>100</v>
      </c>
      <c r="AB2353" s="5">
        <v>1273972.6026999999</v>
      </c>
      <c r="AC2353" s="5" t="str">
        <f t="shared" si="112"/>
        <v>Bonos</v>
      </c>
      <c r="AD2353" s="5" t="s">
        <v>43</v>
      </c>
      <c r="AE2353" s="5">
        <f t="shared" si="113"/>
        <v>7</v>
      </c>
      <c r="AF2353" s="5">
        <f t="shared" si="114"/>
        <v>2019</v>
      </c>
    </row>
    <row r="2354" s="5" customFormat="1" ht="13">
      <c r="A2354" s="5" t="s">
        <v>44</v>
      </c>
      <c r="B2354" s="5" t="s">
        <v>44</v>
      </c>
      <c r="C2354" s="5" t="s">
        <v>156</v>
      </c>
      <c r="D2354" s="5" t="s">
        <v>21</v>
      </c>
      <c r="E2354" s="5" t="s">
        <v>44</v>
      </c>
      <c r="F2354" s="5" t="s">
        <v>68</v>
      </c>
      <c r="G2354" s="5" t="s">
        <v>69</v>
      </c>
      <c r="H2354" s="9" t="s">
        <v>407</v>
      </c>
      <c r="I2354" s="10"/>
      <c r="J2354" s="10">
        <v>43662</v>
      </c>
      <c r="K2354" s="5" t="s">
        <v>158</v>
      </c>
      <c r="L2354" s="5" t="s">
        <v>58</v>
      </c>
      <c r="M2354" s="11">
        <v>0.12</v>
      </c>
      <c r="N2354" s="5" t="e">
        <f>IF(AND(M2354&gt;#REF!,Cartera!O2354="Guaraníes"),"Rendimiento significativo",IF(AND(M2354&gt;#REF!,Cartera!O2354="Dólares americanos"),"Rendimiento significativo","Rendimiento no significativo"))</f>
        <v>#REF!</v>
      </c>
      <c r="O2354" s="5" t="s">
        <v>41</v>
      </c>
      <c r="P2354" s="12">
        <v>1402739.726</v>
      </c>
      <c r="Q2354" s="12">
        <f>IF(O2354="Guaraníes",P2354,P2354*#REF!)</f>
        <v>1402739.726</v>
      </c>
      <c r="R2354" s="12" t="e">
        <f>IF(O2354="Guaraníes",P2354/#REF!,P2354)</f>
        <v>#REF!</v>
      </c>
      <c r="S2354" s="5" t="s">
        <v>52</v>
      </c>
      <c r="T2354" s="5">
        <v>593</v>
      </c>
      <c r="W2354" s="5" t="s">
        <v>460</v>
      </c>
      <c r="X2354" s="5">
        <v>0</v>
      </c>
      <c r="Y2354" s="5">
        <v>0</v>
      </c>
      <c r="Z2354" s="5">
        <v>14027.39726</v>
      </c>
      <c r="AA2354" s="5">
        <v>100</v>
      </c>
      <c r="AB2354" s="5">
        <v>1402739.726</v>
      </c>
      <c r="AC2354" s="5" t="str">
        <f t="shared" si="112"/>
        <v>Bonos</v>
      </c>
      <c r="AD2354" s="5" t="s">
        <v>43</v>
      </c>
      <c r="AE2354" s="5">
        <f t="shared" si="113"/>
        <v>7</v>
      </c>
      <c r="AF2354" s="5">
        <f t="shared" si="114"/>
        <v>2019</v>
      </c>
    </row>
    <row r="2355" s="5" customFormat="1" ht="13">
      <c r="A2355" s="5" t="s">
        <v>44</v>
      </c>
      <c r="B2355" s="5" t="s">
        <v>44</v>
      </c>
      <c r="C2355" s="5" t="s">
        <v>99</v>
      </c>
      <c r="D2355" s="5" t="s">
        <v>21</v>
      </c>
      <c r="E2355" s="5" t="s">
        <v>44</v>
      </c>
      <c r="F2355" s="5" t="s">
        <v>100</v>
      </c>
      <c r="G2355" s="5" t="s">
        <v>69</v>
      </c>
      <c r="H2355" s="9" t="s">
        <v>238</v>
      </c>
      <c r="I2355" s="10"/>
      <c r="J2355" s="10">
        <v>43679</v>
      </c>
      <c r="K2355" s="5" t="s">
        <v>102</v>
      </c>
      <c r="L2355" s="5" t="s">
        <v>102</v>
      </c>
      <c r="M2355" s="11">
        <v>0.070000000000000007</v>
      </c>
      <c r="N2355" s="5" t="e">
        <f>IF(AND(M2355&gt;#REF!,Cartera!O2355="Guaraníes"),"Rendimiento significativo",IF(AND(M2355&gt;#REF!,Cartera!O2355="Dólares americanos"),"Rendimiento significativo","Rendimiento no significativo"))</f>
        <v>#REF!</v>
      </c>
      <c r="O2355" s="5" t="s">
        <v>41</v>
      </c>
      <c r="P2355" s="12">
        <v>2008356.1644000001</v>
      </c>
      <c r="Q2355" s="12">
        <f>IF(O2355="Guaraníes",P2355,P2355*#REF!)</f>
        <v>2008356.1644000001</v>
      </c>
      <c r="R2355" s="12" t="e">
        <f>IF(O2355="Guaraníes",P2355/#REF!,P2355)</f>
        <v>#REF!</v>
      </c>
      <c r="S2355" s="5" t="s">
        <v>52</v>
      </c>
      <c r="T2355" s="5">
        <v>593</v>
      </c>
      <c r="W2355" s="5" t="s">
        <v>492</v>
      </c>
      <c r="X2355" s="5">
        <v>0</v>
      </c>
      <c r="Y2355" s="5">
        <v>0</v>
      </c>
      <c r="Z2355" s="5">
        <v>40167.123288000003</v>
      </c>
      <c r="AA2355" s="5">
        <v>50</v>
      </c>
      <c r="AB2355" s="5">
        <v>2008356.1643999999</v>
      </c>
      <c r="AC2355" s="5" t="str">
        <f t="shared" si="112"/>
        <v>Bonos</v>
      </c>
      <c r="AD2355" s="5" t="s">
        <v>43</v>
      </c>
      <c r="AE2355" s="5">
        <f t="shared" si="113"/>
        <v>8</v>
      </c>
      <c r="AF2355" s="5">
        <f t="shared" si="114"/>
        <v>2019</v>
      </c>
    </row>
    <row r="2356" s="5" customFormat="1" ht="13">
      <c r="A2356" s="5" t="s">
        <v>44</v>
      </c>
      <c r="B2356" s="5" t="s">
        <v>44</v>
      </c>
      <c r="C2356" s="5" t="s">
        <v>457</v>
      </c>
      <c r="D2356" s="5" t="s">
        <v>21</v>
      </c>
      <c r="E2356" s="5" t="s">
        <v>44</v>
      </c>
      <c r="F2356" s="5" t="s">
        <v>100</v>
      </c>
      <c r="G2356" s="5" t="s">
        <v>69</v>
      </c>
      <c r="H2356" s="9" t="s">
        <v>458</v>
      </c>
      <c r="I2356" s="10"/>
      <c r="J2356" s="10">
        <v>43686</v>
      </c>
      <c r="K2356" s="5" t="s">
        <v>173</v>
      </c>
      <c r="L2356" s="5" t="s">
        <v>58</v>
      </c>
      <c r="M2356" s="11">
        <v>0.13500000000000001</v>
      </c>
      <c r="N2356" s="5" t="e">
        <f>IF(AND(M2356&gt;#REF!,Cartera!O2356="Guaraníes"),"Rendimiento significativo",IF(AND(M2356&gt;#REF!,Cartera!O2356="Dólares americanos"),"Rendimiento significativo","Rendimiento no significativo"))</f>
        <v>#REF!</v>
      </c>
      <c r="O2356" s="5" t="s">
        <v>41</v>
      </c>
      <c r="P2356" s="12">
        <v>4846684.9314959999</v>
      </c>
      <c r="Q2356" s="12">
        <f>IF(O2356="Guaraníes",P2356,P2356*#REF!)</f>
        <v>4846684.9314959999</v>
      </c>
      <c r="R2356" s="12" t="e">
        <f>IF(O2356="Guaraníes",P2356/#REF!,P2356)</f>
        <v>#REF!</v>
      </c>
      <c r="S2356" s="5" t="s">
        <v>52</v>
      </c>
      <c r="T2356" s="5">
        <v>593</v>
      </c>
      <c r="W2356" s="5" t="s">
        <v>301</v>
      </c>
      <c r="X2356" s="5">
        <v>0</v>
      </c>
      <c r="Y2356" s="5">
        <v>0</v>
      </c>
      <c r="Z2356" s="5">
        <v>67315.068492999999</v>
      </c>
      <c r="AA2356" s="5">
        <v>72</v>
      </c>
      <c r="AB2356" s="5">
        <v>4846684.9314959999</v>
      </c>
      <c r="AC2356" s="5" t="str">
        <f t="shared" si="112"/>
        <v>Bonos</v>
      </c>
      <c r="AD2356" s="5" t="s">
        <v>43</v>
      </c>
      <c r="AE2356" s="5">
        <f t="shared" si="113"/>
        <v>8</v>
      </c>
      <c r="AF2356" s="5">
        <f t="shared" si="114"/>
        <v>2019</v>
      </c>
    </row>
    <row r="2357" s="5" customFormat="1" ht="13">
      <c r="A2357" s="5" t="s">
        <v>44</v>
      </c>
      <c r="B2357" s="5" t="s">
        <v>44</v>
      </c>
      <c r="C2357" s="5" t="s">
        <v>457</v>
      </c>
      <c r="D2357" s="5" t="s">
        <v>21</v>
      </c>
      <c r="E2357" s="5" t="s">
        <v>44</v>
      </c>
      <c r="F2357" s="5" t="s">
        <v>100</v>
      </c>
      <c r="G2357" s="5" t="s">
        <v>69</v>
      </c>
      <c r="H2357" s="9" t="s">
        <v>459</v>
      </c>
      <c r="I2357" s="10"/>
      <c r="J2357" s="10">
        <v>43686</v>
      </c>
      <c r="K2357" s="5" t="s">
        <v>173</v>
      </c>
      <c r="L2357" s="5" t="s">
        <v>58</v>
      </c>
      <c r="M2357" s="11">
        <v>0.14499999999999999</v>
      </c>
      <c r="N2357" s="5" t="e">
        <f>IF(AND(M2357&gt;#REF!,Cartera!O2357="Guaraníes"),"Rendimiento significativo",IF(AND(M2357&gt;#REF!,Cartera!O2357="Dólares americanos"),"Rendimiento significativo","Rendimiento no significativo"))</f>
        <v>#REF!</v>
      </c>
      <c r="O2357" s="5" t="s">
        <v>41</v>
      </c>
      <c r="P2357" s="12">
        <v>2024438.356164</v>
      </c>
      <c r="Q2357" s="12">
        <f>IF(O2357="Guaraníes",P2357,P2357*#REF!)</f>
        <v>2024438.356164</v>
      </c>
      <c r="R2357" s="12" t="e">
        <f>IF(O2357="Guaraníes",P2357/#REF!,P2357)</f>
        <v>#REF!</v>
      </c>
      <c r="S2357" s="5" t="s">
        <v>52</v>
      </c>
      <c r="T2357" s="5">
        <v>593</v>
      </c>
      <c r="W2357" s="5" t="s">
        <v>302</v>
      </c>
      <c r="X2357" s="5">
        <v>0</v>
      </c>
      <c r="Y2357" s="5">
        <v>0</v>
      </c>
      <c r="Z2357" s="5">
        <v>72301.369863</v>
      </c>
      <c r="AA2357" s="5">
        <v>28</v>
      </c>
      <c r="AB2357" s="5">
        <v>2024438.356164</v>
      </c>
      <c r="AC2357" s="5" t="str">
        <f t="shared" si="112"/>
        <v>Bonos</v>
      </c>
      <c r="AD2357" s="5" t="s">
        <v>43</v>
      </c>
      <c r="AE2357" s="5">
        <f t="shared" si="113"/>
        <v>8</v>
      </c>
      <c r="AF2357" s="5">
        <f t="shared" si="114"/>
        <v>2019</v>
      </c>
    </row>
    <row r="2358" s="5" customFormat="1" ht="13">
      <c r="A2358" s="5" t="s">
        <v>44</v>
      </c>
      <c r="B2358" s="5" t="s">
        <v>44</v>
      </c>
      <c r="C2358" s="5" t="s">
        <v>156</v>
      </c>
      <c r="D2358" s="5" t="s">
        <v>21</v>
      </c>
      <c r="E2358" s="5" t="s">
        <v>44</v>
      </c>
      <c r="F2358" s="5" t="s">
        <v>68</v>
      </c>
      <c r="G2358" s="5" t="s">
        <v>69</v>
      </c>
      <c r="H2358" s="9" t="s">
        <v>400</v>
      </c>
      <c r="I2358" s="10"/>
      <c r="J2358" s="10">
        <v>43689</v>
      </c>
      <c r="K2358" s="5" t="s">
        <v>158</v>
      </c>
      <c r="L2358" s="5" t="s">
        <v>58</v>
      </c>
      <c r="M2358" s="11">
        <v>0.155</v>
      </c>
      <c r="N2358" s="5" t="e">
        <f>IF(AND(M2358&gt;#REF!,Cartera!O2358="Guaraníes"),"Rendimiento significativo",IF(AND(M2358&gt;#REF!,Cartera!O2358="Dólares americanos"),"Rendimiento significativo","Rendimiento no significativo"))</f>
        <v>#REF!</v>
      </c>
      <c r="O2358" s="5" t="s">
        <v>41</v>
      </c>
      <c r="P2358" s="12">
        <v>1358904.1096000001</v>
      </c>
      <c r="Q2358" s="12">
        <f>IF(O2358="Guaraníes",P2358,P2358*#REF!)</f>
        <v>1358904.1096000001</v>
      </c>
      <c r="R2358" s="12" t="e">
        <f>IF(O2358="Guaraníes",P2358/#REF!,P2358)</f>
        <v>#REF!</v>
      </c>
      <c r="S2358" s="5" t="s">
        <v>52</v>
      </c>
      <c r="T2358" s="5">
        <v>593</v>
      </c>
      <c r="W2358" s="5" t="s">
        <v>506</v>
      </c>
      <c r="X2358" s="5">
        <v>0</v>
      </c>
      <c r="Y2358" s="5">
        <v>0</v>
      </c>
      <c r="Z2358" s="5">
        <v>13589.041096000001</v>
      </c>
      <c r="AA2358" s="5">
        <v>100</v>
      </c>
      <c r="AB2358" s="5">
        <v>1358904.1096000001</v>
      </c>
      <c r="AC2358" s="5" t="str">
        <f t="shared" si="112"/>
        <v>Bonos</v>
      </c>
      <c r="AD2358" s="5" t="s">
        <v>43</v>
      </c>
      <c r="AE2358" s="5">
        <f t="shared" si="113"/>
        <v>8</v>
      </c>
      <c r="AF2358" s="5">
        <f t="shared" si="114"/>
        <v>2019</v>
      </c>
    </row>
    <row r="2359" s="5" customFormat="1" ht="13">
      <c r="A2359" s="5" t="s">
        <v>44</v>
      </c>
      <c r="B2359" s="5" t="s">
        <v>44</v>
      </c>
      <c r="C2359" s="5" t="s">
        <v>156</v>
      </c>
      <c r="D2359" s="5" t="s">
        <v>21</v>
      </c>
      <c r="E2359" s="5" t="s">
        <v>44</v>
      </c>
      <c r="F2359" s="5" t="s">
        <v>68</v>
      </c>
      <c r="G2359" s="5" t="s">
        <v>69</v>
      </c>
      <c r="H2359" s="9" t="s">
        <v>407</v>
      </c>
      <c r="I2359" s="10"/>
      <c r="J2359" s="10">
        <v>43690</v>
      </c>
      <c r="K2359" s="5" t="s">
        <v>158</v>
      </c>
      <c r="L2359" s="5" t="s">
        <v>58</v>
      </c>
      <c r="M2359" s="11">
        <v>0.12</v>
      </c>
      <c r="N2359" s="5" t="e">
        <f>IF(AND(M2359&gt;#REF!,Cartera!O2359="Guaraníes"),"Rendimiento significativo",IF(AND(M2359&gt;#REF!,Cartera!O2359="Dólares americanos"),"Rendimiento significativo","Rendimiento no significativo"))</f>
        <v>#REF!</v>
      </c>
      <c r="O2359" s="5" t="s">
        <v>41</v>
      </c>
      <c r="P2359" s="12">
        <v>1227397.2603</v>
      </c>
      <c r="Q2359" s="12">
        <f>IF(O2359="Guaraníes",P2359,P2359*#REF!)</f>
        <v>1227397.2603</v>
      </c>
      <c r="R2359" s="12" t="e">
        <f>IF(O2359="Guaraníes",P2359/#REF!,P2359)</f>
        <v>#REF!</v>
      </c>
      <c r="S2359" s="5" t="s">
        <v>52</v>
      </c>
      <c r="T2359" s="5">
        <v>593</v>
      </c>
      <c r="W2359" s="5" t="s">
        <v>507</v>
      </c>
      <c r="X2359" s="5">
        <v>0</v>
      </c>
      <c r="Y2359" s="5">
        <v>0</v>
      </c>
      <c r="Z2359" s="5">
        <v>12273.972603</v>
      </c>
      <c r="AA2359" s="5">
        <v>100</v>
      </c>
      <c r="AB2359" s="5">
        <v>1227397.2603</v>
      </c>
      <c r="AC2359" s="5" t="str">
        <f t="shared" ref="AC2359:AC2422" si="115">IF(ISNUMBER(SEARCH("Acciones",L2359)),"Acciones",IF(ISNUMBER(SEARCH("Bono",L2359)),"Bonos",IF(ISNUMBER(SEARCH("CDA",L2359)),"CDA",IF(ISNUMBER(SEARCH("Fondo",L2359)),"Fondo",0))))</f>
        <v>Bonos</v>
      </c>
      <c r="AD2359" s="5" t="s">
        <v>43</v>
      </c>
      <c r="AE2359" s="5">
        <f t="shared" si="113"/>
        <v>8</v>
      </c>
      <c r="AF2359" s="5">
        <f t="shared" si="114"/>
        <v>2019</v>
      </c>
    </row>
    <row r="2360" s="5" customFormat="1" ht="13">
      <c r="A2360" s="5" t="s">
        <v>44</v>
      </c>
      <c r="B2360" s="5" t="s">
        <v>44</v>
      </c>
      <c r="C2360" s="5" t="s">
        <v>67</v>
      </c>
      <c r="D2360" s="5" t="s">
        <v>21</v>
      </c>
      <c r="E2360" s="5" t="s">
        <v>44</v>
      </c>
      <c r="F2360" s="5" t="s">
        <v>68</v>
      </c>
      <c r="G2360" s="5" t="s">
        <v>69</v>
      </c>
      <c r="H2360" s="9" t="s">
        <v>376</v>
      </c>
      <c r="I2360" s="10"/>
      <c r="J2360" s="10">
        <v>43705</v>
      </c>
      <c r="K2360" s="5" t="s">
        <v>71</v>
      </c>
      <c r="L2360" s="5" t="s">
        <v>58</v>
      </c>
      <c r="M2360" s="11">
        <v>0.070000000000000007</v>
      </c>
      <c r="N2360" s="5" t="e">
        <f>IF(AND(M2360&gt;#REF!,Cartera!O2360="Guaraníes"),"Rendimiento significativo",IF(AND(M2360&gt;#REF!,Cartera!O2360="Dólares americanos"),"Rendimiento significativo","Rendimiento no significativo"))</f>
        <v>#REF!</v>
      </c>
      <c r="O2360" s="5" t="s">
        <v>41</v>
      </c>
      <c r="P2360" s="12">
        <v>1907260.27394</v>
      </c>
      <c r="Q2360" s="12">
        <f>IF(O2360="Guaraníes",P2360,P2360*#REF!)</f>
        <v>1907260.27394</v>
      </c>
      <c r="R2360" s="12" t="e">
        <f>IF(O2360="Guaraníes",P2360/#REF!,P2360)</f>
        <v>#REF!</v>
      </c>
      <c r="S2360" s="5" t="s">
        <v>52</v>
      </c>
      <c r="T2360" s="5">
        <v>593</v>
      </c>
      <c r="W2360" s="5" t="s">
        <v>466</v>
      </c>
      <c r="X2360" s="5">
        <v>0</v>
      </c>
      <c r="Y2360" s="5">
        <v>0</v>
      </c>
      <c r="Z2360" s="5">
        <v>22438.356164000001</v>
      </c>
      <c r="AA2360" s="5">
        <v>85</v>
      </c>
      <c r="AB2360" s="5">
        <v>1907260.27394</v>
      </c>
      <c r="AC2360" s="5" t="str">
        <f t="shared" si="115"/>
        <v>Bonos</v>
      </c>
      <c r="AD2360" s="5" t="s">
        <v>43</v>
      </c>
      <c r="AE2360" s="5">
        <f t="shared" si="113"/>
        <v>8</v>
      </c>
      <c r="AF2360" s="5">
        <f t="shared" si="114"/>
        <v>2019</v>
      </c>
    </row>
    <row r="2361" s="5" customFormat="1" ht="13">
      <c r="A2361" s="5" t="s">
        <v>44</v>
      </c>
      <c r="B2361" s="5" t="s">
        <v>44</v>
      </c>
      <c r="C2361" s="5" t="s">
        <v>67</v>
      </c>
      <c r="D2361" s="5" t="s">
        <v>21</v>
      </c>
      <c r="E2361" s="5" t="s">
        <v>44</v>
      </c>
      <c r="F2361" s="5" t="s">
        <v>68</v>
      </c>
      <c r="G2361" s="5" t="s">
        <v>69</v>
      </c>
      <c r="H2361" s="9" t="s">
        <v>70</v>
      </c>
      <c r="I2361" s="10"/>
      <c r="J2361" s="10">
        <v>43706</v>
      </c>
      <c r="K2361" s="5" t="s">
        <v>71</v>
      </c>
      <c r="L2361" s="5" t="s">
        <v>58</v>
      </c>
      <c r="M2361" s="11">
        <v>0.067500000000000004</v>
      </c>
      <c r="N2361" s="5" t="e">
        <f>IF(AND(M2361&gt;#REF!,Cartera!O2361="Guaraníes"),"Rendimiento significativo",IF(AND(M2361&gt;#REF!,Cartera!O2361="Dólares americanos"),"Rendimiento significativo","Rendimiento no significativo"))</f>
        <v>#REF!</v>
      </c>
      <c r="O2361" s="5" t="s">
        <v>51</v>
      </c>
      <c r="P2361" s="13">
        <v>159.56</v>
      </c>
      <c r="Q2361" s="12" t="e">
        <f>IF(O2361="Guaraníes",P2361,P2361*#REF!)</f>
        <v>#REF!</v>
      </c>
      <c r="R2361" s="12">
        <f>IF(O2361="Guaraníes",P2361/#REF!,P2361)</f>
        <v>159.56</v>
      </c>
      <c r="S2361" s="5" t="s">
        <v>52</v>
      </c>
      <c r="T2361" s="5">
        <v>593</v>
      </c>
      <c r="W2361" s="5" t="s">
        <v>385</v>
      </c>
      <c r="X2361" s="5">
        <v>0</v>
      </c>
      <c r="Y2361" s="5">
        <v>0</v>
      </c>
      <c r="Z2361" s="5">
        <v>17.452055000000001</v>
      </c>
      <c r="AA2361" s="5">
        <v>8</v>
      </c>
      <c r="AB2361" s="5">
        <v>139.61644000000001</v>
      </c>
      <c r="AC2361" s="5" t="str">
        <f t="shared" si="115"/>
        <v>Bonos</v>
      </c>
      <c r="AD2361" s="5" t="s">
        <v>43</v>
      </c>
      <c r="AE2361" s="5">
        <f t="shared" si="113"/>
        <v>8</v>
      </c>
      <c r="AF2361" s="5">
        <f t="shared" si="114"/>
        <v>2019</v>
      </c>
    </row>
    <row r="2362" s="5" customFormat="1" ht="13">
      <c r="A2362" s="5" t="s">
        <v>44</v>
      </c>
      <c r="B2362" s="5" t="s">
        <v>44</v>
      </c>
      <c r="C2362" s="5" t="s">
        <v>156</v>
      </c>
      <c r="D2362" s="5" t="s">
        <v>21</v>
      </c>
      <c r="E2362" s="5" t="s">
        <v>44</v>
      </c>
      <c r="F2362" s="5" t="s">
        <v>68</v>
      </c>
      <c r="G2362" s="5" t="s">
        <v>69</v>
      </c>
      <c r="H2362" s="9" t="s">
        <v>400</v>
      </c>
      <c r="I2362" s="10"/>
      <c r="J2362" s="10">
        <v>43719</v>
      </c>
      <c r="K2362" s="5" t="s">
        <v>158</v>
      </c>
      <c r="L2362" s="5" t="s">
        <v>58</v>
      </c>
      <c r="M2362" s="11">
        <v>0.155</v>
      </c>
      <c r="N2362" s="5" t="e">
        <f>IF(AND(M2362&gt;#REF!,Cartera!O2362="Guaraníes"),"Rendimiento significativo",IF(AND(M2362&gt;#REF!,Cartera!O2362="Dólares americanos"),"Rendimiento significativo","Rendimiento no significativo"))</f>
        <v>#REF!</v>
      </c>
      <c r="O2362" s="5" t="s">
        <v>41</v>
      </c>
      <c r="P2362" s="12">
        <v>1273972.6027000002</v>
      </c>
      <c r="Q2362" s="12">
        <f>IF(O2362="Guaraníes",P2362,P2362*#REF!)</f>
        <v>1273972.6027000002</v>
      </c>
      <c r="R2362" s="12" t="e">
        <f>IF(O2362="Guaraníes",P2362/#REF!,P2362)</f>
        <v>#REF!</v>
      </c>
      <c r="S2362" s="5" t="s">
        <v>52</v>
      </c>
      <c r="T2362" s="5">
        <v>593</v>
      </c>
      <c r="W2362" s="5" t="s">
        <v>406</v>
      </c>
      <c r="X2362" s="5">
        <v>0</v>
      </c>
      <c r="Y2362" s="5">
        <v>0</v>
      </c>
      <c r="Z2362" s="5">
        <v>12739.726027000001</v>
      </c>
      <c r="AA2362" s="5">
        <v>100</v>
      </c>
      <c r="AB2362" s="5">
        <v>1273972.6026999999</v>
      </c>
      <c r="AC2362" s="5" t="str">
        <f t="shared" si="115"/>
        <v>Bonos</v>
      </c>
      <c r="AD2362" s="5" t="s">
        <v>43</v>
      </c>
      <c r="AE2362" s="5">
        <f t="shared" si="113"/>
        <v>9</v>
      </c>
      <c r="AF2362" s="5">
        <f t="shared" si="114"/>
        <v>2019</v>
      </c>
    </row>
    <row r="2363" s="5" customFormat="1" ht="13">
      <c r="A2363" s="5" t="s">
        <v>44</v>
      </c>
      <c r="B2363" s="5" t="s">
        <v>44</v>
      </c>
      <c r="C2363" s="5" t="s">
        <v>156</v>
      </c>
      <c r="D2363" s="5" t="s">
        <v>21</v>
      </c>
      <c r="E2363" s="5" t="s">
        <v>44</v>
      </c>
      <c r="F2363" s="5" t="s">
        <v>68</v>
      </c>
      <c r="G2363" s="5" t="s">
        <v>69</v>
      </c>
      <c r="H2363" s="9" t="s">
        <v>407</v>
      </c>
      <c r="I2363" s="10"/>
      <c r="J2363" s="10">
        <v>43721</v>
      </c>
      <c r="K2363" s="5" t="s">
        <v>158</v>
      </c>
      <c r="L2363" s="5" t="s">
        <v>58</v>
      </c>
      <c r="M2363" s="11">
        <v>0.12</v>
      </c>
      <c r="N2363" s="5" t="e">
        <f>IF(AND(M2363&gt;#REF!,Cartera!O2363="Guaraníes"),"Rendimiento significativo",IF(AND(M2363&gt;#REF!,Cartera!O2363="Dólares americanos"),"Rendimiento significativo","Rendimiento no significativo"))</f>
        <v>#REF!</v>
      </c>
      <c r="O2363" s="5" t="s">
        <v>41</v>
      </c>
      <c r="P2363" s="12">
        <v>1358904.1096000001</v>
      </c>
      <c r="Q2363" s="12">
        <f>IF(O2363="Guaraníes",P2363,P2363*#REF!)</f>
        <v>1358904.1096000001</v>
      </c>
      <c r="R2363" s="12" t="e">
        <f>IF(O2363="Guaraníes",P2363/#REF!,P2363)</f>
        <v>#REF!</v>
      </c>
      <c r="S2363" s="5" t="s">
        <v>52</v>
      </c>
      <c r="T2363" s="5">
        <v>593</v>
      </c>
      <c r="W2363" s="5" t="s">
        <v>480</v>
      </c>
      <c r="X2363" s="5">
        <v>0</v>
      </c>
      <c r="Y2363" s="5">
        <v>0</v>
      </c>
      <c r="Z2363" s="5">
        <v>13589.041096000001</v>
      </c>
      <c r="AA2363" s="5">
        <v>100</v>
      </c>
      <c r="AB2363" s="5">
        <v>1358904.1096000001</v>
      </c>
      <c r="AC2363" s="5" t="str">
        <f t="shared" si="115"/>
        <v>Bonos</v>
      </c>
      <c r="AD2363" s="5" t="s">
        <v>43</v>
      </c>
      <c r="AE2363" s="5">
        <f t="shared" si="113"/>
        <v>9</v>
      </c>
      <c r="AF2363" s="5">
        <f t="shared" si="114"/>
        <v>2019</v>
      </c>
    </row>
    <row r="2364" s="5" customFormat="1" ht="13">
      <c r="A2364" s="5" t="s">
        <v>44</v>
      </c>
      <c r="B2364" s="5" t="s">
        <v>44</v>
      </c>
      <c r="C2364" s="5" t="s">
        <v>176</v>
      </c>
      <c r="D2364" s="5" t="s">
        <v>21</v>
      </c>
      <c r="E2364" s="5" t="s">
        <v>44</v>
      </c>
      <c r="F2364" s="5" t="s">
        <v>68</v>
      </c>
      <c r="G2364" s="5" t="s">
        <v>69</v>
      </c>
      <c r="H2364" s="9" t="s">
        <v>479</v>
      </c>
      <c r="I2364" s="10"/>
      <c r="J2364" s="10">
        <v>43733</v>
      </c>
      <c r="K2364" s="5" t="s">
        <v>178</v>
      </c>
      <c r="L2364" s="5" t="s">
        <v>58</v>
      </c>
      <c r="M2364" s="11">
        <v>0.074999999999999997</v>
      </c>
      <c r="N2364" s="5" t="e">
        <f>IF(AND(M2364&gt;#REF!,Cartera!O2364="Guaraníes"),"Rendimiento significativo",IF(AND(M2364&gt;#REF!,Cartera!O2364="Dólares americanos"),"Rendimiento significativo","Rendimiento no significativo"))</f>
        <v>#REF!</v>
      </c>
      <c r="O2364" s="5" t="s">
        <v>51</v>
      </c>
      <c r="P2364" s="13">
        <v>635.75342999999998</v>
      </c>
      <c r="Q2364" s="12" t="e">
        <f>IF(O2364="Guaraníes",P2364,P2364*#REF!)</f>
        <v>#REF!</v>
      </c>
      <c r="R2364" s="12">
        <f>IF(O2364="Guaraníes",P2364/#REF!,P2364)</f>
        <v>635.75342999999998</v>
      </c>
      <c r="S2364" s="5" t="s">
        <v>52</v>
      </c>
      <c r="T2364" s="5">
        <v>593</v>
      </c>
      <c r="W2364" s="5" t="s">
        <v>202</v>
      </c>
      <c r="X2364" s="5">
        <v>0</v>
      </c>
      <c r="Y2364" s="5">
        <v>0</v>
      </c>
      <c r="Z2364" s="5">
        <v>21.191780999999999</v>
      </c>
      <c r="AA2364" s="5">
        <v>30</v>
      </c>
      <c r="AB2364" s="5">
        <v>635.75342999999998</v>
      </c>
      <c r="AC2364" s="5" t="str">
        <f t="shared" si="115"/>
        <v>Bonos</v>
      </c>
      <c r="AD2364" s="5" t="s">
        <v>43</v>
      </c>
      <c r="AE2364" s="5">
        <f t="shared" si="113"/>
        <v>9</v>
      </c>
      <c r="AF2364" s="5">
        <f t="shared" si="114"/>
        <v>2019</v>
      </c>
    </row>
    <row r="2365" s="5" customFormat="1" ht="13">
      <c r="A2365" s="5" t="s">
        <v>44</v>
      </c>
      <c r="B2365" s="5" t="s">
        <v>44</v>
      </c>
      <c r="C2365" s="5" t="s">
        <v>156</v>
      </c>
      <c r="D2365" s="5" t="s">
        <v>21</v>
      </c>
      <c r="E2365" s="5" t="s">
        <v>44</v>
      </c>
      <c r="F2365" s="5" t="s">
        <v>68</v>
      </c>
      <c r="G2365" s="5" t="s">
        <v>69</v>
      </c>
      <c r="H2365" s="9" t="s">
        <v>400</v>
      </c>
      <c r="I2365" s="10"/>
      <c r="J2365" s="10">
        <v>43749</v>
      </c>
      <c r="K2365" s="5" t="s">
        <v>158</v>
      </c>
      <c r="L2365" s="5" t="s">
        <v>58</v>
      </c>
      <c r="M2365" s="11">
        <v>0.155</v>
      </c>
      <c r="N2365" s="5" t="e">
        <f>IF(AND(M2365&gt;#REF!,Cartera!O2365="Guaraníes"),"Rendimiento significativo",IF(AND(M2365&gt;#REF!,Cartera!O2365="Dólares americanos"),"Rendimiento significativo","Rendimiento no significativo"))</f>
        <v>#REF!</v>
      </c>
      <c r="O2365" s="5" t="s">
        <v>41</v>
      </c>
      <c r="P2365" s="12">
        <v>1273972.6027000002</v>
      </c>
      <c r="Q2365" s="12">
        <f>IF(O2365="Guaraníes",P2365,P2365*#REF!)</f>
        <v>1273972.6027000002</v>
      </c>
      <c r="R2365" s="12" t="e">
        <f>IF(O2365="Guaraníes",P2365/#REF!,P2365)</f>
        <v>#REF!</v>
      </c>
      <c r="S2365" s="5" t="s">
        <v>52</v>
      </c>
      <c r="T2365" s="5">
        <v>593</v>
      </c>
      <c r="W2365" s="5" t="s">
        <v>463</v>
      </c>
      <c r="X2365" s="5">
        <v>0</v>
      </c>
      <c r="Y2365" s="5">
        <v>0</v>
      </c>
      <c r="Z2365" s="5">
        <v>12739.726027000001</v>
      </c>
      <c r="AA2365" s="5">
        <v>100</v>
      </c>
      <c r="AB2365" s="5">
        <v>1273972.6026999999</v>
      </c>
      <c r="AC2365" s="5" t="str">
        <f t="shared" si="115"/>
        <v>Bonos</v>
      </c>
      <c r="AD2365" s="5" t="s">
        <v>43</v>
      </c>
      <c r="AE2365" s="5">
        <f t="shared" si="113"/>
        <v>10</v>
      </c>
      <c r="AF2365" s="5">
        <f t="shared" si="114"/>
        <v>2019</v>
      </c>
    </row>
    <row r="2366" s="5" customFormat="1" ht="13">
      <c r="A2366" s="5" t="s">
        <v>44</v>
      </c>
      <c r="B2366" s="5" t="s">
        <v>44</v>
      </c>
      <c r="C2366" s="5" t="s">
        <v>156</v>
      </c>
      <c r="D2366" s="5" t="s">
        <v>21</v>
      </c>
      <c r="E2366" s="5" t="s">
        <v>44</v>
      </c>
      <c r="F2366" s="5" t="s">
        <v>68</v>
      </c>
      <c r="G2366" s="5" t="s">
        <v>69</v>
      </c>
      <c r="H2366" s="9" t="s">
        <v>407</v>
      </c>
      <c r="I2366" s="10"/>
      <c r="J2366" s="10">
        <v>43752</v>
      </c>
      <c r="K2366" s="5" t="s">
        <v>158</v>
      </c>
      <c r="L2366" s="5" t="s">
        <v>58</v>
      </c>
      <c r="M2366" s="11">
        <v>0.12</v>
      </c>
      <c r="N2366" s="5" t="e">
        <f>IF(AND(M2366&gt;#REF!,Cartera!O2366="Guaraníes"),"Rendimiento significativo",IF(AND(M2366&gt;#REF!,Cartera!O2366="Dólares americanos"),"Rendimiento significativo","Rendimiento no significativo"))</f>
        <v>#REF!</v>
      </c>
      <c r="O2366" s="5" t="s">
        <v>41</v>
      </c>
      <c r="P2366" s="12">
        <v>1358904.1096000001</v>
      </c>
      <c r="Q2366" s="12">
        <f>IF(O2366="Guaraníes",P2366,P2366*#REF!)</f>
        <v>1358904.1096000001</v>
      </c>
      <c r="R2366" s="12" t="e">
        <f>IF(O2366="Guaraníes",P2366/#REF!,P2366)</f>
        <v>#REF!</v>
      </c>
      <c r="S2366" s="5" t="s">
        <v>52</v>
      </c>
      <c r="T2366" s="5">
        <v>593</v>
      </c>
      <c r="W2366" s="5" t="s">
        <v>464</v>
      </c>
      <c r="X2366" s="5">
        <v>0</v>
      </c>
      <c r="Y2366" s="5">
        <v>0</v>
      </c>
      <c r="Z2366" s="5">
        <v>13589.041096000001</v>
      </c>
      <c r="AA2366" s="5">
        <v>100</v>
      </c>
      <c r="AB2366" s="5">
        <v>1358904.1096000001</v>
      </c>
      <c r="AC2366" s="5" t="str">
        <f t="shared" si="115"/>
        <v>Bonos</v>
      </c>
      <c r="AD2366" s="5" t="s">
        <v>43</v>
      </c>
      <c r="AE2366" s="5">
        <f t="shared" si="113"/>
        <v>10</v>
      </c>
      <c r="AF2366" s="5">
        <f t="shared" si="114"/>
        <v>2019</v>
      </c>
    </row>
    <row r="2367" s="5" customFormat="1" ht="13">
      <c r="A2367" s="5" t="s">
        <v>44</v>
      </c>
      <c r="B2367" s="5" t="s">
        <v>44</v>
      </c>
      <c r="C2367" s="5" t="s">
        <v>156</v>
      </c>
      <c r="D2367" s="5" t="s">
        <v>21</v>
      </c>
      <c r="E2367" s="5" t="s">
        <v>44</v>
      </c>
      <c r="F2367" s="5" t="s">
        <v>68</v>
      </c>
      <c r="G2367" s="5" t="s">
        <v>69</v>
      </c>
      <c r="H2367" s="9" t="s">
        <v>400</v>
      </c>
      <c r="I2367" s="10"/>
      <c r="J2367" s="10">
        <v>43780</v>
      </c>
      <c r="K2367" s="5" t="s">
        <v>158</v>
      </c>
      <c r="L2367" s="5" t="s">
        <v>58</v>
      </c>
      <c r="M2367" s="11">
        <v>0.155</v>
      </c>
      <c r="N2367" s="5" t="e">
        <f>IF(AND(M2367&gt;#REF!,Cartera!O2367="Guaraníes"),"Rendimiento significativo",IF(AND(M2367&gt;#REF!,Cartera!O2367="Dólares americanos"),"Rendimiento significativo","Rendimiento no significativo"))</f>
        <v>#REF!</v>
      </c>
      <c r="O2367" s="5" t="s">
        <v>41</v>
      </c>
      <c r="P2367" s="12">
        <v>1316438.3562</v>
      </c>
      <c r="Q2367" s="12">
        <f>IF(O2367="Guaraníes",P2367,P2367*#REF!)</f>
        <v>1316438.3562</v>
      </c>
      <c r="R2367" s="12" t="e">
        <f>IF(O2367="Guaraníes",P2367/#REF!,P2367)</f>
        <v>#REF!</v>
      </c>
      <c r="S2367" s="5" t="s">
        <v>52</v>
      </c>
      <c r="T2367" s="5">
        <v>593</v>
      </c>
      <c r="W2367" s="5" t="s">
        <v>500</v>
      </c>
      <c r="X2367" s="5">
        <v>0</v>
      </c>
      <c r="Y2367" s="5">
        <v>0</v>
      </c>
      <c r="Z2367" s="5">
        <v>13164.383562000001</v>
      </c>
      <c r="AA2367" s="5">
        <v>100</v>
      </c>
      <c r="AB2367" s="5">
        <v>1316438.3562</v>
      </c>
      <c r="AC2367" s="5" t="str">
        <f t="shared" si="115"/>
        <v>Bonos</v>
      </c>
      <c r="AD2367" s="5" t="s">
        <v>43</v>
      </c>
      <c r="AE2367" s="5">
        <f t="shared" si="113"/>
        <v>11</v>
      </c>
      <c r="AF2367" s="5">
        <f t="shared" si="114"/>
        <v>2019</v>
      </c>
    </row>
    <row r="2368" s="5" customFormat="1" ht="13">
      <c r="A2368" s="5" t="s">
        <v>44</v>
      </c>
      <c r="B2368" s="5" t="s">
        <v>44</v>
      </c>
      <c r="C2368" s="5" t="s">
        <v>156</v>
      </c>
      <c r="D2368" s="5" t="s">
        <v>21</v>
      </c>
      <c r="E2368" s="5" t="s">
        <v>44</v>
      </c>
      <c r="F2368" s="5" t="s">
        <v>68</v>
      </c>
      <c r="G2368" s="5" t="s">
        <v>69</v>
      </c>
      <c r="H2368" s="9" t="s">
        <v>407</v>
      </c>
      <c r="I2368" s="10"/>
      <c r="J2368" s="10">
        <v>43782</v>
      </c>
      <c r="K2368" s="5" t="s">
        <v>158</v>
      </c>
      <c r="L2368" s="5" t="s">
        <v>58</v>
      </c>
      <c r="M2368" s="11">
        <v>0.12</v>
      </c>
      <c r="N2368" s="5" t="e">
        <f>IF(AND(M2368&gt;#REF!,Cartera!O2368="Guaraníes"),"Rendimiento significativo",IF(AND(M2368&gt;#REF!,Cartera!O2368="Dólares americanos"),"Rendimiento significativo","Rendimiento no significativo"))</f>
        <v>#REF!</v>
      </c>
      <c r="O2368" s="5" t="s">
        <v>41</v>
      </c>
      <c r="P2368" s="12">
        <v>1315068.4931999999</v>
      </c>
      <c r="Q2368" s="12">
        <f>IF(O2368="Guaraníes",P2368,P2368*#REF!)</f>
        <v>1315068.4931999999</v>
      </c>
      <c r="R2368" s="12" t="e">
        <f>IF(O2368="Guaraníes",P2368/#REF!,P2368)</f>
        <v>#REF!</v>
      </c>
      <c r="S2368" s="5" t="s">
        <v>52</v>
      </c>
      <c r="T2368" s="5">
        <v>593</v>
      </c>
      <c r="W2368" s="5" t="s">
        <v>501</v>
      </c>
      <c r="X2368" s="5">
        <v>0</v>
      </c>
      <c r="Y2368" s="5">
        <v>0</v>
      </c>
      <c r="Z2368" s="5">
        <v>13150.684932</v>
      </c>
      <c r="AA2368" s="5">
        <v>100</v>
      </c>
      <c r="AB2368" s="5">
        <v>1315068.4931999999</v>
      </c>
      <c r="AC2368" s="5" t="str">
        <f t="shared" si="115"/>
        <v>Bonos</v>
      </c>
      <c r="AD2368" s="5" t="s">
        <v>43</v>
      </c>
      <c r="AE2368" s="5">
        <f t="shared" si="113"/>
        <v>11</v>
      </c>
      <c r="AF2368" s="5">
        <f t="shared" si="114"/>
        <v>2019</v>
      </c>
    </row>
    <row r="2369" s="5" customFormat="1" ht="13">
      <c r="A2369" s="5" t="s">
        <v>44</v>
      </c>
      <c r="B2369" s="5" t="s">
        <v>44</v>
      </c>
      <c r="C2369" s="5" t="s">
        <v>67</v>
      </c>
      <c r="D2369" s="5" t="s">
        <v>21</v>
      </c>
      <c r="E2369" s="5" t="s">
        <v>44</v>
      </c>
      <c r="F2369" s="5" t="s">
        <v>68</v>
      </c>
      <c r="G2369" s="5" t="s">
        <v>69</v>
      </c>
      <c r="H2369" s="9" t="s">
        <v>376</v>
      </c>
      <c r="I2369" s="10"/>
      <c r="J2369" s="10">
        <v>43796</v>
      </c>
      <c r="K2369" s="5" t="s">
        <v>71</v>
      </c>
      <c r="L2369" s="5" t="s">
        <v>58</v>
      </c>
      <c r="M2369" s="11">
        <v>0.070000000000000007</v>
      </c>
      <c r="N2369" s="5" t="e">
        <f>IF(AND(M2369&gt;#REF!,Cartera!O2369="Guaraníes"),"Rendimiento significativo",IF(AND(M2369&gt;#REF!,Cartera!O2369="Dólares americanos"),"Rendimiento significativo","Rendimiento no significativo"))</f>
        <v>#REF!</v>
      </c>
      <c r="O2369" s="5" t="s">
        <v>41</v>
      </c>
      <c r="P2369" s="12">
        <v>1907260.27394</v>
      </c>
      <c r="Q2369" s="12">
        <f>IF(O2369="Guaraníes",P2369,P2369*#REF!)</f>
        <v>1907260.27394</v>
      </c>
      <c r="R2369" s="12" t="e">
        <f>IF(O2369="Guaraníes",P2369/#REF!,P2369)</f>
        <v>#REF!</v>
      </c>
      <c r="S2369" s="5" t="s">
        <v>52</v>
      </c>
      <c r="T2369" s="5">
        <v>593</v>
      </c>
      <c r="W2369" s="5" t="s">
        <v>502</v>
      </c>
      <c r="X2369" s="5">
        <v>0</v>
      </c>
      <c r="Y2369" s="5">
        <v>0</v>
      </c>
      <c r="Z2369" s="5">
        <v>22438.356164000001</v>
      </c>
      <c r="AA2369" s="5">
        <v>85</v>
      </c>
      <c r="AB2369" s="5">
        <v>1907260.27394</v>
      </c>
      <c r="AC2369" s="5" t="str">
        <f t="shared" si="115"/>
        <v>Bonos</v>
      </c>
      <c r="AD2369" s="5" t="s">
        <v>43</v>
      </c>
      <c r="AE2369" s="5">
        <f t="shared" si="113"/>
        <v>11</v>
      </c>
      <c r="AF2369" s="5">
        <f t="shared" si="114"/>
        <v>2019</v>
      </c>
    </row>
    <row r="2370" s="5" customFormat="1" ht="13">
      <c r="A2370" s="5" t="s">
        <v>44</v>
      </c>
      <c r="B2370" s="5" t="s">
        <v>44</v>
      </c>
      <c r="C2370" s="5" t="s">
        <v>67</v>
      </c>
      <c r="D2370" s="5" t="s">
        <v>21</v>
      </c>
      <c r="E2370" s="5" t="s">
        <v>44</v>
      </c>
      <c r="F2370" s="5" t="s">
        <v>68</v>
      </c>
      <c r="G2370" s="5" t="s">
        <v>69</v>
      </c>
      <c r="H2370" s="9" t="s">
        <v>70</v>
      </c>
      <c r="I2370" s="10"/>
      <c r="J2370" s="10">
        <v>43797</v>
      </c>
      <c r="K2370" s="5" t="s">
        <v>71</v>
      </c>
      <c r="L2370" s="5" t="s">
        <v>58</v>
      </c>
      <c r="M2370" s="11">
        <v>0.067500000000000004</v>
      </c>
      <c r="N2370" s="5" t="e">
        <f>IF(AND(M2370&gt;#REF!,Cartera!O2370="Guaraníes"),"Rendimiento significativo",IF(AND(M2370&gt;#REF!,Cartera!O2370="Dólares americanos"),"Rendimiento significativo","Rendimiento no significativo"))</f>
        <v>#REF!</v>
      </c>
      <c r="O2370" s="5" t="s">
        <v>51</v>
      </c>
      <c r="P2370" s="13">
        <v>159.56</v>
      </c>
      <c r="Q2370" s="12" t="e">
        <f>IF(O2370="Guaraníes",P2370,P2370*#REF!)</f>
        <v>#REF!</v>
      </c>
      <c r="R2370" s="12">
        <f>IF(O2370="Guaraníes",P2370/#REF!,P2370)</f>
        <v>159.56</v>
      </c>
      <c r="S2370" s="5" t="s">
        <v>52</v>
      </c>
      <c r="T2370" s="5">
        <v>593</v>
      </c>
      <c r="W2370" s="5" t="s">
        <v>510</v>
      </c>
      <c r="X2370" s="5">
        <v>0</v>
      </c>
      <c r="Y2370" s="5">
        <v>0</v>
      </c>
      <c r="Z2370" s="5">
        <v>17.452055000000001</v>
      </c>
      <c r="AA2370" s="5">
        <v>8</v>
      </c>
      <c r="AB2370" s="5">
        <v>139.61644000000001</v>
      </c>
      <c r="AC2370" s="5" t="str">
        <f t="shared" si="115"/>
        <v>Bonos</v>
      </c>
      <c r="AD2370" s="5" t="s">
        <v>43</v>
      </c>
      <c r="AE2370" s="5">
        <f t="shared" si="113"/>
        <v>11</v>
      </c>
      <c r="AF2370" s="5">
        <f t="shared" si="114"/>
        <v>2019</v>
      </c>
    </row>
    <row r="2371" s="5" customFormat="1" ht="13">
      <c r="A2371" s="5" t="s">
        <v>44</v>
      </c>
      <c r="B2371" s="5" t="s">
        <v>44</v>
      </c>
      <c r="C2371" s="5" t="s">
        <v>156</v>
      </c>
      <c r="D2371" s="5" t="s">
        <v>21</v>
      </c>
      <c r="E2371" s="5" t="s">
        <v>44</v>
      </c>
      <c r="F2371" s="5" t="s">
        <v>68</v>
      </c>
      <c r="G2371" s="5" t="s">
        <v>69</v>
      </c>
      <c r="H2371" s="9" t="s">
        <v>400</v>
      </c>
      <c r="I2371" s="10"/>
      <c r="J2371" s="10">
        <v>43810</v>
      </c>
      <c r="K2371" s="5" t="s">
        <v>158</v>
      </c>
      <c r="L2371" s="5" t="s">
        <v>58</v>
      </c>
      <c r="M2371" s="11">
        <v>0.155</v>
      </c>
      <c r="N2371" s="5" t="e">
        <f>IF(AND(M2371&gt;#REF!,Cartera!O2371="Guaraníes"),"Rendimiento significativo",IF(AND(M2371&gt;#REF!,Cartera!O2371="Dólares americanos"),"Rendimiento significativo","Rendimiento no significativo"))</f>
        <v>#REF!</v>
      </c>
      <c r="O2371" s="5" t="s">
        <v>41</v>
      </c>
      <c r="P2371" s="12">
        <v>1273972.6027000002</v>
      </c>
      <c r="Q2371" s="12">
        <f>IF(O2371="Guaraníes",P2371,P2371*#REF!)</f>
        <v>1273972.6027000002</v>
      </c>
      <c r="R2371" s="12" t="e">
        <f>IF(O2371="Guaraníes",P2371/#REF!,P2371)</f>
        <v>#REF!</v>
      </c>
      <c r="S2371" s="5" t="s">
        <v>52</v>
      </c>
      <c r="T2371" s="5">
        <v>593</v>
      </c>
      <c r="W2371" s="5" t="s">
        <v>495</v>
      </c>
      <c r="X2371" s="5">
        <v>0</v>
      </c>
      <c r="Y2371" s="5">
        <v>0</v>
      </c>
      <c r="Z2371" s="5">
        <v>12739.726027000001</v>
      </c>
      <c r="AA2371" s="5">
        <v>100</v>
      </c>
      <c r="AB2371" s="5">
        <v>1273972.6026999999</v>
      </c>
      <c r="AC2371" s="5" t="str">
        <f t="shared" si="115"/>
        <v>Bonos</v>
      </c>
      <c r="AD2371" s="5" t="s">
        <v>43</v>
      </c>
      <c r="AE2371" s="5">
        <f t="shared" si="113"/>
        <v>12</v>
      </c>
      <c r="AF2371" s="5">
        <f t="shared" si="114"/>
        <v>2019</v>
      </c>
    </row>
    <row r="2372" s="5" customFormat="1" ht="13">
      <c r="A2372" s="5" t="s">
        <v>44</v>
      </c>
      <c r="B2372" s="5" t="s">
        <v>44</v>
      </c>
      <c r="C2372" s="5" t="s">
        <v>156</v>
      </c>
      <c r="D2372" s="5" t="s">
        <v>21</v>
      </c>
      <c r="E2372" s="5" t="s">
        <v>44</v>
      </c>
      <c r="F2372" s="5" t="s">
        <v>68</v>
      </c>
      <c r="G2372" s="5" t="s">
        <v>69</v>
      </c>
      <c r="H2372" s="9" t="s">
        <v>407</v>
      </c>
      <c r="I2372" s="10"/>
      <c r="J2372" s="10">
        <v>43812</v>
      </c>
      <c r="K2372" s="5" t="s">
        <v>158</v>
      </c>
      <c r="L2372" s="5" t="s">
        <v>58</v>
      </c>
      <c r="M2372" s="11">
        <v>0.12</v>
      </c>
      <c r="N2372" s="5" t="e">
        <f>IF(AND(M2372&gt;#REF!,Cartera!O2372="Guaraníes"),"Rendimiento significativo",IF(AND(M2372&gt;#REF!,Cartera!O2372="Dólares americanos"),"Rendimiento significativo","Rendimiento no significativo"))</f>
        <v>#REF!</v>
      </c>
      <c r="O2372" s="5" t="s">
        <v>41</v>
      </c>
      <c r="P2372" s="12">
        <v>1315068.4931999999</v>
      </c>
      <c r="Q2372" s="12">
        <f>IF(O2372="Guaraníes",P2372,P2372*#REF!)</f>
        <v>1315068.4931999999</v>
      </c>
      <c r="R2372" s="12" t="e">
        <f>IF(O2372="Guaraníes",P2372/#REF!,P2372)</f>
        <v>#REF!</v>
      </c>
      <c r="S2372" s="5" t="s">
        <v>52</v>
      </c>
      <c r="T2372" s="5">
        <v>593</v>
      </c>
      <c r="W2372" s="5" t="s">
        <v>496</v>
      </c>
      <c r="X2372" s="5">
        <v>0</v>
      </c>
      <c r="Y2372" s="5">
        <v>0</v>
      </c>
      <c r="Z2372" s="5">
        <v>13150.684932</v>
      </c>
      <c r="AA2372" s="5">
        <v>100</v>
      </c>
      <c r="AB2372" s="5">
        <v>1315068.4931999999</v>
      </c>
      <c r="AC2372" s="5" t="str">
        <f t="shared" si="115"/>
        <v>Bonos</v>
      </c>
      <c r="AD2372" s="5" t="s">
        <v>43</v>
      </c>
      <c r="AE2372" s="5">
        <f t="shared" si="113"/>
        <v>12</v>
      </c>
      <c r="AF2372" s="5">
        <f t="shared" si="114"/>
        <v>2019</v>
      </c>
    </row>
    <row r="2373" s="5" customFormat="1" ht="13">
      <c r="A2373" s="5" t="s">
        <v>44</v>
      </c>
      <c r="B2373" s="5" t="s">
        <v>44</v>
      </c>
      <c r="C2373" s="5" t="s">
        <v>176</v>
      </c>
      <c r="D2373" s="5" t="s">
        <v>21</v>
      </c>
      <c r="E2373" s="5" t="s">
        <v>44</v>
      </c>
      <c r="F2373" s="5" t="s">
        <v>68</v>
      </c>
      <c r="G2373" s="5" t="s">
        <v>69</v>
      </c>
      <c r="H2373" s="9" t="s">
        <v>479</v>
      </c>
      <c r="I2373" s="10"/>
      <c r="J2373" s="10">
        <v>43825</v>
      </c>
      <c r="K2373" s="5" t="s">
        <v>178</v>
      </c>
      <c r="L2373" s="5" t="s">
        <v>58</v>
      </c>
      <c r="M2373" s="11">
        <v>0.074999999999999997</v>
      </c>
      <c r="N2373" s="5" t="e">
        <f>IF(AND(M2373&gt;#REF!,Cartera!O2373="Guaraníes"),"Rendimiento significativo",IF(AND(M2373&gt;#REF!,Cartera!O2373="Dólares americanos"),"Rendimiento significativo","Rendimiento no significativo"))</f>
        <v>#REF!</v>
      </c>
      <c r="O2373" s="5" t="s">
        <v>51</v>
      </c>
      <c r="P2373" s="13">
        <v>642.73973999999998</v>
      </c>
      <c r="Q2373" s="12" t="e">
        <f>IF(O2373="Guaraníes",P2373,P2373*#REF!)</f>
        <v>#REF!</v>
      </c>
      <c r="R2373" s="12">
        <f>IF(O2373="Guaraníes",P2373/#REF!,P2373)</f>
        <v>642.73973999999998</v>
      </c>
      <c r="S2373" s="5" t="s">
        <v>52</v>
      </c>
      <c r="T2373" s="5">
        <v>593</v>
      </c>
      <c r="W2373" s="5" t="s">
        <v>216</v>
      </c>
      <c r="X2373" s="5">
        <v>0</v>
      </c>
      <c r="Y2373" s="5">
        <v>0</v>
      </c>
      <c r="Z2373" s="5">
        <v>21.424658000000001</v>
      </c>
      <c r="AA2373" s="5">
        <v>30</v>
      </c>
      <c r="AB2373" s="5">
        <v>642.73973999999998</v>
      </c>
      <c r="AC2373" s="5" t="str">
        <f t="shared" si="115"/>
        <v>Bonos</v>
      </c>
      <c r="AD2373" s="5" t="s">
        <v>43</v>
      </c>
      <c r="AE2373" s="5">
        <f t="shared" si="113"/>
        <v>12</v>
      </c>
      <c r="AF2373" s="5">
        <f t="shared" si="114"/>
        <v>2019</v>
      </c>
    </row>
    <row r="2374" s="5" customFormat="1" ht="13">
      <c r="A2374" s="5" t="s">
        <v>44</v>
      </c>
      <c r="B2374" s="5" t="s">
        <v>44</v>
      </c>
      <c r="C2374" s="5" t="s">
        <v>156</v>
      </c>
      <c r="D2374" s="5" t="s">
        <v>21</v>
      </c>
      <c r="E2374" s="5" t="s">
        <v>44</v>
      </c>
      <c r="F2374" s="5" t="s">
        <v>68</v>
      </c>
      <c r="G2374" s="5" t="s">
        <v>69</v>
      </c>
      <c r="H2374" s="9" t="s">
        <v>400</v>
      </c>
      <c r="I2374" s="10"/>
      <c r="J2374" s="10">
        <v>43840</v>
      </c>
      <c r="K2374" s="5" t="s">
        <v>158</v>
      </c>
      <c r="L2374" s="5" t="s">
        <v>58</v>
      </c>
      <c r="M2374" s="11">
        <v>0.155</v>
      </c>
      <c r="N2374" s="5" t="e">
        <f>IF(AND(M2374&gt;#REF!,Cartera!O2374="Guaraníes"),"Rendimiento significativo",IF(AND(M2374&gt;#REF!,Cartera!O2374="Dólares americanos"),"Rendimiento significativo","Rendimiento no significativo"))</f>
        <v>#REF!</v>
      </c>
      <c r="O2374" s="5" t="s">
        <v>41</v>
      </c>
      <c r="P2374" s="12">
        <v>1273972.6027000002</v>
      </c>
      <c r="Q2374" s="12">
        <f>IF(O2374="Guaraníes",P2374,P2374*#REF!)</f>
        <v>1273972.6027000002</v>
      </c>
      <c r="R2374" s="12" t="e">
        <f>IF(O2374="Guaraníes",P2374/#REF!,P2374)</f>
        <v>#REF!</v>
      </c>
      <c r="S2374" s="5" t="s">
        <v>52</v>
      </c>
      <c r="T2374" s="5">
        <v>593</v>
      </c>
      <c r="W2374" s="5" t="s">
        <v>498</v>
      </c>
      <c r="X2374" s="5">
        <v>0</v>
      </c>
      <c r="Y2374" s="5">
        <v>0</v>
      </c>
      <c r="Z2374" s="5">
        <v>12739.726027000001</v>
      </c>
      <c r="AA2374" s="5">
        <v>100</v>
      </c>
      <c r="AB2374" s="5">
        <v>1273972.6026999999</v>
      </c>
      <c r="AC2374" s="5" t="str">
        <f t="shared" si="115"/>
        <v>Bonos</v>
      </c>
      <c r="AD2374" s="5" t="s">
        <v>43</v>
      </c>
      <c r="AE2374" s="5">
        <f t="shared" si="113"/>
        <v>1</v>
      </c>
      <c r="AF2374" s="5">
        <f t="shared" si="114"/>
        <v>2020</v>
      </c>
    </row>
    <row r="2375" s="5" customFormat="1" ht="13">
      <c r="A2375" s="5" t="s">
        <v>44</v>
      </c>
      <c r="B2375" s="5" t="s">
        <v>44</v>
      </c>
      <c r="C2375" s="5" t="s">
        <v>156</v>
      </c>
      <c r="D2375" s="5" t="s">
        <v>21</v>
      </c>
      <c r="E2375" s="5" t="s">
        <v>44</v>
      </c>
      <c r="F2375" s="5" t="s">
        <v>68</v>
      </c>
      <c r="G2375" s="5" t="s">
        <v>69</v>
      </c>
      <c r="H2375" s="9" t="s">
        <v>407</v>
      </c>
      <c r="I2375" s="10"/>
      <c r="J2375" s="10">
        <v>43843</v>
      </c>
      <c r="K2375" s="5" t="s">
        <v>158</v>
      </c>
      <c r="L2375" s="5" t="s">
        <v>58</v>
      </c>
      <c r="M2375" s="11">
        <v>0.12</v>
      </c>
      <c r="N2375" s="5" t="e">
        <f>IF(AND(M2375&gt;#REF!,Cartera!O2375="Guaraníes"),"Rendimiento significativo",IF(AND(M2375&gt;#REF!,Cartera!O2375="Dólares americanos"),"Rendimiento significativo","Rendimiento no significativo"))</f>
        <v>#REF!</v>
      </c>
      <c r="O2375" s="5" t="s">
        <v>41</v>
      </c>
      <c r="P2375" s="12">
        <v>1358904.1096000001</v>
      </c>
      <c r="Q2375" s="12">
        <f>IF(O2375="Guaraníes",P2375,P2375*#REF!)</f>
        <v>1358904.1096000001</v>
      </c>
      <c r="R2375" s="12" t="e">
        <f>IF(O2375="Guaraníes",P2375/#REF!,P2375)</f>
        <v>#REF!</v>
      </c>
      <c r="S2375" s="5" t="s">
        <v>52</v>
      </c>
      <c r="T2375" s="5">
        <v>593</v>
      </c>
      <c r="W2375" s="5" t="s">
        <v>499</v>
      </c>
      <c r="X2375" s="5">
        <v>0</v>
      </c>
      <c r="Y2375" s="5">
        <v>0</v>
      </c>
      <c r="Z2375" s="5">
        <v>13589.041096000001</v>
      </c>
      <c r="AA2375" s="5">
        <v>100</v>
      </c>
      <c r="AB2375" s="5">
        <v>1358904.1096000001</v>
      </c>
      <c r="AC2375" s="5" t="str">
        <f t="shared" si="115"/>
        <v>Bonos</v>
      </c>
      <c r="AD2375" s="5" t="s">
        <v>43</v>
      </c>
      <c r="AE2375" s="5">
        <f t="shared" si="113"/>
        <v>1</v>
      </c>
      <c r="AF2375" s="5">
        <f t="shared" si="114"/>
        <v>2020</v>
      </c>
    </row>
    <row r="2376" s="5" customFormat="1" ht="13">
      <c r="A2376" s="5" t="s">
        <v>44</v>
      </c>
      <c r="B2376" s="5" t="s">
        <v>44</v>
      </c>
      <c r="C2376" s="5" t="s">
        <v>99</v>
      </c>
      <c r="D2376" s="5" t="s">
        <v>21</v>
      </c>
      <c r="E2376" s="5" t="s">
        <v>44</v>
      </c>
      <c r="F2376" s="5" t="s">
        <v>100</v>
      </c>
      <c r="G2376" s="5" t="s">
        <v>69</v>
      </c>
      <c r="H2376" s="9" t="s">
        <v>238</v>
      </c>
      <c r="I2376" s="10"/>
      <c r="J2376" s="10">
        <v>43863</v>
      </c>
      <c r="K2376" s="5" t="s">
        <v>102</v>
      </c>
      <c r="L2376" s="5" t="s">
        <v>102</v>
      </c>
      <c r="M2376" s="11">
        <v>0.070000000000000007</v>
      </c>
      <c r="N2376" s="5" t="e">
        <f>IF(AND(M2376&gt;#REF!,Cartera!O2376="Guaraníes"),"Rendimiento significativo",IF(AND(M2376&gt;#REF!,Cartera!O2376="Dólares americanos"),"Rendimiento significativo","Rendimiento no significativo"))</f>
        <v>#REF!</v>
      </c>
      <c r="O2376" s="5" t="s">
        <v>41</v>
      </c>
      <c r="P2376" s="12">
        <v>2041643.8355999999</v>
      </c>
      <c r="Q2376" s="12">
        <f>IF(O2376="Guaraníes",P2376,P2376*#REF!)</f>
        <v>2041643.8355999999</v>
      </c>
      <c r="R2376" s="12" t="e">
        <f>IF(O2376="Guaraníes",P2376/#REF!,P2376)</f>
        <v>#REF!</v>
      </c>
      <c r="S2376" s="5" t="s">
        <v>52</v>
      </c>
      <c r="T2376" s="5">
        <v>593</v>
      </c>
      <c r="W2376" s="5" t="s">
        <v>511</v>
      </c>
      <c r="X2376" s="5">
        <v>0</v>
      </c>
      <c r="Y2376" s="5">
        <v>0</v>
      </c>
      <c r="Z2376" s="5">
        <v>40832.876711999997</v>
      </c>
      <c r="AA2376" s="5">
        <v>50</v>
      </c>
      <c r="AB2376" s="5">
        <v>2041643.8356000001</v>
      </c>
      <c r="AC2376" s="5" t="str">
        <f t="shared" si="115"/>
        <v>Bonos</v>
      </c>
      <c r="AD2376" s="5" t="s">
        <v>43</v>
      </c>
      <c r="AE2376" s="5">
        <f t="shared" si="113"/>
        <v>2</v>
      </c>
      <c r="AF2376" s="5">
        <f t="shared" si="114"/>
        <v>2020</v>
      </c>
    </row>
    <row r="2377" s="5" customFormat="1" ht="13">
      <c r="A2377" s="5" t="s">
        <v>44</v>
      </c>
      <c r="B2377" s="5" t="s">
        <v>44</v>
      </c>
      <c r="C2377" s="5" t="s">
        <v>457</v>
      </c>
      <c r="D2377" s="5" t="s">
        <v>21</v>
      </c>
      <c r="E2377" s="5" t="s">
        <v>44</v>
      </c>
      <c r="F2377" s="5" t="s">
        <v>100</v>
      </c>
      <c r="G2377" s="5" t="s">
        <v>69</v>
      </c>
      <c r="H2377" s="9" t="s">
        <v>458</v>
      </c>
      <c r="I2377" s="10"/>
      <c r="J2377" s="10">
        <v>43871</v>
      </c>
      <c r="K2377" s="5" t="s">
        <v>173</v>
      </c>
      <c r="L2377" s="5" t="s">
        <v>58</v>
      </c>
      <c r="M2377" s="11">
        <v>0.13500000000000001</v>
      </c>
      <c r="N2377" s="5" t="e">
        <f>IF(AND(M2377&gt;#REF!,Cartera!O2377="Guaraníes"),"Rendimiento significativo",IF(AND(M2377&gt;#REF!,Cartera!O2377="Dólares americanos"),"Rendimiento significativo","Rendimiento no significativo"))</f>
        <v>#REF!</v>
      </c>
      <c r="O2377" s="5" t="s">
        <v>41</v>
      </c>
      <c r="P2377" s="12">
        <v>4926575.3424479999</v>
      </c>
      <c r="Q2377" s="12">
        <f>IF(O2377="Guaraníes",P2377,P2377*#REF!)</f>
        <v>4926575.3424479999</v>
      </c>
      <c r="R2377" s="12" t="e">
        <f>IF(O2377="Guaraníes",P2377/#REF!,P2377)</f>
        <v>#REF!</v>
      </c>
      <c r="S2377" s="5" t="s">
        <v>52</v>
      </c>
      <c r="T2377" s="5">
        <v>593</v>
      </c>
      <c r="W2377" s="5" t="s">
        <v>512</v>
      </c>
      <c r="X2377" s="5">
        <v>0</v>
      </c>
      <c r="Y2377" s="5">
        <v>0</v>
      </c>
      <c r="Z2377" s="5">
        <v>68424.657533999998</v>
      </c>
      <c r="AA2377" s="5">
        <v>72</v>
      </c>
      <c r="AB2377" s="5">
        <v>4926575.3424479999</v>
      </c>
      <c r="AC2377" s="5" t="str">
        <f t="shared" si="115"/>
        <v>Bonos</v>
      </c>
      <c r="AD2377" s="5" t="s">
        <v>43</v>
      </c>
      <c r="AE2377" s="5">
        <f t="shared" si="113"/>
        <v>2</v>
      </c>
      <c r="AF2377" s="5">
        <f t="shared" si="114"/>
        <v>2020</v>
      </c>
    </row>
    <row r="2378" s="5" customFormat="1" ht="13">
      <c r="A2378" s="5" t="s">
        <v>44</v>
      </c>
      <c r="B2378" s="5" t="s">
        <v>44</v>
      </c>
      <c r="C2378" s="5" t="s">
        <v>457</v>
      </c>
      <c r="D2378" s="5" t="s">
        <v>21</v>
      </c>
      <c r="E2378" s="5" t="s">
        <v>44</v>
      </c>
      <c r="F2378" s="5" t="s">
        <v>100</v>
      </c>
      <c r="G2378" s="5" t="s">
        <v>69</v>
      </c>
      <c r="H2378" s="9" t="s">
        <v>459</v>
      </c>
      <c r="I2378" s="10"/>
      <c r="J2378" s="10">
        <v>43871</v>
      </c>
      <c r="K2378" s="5" t="s">
        <v>173</v>
      </c>
      <c r="L2378" s="5" t="s">
        <v>58</v>
      </c>
      <c r="M2378" s="11">
        <v>0.14499999999999999</v>
      </c>
      <c r="N2378" s="5" t="e">
        <f>IF(AND(M2378&gt;#REF!,Cartera!O2378="Guaraníes"),"Rendimiento significativo",IF(AND(M2378&gt;#REF!,Cartera!O2378="Dólares americanos"),"Rendimiento significativo","Rendimiento no significativo"))</f>
        <v>#REF!</v>
      </c>
      <c r="O2378" s="5" t="s">
        <v>41</v>
      </c>
      <c r="P2378" s="12">
        <v>2057808.21918</v>
      </c>
      <c r="Q2378" s="12">
        <f>IF(O2378="Guaraníes",P2378,P2378*#REF!)</f>
        <v>2057808.21918</v>
      </c>
      <c r="R2378" s="12" t="e">
        <f>IF(O2378="Guaraníes",P2378/#REF!,P2378)</f>
        <v>#REF!</v>
      </c>
      <c r="S2378" s="5" t="s">
        <v>52</v>
      </c>
      <c r="T2378" s="5">
        <v>593</v>
      </c>
      <c r="W2378" s="5" t="s">
        <v>513</v>
      </c>
      <c r="X2378" s="5">
        <v>0</v>
      </c>
      <c r="Y2378" s="5">
        <v>0</v>
      </c>
      <c r="Z2378" s="5">
        <v>73493.150685000001</v>
      </c>
      <c r="AA2378" s="5">
        <v>28</v>
      </c>
      <c r="AB2378" s="5">
        <v>2057808.21918</v>
      </c>
      <c r="AC2378" s="5" t="str">
        <f t="shared" si="115"/>
        <v>Bonos</v>
      </c>
      <c r="AD2378" s="5" t="s">
        <v>43</v>
      </c>
      <c r="AE2378" s="5">
        <f t="shared" si="113"/>
        <v>2</v>
      </c>
      <c r="AF2378" s="5">
        <f t="shared" si="114"/>
        <v>2020</v>
      </c>
    </row>
    <row r="2379" s="5" customFormat="1" ht="13">
      <c r="A2379" s="5" t="s">
        <v>44</v>
      </c>
      <c r="B2379" s="5" t="s">
        <v>44</v>
      </c>
      <c r="C2379" s="5" t="s">
        <v>156</v>
      </c>
      <c r="D2379" s="5" t="s">
        <v>21</v>
      </c>
      <c r="E2379" s="5" t="s">
        <v>44</v>
      </c>
      <c r="F2379" s="5" t="s">
        <v>68</v>
      </c>
      <c r="G2379" s="5" t="s">
        <v>69</v>
      </c>
      <c r="H2379" s="9" t="s">
        <v>407</v>
      </c>
      <c r="I2379" s="10"/>
      <c r="J2379" s="10">
        <v>43873</v>
      </c>
      <c r="K2379" s="5" t="s">
        <v>158</v>
      </c>
      <c r="L2379" s="5" t="s">
        <v>58</v>
      </c>
      <c r="M2379" s="11">
        <v>0.12</v>
      </c>
      <c r="N2379" s="5" t="e">
        <f>IF(AND(M2379&gt;#REF!,Cartera!O2379="Guaraníes"),"Rendimiento significativo",IF(AND(M2379&gt;#REF!,Cartera!O2379="Dólares americanos"),"Rendimiento significativo","Rendimiento no significativo"))</f>
        <v>#REF!</v>
      </c>
      <c r="O2379" s="5" t="s">
        <v>41</v>
      </c>
      <c r="P2379" s="12">
        <v>1315068.4931999999</v>
      </c>
      <c r="Q2379" s="12">
        <f>IF(O2379="Guaraníes",P2379,P2379*#REF!)</f>
        <v>1315068.4931999999</v>
      </c>
      <c r="R2379" s="12" t="e">
        <f>IF(O2379="Guaraníes",P2379/#REF!,P2379)</f>
        <v>#REF!</v>
      </c>
      <c r="S2379" s="5" t="s">
        <v>52</v>
      </c>
      <c r="T2379" s="5">
        <v>593</v>
      </c>
      <c r="W2379" s="5" t="e">
        <v>#REF!</v>
      </c>
      <c r="X2379" s="5">
        <v>0</v>
      </c>
      <c r="Y2379" s="5">
        <v>0</v>
      </c>
      <c r="Z2379" s="5">
        <v>13150.684932</v>
      </c>
      <c r="AA2379" s="5">
        <v>100</v>
      </c>
      <c r="AB2379" s="5">
        <v>1315068.4931999999</v>
      </c>
      <c r="AC2379" s="5" t="str">
        <f t="shared" si="115"/>
        <v>Bonos</v>
      </c>
      <c r="AD2379" s="5" t="s">
        <v>43</v>
      </c>
      <c r="AE2379" s="5">
        <f t="shared" si="113"/>
        <v>2</v>
      </c>
      <c r="AF2379" s="5">
        <f t="shared" si="114"/>
        <v>2020</v>
      </c>
    </row>
    <row r="2380" s="5" customFormat="1" ht="13">
      <c r="A2380" s="5" t="s">
        <v>44</v>
      </c>
      <c r="B2380" s="5" t="s">
        <v>44</v>
      </c>
      <c r="C2380" s="5" t="s">
        <v>67</v>
      </c>
      <c r="D2380" s="5" t="s">
        <v>21</v>
      </c>
      <c r="E2380" s="5" t="s">
        <v>44</v>
      </c>
      <c r="F2380" s="5" t="s">
        <v>68</v>
      </c>
      <c r="G2380" s="5" t="s">
        <v>69</v>
      </c>
      <c r="H2380" s="9" t="s">
        <v>376</v>
      </c>
      <c r="I2380" s="10"/>
      <c r="J2380" s="10">
        <v>43887</v>
      </c>
      <c r="K2380" s="5" t="s">
        <v>71</v>
      </c>
      <c r="L2380" s="5" t="s">
        <v>58</v>
      </c>
      <c r="M2380" s="11">
        <v>0.070000000000000007</v>
      </c>
      <c r="N2380" s="5" t="e">
        <f>IF(AND(M2380&gt;#REF!,Cartera!O2380="Guaraníes"),"Rendimiento significativo",IF(AND(M2380&gt;#REF!,Cartera!O2380="Dólares americanos"),"Rendimiento significativo","Rendimiento no significativo"))</f>
        <v>#REF!</v>
      </c>
      <c r="O2380" s="5" t="s">
        <v>41</v>
      </c>
      <c r="P2380" s="12">
        <v>10407260.273940001</v>
      </c>
      <c r="Q2380" s="12">
        <f>IF(O2380="Guaraníes",P2380,P2380*#REF!)</f>
        <v>10407260.273940001</v>
      </c>
      <c r="R2380" s="12" t="e">
        <f>IF(O2380="Guaraníes",P2380/#REF!,P2380)</f>
        <v>#REF!</v>
      </c>
      <c r="S2380" s="5" t="s">
        <v>52</v>
      </c>
      <c r="T2380" s="5">
        <v>593</v>
      </c>
      <c r="W2380" s="5" t="e">
        <v>#REF!</v>
      </c>
      <c r="X2380" s="5">
        <v>10</v>
      </c>
      <c r="Y2380" s="5">
        <v>100000</v>
      </c>
      <c r="Z2380" s="5">
        <v>122438.356164</v>
      </c>
      <c r="AA2380" s="5">
        <v>85</v>
      </c>
      <c r="AB2380" s="5">
        <v>10407260.273940001</v>
      </c>
      <c r="AC2380" s="5" t="str">
        <f t="shared" si="115"/>
        <v>Bonos</v>
      </c>
      <c r="AD2380" s="5" t="s">
        <v>43</v>
      </c>
      <c r="AE2380" s="5">
        <f t="shared" si="113"/>
        <v>2</v>
      </c>
      <c r="AF2380" s="5">
        <f t="shared" si="114"/>
        <v>2020</v>
      </c>
    </row>
    <row r="2381" s="5" customFormat="1" ht="13">
      <c r="A2381" s="5" t="s">
        <v>44</v>
      </c>
      <c r="B2381" s="5" t="s">
        <v>44</v>
      </c>
      <c r="C2381" s="5" t="s">
        <v>67</v>
      </c>
      <c r="D2381" s="5" t="s">
        <v>21</v>
      </c>
      <c r="E2381" s="5" t="s">
        <v>44</v>
      </c>
      <c r="F2381" s="5" t="s">
        <v>68</v>
      </c>
      <c r="G2381" s="5" t="s">
        <v>69</v>
      </c>
      <c r="H2381" s="9" t="s">
        <v>70</v>
      </c>
      <c r="I2381" s="10"/>
      <c r="J2381" s="10">
        <v>43888</v>
      </c>
      <c r="K2381" s="5" t="s">
        <v>71</v>
      </c>
      <c r="L2381" s="5" t="s">
        <v>58</v>
      </c>
      <c r="M2381" s="11">
        <v>0.067500000000000004</v>
      </c>
      <c r="N2381" s="5" t="e">
        <f>IF(AND(M2381&gt;#REF!,Cartera!O2381="Guaraníes"),"Rendimiento significativo",IF(AND(M2381&gt;#REF!,Cartera!O2381="Dólares americanos"),"Rendimiento significativo","Rendimiento no significativo"))</f>
        <v>#REF!</v>
      </c>
      <c r="O2381" s="5" t="s">
        <v>51</v>
      </c>
      <c r="P2381" s="13">
        <v>159.56</v>
      </c>
      <c r="Q2381" s="12" t="e">
        <f>IF(O2381="Guaraníes",P2381,P2381*#REF!)</f>
        <v>#REF!</v>
      </c>
      <c r="R2381" s="12">
        <f>IF(O2381="Guaraníes",P2381/#REF!,P2381)</f>
        <v>159.56</v>
      </c>
      <c r="S2381" s="5" t="s">
        <v>52</v>
      </c>
      <c r="T2381" s="5">
        <v>593</v>
      </c>
      <c r="W2381" s="5" t="e">
        <v>#REF!</v>
      </c>
      <c r="X2381" s="5">
        <v>0</v>
      </c>
      <c r="Y2381" s="5">
        <v>0</v>
      </c>
      <c r="Z2381" s="5">
        <v>17.452055000000001</v>
      </c>
      <c r="AA2381" s="5">
        <v>8</v>
      </c>
      <c r="AB2381" s="5">
        <v>139.61644000000001</v>
      </c>
      <c r="AC2381" s="5" t="str">
        <f t="shared" si="115"/>
        <v>Bonos</v>
      </c>
      <c r="AD2381" s="5" t="s">
        <v>43</v>
      </c>
      <c r="AE2381" s="5">
        <f t="shared" si="113"/>
        <v>2</v>
      </c>
      <c r="AF2381" s="5">
        <f t="shared" si="114"/>
        <v>2020</v>
      </c>
    </row>
    <row r="2382" s="5" customFormat="1" ht="13">
      <c r="A2382" s="5" t="s">
        <v>44</v>
      </c>
      <c r="B2382" s="5" t="s">
        <v>44</v>
      </c>
      <c r="C2382" s="5" t="s">
        <v>156</v>
      </c>
      <c r="D2382" s="5" t="s">
        <v>21</v>
      </c>
      <c r="E2382" s="5" t="s">
        <v>44</v>
      </c>
      <c r="F2382" s="5" t="s">
        <v>68</v>
      </c>
      <c r="G2382" s="5" t="s">
        <v>69</v>
      </c>
      <c r="H2382" s="9" t="s">
        <v>407</v>
      </c>
      <c r="I2382" s="10"/>
      <c r="J2382" s="10">
        <v>43903</v>
      </c>
      <c r="K2382" s="5" t="s">
        <v>158</v>
      </c>
      <c r="L2382" s="5" t="s">
        <v>58</v>
      </c>
      <c r="M2382" s="11">
        <v>0.12</v>
      </c>
      <c r="N2382" s="5" t="e">
        <f>IF(AND(M2382&gt;#REF!,Cartera!O2382="Guaraníes"),"Rendimiento significativo",IF(AND(M2382&gt;#REF!,Cartera!O2382="Dólares americanos"),"Rendimiento significativo","Rendimiento no significativo"))</f>
        <v>#REF!</v>
      </c>
      <c r="O2382" s="5" t="s">
        <v>41</v>
      </c>
      <c r="P2382" s="12">
        <v>1315068.4931999999</v>
      </c>
      <c r="Q2382" s="12">
        <f>IF(O2382="Guaraníes",P2382,P2382*#REF!)</f>
        <v>1315068.4931999999</v>
      </c>
      <c r="R2382" s="12" t="e">
        <f>IF(O2382="Guaraníes",P2382/#REF!,P2382)</f>
        <v>#REF!</v>
      </c>
      <c r="S2382" s="5" t="s">
        <v>52</v>
      </c>
      <c r="T2382" s="5">
        <v>593</v>
      </c>
      <c r="W2382" s="5" t="e">
        <v>#REF!</v>
      </c>
      <c r="X2382" s="5">
        <v>0</v>
      </c>
      <c r="Y2382" s="5">
        <v>0</v>
      </c>
      <c r="Z2382" s="5">
        <v>13150.684932</v>
      </c>
      <c r="AA2382" s="5">
        <v>100</v>
      </c>
      <c r="AB2382" s="5">
        <v>1315068.4931999999</v>
      </c>
      <c r="AC2382" s="5" t="str">
        <f t="shared" si="115"/>
        <v>Bonos</v>
      </c>
      <c r="AD2382" s="5" t="s">
        <v>43</v>
      </c>
      <c r="AE2382" s="5">
        <f t="shared" si="113"/>
        <v>3</v>
      </c>
      <c r="AF2382" s="5">
        <f t="shared" si="114"/>
        <v>2020</v>
      </c>
    </row>
    <row r="2383" s="5" customFormat="1" ht="13">
      <c r="A2383" s="5" t="s">
        <v>44</v>
      </c>
      <c r="B2383" s="5" t="s">
        <v>44</v>
      </c>
      <c r="C2383" s="5" t="s">
        <v>176</v>
      </c>
      <c r="D2383" s="5" t="s">
        <v>21</v>
      </c>
      <c r="E2383" s="5" t="s">
        <v>44</v>
      </c>
      <c r="F2383" s="5" t="s">
        <v>68</v>
      </c>
      <c r="G2383" s="5" t="s">
        <v>69</v>
      </c>
      <c r="H2383" s="9" t="s">
        <v>479</v>
      </c>
      <c r="I2383" s="10"/>
      <c r="J2383" s="10">
        <v>43915</v>
      </c>
      <c r="K2383" s="5" t="s">
        <v>178</v>
      </c>
      <c r="L2383" s="5" t="s">
        <v>58</v>
      </c>
      <c r="M2383" s="11">
        <v>0.074999999999999997</v>
      </c>
      <c r="N2383" s="5" t="e">
        <f>IF(AND(M2383&gt;#REF!,Cartera!O2383="Guaraníes"),"Rendimiento significativo",IF(AND(M2383&gt;#REF!,Cartera!O2383="Dólares americanos"),"Rendimiento significativo","Rendimiento no significativo"))</f>
        <v>#REF!</v>
      </c>
      <c r="O2383" s="5" t="s">
        <v>51</v>
      </c>
      <c r="P2383" s="13">
        <v>628.76711999999998</v>
      </c>
      <c r="Q2383" s="12" t="e">
        <f>IF(O2383="Guaraníes",P2383,P2383*#REF!)</f>
        <v>#REF!</v>
      </c>
      <c r="R2383" s="12">
        <f>IF(O2383="Guaraníes",P2383/#REF!,P2383)</f>
        <v>628.76711999999998</v>
      </c>
      <c r="S2383" s="5" t="s">
        <v>52</v>
      </c>
      <c r="T2383" s="5">
        <v>593</v>
      </c>
      <c r="W2383" s="5" t="e">
        <v>#REF!</v>
      </c>
      <c r="X2383" s="5">
        <v>0</v>
      </c>
      <c r="Y2383" s="5">
        <v>0</v>
      </c>
      <c r="Z2383" s="5">
        <v>20.958904</v>
      </c>
      <c r="AA2383" s="5">
        <v>30</v>
      </c>
      <c r="AB2383" s="5">
        <v>628.76711999999998</v>
      </c>
      <c r="AC2383" s="5" t="str">
        <f t="shared" si="115"/>
        <v>Bonos</v>
      </c>
      <c r="AD2383" s="5" t="s">
        <v>43</v>
      </c>
      <c r="AE2383" s="5">
        <f t="shared" si="113"/>
        <v>3</v>
      </c>
      <c r="AF2383" s="5">
        <f t="shared" si="114"/>
        <v>2020</v>
      </c>
    </row>
    <row r="2384" s="5" customFormat="1" ht="13">
      <c r="A2384" s="5" t="s">
        <v>44</v>
      </c>
      <c r="B2384" s="5" t="s">
        <v>44</v>
      </c>
      <c r="C2384" s="5" t="s">
        <v>67</v>
      </c>
      <c r="D2384" s="5" t="s">
        <v>21</v>
      </c>
      <c r="E2384" s="5" t="s">
        <v>44</v>
      </c>
      <c r="F2384" s="5" t="s">
        <v>68</v>
      </c>
      <c r="G2384" s="5" t="s">
        <v>69</v>
      </c>
      <c r="H2384" s="9" t="s">
        <v>376</v>
      </c>
      <c r="I2384" s="10"/>
      <c r="J2384" s="10">
        <v>43917</v>
      </c>
      <c r="K2384" s="5" t="s">
        <v>71</v>
      </c>
      <c r="L2384" s="5" t="s">
        <v>58</v>
      </c>
      <c r="M2384" s="11">
        <v>0.070000000000000007</v>
      </c>
      <c r="N2384" s="5" t="e">
        <f>IF(AND(M2384&gt;#REF!,Cartera!O2384="Guaraníes"),"Rendimiento significativo",IF(AND(M2384&gt;#REF!,Cartera!O2384="Dólares americanos"),"Rendimiento significativo","Rendimiento no significativo"))</f>
        <v>#REF!</v>
      </c>
      <c r="O2384" s="5" t="s">
        <v>41</v>
      </c>
      <c r="P2384" s="12">
        <v>8500000</v>
      </c>
      <c r="Q2384" s="12">
        <f>IF(O2384="Guaraníes",P2384,P2384*#REF!)</f>
        <v>8500000</v>
      </c>
      <c r="R2384" s="12" t="e">
        <f>IF(O2384="Guaraníes",P2384/#REF!,P2384)</f>
        <v>#REF!</v>
      </c>
      <c r="S2384" s="5" t="s">
        <v>52</v>
      </c>
      <c r="T2384" s="5">
        <v>593</v>
      </c>
      <c r="W2384" s="5" t="e">
        <v>#REF!</v>
      </c>
      <c r="X2384" s="5">
        <v>10</v>
      </c>
      <c r="Y2384" s="5">
        <v>100000</v>
      </c>
      <c r="Z2384" s="5">
        <v>100000</v>
      </c>
      <c r="AA2384" s="5">
        <v>85</v>
      </c>
      <c r="AB2384" s="5">
        <v>8500000</v>
      </c>
      <c r="AC2384" s="5" t="str">
        <f t="shared" si="115"/>
        <v>Bonos</v>
      </c>
      <c r="AD2384" s="5" t="s">
        <v>43</v>
      </c>
      <c r="AE2384" s="5">
        <f t="shared" si="113"/>
        <v>3</v>
      </c>
      <c r="AF2384" s="5">
        <f t="shared" si="114"/>
        <v>2020</v>
      </c>
    </row>
    <row r="2385" s="5" customFormat="1" ht="13">
      <c r="A2385" s="5" t="s">
        <v>44</v>
      </c>
      <c r="B2385" s="5" t="s">
        <v>44</v>
      </c>
      <c r="C2385" s="5" t="s">
        <v>156</v>
      </c>
      <c r="D2385" s="5" t="s">
        <v>21</v>
      </c>
      <c r="E2385" s="5" t="s">
        <v>44</v>
      </c>
      <c r="F2385" s="5" t="s">
        <v>68</v>
      </c>
      <c r="G2385" s="5" t="s">
        <v>69</v>
      </c>
      <c r="H2385" s="9" t="s">
        <v>407</v>
      </c>
      <c r="I2385" s="10"/>
      <c r="J2385" s="10">
        <v>43934</v>
      </c>
      <c r="K2385" s="5" t="s">
        <v>158</v>
      </c>
      <c r="L2385" s="5" t="s">
        <v>58</v>
      </c>
      <c r="M2385" s="11">
        <v>0.12</v>
      </c>
      <c r="N2385" s="5" t="e">
        <f>IF(AND(M2385&gt;#REF!,Cartera!O2385="Guaraníes"),"Rendimiento significativo",IF(AND(M2385&gt;#REF!,Cartera!O2385="Dólares americanos"),"Rendimiento significativo","Rendimiento no significativo"))</f>
        <v>#REF!</v>
      </c>
      <c r="O2385" s="5" t="s">
        <v>41</v>
      </c>
      <c r="P2385" s="12">
        <v>1358904.1096000001</v>
      </c>
      <c r="Q2385" s="12">
        <f>IF(O2385="Guaraníes",P2385,P2385*#REF!)</f>
        <v>1358904.1096000001</v>
      </c>
      <c r="R2385" s="12" t="e">
        <f>IF(O2385="Guaraníes",P2385/#REF!,P2385)</f>
        <v>#REF!</v>
      </c>
      <c r="S2385" s="5" t="s">
        <v>52</v>
      </c>
      <c r="T2385" s="5">
        <v>593</v>
      </c>
      <c r="W2385" s="5" t="e">
        <v>#REF!</v>
      </c>
      <c r="X2385" s="5">
        <v>0</v>
      </c>
      <c r="Y2385" s="5">
        <v>0</v>
      </c>
      <c r="Z2385" s="5">
        <v>13589.041096000001</v>
      </c>
      <c r="AA2385" s="5">
        <v>100</v>
      </c>
      <c r="AB2385" s="5">
        <v>1358904.1096000001</v>
      </c>
      <c r="AC2385" s="5" t="str">
        <f t="shared" si="115"/>
        <v>Bonos</v>
      </c>
      <c r="AD2385" s="5" t="s">
        <v>43</v>
      </c>
      <c r="AE2385" s="5">
        <f t="shared" si="113"/>
        <v>4</v>
      </c>
      <c r="AF2385" s="5">
        <f t="shared" si="114"/>
        <v>2020</v>
      </c>
    </row>
    <row r="2386" s="5" customFormat="1" ht="13">
      <c r="A2386" s="5" t="s">
        <v>44</v>
      </c>
      <c r="B2386" s="5" t="s">
        <v>44</v>
      </c>
      <c r="C2386" s="5" t="s">
        <v>67</v>
      </c>
      <c r="D2386" s="5" t="s">
        <v>21</v>
      </c>
      <c r="E2386" s="5" t="s">
        <v>44</v>
      </c>
      <c r="F2386" s="5" t="s">
        <v>68</v>
      </c>
      <c r="G2386" s="5" t="s">
        <v>69</v>
      </c>
      <c r="H2386" s="9" t="s">
        <v>376</v>
      </c>
      <c r="I2386" s="10"/>
      <c r="J2386" s="10">
        <v>43948</v>
      </c>
      <c r="K2386" s="5" t="s">
        <v>71</v>
      </c>
      <c r="L2386" s="5" t="s">
        <v>58</v>
      </c>
      <c r="M2386" s="11">
        <v>0.070000000000000007</v>
      </c>
      <c r="N2386" s="5" t="e">
        <f>IF(AND(M2386&gt;#REF!,Cartera!O2386="Guaraníes"),"Rendimiento significativo",IF(AND(M2386&gt;#REF!,Cartera!O2386="Dólares americanos"),"Rendimiento significativo","Rendimiento no significativo"))</f>
        <v>#REF!</v>
      </c>
      <c r="O2386" s="5" t="s">
        <v>41</v>
      </c>
      <c r="P2386" s="12">
        <v>8500000</v>
      </c>
      <c r="Q2386" s="12">
        <f>IF(O2386="Guaraníes",P2386,P2386*#REF!)</f>
        <v>8500000</v>
      </c>
      <c r="R2386" s="12" t="e">
        <f>IF(O2386="Guaraníes",P2386/#REF!,P2386)</f>
        <v>#REF!</v>
      </c>
      <c r="S2386" s="5" t="s">
        <v>52</v>
      </c>
      <c r="T2386" s="5">
        <v>593</v>
      </c>
      <c r="W2386" s="5" t="e">
        <v>#REF!</v>
      </c>
      <c r="X2386" s="5">
        <v>10</v>
      </c>
      <c r="Y2386" s="5">
        <v>100000</v>
      </c>
      <c r="Z2386" s="5">
        <v>100000</v>
      </c>
      <c r="AA2386" s="5">
        <v>85</v>
      </c>
      <c r="AB2386" s="5">
        <v>8500000</v>
      </c>
      <c r="AC2386" s="5" t="str">
        <f t="shared" si="115"/>
        <v>Bonos</v>
      </c>
      <c r="AD2386" s="5" t="s">
        <v>43</v>
      </c>
      <c r="AE2386" s="5">
        <f t="shared" ref="AE2386:AE2449" si="116">IFERROR((MONTH(J2386)),0)</f>
        <v>4</v>
      </c>
      <c r="AF2386" s="5">
        <f t="shared" ref="AF2386:AF2449" si="117">IFERROR((YEAR(J2386)),0)</f>
        <v>2020</v>
      </c>
    </row>
    <row r="2387" s="5" customFormat="1" ht="13">
      <c r="A2387" s="5" t="s">
        <v>44</v>
      </c>
      <c r="B2387" s="5" t="s">
        <v>44</v>
      </c>
      <c r="C2387" s="5" t="s">
        <v>156</v>
      </c>
      <c r="D2387" s="5" t="s">
        <v>21</v>
      </c>
      <c r="E2387" s="5" t="s">
        <v>44</v>
      </c>
      <c r="F2387" s="5" t="s">
        <v>68</v>
      </c>
      <c r="G2387" s="5" t="s">
        <v>69</v>
      </c>
      <c r="H2387" s="9" t="s">
        <v>407</v>
      </c>
      <c r="I2387" s="10"/>
      <c r="J2387" s="10">
        <v>43964</v>
      </c>
      <c r="K2387" s="5" t="s">
        <v>158</v>
      </c>
      <c r="L2387" s="5" t="s">
        <v>58</v>
      </c>
      <c r="M2387" s="11">
        <v>0.12</v>
      </c>
      <c r="N2387" s="5" t="e">
        <f>IF(AND(M2387&gt;#REF!,Cartera!O2387="Guaraníes"),"Rendimiento significativo",IF(AND(M2387&gt;#REF!,Cartera!O2387="Dólares americanos"),"Rendimiento significativo","Rendimiento no significativo"))</f>
        <v>#REF!</v>
      </c>
      <c r="O2387" s="5" t="s">
        <v>41</v>
      </c>
      <c r="P2387" s="12">
        <v>1315068.4931999999</v>
      </c>
      <c r="Q2387" s="12">
        <f>IF(O2387="Guaraníes",P2387,P2387*#REF!)</f>
        <v>1315068.4931999999</v>
      </c>
      <c r="R2387" s="12" t="e">
        <f>IF(O2387="Guaraníes",P2387/#REF!,P2387)</f>
        <v>#REF!</v>
      </c>
      <c r="S2387" s="5" t="s">
        <v>52</v>
      </c>
      <c r="T2387" s="5">
        <v>593</v>
      </c>
      <c r="W2387" s="5" t="e">
        <v>#REF!</v>
      </c>
      <c r="X2387" s="5">
        <v>0</v>
      </c>
      <c r="Y2387" s="5">
        <v>0</v>
      </c>
      <c r="Z2387" s="5">
        <v>13150.684932</v>
      </c>
      <c r="AA2387" s="5">
        <v>100</v>
      </c>
      <c r="AB2387" s="5">
        <v>1315068.4931999999</v>
      </c>
      <c r="AC2387" s="5" t="str">
        <f t="shared" si="115"/>
        <v>Bonos</v>
      </c>
      <c r="AD2387" s="5" t="s">
        <v>43</v>
      </c>
      <c r="AE2387" s="5">
        <f t="shared" si="116"/>
        <v>5</v>
      </c>
      <c r="AF2387" s="5">
        <f t="shared" si="117"/>
        <v>2020</v>
      </c>
    </row>
    <row r="2388" s="5" customFormat="1" ht="13">
      <c r="A2388" s="5" t="s">
        <v>44</v>
      </c>
      <c r="B2388" s="5" t="s">
        <v>44</v>
      </c>
      <c r="C2388" s="5" t="s">
        <v>67</v>
      </c>
      <c r="D2388" s="5" t="s">
        <v>21</v>
      </c>
      <c r="E2388" s="5" t="s">
        <v>44</v>
      </c>
      <c r="F2388" s="5" t="s">
        <v>68</v>
      </c>
      <c r="G2388" s="5" t="s">
        <v>69</v>
      </c>
      <c r="H2388" s="9" t="s">
        <v>376</v>
      </c>
      <c r="I2388" s="10"/>
      <c r="J2388" s="10">
        <v>43978</v>
      </c>
      <c r="K2388" s="5" t="s">
        <v>71</v>
      </c>
      <c r="L2388" s="5" t="s">
        <v>58</v>
      </c>
      <c r="M2388" s="11">
        <v>0.070000000000000007</v>
      </c>
      <c r="N2388" s="5" t="e">
        <f>IF(AND(M2388&gt;#REF!,Cartera!O2388="Guaraníes"),"Rendimiento significativo",IF(AND(M2388&gt;#REF!,Cartera!O2388="Dólares americanos"),"Rendimiento significativo","Rendimiento no significativo"))</f>
        <v>#REF!</v>
      </c>
      <c r="O2388" s="5" t="s">
        <v>41</v>
      </c>
      <c r="P2388" s="12">
        <v>10025808.219220001</v>
      </c>
      <c r="Q2388" s="12">
        <f>IF(O2388="Guaraníes",P2388,P2388*#REF!)</f>
        <v>10025808.219220001</v>
      </c>
      <c r="R2388" s="12" t="e">
        <f>IF(O2388="Guaraníes",P2388/#REF!,P2388)</f>
        <v>#REF!</v>
      </c>
      <c r="S2388" s="5" t="s">
        <v>52</v>
      </c>
      <c r="T2388" s="5">
        <v>593</v>
      </c>
      <c r="W2388" s="5" t="e">
        <v>#REF!</v>
      </c>
      <c r="X2388" s="5">
        <v>10</v>
      </c>
      <c r="Y2388" s="5">
        <v>100000</v>
      </c>
      <c r="Z2388" s="5">
        <v>117950.684932</v>
      </c>
      <c r="AA2388" s="5">
        <v>85</v>
      </c>
      <c r="AB2388" s="5">
        <v>10025808.219219999</v>
      </c>
      <c r="AC2388" s="5" t="str">
        <f t="shared" si="115"/>
        <v>Bonos</v>
      </c>
      <c r="AD2388" s="5" t="s">
        <v>43</v>
      </c>
      <c r="AE2388" s="5">
        <f t="shared" si="116"/>
        <v>5</v>
      </c>
      <c r="AF2388" s="5">
        <f t="shared" si="117"/>
        <v>2020</v>
      </c>
    </row>
    <row r="2389" s="5" customFormat="1" ht="13">
      <c r="A2389" s="5" t="s">
        <v>44</v>
      </c>
      <c r="B2389" s="5" t="s">
        <v>44</v>
      </c>
      <c r="C2389" s="5" t="s">
        <v>67</v>
      </c>
      <c r="D2389" s="5" t="s">
        <v>21</v>
      </c>
      <c r="E2389" s="5" t="s">
        <v>44</v>
      </c>
      <c r="F2389" s="5" t="s">
        <v>68</v>
      </c>
      <c r="G2389" s="5" t="s">
        <v>69</v>
      </c>
      <c r="H2389" s="9" t="s">
        <v>70</v>
      </c>
      <c r="I2389" s="10"/>
      <c r="J2389" s="10">
        <v>43979</v>
      </c>
      <c r="K2389" s="5" t="s">
        <v>71</v>
      </c>
      <c r="L2389" s="5" t="s">
        <v>58</v>
      </c>
      <c r="M2389" s="11">
        <v>0.067500000000000004</v>
      </c>
      <c r="N2389" s="5" t="e">
        <f>IF(AND(M2389&gt;#REF!,Cartera!O2389="Guaraníes"),"Rendimiento significativo",IF(AND(M2389&gt;#REF!,Cartera!O2389="Dólares americanos"),"Rendimiento significativo","Rendimiento no significativo"))</f>
        <v>#REF!</v>
      </c>
      <c r="O2389" s="5" t="s">
        <v>51</v>
      </c>
      <c r="P2389" s="13">
        <v>159.56</v>
      </c>
      <c r="Q2389" s="12" t="e">
        <f>IF(O2389="Guaraníes",P2389,P2389*#REF!)</f>
        <v>#REF!</v>
      </c>
      <c r="R2389" s="12">
        <f>IF(O2389="Guaraníes",P2389/#REF!,P2389)</f>
        <v>159.56</v>
      </c>
      <c r="S2389" s="5" t="s">
        <v>52</v>
      </c>
      <c r="T2389" s="5">
        <v>593</v>
      </c>
      <c r="W2389" s="5" t="e">
        <v>#REF!</v>
      </c>
      <c r="X2389" s="5">
        <v>0</v>
      </c>
      <c r="Y2389" s="5">
        <v>0</v>
      </c>
      <c r="Z2389" s="5">
        <v>17.452055000000001</v>
      </c>
      <c r="AA2389" s="5">
        <v>8</v>
      </c>
      <c r="AB2389" s="5">
        <v>139.61644000000001</v>
      </c>
      <c r="AC2389" s="5" t="str">
        <f t="shared" si="115"/>
        <v>Bonos</v>
      </c>
      <c r="AD2389" s="5" t="s">
        <v>43</v>
      </c>
      <c r="AE2389" s="5">
        <f t="shared" si="116"/>
        <v>5</v>
      </c>
      <c r="AF2389" s="5">
        <f t="shared" si="117"/>
        <v>2020</v>
      </c>
    </row>
    <row r="2390" s="5" customFormat="1" ht="13">
      <c r="A2390" s="5" t="s">
        <v>44</v>
      </c>
      <c r="B2390" s="5" t="s">
        <v>44</v>
      </c>
      <c r="C2390" s="5" t="s">
        <v>156</v>
      </c>
      <c r="D2390" s="5" t="s">
        <v>21</v>
      </c>
      <c r="E2390" s="5" t="s">
        <v>44</v>
      </c>
      <c r="F2390" s="5" t="s">
        <v>68</v>
      </c>
      <c r="G2390" s="5" t="s">
        <v>69</v>
      </c>
      <c r="H2390" s="9" t="s">
        <v>407</v>
      </c>
      <c r="I2390" s="10"/>
      <c r="J2390" s="10">
        <v>43993</v>
      </c>
      <c r="K2390" s="5" t="s">
        <v>158</v>
      </c>
      <c r="L2390" s="5" t="s">
        <v>58</v>
      </c>
      <c r="M2390" s="11">
        <v>0.12</v>
      </c>
      <c r="N2390" s="5" t="e">
        <f>IF(AND(M2390&gt;#REF!,Cartera!O2390="Guaraníes"),"Rendimiento significativo",IF(AND(M2390&gt;#REF!,Cartera!O2390="Dólares americanos"),"Rendimiento significativo","Rendimiento no significativo"))</f>
        <v>#REF!</v>
      </c>
      <c r="O2390" s="5" t="s">
        <v>41</v>
      </c>
      <c r="P2390" s="12">
        <v>1271232.8767000001</v>
      </c>
      <c r="Q2390" s="12">
        <f>IF(O2390="Guaraníes",P2390,P2390*#REF!)</f>
        <v>1271232.8767000001</v>
      </c>
      <c r="R2390" s="12" t="e">
        <f>IF(O2390="Guaraníes",P2390/#REF!,P2390)</f>
        <v>#REF!</v>
      </c>
      <c r="S2390" s="5" t="s">
        <v>52</v>
      </c>
      <c r="T2390" s="5">
        <v>593</v>
      </c>
      <c r="W2390" s="5" t="e">
        <v>#REF!</v>
      </c>
      <c r="X2390" s="5">
        <v>0</v>
      </c>
      <c r="Y2390" s="5">
        <v>0</v>
      </c>
      <c r="Z2390" s="5">
        <v>12712.328767000001</v>
      </c>
      <c r="AA2390" s="5">
        <v>100</v>
      </c>
      <c r="AB2390" s="5">
        <v>1271232.8766999999</v>
      </c>
      <c r="AC2390" s="5" t="str">
        <f t="shared" si="115"/>
        <v>Bonos</v>
      </c>
      <c r="AD2390" s="5" t="s">
        <v>43</v>
      </c>
      <c r="AE2390" s="5">
        <f t="shared" si="116"/>
        <v>6</v>
      </c>
      <c r="AF2390" s="5">
        <f t="shared" si="117"/>
        <v>2020</v>
      </c>
    </row>
    <row r="2391" s="5" customFormat="1" ht="13">
      <c r="A2391" s="5" t="s">
        <v>44</v>
      </c>
      <c r="B2391" s="5" t="s">
        <v>44</v>
      </c>
      <c r="C2391" s="5" t="s">
        <v>176</v>
      </c>
      <c r="D2391" s="5" t="s">
        <v>21</v>
      </c>
      <c r="E2391" s="5" t="s">
        <v>44</v>
      </c>
      <c r="F2391" s="5" t="s">
        <v>68</v>
      </c>
      <c r="G2391" s="5" t="s">
        <v>69</v>
      </c>
      <c r="H2391" s="9" t="s">
        <v>479</v>
      </c>
      <c r="I2391" s="10"/>
      <c r="J2391" s="10">
        <v>44006</v>
      </c>
      <c r="K2391" s="5" t="s">
        <v>178</v>
      </c>
      <c r="L2391" s="5" t="s">
        <v>58</v>
      </c>
      <c r="M2391" s="11">
        <v>0.074999999999999997</v>
      </c>
      <c r="N2391" s="5" t="e">
        <f>IF(AND(M2391&gt;#REF!,Cartera!O2391="Guaraníes"),"Rendimiento significativo",IF(AND(M2391&gt;#REF!,Cartera!O2391="Dólares americanos"),"Rendimiento significativo","Rendimiento no significativo"))</f>
        <v>#REF!</v>
      </c>
      <c r="O2391" s="5" t="s">
        <v>51</v>
      </c>
      <c r="P2391" s="13">
        <v>635.75342999999998</v>
      </c>
      <c r="Q2391" s="12" t="e">
        <f>IF(O2391="Guaraníes",P2391,P2391*#REF!)</f>
        <v>#REF!</v>
      </c>
      <c r="R2391" s="12">
        <f>IF(O2391="Guaraníes",P2391/#REF!,P2391)</f>
        <v>635.75342999999998</v>
      </c>
      <c r="S2391" s="5" t="s">
        <v>52</v>
      </c>
      <c r="T2391" s="5">
        <v>593</v>
      </c>
      <c r="W2391" s="5" t="e">
        <v>#REF!</v>
      </c>
      <c r="X2391" s="5">
        <v>0</v>
      </c>
      <c r="Y2391" s="5">
        <v>0</v>
      </c>
      <c r="Z2391" s="5">
        <v>21.191780999999999</v>
      </c>
      <c r="AA2391" s="5">
        <v>30</v>
      </c>
      <c r="AB2391" s="5">
        <v>635.75342999999998</v>
      </c>
      <c r="AC2391" s="5" t="str">
        <f t="shared" si="115"/>
        <v>Bonos</v>
      </c>
      <c r="AD2391" s="5" t="s">
        <v>43</v>
      </c>
      <c r="AE2391" s="5">
        <f t="shared" si="116"/>
        <v>6</v>
      </c>
      <c r="AF2391" s="5">
        <f t="shared" si="117"/>
        <v>2020</v>
      </c>
    </row>
    <row r="2392" s="5" customFormat="1" ht="13">
      <c r="A2392" s="5" t="s">
        <v>44</v>
      </c>
      <c r="B2392" s="5" t="s">
        <v>44</v>
      </c>
      <c r="C2392" s="5" t="s">
        <v>156</v>
      </c>
      <c r="D2392" s="5" t="s">
        <v>21</v>
      </c>
      <c r="E2392" s="5" t="s">
        <v>44</v>
      </c>
      <c r="F2392" s="5" t="s">
        <v>68</v>
      </c>
      <c r="G2392" s="5" t="s">
        <v>69</v>
      </c>
      <c r="H2392" s="9" t="s">
        <v>407</v>
      </c>
      <c r="I2392" s="10"/>
      <c r="J2392" s="10">
        <v>44025</v>
      </c>
      <c r="K2392" s="5" t="s">
        <v>158</v>
      </c>
      <c r="L2392" s="5" t="s">
        <v>58</v>
      </c>
      <c r="M2392" s="11">
        <v>0.12</v>
      </c>
      <c r="N2392" s="5" t="e">
        <f>IF(AND(M2392&gt;#REF!,Cartera!O2392="Guaraníes"),"Rendimiento significativo",IF(AND(M2392&gt;#REF!,Cartera!O2392="Dólares americanos"),"Rendimiento significativo","Rendimiento no significativo"))</f>
        <v>#REF!</v>
      </c>
      <c r="O2392" s="5" t="s">
        <v>41</v>
      </c>
      <c r="P2392" s="12">
        <v>1402739.726</v>
      </c>
      <c r="Q2392" s="12">
        <f>IF(O2392="Guaraníes",P2392,P2392*#REF!)</f>
        <v>1402739.726</v>
      </c>
      <c r="R2392" s="12" t="e">
        <f>IF(O2392="Guaraníes",P2392/#REF!,P2392)</f>
        <v>#REF!</v>
      </c>
      <c r="S2392" s="5" t="s">
        <v>52</v>
      </c>
      <c r="T2392" s="5">
        <v>593</v>
      </c>
      <c r="W2392" s="5" t="e">
        <v>#REF!</v>
      </c>
      <c r="X2392" s="5">
        <v>0</v>
      </c>
      <c r="Y2392" s="5">
        <v>0</v>
      </c>
      <c r="Z2392" s="5">
        <v>14027.39726</v>
      </c>
      <c r="AA2392" s="5">
        <v>100</v>
      </c>
      <c r="AB2392" s="5">
        <v>1402739.726</v>
      </c>
      <c r="AC2392" s="5" t="str">
        <f t="shared" si="115"/>
        <v>Bonos</v>
      </c>
      <c r="AD2392" s="5" t="s">
        <v>43</v>
      </c>
      <c r="AE2392" s="5">
        <f t="shared" si="116"/>
        <v>7</v>
      </c>
      <c r="AF2392" s="5">
        <f t="shared" si="117"/>
        <v>2020</v>
      </c>
    </row>
    <row r="2393" s="5" customFormat="1" ht="13">
      <c r="A2393" s="5" t="s">
        <v>44</v>
      </c>
      <c r="B2393" s="5" t="s">
        <v>44</v>
      </c>
      <c r="C2393" s="5" t="s">
        <v>171</v>
      </c>
      <c r="D2393" s="5" t="s">
        <v>21</v>
      </c>
      <c r="E2393" s="5" t="s">
        <v>44</v>
      </c>
      <c r="F2393" s="5" t="s">
        <v>100</v>
      </c>
      <c r="G2393" s="5" t="s">
        <v>69</v>
      </c>
      <c r="H2393" s="9" t="s">
        <v>172</v>
      </c>
      <c r="I2393" s="10"/>
      <c r="J2393" s="10">
        <v>44027</v>
      </c>
      <c r="K2393" s="5" t="s">
        <v>173</v>
      </c>
      <c r="L2393" s="5" t="s">
        <v>58</v>
      </c>
      <c r="M2393" s="11">
        <v>0.14999999999999999</v>
      </c>
      <c r="N2393" s="5" t="e">
        <f>IF(AND(M2393&gt;#REF!,Cartera!O2393="Guaraníes"),"Rendimiento significativo",IF(AND(M2393&gt;#REF!,Cartera!O2393="Dólares americanos"),"Rendimiento significativo","Rendimiento no significativo"))</f>
        <v>#REF!</v>
      </c>
      <c r="O2393" s="5" t="s">
        <v>41</v>
      </c>
      <c r="P2393" s="12">
        <v>551095.89040799998</v>
      </c>
      <c r="Q2393" s="12">
        <f>IF(O2393="Guaraníes",P2393,P2393*#REF!)</f>
        <v>551095.89040799998</v>
      </c>
      <c r="R2393" s="12" t="e">
        <f>IF(O2393="Guaraníes",P2393/#REF!,P2393)</f>
        <v>#REF!</v>
      </c>
      <c r="S2393" s="5" t="s">
        <v>52</v>
      </c>
      <c r="T2393" s="5">
        <v>593</v>
      </c>
      <c r="W2393" s="5" t="s">
        <v>137</v>
      </c>
      <c r="X2393" s="5">
        <v>0</v>
      </c>
      <c r="Y2393" s="5">
        <v>0</v>
      </c>
      <c r="Z2393" s="5">
        <v>61232.876711999997</v>
      </c>
      <c r="AA2393" s="5">
        <v>9</v>
      </c>
      <c r="AB2393" s="5">
        <v>551095.89040799998</v>
      </c>
      <c r="AC2393" s="5" t="str">
        <f t="shared" si="115"/>
        <v>Bonos</v>
      </c>
      <c r="AD2393" s="5" t="s">
        <v>43</v>
      </c>
      <c r="AE2393" s="5">
        <f t="shared" si="116"/>
        <v>7</v>
      </c>
      <c r="AF2393" s="5">
        <f t="shared" si="117"/>
        <v>2020</v>
      </c>
    </row>
    <row r="2394" s="5" customFormat="1" ht="13">
      <c r="A2394" s="5" t="s">
        <v>44</v>
      </c>
      <c r="B2394" s="5" t="s">
        <v>44</v>
      </c>
      <c r="C2394" s="5" t="s">
        <v>99</v>
      </c>
      <c r="D2394" s="5" t="s">
        <v>21</v>
      </c>
      <c r="E2394" s="5" t="s">
        <v>44</v>
      </c>
      <c r="F2394" s="5" t="s">
        <v>100</v>
      </c>
      <c r="G2394" s="5" t="s">
        <v>69</v>
      </c>
      <c r="H2394" s="9" t="s">
        <v>238</v>
      </c>
      <c r="I2394" s="10"/>
      <c r="J2394" s="10">
        <v>44045</v>
      </c>
      <c r="K2394" s="5" t="s">
        <v>102</v>
      </c>
      <c r="L2394" s="5" t="s">
        <v>102</v>
      </c>
      <c r="M2394" s="11">
        <v>0.070000000000000007</v>
      </c>
      <c r="N2394" s="5" t="e">
        <f>IF(AND(M2394&gt;#REF!,Cartera!O2394="Guaraníes"),"Rendimiento significativo",IF(AND(M2394&gt;#REF!,Cartera!O2394="Dólares americanos"),"Rendimiento significativo","Rendimiento no significativo"))</f>
        <v>#REF!</v>
      </c>
      <c r="O2394" s="5" t="s">
        <v>41</v>
      </c>
      <c r="P2394" s="12">
        <v>2019452.0548</v>
      </c>
      <c r="Q2394" s="12">
        <f>IF(O2394="Guaraníes",P2394,P2394*#REF!)</f>
        <v>2019452.0548</v>
      </c>
      <c r="R2394" s="12" t="e">
        <f>IF(O2394="Guaraníes",P2394/#REF!,P2394)</f>
        <v>#REF!</v>
      </c>
      <c r="S2394" s="5" t="s">
        <v>52</v>
      </c>
      <c r="T2394" s="5">
        <v>593</v>
      </c>
      <c r="W2394" s="5" t="s">
        <v>514</v>
      </c>
      <c r="X2394" s="5">
        <v>0</v>
      </c>
      <c r="Y2394" s="5">
        <v>0</v>
      </c>
      <c r="Z2394" s="5">
        <v>40389.041096000001</v>
      </c>
      <c r="AA2394" s="5">
        <v>50</v>
      </c>
      <c r="AB2394" s="5">
        <v>2019452.0548</v>
      </c>
      <c r="AC2394" s="5" t="str">
        <f t="shared" si="115"/>
        <v>Bonos</v>
      </c>
      <c r="AD2394" s="5" t="s">
        <v>43</v>
      </c>
      <c r="AE2394" s="5">
        <f t="shared" si="116"/>
        <v>8</v>
      </c>
      <c r="AF2394" s="5">
        <f t="shared" si="117"/>
        <v>2020</v>
      </c>
    </row>
    <row r="2395" s="5" customFormat="1" ht="13">
      <c r="A2395" s="5" t="s">
        <v>44</v>
      </c>
      <c r="B2395" s="5" t="s">
        <v>44</v>
      </c>
      <c r="C2395" s="5" t="s">
        <v>457</v>
      </c>
      <c r="D2395" s="5" t="s">
        <v>21</v>
      </c>
      <c r="E2395" s="5" t="s">
        <v>44</v>
      </c>
      <c r="F2395" s="5" t="s">
        <v>100</v>
      </c>
      <c r="G2395" s="5" t="s">
        <v>69</v>
      </c>
      <c r="H2395" s="9" t="s">
        <v>458</v>
      </c>
      <c r="I2395" s="10"/>
      <c r="J2395" s="10">
        <v>44053</v>
      </c>
      <c r="K2395" s="5" t="s">
        <v>173</v>
      </c>
      <c r="L2395" s="5" t="s">
        <v>58</v>
      </c>
      <c r="M2395" s="11">
        <v>0.13500000000000001</v>
      </c>
      <c r="N2395" s="5" t="e">
        <f>IF(AND(M2395&gt;#REF!,Cartera!O2395="Guaraníes"),"Rendimiento significativo",IF(AND(M2395&gt;#REF!,Cartera!O2395="Dólares americanos"),"Rendimiento significativo","Rendimiento no significativo"))</f>
        <v>#REF!</v>
      </c>
      <c r="O2395" s="5" t="s">
        <v>41</v>
      </c>
      <c r="P2395" s="12">
        <v>4846684.9314959999</v>
      </c>
      <c r="Q2395" s="12">
        <f>IF(O2395="Guaraníes",P2395,P2395*#REF!)</f>
        <v>4846684.9314959999</v>
      </c>
      <c r="R2395" s="12" t="e">
        <f>IF(O2395="Guaraníes",P2395/#REF!,P2395)</f>
        <v>#REF!</v>
      </c>
      <c r="S2395" s="5" t="s">
        <v>52</v>
      </c>
      <c r="T2395" s="5">
        <v>593</v>
      </c>
      <c r="W2395" s="5" t="s">
        <v>484</v>
      </c>
      <c r="X2395" s="5">
        <v>0</v>
      </c>
      <c r="Y2395" s="5">
        <v>0</v>
      </c>
      <c r="Z2395" s="5">
        <v>67315.068492999999</v>
      </c>
      <c r="AA2395" s="5">
        <v>72</v>
      </c>
      <c r="AB2395" s="5">
        <v>4846684.9314959999</v>
      </c>
      <c r="AC2395" s="5" t="str">
        <f t="shared" si="115"/>
        <v>Bonos</v>
      </c>
      <c r="AD2395" s="5" t="s">
        <v>43</v>
      </c>
      <c r="AE2395" s="5">
        <f t="shared" si="116"/>
        <v>8</v>
      </c>
      <c r="AF2395" s="5">
        <f t="shared" si="117"/>
        <v>2020</v>
      </c>
    </row>
    <row r="2396" s="5" customFormat="1" ht="13">
      <c r="A2396" s="5" t="s">
        <v>44</v>
      </c>
      <c r="B2396" s="5" t="s">
        <v>44</v>
      </c>
      <c r="C2396" s="5" t="s">
        <v>457</v>
      </c>
      <c r="D2396" s="5" t="s">
        <v>21</v>
      </c>
      <c r="E2396" s="5" t="s">
        <v>44</v>
      </c>
      <c r="F2396" s="5" t="s">
        <v>100</v>
      </c>
      <c r="G2396" s="5" t="s">
        <v>69</v>
      </c>
      <c r="H2396" s="9" t="s">
        <v>459</v>
      </c>
      <c r="I2396" s="10"/>
      <c r="J2396" s="10">
        <v>44053</v>
      </c>
      <c r="K2396" s="5" t="s">
        <v>173</v>
      </c>
      <c r="L2396" s="5" t="s">
        <v>58</v>
      </c>
      <c r="M2396" s="11">
        <v>0.14499999999999999</v>
      </c>
      <c r="N2396" s="5" t="e">
        <f>IF(AND(M2396&gt;#REF!,Cartera!O2396="Guaraníes"),"Rendimiento significativo",IF(AND(M2396&gt;#REF!,Cartera!O2396="Dólares americanos"),"Rendimiento significativo","Rendimiento no significativo"))</f>
        <v>#REF!</v>
      </c>
      <c r="O2396" s="5" t="s">
        <v>41</v>
      </c>
      <c r="P2396" s="12">
        <v>2024438.356164</v>
      </c>
      <c r="Q2396" s="12">
        <f>IF(O2396="Guaraníes",P2396,P2396*#REF!)</f>
        <v>2024438.356164</v>
      </c>
      <c r="R2396" s="12" t="e">
        <f>IF(O2396="Guaraníes",P2396/#REF!,P2396)</f>
        <v>#REF!</v>
      </c>
      <c r="S2396" s="5" t="s">
        <v>52</v>
      </c>
      <c r="T2396" s="5">
        <v>593</v>
      </c>
      <c r="W2396" s="5" t="s">
        <v>297</v>
      </c>
      <c r="X2396" s="5">
        <v>0</v>
      </c>
      <c r="Y2396" s="5">
        <v>0</v>
      </c>
      <c r="Z2396" s="5">
        <v>72301.369863</v>
      </c>
      <c r="AA2396" s="5">
        <v>28</v>
      </c>
      <c r="AB2396" s="5">
        <v>2024438.356164</v>
      </c>
      <c r="AC2396" s="5" t="str">
        <f t="shared" si="115"/>
        <v>Bonos</v>
      </c>
      <c r="AD2396" s="5" t="s">
        <v>43</v>
      </c>
      <c r="AE2396" s="5">
        <f t="shared" si="116"/>
        <v>8</v>
      </c>
      <c r="AF2396" s="5">
        <f t="shared" si="117"/>
        <v>2020</v>
      </c>
    </row>
    <row r="2397" s="5" customFormat="1" ht="13">
      <c r="A2397" s="5" t="s">
        <v>44</v>
      </c>
      <c r="B2397" s="5" t="s">
        <v>44</v>
      </c>
      <c r="C2397" s="5" t="s">
        <v>156</v>
      </c>
      <c r="D2397" s="5" t="s">
        <v>21</v>
      </c>
      <c r="E2397" s="5" t="s">
        <v>44</v>
      </c>
      <c r="F2397" s="5" t="s">
        <v>68</v>
      </c>
      <c r="G2397" s="5" t="s">
        <v>69</v>
      </c>
      <c r="H2397" s="9" t="s">
        <v>407</v>
      </c>
      <c r="I2397" s="10"/>
      <c r="J2397" s="10">
        <v>44056</v>
      </c>
      <c r="K2397" s="5" t="s">
        <v>158</v>
      </c>
      <c r="L2397" s="5" t="s">
        <v>58</v>
      </c>
      <c r="M2397" s="11">
        <v>0.12</v>
      </c>
      <c r="N2397" s="5" t="e">
        <f>IF(AND(M2397&gt;#REF!,Cartera!O2397="Guaraníes"),"Rendimiento significativo",IF(AND(M2397&gt;#REF!,Cartera!O2397="Dólares americanos"),"Rendimiento significativo","Rendimiento no significativo"))</f>
        <v>#REF!</v>
      </c>
      <c r="O2397" s="5" t="s">
        <v>41</v>
      </c>
      <c r="P2397" s="12">
        <v>1358904.1096000001</v>
      </c>
      <c r="Q2397" s="12">
        <f>IF(O2397="Guaraníes",P2397,P2397*#REF!)</f>
        <v>1358904.1096000001</v>
      </c>
      <c r="R2397" s="12" t="e">
        <f>IF(O2397="Guaraníes",P2397/#REF!,P2397)</f>
        <v>#REF!</v>
      </c>
      <c r="S2397" s="5" t="s">
        <v>52</v>
      </c>
      <c r="T2397" s="5">
        <v>593</v>
      </c>
      <c r="W2397" s="5" t="s">
        <v>412</v>
      </c>
      <c r="X2397" s="5">
        <v>0</v>
      </c>
      <c r="Y2397" s="5">
        <v>0</v>
      </c>
      <c r="Z2397" s="5">
        <v>13589.041096000001</v>
      </c>
      <c r="AA2397" s="5">
        <v>100</v>
      </c>
      <c r="AB2397" s="5">
        <v>1358904.1096000001</v>
      </c>
      <c r="AC2397" s="5" t="str">
        <f t="shared" si="115"/>
        <v>Bonos</v>
      </c>
      <c r="AD2397" s="5" t="s">
        <v>43</v>
      </c>
      <c r="AE2397" s="5">
        <f t="shared" si="116"/>
        <v>8</v>
      </c>
      <c r="AF2397" s="5">
        <f t="shared" si="117"/>
        <v>2020</v>
      </c>
    </row>
    <row r="2398" s="5" customFormat="1" ht="13">
      <c r="A2398" s="5" t="s">
        <v>44</v>
      </c>
      <c r="B2398" s="5" t="s">
        <v>44</v>
      </c>
      <c r="C2398" s="5" t="s">
        <v>67</v>
      </c>
      <c r="D2398" s="5" t="s">
        <v>21</v>
      </c>
      <c r="E2398" s="5" t="s">
        <v>44</v>
      </c>
      <c r="F2398" s="5" t="s">
        <v>68</v>
      </c>
      <c r="G2398" s="5" t="s">
        <v>69</v>
      </c>
      <c r="H2398" s="9" t="s">
        <v>376</v>
      </c>
      <c r="I2398" s="10"/>
      <c r="J2398" s="10">
        <v>44069</v>
      </c>
      <c r="K2398" s="5" t="s">
        <v>71</v>
      </c>
      <c r="L2398" s="5" t="s">
        <v>58</v>
      </c>
      <c r="M2398" s="11">
        <v>0.070000000000000007</v>
      </c>
      <c r="N2398" s="5" t="e">
        <f>IF(AND(M2398&gt;#REF!,Cartera!O2398="Guaraníes"),"Rendimiento significativo",IF(AND(M2398&gt;#REF!,Cartera!O2398="Dólares americanos"),"Rendimiento significativo","Rendimiento no significativo"))</f>
        <v>#REF!</v>
      </c>
      <c r="O2398" s="5" t="s">
        <v>41</v>
      </c>
      <c r="P2398" s="12">
        <v>1144356.164415</v>
      </c>
      <c r="Q2398" s="12">
        <f>IF(O2398="Guaraníes",P2398,P2398*#REF!)</f>
        <v>1144356.164415</v>
      </c>
      <c r="R2398" s="12" t="e">
        <f>IF(O2398="Guaraníes",P2398/#REF!,P2398)</f>
        <v>#REF!</v>
      </c>
      <c r="S2398" s="5" t="s">
        <v>52</v>
      </c>
      <c r="T2398" s="5">
        <v>593</v>
      </c>
      <c r="W2398" s="5" t="s">
        <v>515</v>
      </c>
      <c r="X2398" s="5">
        <v>0</v>
      </c>
      <c r="Y2398" s="5">
        <v>0</v>
      </c>
      <c r="Z2398" s="5">
        <v>13463.013698999999</v>
      </c>
      <c r="AA2398" s="5">
        <v>85</v>
      </c>
      <c r="AB2398" s="5">
        <v>1144356.164415</v>
      </c>
      <c r="AC2398" s="5" t="str">
        <f t="shared" si="115"/>
        <v>Bonos</v>
      </c>
      <c r="AD2398" s="5" t="s">
        <v>43</v>
      </c>
      <c r="AE2398" s="5">
        <f t="shared" si="116"/>
        <v>8</v>
      </c>
      <c r="AF2398" s="5">
        <f t="shared" si="117"/>
        <v>2020</v>
      </c>
    </row>
    <row r="2399" s="5" customFormat="1" ht="13">
      <c r="A2399" s="5" t="s">
        <v>44</v>
      </c>
      <c r="B2399" s="5" t="s">
        <v>44</v>
      </c>
      <c r="C2399" s="5" t="s">
        <v>67</v>
      </c>
      <c r="D2399" s="5" t="s">
        <v>21</v>
      </c>
      <c r="E2399" s="5" t="s">
        <v>44</v>
      </c>
      <c r="F2399" s="5" t="s">
        <v>68</v>
      </c>
      <c r="G2399" s="5" t="s">
        <v>69</v>
      </c>
      <c r="H2399" s="9" t="s">
        <v>70</v>
      </c>
      <c r="I2399" s="10"/>
      <c r="J2399" s="10">
        <v>44070</v>
      </c>
      <c r="K2399" s="5" t="s">
        <v>71</v>
      </c>
      <c r="L2399" s="5" t="s">
        <v>58</v>
      </c>
      <c r="M2399" s="11">
        <v>0.067500000000000004</v>
      </c>
      <c r="N2399" s="5" t="e">
        <f>IF(AND(M2399&gt;#REF!,Cartera!O2399="Guaraníes"),"Rendimiento significativo",IF(AND(M2399&gt;#REF!,Cartera!O2399="Dólares americanos"),"Rendimiento significativo","Rendimiento no significativo"))</f>
        <v>#REF!</v>
      </c>
      <c r="O2399" s="5" t="s">
        <v>51</v>
      </c>
      <c r="P2399" s="13">
        <v>159.56</v>
      </c>
      <c r="Q2399" s="12" t="e">
        <f>IF(O2399="Guaraníes",P2399,P2399*#REF!)</f>
        <v>#REF!</v>
      </c>
      <c r="R2399" s="12">
        <f>IF(O2399="Guaraníes",P2399/#REF!,P2399)</f>
        <v>159.56</v>
      </c>
      <c r="S2399" s="5" t="s">
        <v>52</v>
      </c>
      <c r="T2399" s="5">
        <v>593</v>
      </c>
      <c r="W2399" s="5" t="s">
        <v>516</v>
      </c>
      <c r="X2399" s="5">
        <v>0</v>
      </c>
      <c r="Y2399" s="5">
        <v>0</v>
      </c>
      <c r="Z2399" s="5">
        <v>17.452055000000001</v>
      </c>
      <c r="AA2399" s="5">
        <v>8</v>
      </c>
      <c r="AB2399" s="5">
        <v>139.61644000000001</v>
      </c>
      <c r="AC2399" s="5" t="str">
        <f t="shared" si="115"/>
        <v>Bonos</v>
      </c>
      <c r="AD2399" s="5" t="s">
        <v>43</v>
      </c>
      <c r="AE2399" s="5">
        <f t="shared" si="116"/>
        <v>8</v>
      </c>
      <c r="AF2399" s="5">
        <f t="shared" si="117"/>
        <v>2020</v>
      </c>
    </row>
    <row r="2400" s="5" customFormat="1" ht="13">
      <c r="A2400" s="5" t="s">
        <v>44</v>
      </c>
      <c r="B2400" s="5" t="s">
        <v>44</v>
      </c>
      <c r="C2400" s="5" t="s">
        <v>156</v>
      </c>
      <c r="D2400" s="5" t="s">
        <v>21</v>
      </c>
      <c r="E2400" s="5" t="s">
        <v>44</v>
      </c>
      <c r="F2400" s="5" t="s">
        <v>68</v>
      </c>
      <c r="G2400" s="5" t="s">
        <v>69</v>
      </c>
      <c r="H2400" s="9" t="s">
        <v>407</v>
      </c>
      <c r="I2400" s="10"/>
      <c r="J2400" s="10">
        <v>44088</v>
      </c>
      <c r="K2400" s="5" t="s">
        <v>158</v>
      </c>
      <c r="L2400" s="5" t="s">
        <v>58</v>
      </c>
      <c r="M2400" s="11">
        <v>0.12</v>
      </c>
      <c r="N2400" s="5" t="e">
        <f>IF(AND(M2400&gt;#REF!,Cartera!O2400="Guaraníes"),"Rendimiento significativo",IF(AND(M2400&gt;#REF!,Cartera!O2400="Dólares americanos"),"Rendimiento significativo","Rendimiento no significativo"))</f>
        <v>#REF!</v>
      </c>
      <c r="O2400" s="5" t="s">
        <v>41</v>
      </c>
      <c r="P2400" s="12">
        <v>1402739.726</v>
      </c>
      <c r="Q2400" s="12">
        <f>IF(O2400="Guaraníes",P2400,P2400*#REF!)</f>
        <v>1402739.726</v>
      </c>
      <c r="R2400" s="12" t="e">
        <f>IF(O2400="Guaraníes",P2400/#REF!,P2400)</f>
        <v>#REF!</v>
      </c>
      <c r="S2400" s="5" t="s">
        <v>52</v>
      </c>
      <c r="T2400" s="5">
        <v>593</v>
      </c>
      <c r="W2400" s="5" t="s">
        <v>501</v>
      </c>
      <c r="X2400" s="5">
        <v>0</v>
      </c>
      <c r="Y2400" s="5">
        <v>0</v>
      </c>
      <c r="Z2400" s="5">
        <v>14027.39726</v>
      </c>
      <c r="AA2400" s="5">
        <v>100</v>
      </c>
      <c r="AB2400" s="5">
        <v>1402739.726</v>
      </c>
      <c r="AC2400" s="5" t="str">
        <f t="shared" si="115"/>
        <v>Bonos</v>
      </c>
      <c r="AD2400" s="5" t="s">
        <v>43</v>
      </c>
      <c r="AE2400" s="5">
        <f t="shared" si="116"/>
        <v>9</v>
      </c>
      <c r="AF2400" s="5">
        <f t="shared" si="117"/>
        <v>2020</v>
      </c>
    </row>
    <row r="2401" s="5" customFormat="1" ht="13">
      <c r="A2401" s="5" t="s">
        <v>44</v>
      </c>
      <c r="B2401" s="5" t="s">
        <v>44</v>
      </c>
      <c r="C2401" s="5" t="s">
        <v>176</v>
      </c>
      <c r="D2401" s="5" t="s">
        <v>21</v>
      </c>
      <c r="E2401" s="5" t="s">
        <v>44</v>
      </c>
      <c r="F2401" s="5" t="s">
        <v>68</v>
      </c>
      <c r="G2401" s="5" t="s">
        <v>69</v>
      </c>
      <c r="H2401" s="9" t="s">
        <v>479</v>
      </c>
      <c r="I2401" s="10"/>
      <c r="J2401" s="10">
        <v>44097</v>
      </c>
      <c r="K2401" s="5" t="s">
        <v>178</v>
      </c>
      <c r="L2401" s="5" t="s">
        <v>58</v>
      </c>
      <c r="M2401" s="11">
        <v>0.074999999999999997</v>
      </c>
      <c r="N2401" s="5" t="e">
        <f>IF(AND(M2401&gt;#REF!,Cartera!O2401="Guaraníes"),"Rendimiento significativo",IF(AND(M2401&gt;#REF!,Cartera!O2401="Dólares americanos"),"Rendimiento significativo","Rendimiento no significativo"))</f>
        <v>#REF!</v>
      </c>
      <c r="O2401" s="5" t="s">
        <v>51</v>
      </c>
      <c r="P2401" s="13">
        <v>635.75342999999998</v>
      </c>
      <c r="Q2401" s="12" t="e">
        <f>IF(O2401="Guaraníes",P2401,P2401*#REF!)</f>
        <v>#REF!</v>
      </c>
      <c r="R2401" s="12">
        <f>IF(O2401="Guaraníes",P2401/#REF!,P2401)</f>
        <v>635.75342999999998</v>
      </c>
      <c r="S2401" s="5" t="s">
        <v>52</v>
      </c>
      <c r="T2401" s="5">
        <v>593</v>
      </c>
      <c r="W2401" s="5" t="s">
        <v>207</v>
      </c>
      <c r="X2401" s="5">
        <v>0</v>
      </c>
      <c r="Y2401" s="5">
        <v>0</v>
      </c>
      <c r="Z2401" s="5">
        <v>21.191780999999999</v>
      </c>
      <c r="AA2401" s="5">
        <v>30</v>
      </c>
      <c r="AB2401" s="5">
        <v>635.75342999999998</v>
      </c>
      <c r="AC2401" s="5" t="str">
        <f t="shared" si="115"/>
        <v>Bonos</v>
      </c>
      <c r="AD2401" s="5" t="s">
        <v>43</v>
      </c>
      <c r="AE2401" s="5">
        <f t="shared" si="116"/>
        <v>9</v>
      </c>
      <c r="AF2401" s="5">
        <f t="shared" si="117"/>
        <v>2020</v>
      </c>
    </row>
    <row r="2402" s="5" customFormat="1" ht="13">
      <c r="A2402" s="5" t="s">
        <v>44</v>
      </c>
      <c r="B2402" s="5" t="s">
        <v>44</v>
      </c>
      <c r="C2402" s="5" t="s">
        <v>517</v>
      </c>
      <c r="D2402" s="5" t="s">
        <v>20</v>
      </c>
      <c r="E2402" s="5" t="s">
        <v>44</v>
      </c>
      <c r="F2402" s="5" t="s">
        <v>68</v>
      </c>
      <c r="G2402" s="5" t="s">
        <v>69</v>
      </c>
      <c r="H2402" s="9" t="s">
        <v>518</v>
      </c>
      <c r="I2402" s="10">
        <v>40695</v>
      </c>
      <c r="J2402" s="10">
        <v>44109</v>
      </c>
      <c r="K2402" s="5" t="s">
        <v>509</v>
      </c>
      <c r="L2402" s="5" t="s">
        <v>519</v>
      </c>
      <c r="M2402" s="11">
        <v>0.17999999999999999</v>
      </c>
      <c r="N2402" s="5" t="e">
        <f>IF(AND(M2402&gt;#REF!,Cartera!O2402="Guaraníes"),"Rendimiento significativo",IF(AND(M2402&gt;#REF!,Cartera!O2402="Dólares americanos"),"Rendimiento significativo","Rendimiento no significativo"))</f>
        <v>#REF!</v>
      </c>
      <c r="O2402" s="5" t="s">
        <v>41</v>
      </c>
      <c r="P2402" s="12">
        <v>7171116</v>
      </c>
      <c r="Q2402" s="12">
        <f>IF(O2402="Guaraníes",P2402,P2402*#REF!)</f>
        <v>7171116</v>
      </c>
      <c r="R2402" s="12" t="e">
        <f>IF(O2402="Guaraníes",P2402/#REF!,P2402)</f>
        <v>#REF!</v>
      </c>
      <c r="S2402" s="5" t="s">
        <v>52</v>
      </c>
      <c r="AC2402" s="5" t="str">
        <f t="shared" si="115"/>
        <v>Bonos</v>
      </c>
      <c r="AD2402" s="5" t="s">
        <v>43</v>
      </c>
      <c r="AE2402" s="5">
        <f t="shared" si="116"/>
        <v>10</v>
      </c>
      <c r="AF2402" s="5">
        <f t="shared" si="117"/>
        <v>2020</v>
      </c>
    </row>
    <row r="2403" s="5" customFormat="1" ht="13">
      <c r="A2403" s="5" t="s">
        <v>44</v>
      </c>
      <c r="B2403" s="5" t="s">
        <v>44</v>
      </c>
      <c r="C2403" s="5" t="s">
        <v>156</v>
      </c>
      <c r="D2403" s="5" t="s">
        <v>21</v>
      </c>
      <c r="E2403" s="5" t="s">
        <v>44</v>
      </c>
      <c r="F2403" s="5" t="s">
        <v>68</v>
      </c>
      <c r="G2403" s="5" t="s">
        <v>69</v>
      </c>
      <c r="H2403" s="9" t="s">
        <v>407</v>
      </c>
      <c r="I2403" s="10"/>
      <c r="J2403" s="10">
        <v>44117</v>
      </c>
      <c r="K2403" s="5" t="s">
        <v>158</v>
      </c>
      <c r="L2403" s="5" t="s">
        <v>58</v>
      </c>
      <c r="M2403" s="11">
        <v>0.12</v>
      </c>
      <c r="N2403" s="5" t="e">
        <f>IF(AND(M2403&gt;#REF!,Cartera!O2403="Guaraníes"),"Rendimiento significativo",IF(AND(M2403&gt;#REF!,Cartera!O2403="Dólares americanos"),"Rendimiento significativo","Rendimiento no significativo"))</f>
        <v>#REF!</v>
      </c>
      <c r="O2403" s="5" t="s">
        <v>41</v>
      </c>
      <c r="P2403" s="12">
        <v>1271232.8767000001</v>
      </c>
      <c r="Q2403" s="12">
        <f>IF(O2403="Guaraníes",P2403,P2403*#REF!)</f>
        <v>1271232.8767000001</v>
      </c>
      <c r="R2403" s="12" t="e">
        <f>IF(O2403="Guaraníes",P2403/#REF!,P2403)</f>
        <v>#REF!</v>
      </c>
      <c r="S2403" s="5" t="s">
        <v>52</v>
      </c>
      <c r="T2403" s="5">
        <v>593</v>
      </c>
      <c r="W2403" s="5" t="s">
        <v>408</v>
      </c>
      <c r="X2403" s="5">
        <v>0</v>
      </c>
      <c r="Y2403" s="5">
        <v>0</v>
      </c>
      <c r="Z2403" s="5">
        <v>12712.328767000001</v>
      </c>
      <c r="AA2403" s="5">
        <v>100</v>
      </c>
      <c r="AB2403" s="5">
        <v>1271232.8766999999</v>
      </c>
      <c r="AC2403" s="5" t="str">
        <f t="shared" si="115"/>
        <v>Bonos</v>
      </c>
      <c r="AD2403" s="5" t="s">
        <v>43</v>
      </c>
      <c r="AE2403" s="5">
        <f t="shared" si="116"/>
        <v>10</v>
      </c>
      <c r="AF2403" s="5">
        <f t="shared" si="117"/>
        <v>2020</v>
      </c>
    </row>
    <row r="2404" s="5" customFormat="1" ht="13">
      <c r="A2404" s="5" t="s">
        <v>44</v>
      </c>
      <c r="B2404" s="5" t="s">
        <v>44</v>
      </c>
      <c r="C2404" s="5" t="s">
        <v>156</v>
      </c>
      <c r="D2404" s="5" t="s">
        <v>21</v>
      </c>
      <c r="E2404" s="5" t="s">
        <v>44</v>
      </c>
      <c r="F2404" s="5" t="s">
        <v>68</v>
      </c>
      <c r="G2404" s="5" t="s">
        <v>69</v>
      </c>
      <c r="H2404" s="9" t="s">
        <v>407</v>
      </c>
      <c r="I2404" s="10"/>
      <c r="J2404" s="10">
        <v>44147</v>
      </c>
      <c r="K2404" s="5" t="s">
        <v>77</v>
      </c>
      <c r="L2404" s="5" t="s">
        <v>58</v>
      </c>
      <c r="M2404" s="11">
        <v>0.12</v>
      </c>
      <c r="N2404" s="5" t="e">
        <f>IF(AND(M2404&gt;#REF!,Cartera!O2404="Guaraníes"),"Rendimiento significativo",IF(AND(M2404&gt;#REF!,Cartera!O2404="Dólares americanos"),"Rendimiento significativo","Rendimiento no significativo"))</f>
        <v>#REF!</v>
      </c>
      <c r="O2404" s="5" t="s">
        <v>41</v>
      </c>
      <c r="P2404" s="12">
        <v>1617534.246636</v>
      </c>
      <c r="Q2404" s="12">
        <f>IF(O2404="Guaraníes",P2404,P2404*#REF!)</f>
        <v>1617534.246636</v>
      </c>
      <c r="R2404" s="12" t="e">
        <f>IF(O2404="Guaraníes",P2404/#REF!,P2404)</f>
        <v>#REF!</v>
      </c>
      <c r="S2404" s="5" t="s">
        <v>52</v>
      </c>
      <c r="T2404" s="5">
        <v>593</v>
      </c>
      <c r="W2404" s="5" t="s">
        <v>460</v>
      </c>
      <c r="X2404" s="5">
        <v>0</v>
      </c>
      <c r="Y2404" s="5">
        <v>0</v>
      </c>
      <c r="Z2404" s="5">
        <v>13150.684932</v>
      </c>
      <c r="AA2404" s="5">
        <v>123</v>
      </c>
      <c r="AB2404" s="5">
        <v>1617534.246636</v>
      </c>
      <c r="AC2404" s="5" t="str">
        <f t="shared" si="115"/>
        <v>Bonos</v>
      </c>
      <c r="AD2404" s="5" t="s">
        <v>43</v>
      </c>
      <c r="AE2404" s="5">
        <f t="shared" si="116"/>
        <v>11</v>
      </c>
      <c r="AF2404" s="5">
        <f t="shared" si="117"/>
        <v>2020</v>
      </c>
    </row>
    <row r="2405" s="5" customFormat="1" ht="13">
      <c r="A2405" s="5" t="s">
        <v>44</v>
      </c>
      <c r="B2405" s="5" t="s">
        <v>44</v>
      </c>
      <c r="C2405" s="5" t="s">
        <v>67</v>
      </c>
      <c r="D2405" s="5" t="s">
        <v>21</v>
      </c>
      <c r="E2405" s="5" t="s">
        <v>44</v>
      </c>
      <c r="F2405" s="5" t="s">
        <v>68</v>
      </c>
      <c r="G2405" s="5" t="s">
        <v>69</v>
      </c>
      <c r="H2405" s="9" t="s">
        <v>376</v>
      </c>
      <c r="I2405" s="10"/>
      <c r="J2405" s="10">
        <v>44160</v>
      </c>
      <c r="K2405" s="5" t="s">
        <v>71</v>
      </c>
      <c r="L2405" s="5" t="s">
        <v>58</v>
      </c>
      <c r="M2405" s="11">
        <v>0.070000000000000007</v>
      </c>
      <c r="N2405" s="5" t="e">
        <f>IF(AND(M2405&gt;#REF!,Cartera!O2405="Guaraníes"),"Rendimiento significativo",IF(AND(M2405&gt;#REF!,Cartera!O2405="Dólares americanos"),"Rendimiento significativo","Rendimiento no significativo"))</f>
        <v>#REF!</v>
      </c>
      <c r="O2405" s="5" t="s">
        <v>41</v>
      </c>
      <c r="P2405" s="12">
        <v>1144356.164415</v>
      </c>
      <c r="Q2405" s="12">
        <f>IF(O2405="Guaraníes",P2405,P2405*#REF!)</f>
        <v>1144356.164415</v>
      </c>
      <c r="R2405" s="12" t="e">
        <f>IF(O2405="Guaraníes",P2405/#REF!,P2405)</f>
        <v>#REF!</v>
      </c>
      <c r="S2405" s="5" t="s">
        <v>52</v>
      </c>
      <c r="T2405" s="5">
        <v>593</v>
      </c>
      <c r="W2405" s="5" t="s">
        <v>410</v>
      </c>
      <c r="X2405" s="5">
        <v>0</v>
      </c>
      <c r="Y2405" s="5">
        <v>0</v>
      </c>
      <c r="Z2405" s="5">
        <v>13463.013698999999</v>
      </c>
      <c r="AA2405" s="5">
        <v>85</v>
      </c>
      <c r="AB2405" s="5">
        <v>1144356.164415</v>
      </c>
      <c r="AC2405" s="5" t="str">
        <f t="shared" si="115"/>
        <v>Bonos</v>
      </c>
      <c r="AD2405" s="5" t="s">
        <v>43</v>
      </c>
      <c r="AE2405" s="5">
        <f t="shared" si="116"/>
        <v>11</v>
      </c>
      <c r="AF2405" s="5">
        <f t="shared" si="117"/>
        <v>2020</v>
      </c>
    </row>
    <row r="2406" s="5" customFormat="1" ht="13">
      <c r="A2406" s="5" t="s">
        <v>44</v>
      </c>
      <c r="B2406" s="5" t="s">
        <v>44</v>
      </c>
      <c r="C2406" s="5" t="s">
        <v>114</v>
      </c>
      <c r="D2406" s="5" t="s">
        <v>21</v>
      </c>
      <c r="E2406" s="5" t="s">
        <v>44</v>
      </c>
      <c r="F2406" s="5" t="s">
        <v>68</v>
      </c>
      <c r="G2406" s="5" t="s">
        <v>69</v>
      </c>
      <c r="H2406" s="9" t="s">
        <v>520</v>
      </c>
      <c r="I2406" s="10"/>
      <c r="J2406" s="10">
        <v>44160</v>
      </c>
      <c r="K2406" s="5" t="s">
        <v>77</v>
      </c>
      <c r="L2406" s="5" t="s">
        <v>50</v>
      </c>
      <c r="M2406" s="11">
        <v>0.14249999999999999</v>
      </c>
      <c r="N2406" s="5" t="e">
        <f>IF(AND(M2406&gt;#REF!,Cartera!O2406="Guaraníes"),"Rendimiento significativo",IF(AND(M2406&gt;#REF!,Cartera!O2406="Dólares americanos"),"Rendimiento significativo","Rendimiento no significativo"))</f>
        <v>#REF!</v>
      </c>
      <c r="O2406" s="5" t="s">
        <v>41</v>
      </c>
      <c r="P2406" s="12">
        <v>3552739.7259999998</v>
      </c>
      <c r="Q2406" s="12">
        <f>IF(O2406="Guaraníes",P2406,P2406*#REF!)</f>
        <v>3552739.7259999998</v>
      </c>
      <c r="R2406" s="12" t="e">
        <f>IF(O2406="Guaraníes",P2406/#REF!,P2406)</f>
        <v>#REF!</v>
      </c>
      <c r="S2406" s="5" t="s">
        <v>52</v>
      </c>
      <c r="T2406" s="5">
        <v>593</v>
      </c>
      <c r="W2406" s="5" t="s">
        <v>521</v>
      </c>
      <c r="X2406" s="5">
        <v>0</v>
      </c>
      <c r="Y2406" s="5">
        <v>0</v>
      </c>
      <c r="Z2406" s="5">
        <v>35527.397259999998</v>
      </c>
      <c r="AA2406" s="5">
        <v>100</v>
      </c>
      <c r="AB2406" s="5">
        <v>3552739.7259999998</v>
      </c>
      <c r="AC2406" s="5" t="str">
        <f t="shared" si="115"/>
        <v>Bonos</v>
      </c>
      <c r="AD2406" s="5" t="s">
        <v>43</v>
      </c>
      <c r="AE2406" s="5">
        <f t="shared" si="116"/>
        <v>11</v>
      </c>
      <c r="AF2406" s="5">
        <f t="shared" si="117"/>
        <v>2020</v>
      </c>
    </row>
    <row r="2407" s="5" customFormat="1" ht="13">
      <c r="A2407" s="5" t="s">
        <v>44</v>
      </c>
      <c r="B2407" s="5" t="s">
        <v>44</v>
      </c>
      <c r="C2407" s="5" t="s">
        <v>67</v>
      </c>
      <c r="D2407" s="5" t="s">
        <v>21</v>
      </c>
      <c r="E2407" s="5" t="s">
        <v>44</v>
      </c>
      <c r="F2407" s="5" t="s">
        <v>68</v>
      </c>
      <c r="G2407" s="5" t="s">
        <v>69</v>
      </c>
      <c r="H2407" s="9" t="s">
        <v>70</v>
      </c>
      <c r="I2407" s="10"/>
      <c r="J2407" s="10">
        <v>44161</v>
      </c>
      <c r="K2407" s="5" t="s">
        <v>71</v>
      </c>
      <c r="L2407" s="5" t="s">
        <v>58</v>
      </c>
      <c r="M2407" s="11">
        <v>0.067500000000000004</v>
      </c>
      <c r="N2407" s="5" t="e">
        <f>IF(AND(M2407&gt;#REF!,Cartera!O2407="Guaraníes"),"Rendimiento significativo",IF(AND(M2407&gt;#REF!,Cartera!O2407="Dólares americanos"),"Rendimiento significativo","Rendimiento no significativo"))</f>
        <v>#REF!</v>
      </c>
      <c r="O2407" s="5" t="s">
        <v>51</v>
      </c>
      <c r="P2407" s="13">
        <v>159.56</v>
      </c>
      <c r="Q2407" s="12" t="e">
        <f>IF(O2407="Guaraníes",P2407,P2407*#REF!)</f>
        <v>#REF!</v>
      </c>
      <c r="R2407" s="12">
        <f>IF(O2407="Guaraníes",P2407/#REF!,P2407)</f>
        <v>159.56</v>
      </c>
      <c r="S2407" s="5" t="s">
        <v>52</v>
      </c>
      <c r="T2407" s="5">
        <v>593</v>
      </c>
      <c r="W2407" s="5" t="s">
        <v>384</v>
      </c>
      <c r="X2407" s="5">
        <v>0</v>
      </c>
      <c r="Y2407" s="5">
        <v>0</v>
      </c>
      <c r="Z2407" s="5">
        <v>17.452055000000001</v>
      </c>
      <c r="AA2407" s="5">
        <v>8</v>
      </c>
      <c r="AB2407" s="5">
        <v>139.61644000000001</v>
      </c>
      <c r="AC2407" s="5" t="str">
        <f t="shared" si="115"/>
        <v>Bonos</v>
      </c>
      <c r="AD2407" s="5" t="s">
        <v>43</v>
      </c>
      <c r="AE2407" s="5">
        <f t="shared" si="116"/>
        <v>11</v>
      </c>
      <c r="AF2407" s="5">
        <f t="shared" si="117"/>
        <v>2020</v>
      </c>
    </row>
    <row r="2408" s="5" customFormat="1" ht="13">
      <c r="A2408" s="5" t="s">
        <v>44</v>
      </c>
      <c r="B2408" s="5" t="s">
        <v>44</v>
      </c>
      <c r="C2408" s="5" t="s">
        <v>156</v>
      </c>
      <c r="D2408" s="5" t="s">
        <v>21</v>
      </c>
      <c r="E2408" s="5" t="s">
        <v>44</v>
      </c>
      <c r="F2408" s="5" t="s">
        <v>68</v>
      </c>
      <c r="G2408" s="5" t="s">
        <v>69</v>
      </c>
      <c r="H2408" s="9" t="s">
        <v>407</v>
      </c>
      <c r="I2408" s="10"/>
      <c r="J2408" s="10">
        <v>44176</v>
      </c>
      <c r="K2408" s="5" t="s">
        <v>158</v>
      </c>
      <c r="L2408" s="5" t="s">
        <v>58</v>
      </c>
      <c r="M2408" s="11">
        <v>0.12</v>
      </c>
      <c r="N2408" s="5" t="e">
        <f>IF(AND(M2408&gt;#REF!,Cartera!O2408="Guaraníes"),"Rendimiento significativo",IF(AND(M2408&gt;#REF!,Cartera!O2408="Dólares americanos"),"Rendimiento significativo","Rendimiento no significativo"))</f>
        <v>#REF!</v>
      </c>
      <c r="O2408" s="5" t="s">
        <v>41</v>
      </c>
      <c r="P2408" s="12">
        <v>1563616.4383410001</v>
      </c>
      <c r="Q2408" s="12">
        <f>IF(O2408="Guaraníes",P2408,P2408*#REF!)</f>
        <v>1563616.4383410001</v>
      </c>
      <c r="R2408" s="12" t="e">
        <f>IF(O2408="Guaraníes",P2408/#REF!,P2408)</f>
        <v>#REF!</v>
      </c>
      <c r="S2408" s="5" t="s">
        <v>52</v>
      </c>
      <c r="T2408" s="5">
        <v>593</v>
      </c>
      <c r="W2408" s="5" t="s">
        <v>480</v>
      </c>
      <c r="X2408" s="5">
        <v>0</v>
      </c>
      <c r="Y2408" s="5">
        <v>0</v>
      </c>
      <c r="Z2408" s="5">
        <v>12712.328767000001</v>
      </c>
      <c r="AA2408" s="5">
        <v>123</v>
      </c>
      <c r="AB2408" s="5">
        <v>1563616.4383409999</v>
      </c>
      <c r="AC2408" s="5" t="str">
        <f t="shared" si="115"/>
        <v>Bonos</v>
      </c>
      <c r="AD2408" s="5" t="s">
        <v>43</v>
      </c>
      <c r="AE2408" s="5">
        <f t="shared" si="116"/>
        <v>12</v>
      </c>
      <c r="AF2408" s="5">
        <f t="shared" si="117"/>
        <v>2020</v>
      </c>
    </row>
    <row r="2409" s="5" customFormat="1" ht="13">
      <c r="A2409" s="5" t="s">
        <v>44</v>
      </c>
      <c r="B2409" s="5" t="s">
        <v>44</v>
      </c>
      <c r="C2409" s="5" t="s">
        <v>176</v>
      </c>
      <c r="D2409" s="5" t="s">
        <v>21</v>
      </c>
      <c r="E2409" s="5" t="s">
        <v>44</v>
      </c>
      <c r="F2409" s="5" t="s">
        <v>68</v>
      </c>
      <c r="G2409" s="5" t="s">
        <v>69</v>
      </c>
      <c r="H2409" s="9" t="s">
        <v>479</v>
      </c>
      <c r="I2409" s="10"/>
      <c r="J2409" s="10">
        <v>44188</v>
      </c>
      <c r="K2409" s="5" t="s">
        <v>178</v>
      </c>
      <c r="L2409" s="5" t="s">
        <v>58</v>
      </c>
      <c r="M2409" s="11">
        <v>0.074999999999999997</v>
      </c>
      <c r="N2409" s="5" t="e">
        <f>IF(AND(M2409&gt;#REF!,Cartera!O2409="Guaraníes"),"Rendimiento significativo",IF(AND(M2409&gt;#REF!,Cartera!O2409="Dólares americanos"),"Rendimiento significativo","Rendimiento no significativo"))</f>
        <v>#REF!</v>
      </c>
      <c r="O2409" s="5" t="s">
        <v>51</v>
      </c>
      <c r="P2409" s="13">
        <v>635.75342999999998</v>
      </c>
      <c r="Q2409" s="12" t="e">
        <f>IF(O2409="Guaraníes",P2409,P2409*#REF!)</f>
        <v>#REF!</v>
      </c>
      <c r="R2409" s="12">
        <f>IF(O2409="Guaraníes",P2409/#REF!,P2409)</f>
        <v>635.75342999999998</v>
      </c>
      <c r="S2409" s="5" t="s">
        <v>52</v>
      </c>
      <c r="T2409" s="5">
        <v>593</v>
      </c>
      <c r="W2409" s="5" t="s">
        <v>202</v>
      </c>
      <c r="X2409" s="5">
        <v>0</v>
      </c>
      <c r="Y2409" s="5">
        <v>0</v>
      </c>
      <c r="Z2409" s="5">
        <v>21.191780999999999</v>
      </c>
      <c r="AA2409" s="5">
        <v>30</v>
      </c>
      <c r="AB2409" s="5">
        <v>635.75342999999998</v>
      </c>
      <c r="AC2409" s="5" t="str">
        <f t="shared" si="115"/>
        <v>Bonos</v>
      </c>
      <c r="AD2409" s="5" t="s">
        <v>43</v>
      </c>
      <c r="AE2409" s="5">
        <f t="shared" si="116"/>
        <v>12</v>
      </c>
      <c r="AF2409" s="5">
        <f t="shared" si="117"/>
        <v>2020</v>
      </c>
    </row>
    <row r="2410" s="5" customFormat="1" ht="13">
      <c r="A2410" s="5" t="s">
        <v>44</v>
      </c>
      <c r="B2410" s="5" t="s">
        <v>44</v>
      </c>
      <c r="C2410" s="5" t="s">
        <v>156</v>
      </c>
      <c r="D2410" s="5" t="s">
        <v>21</v>
      </c>
      <c r="E2410" s="5" t="s">
        <v>44</v>
      </c>
      <c r="F2410" s="5" t="s">
        <v>68</v>
      </c>
      <c r="G2410" s="5" t="s">
        <v>69</v>
      </c>
      <c r="H2410" s="9" t="s">
        <v>407</v>
      </c>
      <c r="I2410" s="10"/>
      <c r="J2410" s="10">
        <v>44207</v>
      </c>
      <c r="K2410" s="5" t="s">
        <v>158</v>
      </c>
      <c r="L2410" s="5" t="s">
        <v>58</v>
      </c>
      <c r="M2410" s="11">
        <v>0.12</v>
      </c>
      <c r="N2410" s="5" t="e">
        <f>IF(AND(M2410&gt;#REF!,Cartera!O2410="Guaraníes"),"Rendimiento significativo",IF(AND(M2410&gt;#REF!,Cartera!O2410="Dólares americanos"),"Rendimiento significativo","Rendimiento no significativo"))</f>
        <v>#REF!</v>
      </c>
      <c r="O2410" s="5" t="s">
        <v>41</v>
      </c>
      <c r="P2410" s="12">
        <v>1671452.0553000001</v>
      </c>
      <c r="Q2410" s="12">
        <f>IF(O2410="Guaraníes",P2410,P2410*#REF!)</f>
        <v>1671452.0553000001</v>
      </c>
      <c r="R2410" s="12" t="e">
        <f>IF(O2410="Guaraníes",P2410/#REF!,P2410)</f>
        <v>#REF!</v>
      </c>
      <c r="S2410" s="5" t="s">
        <v>52</v>
      </c>
      <c r="T2410" s="5">
        <v>593</v>
      </c>
      <c r="W2410" s="5" t="s">
        <v>412</v>
      </c>
      <c r="X2410" s="5">
        <v>0</v>
      </c>
      <c r="Y2410" s="5">
        <v>0</v>
      </c>
      <c r="Z2410" s="5">
        <v>13589.0411</v>
      </c>
      <c r="AA2410" s="5">
        <v>123</v>
      </c>
      <c r="AB2410" s="5">
        <v>1671452.0549999999</v>
      </c>
      <c r="AC2410" s="5" t="str">
        <f t="shared" si="115"/>
        <v>Bonos</v>
      </c>
      <c r="AD2410" s="5" t="s">
        <v>43</v>
      </c>
      <c r="AE2410" s="5">
        <f t="shared" si="116"/>
        <v>1</v>
      </c>
      <c r="AF2410" s="5">
        <f t="shared" si="117"/>
        <v>2021</v>
      </c>
    </row>
    <row r="2411" s="5" customFormat="1" ht="13">
      <c r="A2411" s="5" t="s">
        <v>44</v>
      </c>
      <c r="B2411" s="5" t="s">
        <v>44</v>
      </c>
      <c r="C2411" s="5" t="s">
        <v>171</v>
      </c>
      <c r="D2411" s="5" t="s">
        <v>21</v>
      </c>
      <c r="E2411" s="5" t="s">
        <v>44</v>
      </c>
      <c r="F2411" s="5" t="s">
        <v>100</v>
      </c>
      <c r="G2411" s="5" t="s">
        <v>69</v>
      </c>
      <c r="H2411" s="9" t="s">
        <v>172</v>
      </c>
      <c r="I2411" s="10"/>
      <c r="J2411" s="10">
        <v>44210</v>
      </c>
      <c r="K2411" s="5" t="s">
        <v>173</v>
      </c>
      <c r="L2411" s="5" t="s">
        <v>58</v>
      </c>
      <c r="M2411" s="11">
        <v>0.14999999999999999</v>
      </c>
      <c r="N2411" s="5" t="e">
        <f>IF(AND(M2411&gt;#REF!,Cartera!O2411="Guaraníes"),"Rendimiento significativo",IF(AND(M2411&gt;#REF!,Cartera!O2411="Dólares americanos"),"Rendimiento significativo","Rendimiento no significativo"))</f>
        <v>#REF!</v>
      </c>
      <c r="O2411" s="5" t="s">
        <v>41</v>
      </c>
      <c r="P2411" s="12">
        <v>676849.315068</v>
      </c>
      <c r="Q2411" s="12">
        <f>IF(O2411="Guaraníes",P2411,P2411*#REF!)</f>
        <v>676849.315068</v>
      </c>
      <c r="R2411" s="12" t="e">
        <f>IF(O2411="Guaraníes",P2411/#REF!,P2411)</f>
        <v>#REF!</v>
      </c>
      <c r="S2411" s="5" t="s">
        <v>52</v>
      </c>
      <c r="T2411" s="5">
        <v>593</v>
      </c>
      <c r="W2411" s="5" t="s">
        <v>299</v>
      </c>
      <c r="X2411" s="5">
        <v>0</v>
      </c>
      <c r="Y2411" s="5">
        <v>0</v>
      </c>
      <c r="Z2411" s="5">
        <v>75205.479452</v>
      </c>
      <c r="AA2411" s="5">
        <v>9</v>
      </c>
      <c r="AB2411" s="5">
        <v>676849.315068</v>
      </c>
      <c r="AC2411" s="5" t="str">
        <f t="shared" si="115"/>
        <v>Bonos</v>
      </c>
      <c r="AD2411" s="5" t="s">
        <v>43</v>
      </c>
      <c r="AE2411" s="5">
        <f t="shared" si="116"/>
        <v>1</v>
      </c>
      <c r="AF2411" s="5">
        <f t="shared" si="117"/>
        <v>2021</v>
      </c>
    </row>
    <row r="2412" s="5" customFormat="1" ht="13">
      <c r="A2412" s="5" t="s">
        <v>44</v>
      </c>
      <c r="B2412" s="5" t="s">
        <v>44</v>
      </c>
      <c r="C2412" s="5" t="s">
        <v>99</v>
      </c>
      <c r="D2412" s="5" t="s">
        <v>21</v>
      </c>
      <c r="E2412" s="5" t="s">
        <v>44</v>
      </c>
      <c r="F2412" s="5" t="s">
        <v>100</v>
      </c>
      <c r="G2412" s="5" t="s">
        <v>69</v>
      </c>
      <c r="H2412" s="9" t="s">
        <v>238</v>
      </c>
      <c r="I2412" s="10"/>
      <c r="J2412" s="10">
        <v>44229</v>
      </c>
      <c r="K2412" s="5" t="s">
        <v>102</v>
      </c>
      <c r="L2412" s="5" t="s">
        <v>102</v>
      </c>
      <c r="M2412" s="11">
        <v>0.070000000000000007</v>
      </c>
      <c r="N2412" s="5" t="e">
        <f>IF(AND(M2412&gt;#REF!,Cartera!O2412="Guaraníes"),"Rendimiento significativo",IF(AND(M2412&gt;#REF!,Cartera!O2412="Dólares americanos"),"Rendimiento significativo","Rendimiento no significativo"))</f>
        <v>#REF!</v>
      </c>
      <c r="O2412" s="5" t="s">
        <v>41</v>
      </c>
      <c r="P2412" s="12">
        <v>2041643.8355999999</v>
      </c>
      <c r="Q2412" s="12">
        <f>IF(O2412="Guaraníes",P2412,P2412*#REF!)</f>
        <v>2041643.8355999999</v>
      </c>
      <c r="R2412" s="12" t="e">
        <f>IF(O2412="Guaraníes",P2412/#REF!,P2412)</f>
        <v>#REF!</v>
      </c>
      <c r="S2412" s="5" t="s">
        <v>52</v>
      </c>
      <c r="T2412" s="5">
        <v>593</v>
      </c>
      <c r="W2412" s="5" t="s">
        <v>522</v>
      </c>
      <c r="X2412" s="5">
        <v>0</v>
      </c>
      <c r="Y2412" s="5">
        <v>0</v>
      </c>
      <c r="Z2412" s="5">
        <v>40832.876711999997</v>
      </c>
      <c r="AA2412" s="5">
        <v>50</v>
      </c>
      <c r="AB2412" s="5">
        <v>2041643.8356000001</v>
      </c>
      <c r="AC2412" s="5" t="str">
        <f t="shared" si="115"/>
        <v>Bonos</v>
      </c>
      <c r="AD2412" s="5" t="s">
        <v>43</v>
      </c>
      <c r="AE2412" s="5">
        <f t="shared" si="116"/>
        <v>2</v>
      </c>
      <c r="AF2412" s="5">
        <f t="shared" si="117"/>
        <v>2021</v>
      </c>
    </row>
    <row r="2413" s="5" customFormat="1" ht="13">
      <c r="A2413" s="5" t="s">
        <v>44</v>
      </c>
      <c r="B2413" s="5" t="s">
        <v>44</v>
      </c>
      <c r="C2413" s="5" t="s">
        <v>457</v>
      </c>
      <c r="D2413" s="5" t="s">
        <v>21</v>
      </c>
      <c r="E2413" s="5" t="s">
        <v>44</v>
      </c>
      <c r="F2413" s="5" t="s">
        <v>100</v>
      </c>
      <c r="G2413" s="5" t="s">
        <v>69</v>
      </c>
      <c r="H2413" s="9" t="s">
        <v>458</v>
      </c>
      <c r="I2413" s="10"/>
      <c r="J2413" s="10">
        <v>44236</v>
      </c>
      <c r="K2413" s="5" t="s">
        <v>173</v>
      </c>
      <c r="L2413" s="5" t="s">
        <v>58</v>
      </c>
      <c r="M2413" s="11">
        <v>0.13500000000000001</v>
      </c>
      <c r="N2413" s="5" t="e">
        <f>IF(AND(M2413&gt;#REF!,Cartera!O2413="Guaraníes"),"Rendimiento significativo",IF(AND(M2413&gt;#REF!,Cartera!O2413="Dólares americanos"),"Rendimiento significativo","Rendimiento no significativo"))</f>
        <v>#REF!</v>
      </c>
      <c r="O2413" s="5" t="s">
        <v>41</v>
      </c>
      <c r="P2413" s="12">
        <v>4873315.0685040001</v>
      </c>
      <c r="Q2413" s="12">
        <f>IF(O2413="Guaraníes",P2413,P2413*#REF!)</f>
        <v>4873315.0685040001</v>
      </c>
      <c r="R2413" s="12" t="e">
        <f>IF(O2413="Guaraníes",P2413/#REF!,P2413)</f>
        <v>#REF!</v>
      </c>
      <c r="S2413" s="5" t="s">
        <v>52</v>
      </c>
      <c r="T2413" s="5">
        <v>593</v>
      </c>
      <c r="W2413" s="5" t="s">
        <v>523</v>
      </c>
      <c r="X2413" s="5">
        <v>0</v>
      </c>
      <c r="Y2413" s="5">
        <v>0</v>
      </c>
      <c r="Z2413" s="5">
        <v>67684.931507000001</v>
      </c>
      <c r="AA2413" s="5">
        <v>72</v>
      </c>
      <c r="AB2413" s="5">
        <v>4873315.0685040001</v>
      </c>
      <c r="AC2413" s="5" t="str">
        <f t="shared" si="115"/>
        <v>Bonos</v>
      </c>
      <c r="AD2413" s="5" t="s">
        <v>43</v>
      </c>
      <c r="AE2413" s="5">
        <f t="shared" si="116"/>
        <v>2</v>
      </c>
      <c r="AF2413" s="5">
        <f t="shared" si="117"/>
        <v>2021</v>
      </c>
    </row>
    <row r="2414" s="5" customFormat="1" ht="13">
      <c r="A2414" s="5" t="s">
        <v>44</v>
      </c>
      <c r="B2414" s="5" t="s">
        <v>44</v>
      </c>
      <c r="C2414" s="5" t="s">
        <v>457</v>
      </c>
      <c r="D2414" s="5" t="s">
        <v>21</v>
      </c>
      <c r="E2414" s="5" t="s">
        <v>44</v>
      </c>
      <c r="F2414" s="5" t="s">
        <v>100</v>
      </c>
      <c r="G2414" s="5" t="s">
        <v>69</v>
      </c>
      <c r="H2414" s="9" t="s">
        <v>459</v>
      </c>
      <c r="I2414" s="10"/>
      <c r="J2414" s="10">
        <v>44236</v>
      </c>
      <c r="K2414" s="5" t="s">
        <v>173</v>
      </c>
      <c r="L2414" s="5" t="s">
        <v>58</v>
      </c>
      <c r="M2414" s="11">
        <v>0.14499999999999999</v>
      </c>
      <c r="N2414" s="5" t="e">
        <f>IF(AND(M2414&gt;#REF!,Cartera!O2414="Guaraníes"),"Rendimiento significativo",IF(AND(M2414&gt;#REF!,Cartera!O2414="Dólares americanos"),"Rendimiento significativo","Rendimiento no significativo"))</f>
        <v>#REF!</v>
      </c>
      <c r="O2414" s="5" t="s">
        <v>41</v>
      </c>
      <c r="P2414" s="12">
        <v>2035561.643836</v>
      </c>
      <c r="Q2414" s="12">
        <f>IF(O2414="Guaraníes",P2414,P2414*#REF!)</f>
        <v>2035561.643836</v>
      </c>
      <c r="R2414" s="12" t="e">
        <f>IF(O2414="Guaraníes",P2414/#REF!,P2414)</f>
        <v>#REF!</v>
      </c>
      <c r="S2414" s="5" t="s">
        <v>52</v>
      </c>
      <c r="T2414" s="5">
        <v>593</v>
      </c>
      <c r="W2414" s="5" t="s">
        <v>524</v>
      </c>
      <c r="X2414" s="5">
        <v>0</v>
      </c>
      <c r="Y2414" s="5">
        <v>0</v>
      </c>
      <c r="Z2414" s="5">
        <v>72698.630137</v>
      </c>
      <c r="AA2414" s="5">
        <v>28</v>
      </c>
      <c r="AB2414" s="5">
        <v>2035561.643836</v>
      </c>
      <c r="AC2414" s="5" t="str">
        <f t="shared" si="115"/>
        <v>Bonos</v>
      </c>
      <c r="AD2414" s="5" t="s">
        <v>43</v>
      </c>
      <c r="AE2414" s="5">
        <f t="shared" si="116"/>
        <v>2</v>
      </c>
      <c r="AF2414" s="5">
        <f t="shared" si="117"/>
        <v>2021</v>
      </c>
    </row>
    <row r="2415" s="5" customFormat="1" ht="13">
      <c r="A2415" s="5" t="s">
        <v>44</v>
      </c>
      <c r="B2415" s="5" t="s">
        <v>44</v>
      </c>
      <c r="C2415" s="5" t="s">
        <v>156</v>
      </c>
      <c r="D2415" s="5" t="s">
        <v>21</v>
      </c>
      <c r="E2415" s="5" t="s">
        <v>44</v>
      </c>
      <c r="F2415" s="5" t="s">
        <v>68</v>
      </c>
      <c r="G2415" s="5" t="s">
        <v>69</v>
      </c>
      <c r="H2415" s="9" t="s">
        <v>407</v>
      </c>
      <c r="I2415" s="10"/>
      <c r="J2415" s="10">
        <v>44238</v>
      </c>
      <c r="K2415" s="5" t="s">
        <v>158</v>
      </c>
      <c r="L2415" s="5" t="s">
        <v>58</v>
      </c>
      <c r="M2415" s="11">
        <v>0.12</v>
      </c>
      <c r="N2415" s="5" t="e">
        <f>IF(AND(M2415&gt;#REF!,Cartera!O2415="Guaraníes"),"Rendimiento significativo",IF(AND(M2415&gt;#REF!,Cartera!O2415="Dólares americanos"),"Rendimiento significativo","Rendimiento no significativo"))</f>
        <v>#REF!</v>
      </c>
      <c r="O2415" s="5" t="s">
        <v>41</v>
      </c>
      <c r="P2415" s="12">
        <v>1671452.0553000001</v>
      </c>
      <c r="Q2415" s="12">
        <f>IF(O2415="Guaraníes",P2415,P2415*#REF!)</f>
        <v>1671452.0553000001</v>
      </c>
      <c r="R2415" s="12" t="e">
        <f>IF(O2415="Guaraníes",P2415/#REF!,P2415)</f>
        <v>#REF!</v>
      </c>
      <c r="S2415" s="5" t="s">
        <v>52</v>
      </c>
      <c r="T2415" s="5">
        <v>593</v>
      </c>
      <c r="W2415" s="5" t="s">
        <v>468</v>
      </c>
      <c r="X2415" s="5">
        <v>0</v>
      </c>
      <c r="Y2415" s="5">
        <v>0</v>
      </c>
      <c r="Z2415" s="5">
        <v>13589.0411</v>
      </c>
      <c r="AA2415" s="5">
        <v>123</v>
      </c>
      <c r="AB2415" s="5">
        <v>1671452.0549999999</v>
      </c>
      <c r="AC2415" s="5" t="str">
        <f t="shared" si="115"/>
        <v>Bonos</v>
      </c>
      <c r="AD2415" s="5" t="s">
        <v>43</v>
      </c>
      <c r="AE2415" s="5">
        <f t="shared" si="116"/>
        <v>2</v>
      </c>
      <c r="AF2415" s="5">
        <f t="shared" si="117"/>
        <v>2021</v>
      </c>
    </row>
    <row r="2416" s="5" customFormat="1" ht="13">
      <c r="A2416" s="5" t="s">
        <v>44</v>
      </c>
      <c r="B2416" s="5" t="s">
        <v>44</v>
      </c>
      <c r="C2416" s="5" t="s">
        <v>67</v>
      </c>
      <c r="D2416" s="5" t="s">
        <v>21</v>
      </c>
      <c r="E2416" s="5" t="s">
        <v>44</v>
      </c>
      <c r="F2416" s="5" t="s">
        <v>68</v>
      </c>
      <c r="G2416" s="5" t="s">
        <v>69</v>
      </c>
      <c r="H2416" s="9" t="s">
        <v>376</v>
      </c>
      <c r="I2416" s="10"/>
      <c r="J2416" s="10">
        <v>44251</v>
      </c>
      <c r="K2416" s="5" t="s">
        <v>71</v>
      </c>
      <c r="L2416" s="5" t="s">
        <v>58</v>
      </c>
      <c r="M2416" s="11">
        <v>0.070000000000000007</v>
      </c>
      <c r="N2416" s="5" t="e">
        <f>IF(AND(M2416&gt;#REF!,Cartera!O2416="Guaraníes"),"Rendimiento significativo",IF(AND(M2416&gt;#REF!,Cartera!O2416="Dólares americanos"),"Rendimiento significativo","Rendimiento no significativo"))</f>
        <v>#REF!</v>
      </c>
      <c r="O2416" s="5" t="s">
        <v>41</v>
      </c>
      <c r="P2416" s="12">
        <v>1144356.164415</v>
      </c>
      <c r="Q2416" s="12">
        <f>IF(O2416="Guaraníes",P2416,P2416*#REF!)</f>
        <v>1144356.164415</v>
      </c>
      <c r="R2416" s="12" t="e">
        <f>IF(O2416="Guaraníes",P2416/#REF!,P2416)</f>
        <v>#REF!</v>
      </c>
      <c r="S2416" s="5" t="s">
        <v>52</v>
      </c>
      <c r="T2416" s="5">
        <v>593</v>
      </c>
      <c r="W2416" s="5" t="s">
        <v>418</v>
      </c>
      <c r="X2416" s="5">
        <v>0</v>
      </c>
      <c r="Y2416" s="5">
        <v>0</v>
      </c>
      <c r="Z2416" s="5">
        <v>13463.013698999999</v>
      </c>
      <c r="AA2416" s="5">
        <v>85</v>
      </c>
      <c r="AB2416" s="5">
        <v>1144356.164415</v>
      </c>
      <c r="AC2416" s="5" t="str">
        <f t="shared" si="115"/>
        <v>Bonos</v>
      </c>
      <c r="AD2416" s="5" t="s">
        <v>43</v>
      </c>
      <c r="AE2416" s="5">
        <f t="shared" si="116"/>
        <v>2</v>
      </c>
      <c r="AF2416" s="5">
        <f t="shared" si="117"/>
        <v>2021</v>
      </c>
    </row>
    <row r="2417" s="5" customFormat="1" ht="13">
      <c r="A2417" s="5" t="s">
        <v>44</v>
      </c>
      <c r="B2417" s="5" t="s">
        <v>44</v>
      </c>
      <c r="C2417" s="5" t="s">
        <v>114</v>
      </c>
      <c r="D2417" s="5" t="s">
        <v>21</v>
      </c>
      <c r="E2417" s="5" t="s">
        <v>44</v>
      </c>
      <c r="F2417" s="5" t="s">
        <v>68</v>
      </c>
      <c r="G2417" s="5" t="s">
        <v>69</v>
      </c>
      <c r="H2417" s="9" t="s">
        <v>520</v>
      </c>
      <c r="I2417" s="10"/>
      <c r="J2417" s="10">
        <v>44251</v>
      </c>
      <c r="K2417" s="5" t="s">
        <v>77</v>
      </c>
      <c r="L2417" s="5" t="s">
        <v>50</v>
      </c>
      <c r="M2417" s="11">
        <v>0.14249999999999999</v>
      </c>
      <c r="N2417" s="5" t="e">
        <f>IF(AND(M2417&gt;#REF!,Cartera!O2417="Guaraníes"),"Rendimiento significativo",IF(AND(M2417&gt;#REF!,Cartera!O2417="Dólares americanos"),"Rendimiento significativo","Rendimiento no significativo"))</f>
        <v>#REF!</v>
      </c>
      <c r="O2417" s="5" t="s">
        <v>41</v>
      </c>
      <c r="P2417" s="12">
        <v>3552739.7259999998</v>
      </c>
      <c r="Q2417" s="12">
        <f>IF(O2417="Guaraníes",P2417,P2417*#REF!)</f>
        <v>3552739.7259999998</v>
      </c>
      <c r="R2417" s="12" t="e">
        <f>IF(O2417="Guaraníes",P2417/#REF!,P2417)</f>
        <v>#REF!</v>
      </c>
      <c r="S2417" s="5" t="s">
        <v>52</v>
      </c>
      <c r="T2417" s="5">
        <v>593</v>
      </c>
      <c r="W2417" s="5" t="s">
        <v>525</v>
      </c>
      <c r="X2417" s="5">
        <v>0</v>
      </c>
      <c r="Y2417" s="5">
        <v>0</v>
      </c>
      <c r="Z2417" s="5">
        <v>35527.397259999998</v>
      </c>
      <c r="AA2417" s="5">
        <v>100</v>
      </c>
      <c r="AB2417" s="5">
        <v>3552739.7259999998</v>
      </c>
      <c r="AC2417" s="5" t="str">
        <f t="shared" si="115"/>
        <v>Bonos</v>
      </c>
      <c r="AD2417" s="5" t="s">
        <v>43</v>
      </c>
      <c r="AE2417" s="5">
        <f t="shared" si="116"/>
        <v>2</v>
      </c>
      <c r="AF2417" s="5">
        <f t="shared" si="117"/>
        <v>2021</v>
      </c>
    </row>
    <row r="2418" s="5" customFormat="1" ht="13">
      <c r="A2418" s="5" t="s">
        <v>44</v>
      </c>
      <c r="B2418" s="5" t="s">
        <v>44</v>
      </c>
      <c r="C2418" s="5" t="s">
        <v>67</v>
      </c>
      <c r="D2418" s="5" t="s">
        <v>21</v>
      </c>
      <c r="E2418" s="5" t="s">
        <v>44</v>
      </c>
      <c r="F2418" s="5" t="s">
        <v>68</v>
      </c>
      <c r="G2418" s="5" t="s">
        <v>69</v>
      </c>
      <c r="H2418" s="9" t="s">
        <v>70</v>
      </c>
      <c r="I2418" s="10"/>
      <c r="J2418" s="10">
        <v>44252</v>
      </c>
      <c r="K2418" s="5" t="s">
        <v>71</v>
      </c>
      <c r="L2418" s="5" t="s">
        <v>58</v>
      </c>
      <c r="M2418" s="11">
        <v>0.067500000000000004</v>
      </c>
      <c r="N2418" s="5" t="e">
        <f>IF(AND(M2418&gt;#REF!,Cartera!O2418="Guaraníes"),"Rendimiento significativo",IF(AND(M2418&gt;#REF!,Cartera!O2418="Dólares americanos"),"Rendimiento significativo","Rendimiento no significativo"))</f>
        <v>#REF!</v>
      </c>
      <c r="O2418" s="5" t="s">
        <v>51</v>
      </c>
      <c r="P2418" s="13">
        <v>159.56</v>
      </c>
      <c r="Q2418" s="12" t="e">
        <f>IF(O2418="Guaraníes",P2418,P2418*#REF!)</f>
        <v>#REF!</v>
      </c>
      <c r="R2418" s="12">
        <f>IF(O2418="Guaraníes",P2418/#REF!,P2418)</f>
        <v>159.56</v>
      </c>
      <c r="S2418" s="5" t="s">
        <v>52</v>
      </c>
      <c r="T2418" s="5">
        <v>593</v>
      </c>
      <c r="W2418" s="5" t="s">
        <v>526</v>
      </c>
      <c r="X2418" s="5">
        <v>0</v>
      </c>
      <c r="Y2418" s="5">
        <v>0</v>
      </c>
      <c r="Z2418" s="5">
        <v>17.452055000000001</v>
      </c>
      <c r="AA2418" s="5">
        <v>8</v>
      </c>
      <c r="AB2418" s="5">
        <v>139.61644000000001</v>
      </c>
      <c r="AC2418" s="5" t="str">
        <f t="shared" si="115"/>
        <v>Bonos</v>
      </c>
      <c r="AD2418" s="5" t="s">
        <v>43</v>
      </c>
      <c r="AE2418" s="5">
        <f t="shared" si="116"/>
        <v>2</v>
      </c>
      <c r="AF2418" s="5">
        <f t="shared" si="117"/>
        <v>2021</v>
      </c>
    </row>
    <row r="2419" s="5" customFormat="1" ht="13">
      <c r="A2419" s="5" t="s">
        <v>44</v>
      </c>
      <c r="B2419" s="5" t="s">
        <v>44</v>
      </c>
      <c r="C2419" s="5" t="s">
        <v>156</v>
      </c>
      <c r="D2419" s="5" t="s">
        <v>21</v>
      </c>
      <c r="E2419" s="5" t="s">
        <v>44</v>
      </c>
      <c r="F2419" s="5" t="s">
        <v>68</v>
      </c>
      <c r="G2419" s="5" t="s">
        <v>69</v>
      </c>
      <c r="H2419" s="9" t="s">
        <v>407</v>
      </c>
      <c r="I2419" s="10"/>
      <c r="J2419" s="10">
        <v>44267</v>
      </c>
      <c r="K2419" s="5" t="s">
        <v>158</v>
      </c>
      <c r="L2419" s="5" t="s">
        <v>58</v>
      </c>
      <c r="M2419" s="11">
        <v>0.12</v>
      </c>
      <c r="N2419" s="5" t="e">
        <f>IF(AND(M2419&gt;#REF!,Cartera!O2419="Guaraníes"),"Rendimiento significativo",IF(AND(M2419&gt;#REF!,Cartera!O2419="Dólares americanos"),"Rendimiento significativo","Rendimiento no significativo"))</f>
        <v>#REF!</v>
      </c>
      <c r="O2419" s="5" t="s">
        <v>41</v>
      </c>
      <c r="P2419" s="12">
        <v>1563616.4387099999</v>
      </c>
      <c r="Q2419" s="12">
        <f>IF(O2419="Guaraníes",P2419,P2419*#REF!)</f>
        <v>1563616.4387099999</v>
      </c>
      <c r="R2419" s="12" t="e">
        <f>IF(O2419="Guaraníes",P2419/#REF!,P2419)</f>
        <v>#REF!</v>
      </c>
      <c r="S2419" s="5" t="s">
        <v>52</v>
      </c>
      <c r="T2419" s="5">
        <v>593</v>
      </c>
      <c r="W2419" s="5" t="s">
        <v>472</v>
      </c>
      <c r="X2419" s="5">
        <v>0</v>
      </c>
      <c r="Y2419" s="5">
        <v>0</v>
      </c>
      <c r="Z2419" s="5">
        <v>12712.32877</v>
      </c>
      <c r="AA2419" s="5">
        <v>123</v>
      </c>
      <c r="AB2419" s="5">
        <v>1563616.4380000001</v>
      </c>
      <c r="AC2419" s="5" t="str">
        <f t="shared" si="115"/>
        <v>Bonos</v>
      </c>
      <c r="AD2419" s="5" t="s">
        <v>43</v>
      </c>
      <c r="AE2419" s="5">
        <f t="shared" si="116"/>
        <v>3</v>
      </c>
      <c r="AF2419" s="5">
        <f t="shared" si="117"/>
        <v>2021</v>
      </c>
    </row>
    <row r="2420" s="5" customFormat="1" ht="13">
      <c r="A2420" s="5" t="s">
        <v>44</v>
      </c>
      <c r="B2420" s="5" t="s">
        <v>44</v>
      </c>
      <c r="C2420" s="5" t="s">
        <v>176</v>
      </c>
      <c r="D2420" s="5" t="s">
        <v>21</v>
      </c>
      <c r="E2420" s="5" t="s">
        <v>44</v>
      </c>
      <c r="F2420" s="5" t="s">
        <v>68</v>
      </c>
      <c r="G2420" s="5" t="s">
        <v>69</v>
      </c>
      <c r="H2420" s="9" t="s">
        <v>479</v>
      </c>
      <c r="I2420" s="10"/>
      <c r="J2420" s="10">
        <v>44279</v>
      </c>
      <c r="K2420" s="5" t="s">
        <v>178</v>
      </c>
      <c r="L2420" s="5" t="s">
        <v>58</v>
      </c>
      <c r="M2420" s="11">
        <v>0.074999999999999997</v>
      </c>
      <c r="N2420" s="5" t="e">
        <f>IF(AND(M2420&gt;#REF!,Cartera!O2420="Guaraníes"),"Rendimiento significativo",IF(AND(M2420&gt;#REF!,Cartera!O2420="Dólares americanos"),"Rendimiento significativo","Rendimiento no significativo"))</f>
        <v>#REF!</v>
      </c>
      <c r="O2420" s="5" t="s">
        <v>51</v>
      </c>
      <c r="P2420" s="13">
        <v>635.75342999999998</v>
      </c>
      <c r="Q2420" s="12" t="e">
        <f>IF(O2420="Guaraníes",P2420,P2420*#REF!)</f>
        <v>#REF!</v>
      </c>
      <c r="R2420" s="12">
        <f>IF(O2420="Guaraníes",P2420/#REF!,P2420)</f>
        <v>635.75342999999998</v>
      </c>
      <c r="S2420" s="5" t="s">
        <v>52</v>
      </c>
      <c r="T2420" s="5">
        <v>593</v>
      </c>
      <c r="W2420" s="5" t="s">
        <v>286</v>
      </c>
      <c r="X2420" s="5">
        <v>0</v>
      </c>
      <c r="Y2420" s="5">
        <v>0</v>
      </c>
      <c r="Z2420" s="5">
        <v>21.191780999999999</v>
      </c>
      <c r="AA2420" s="5">
        <v>30</v>
      </c>
      <c r="AB2420" s="5">
        <v>635.75342999999998</v>
      </c>
      <c r="AC2420" s="5" t="str">
        <f t="shared" si="115"/>
        <v>Bonos</v>
      </c>
      <c r="AD2420" s="5" t="s">
        <v>43</v>
      </c>
      <c r="AE2420" s="5">
        <f t="shared" si="116"/>
        <v>3</v>
      </c>
      <c r="AF2420" s="5">
        <f t="shared" si="117"/>
        <v>2021</v>
      </c>
    </row>
    <row r="2421" s="5" customFormat="1" ht="13">
      <c r="A2421" s="5" t="s">
        <v>44</v>
      </c>
      <c r="B2421" s="5" t="s">
        <v>44</v>
      </c>
      <c r="C2421" s="5" t="s">
        <v>116</v>
      </c>
      <c r="D2421" s="5" t="s">
        <v>21</v>
      </c>
      <c r="E2421" s="5" t="s">
        <v>44</v>
      </c>
      <c r="F2421" s="5" t="s">
        <v>68</v>
      </c>
      <c r="G2421" s="5" t="s">
        <v>69</v>
      </c>
      <c r="H2421" s="9" t="s">
        <v>194</v>
      </c>
      <c r="I2421" s="10"/>
      <c r="J2421" s="10">
        <v>44286</v>
      </c>
      <c r="K2421" s="5" t="s">
        <v>118</v>
      </c>
      <c r="L2421" s="5" t="s">
        <v>50</v>
      </c>
      <c r="M2421" s="11">
        <v>0.065000000000000002</v>
      </c>
      <c r="N2421" s="5" t="e">
        <f>IF(AND(M2421&gt;#REF!,Cartera!O2421="Guaraníes"),"Rendimiento significativo",IF(AND(M2421&gt;#REF!,Cartera!O2421="Dólares americanos"),"Rendimiento significativo","Rendimiento no significativo"))</f>
        <v>#REF!</v>
      </c>
      <c r="O2421" s="5" t="s">
        <v>51</v>
      </c>
      <c r="P2421" s="13">
        <v>324.10958999999997</v>
      </c>
      <c r="Q2421" s="12" t="e">
        <f>IF(O2421="Guaraníes",P2421,P2421*#REF!)</f>
        <v>#REF!</v>
      </c>
      <c r="R2421" s="12">
        <f>IF(O2421="Guaraníes",P2421/#REF!,P2421)</f>
        <v>324.10958999999997</v>
      </c>
      <c r="S2421" s="5" t="s">
        <v>52</v>
      </c>
      <c r="T2421" s="5">
        <v>593</v>
      </c>
      <c r="W2421" s="5" t="s">
        <v>218</v>
      </c>
      <c r="X2421" s="5">
        <v>0</v>
      </c>
      <c r="Y2421" s="5">
        <v>0</v>
      </c>
      <c r="Z2421" s="5">
        <v>32.410958999999998</v>
      </c>
      <c r="AA2421" s="5">
        <v>10</v>
      </c>
      <c r="AB2421" s="5">
        <v>324.10959000000003</v>
      </c>
      <c r="AC2421" s="5" t="str">
        <f t="shared" si="115"/>
        <v>Bonos</v>
      </c>
      <c r="AD2421" s="5" t="s">
        <v>43</v>
      </c>
      <c r="AE2421" s="5">
        <f t="shared" si="116"/>
        <v>3</v>
      </c>
      <c r="AF2421" s="5">
        <f t="shared" si="117"/>
        <v>2021</v>
      </c>
    </row>
    <row r="2422" s="5" customFormat="1" ht="13">
      <c r="A2422" s="5" t="s">
        <v>44</v>
      </c>
      <c r="B2422" s="5" t="s">
        <v>44</v>
      </c>
      <c r="C2422" s="5" t="s">
        <v>156</v>
      </c>
      <c r="D2422" s="5" t="s">
        <v>21</v>
      </c>
      <c r="E2422" s="5" t="s">
        <v>44</v>
      </c>
      <c r="F2422" s="5" t="s">
        <v>68</v>
      </c>
      <c r="G2422" s="5" t="s">
        <v>69</v>
      </c>
      <c r="H2422" s="9" t="s">
        <v>407</v>
      </c>
      <c r="I2422" s="10"/>
      <c r="J2422" s="10">
        <v>44298</v>
      </c>
      <c r="K2422" s="5" t="s">
        <v>158</v>
      </c>
      <c r="L2422" s="5" t="s">
        <v>58</v>
      </c>
      <c r="M2422" s="11">
        <v>0.12</v>
      </c>
      <c r="N2422" s="5" t="e">
        <f>IF(AND(M2422&gt;#REF!,Cartera!O2422="Guaraníes"),"Rendimiento significativo",IF(AND(M2422&gt;#REF!,Cartera!O2422="Dólares americanos"),"Rendimiento significativo","Rendimiento no significativo"))</f>
        <v>#REF!</v>
      </c>
      <c r="O2422" s="5" t="s">
        <v>41</v>
      </c>
      <c r="P2422" s="12">
        <v>1671452.0553000001</v>
      </c>
      <c r="Q2422" s="12">
        <f>IF(O2422="Guaraníes",P2422,P2422*#REF!)</f>
        <v>1671452.0553000001</v>
      </c>
      <c r="R2422" s="12" t="e">
        <f>IF(O2422="Guaraníes",P2422/#REF!,P2422)</f>
        <v>#REF!</v>
      </c>
      <c r="S2422" s="5" t="s">
        <v>52</v>
      </c>
      <c r="T2422" s="5">
        <v>593</v>
      </c>
      <c r="W2422" s="5" t="s">
        <v>460</v>
      </c>
      <c r="X2422" s="5">
        <v>0</v>
      </c>
      <c r="Y2422" s="5">
        <v>0</v>
      </c>
      <c r="Z2422" s="5">
        <v>13589.0411</v>
      </c>
      <c r="AA2422" s="5">
        <v>123</v>
      </c>
      <c r="AB2422" s="5">
        <v>1671452.0549999999</v>
      </c>
      <c r="AC2422" s="5" t="str">
        <f t="shared" si="115"/>
        <v>Bonos</v>
      </c>
      <c r="AD2422" s="5" t="s">
        <v>43</v>
      </c>
      <c r="AE2422" s="5">
        <f t="shared" si="116"/>
        <v>4</v>
      </c>
      <c r="AF2422" s="5">
        <f t="shared" si="117"/>
        <v>2021</v>
      </c>
    </row>
    <row r="2423" s="5" customFormat="1" ht="13">
      <c r="A2423" s="5" t="s">
        <v>44</v>
      </c>
      <c r="B2423" s="5" t="s">
        <v>44</v>
      </c>
      <c r="C2423" s="5" t="s">
        <v>67</v>
      </c>
      <c r="D2423" s="5" t="s">
        <v>21</v>
      </c>
      <c r="E2423" s="5" t="s">
        <v>44</v>
      </c>
      <c r="F2423" s="5" t="s">
        <v>68</v>
      </c>
      <c r="G2423" s="5" t="s">
        <v>69</v>
      </c>
      <c r="H2423" s="9" t="s">
        <v>527</v>
      </c>
      <c r="I2423" s="10"/>
      <c r="J2423" s="10">
        <v>44307</v>
      </c>
      <c r="K2423" s="5" t="s">
        <v>71</v>
      </c>
      <c r="L2423" s="5" t="s">
        <v>58</v>
      </c>
      <c r="M2423" s="11">
        <v>0</v>
      </c>
      <c r="N2423" s="5" t="e">
        <f>IF(AND(M2423&gt;#REF!,Cartera!O2423="Guaraníes"),"Rendimiento significativo",IF(AND(M2423&gt;#REF!,Cartera!O2423="Dólares americanos"),"Rendimiento significativo","Rendimiento no significativo"))</f>
        <v>#REF!</v>
      </c>
      <c r="O2423" s="5" t="s">
        <v>41</v>
      </c>
      <c r="P2423" s="12">
        <v>9000000</v>
      </c>
      <c r="Q2423" s="12">
        <f>IF(O2423="Guaraníes",P2423,P2423*#REF!)</f>
        <v>9000000</v>
      </c>
      <c r="R2423" s="12" t="e">
        <f>IF(O2423="Guaraníes",P2423/#REF!,P2423)</f>
        <v>#REF!</v>
      </c>
      <c r="S2423" s="5" t="s">
        <v>52</v>
      </c>
      <c r="T2423" s="5">
        <v>593</v>
      </c>
      <c r="U2423" s="5">
        <v>9000000</v>
      </c>
      <c r="W2423" s="5" t="s">
        <v>270</v>
      </c>
      <c r="X2423" s="5">
        <v>100</v>
      </c>
      <c r="Y2423" s="5">
        <v>1000000</v>
      </c>
      <c r="Z2423" s="5">
        <v>1000000</v>
      </c>
      <c r="AA2423" s="5">
        <v>9</v>
      </c>
      <c r="AB2423" s="5">
        <v>9000000</v>
      </c>
      <c r="AC2423" s="5" t="str">
        <f t="shared" ref="AC2423:AC2486" si="118">IF(ISNUMBER(SEARCH("Acciones",L2423)),"Acciones",IF(ISNUMBER(SEARCH("Bono",L2423)),"Bonos",IF(ISNUMBER(SEARCH("CDA",L2423)),"CDA",IF(ISNUMBER(SEARCH("Fondo",L2423)),"Fondo",0))))</f>
        <v>Bonos</v>
      </c>
      <c r="AD2423" s="5" t="s">
        <v>43</v>
      </c>
      <c r="AE2423" s="5">
        <f t="shared" si="116"/>
        <v>4</v>
      </c>
      <c r="AF2423" s="5">
        <f t="shared" si="117"/>
        <v>2021</v>
      </c>
    </row>
    <row r="2424" s="5" customFormat="1" ht="13">
      <c r="A2424" s="5" t="s">
        <v>44</v>
      </c>
      <c r="B2424" s="5" t="s">
        <v>44</v>
      </c>
      <c r="C2424" s="5" t="s">
        <v>156</v>
      </c>
      <c r="D2424" s="5" t="s">
        <v>21</v>
      </c>
      <c r="E2424" s="5" t="s">
        <v>44</v>
      </c>
      <c r="F2424" s="5" t="s">
        <v>68</v>
      </c>
      <c r="G2424" s="5" t="s">
        <v>69</v>
      </c>
      <c r="H2424" s="9" t="s">
        <v>407</v>
      </c>
      <c r="I2424" s="10"/>
      <c r="J2424" s="10">
        <v>44329</v>
      </c>
      <c r="K2424" s="5" t="s">
        <v>158</v>
      </c>
      <c r="L2424" s="5" t="s">
        <v>58</v>
      </c>
      <c r="M2424" s="11">
        <v>0.12</v>
      </c>
      <c r="N2424" s="5" t="e">
        <f>IF(AND(M2424&gt;#REF!,Cartera!O2424="Guaraníes"),"Rendimiento significativo",IF(AND(M2424&gt;#REF!,Cartera!O2424="Dólares americanos"),"Rendimiento significativo","Rendimiento no significativo"))</f>
        <v>#REF!</v>
      </c>
      <c r="O2424" s="5" t="s">
        <v>41</v>
      </c>
      <c r="P2424" s="12">
        <v>1671452.0553000001</v>
      </c>
      <c r="Q2424" s="12">
        <f>IF(O2424="Guaraníes",P2424,P2424*#REF!)</f>
        <v>1671452.0553000001</v>
      </c>
      <c r="R2424" s="12" t="e">
        <f>IF(O2424="Guaraníes",P2424/#REF!,P2424)</f>
        <v>#REF!</v>
      </c>
      <c r="S2424" s="5" t="s">
        <v>52</v>
      </c>
      <c r="T2424" s="5">
        <v>593</v>
      </c>
      <c r="W2424" s="5" t="s">
        <v>460</v>
      </c>
      <c r="X2424" s="5">
        <v>0</v>
      </c>
      <c r="Y2424" s="5">
        <v>0</v>
      </c>
      <c r="Z2424" s="5">
        <v>13589.0411</v>
      </c>
      <c r="AA2424" s="5">
        <v>123</v>
      </c>
      <c r="AB2424" s="5">
        <v>1671452.0549999999</v>
      </c>
      <c r="AC2424" s="5" t="str">
        <f t="shared" si="118"/>
        <v>Bonos</v>
      </c>
      <c r="AD2424" s="5" t="s">
        <v>43</v>
      </c>
      <c r="AE2424" s="5">
        <f t="shared" si="116"/>
        <v>5</v>
      </c>
      <c r="AF2424" s="5">
        <f t="shared" si="117"/>
        <v>2021</v>
      </c>
    </row>
    <row r="2425" s="5" customFormat="1" ht="13">
      <c r="A2425" s="5" t="s">
        <v>44</v>
      </c>
      <c r="B2425" s="5" t="s">
        <v>44</v>
      </c>
      <c r="C2425" s="5" t="s">
        <v>67</v>
      </c>
      <c r="D2425" s="5" t="s">
        <v>21</v>
      </c>
      <c r="E2425" s="5" t="s">
        <v>44</v>
      </c>
      <c r="F2425" s="5" t="s">
        <v>68</v>
      </c>
      <c r="G2425" s="5" t="s">
        <v>69</v>
      </c>
      <c r="H2425" s="9" t="s">
        <v>376</v>
      </c>
      <c r="I2425" s="10"/>
      <c r="J2425" s="10">
        <v>44342</v>
      </c>
      <c r="K2425" s="5" t="s">
        <v>71</v>
      </c>
      <c r="L2425" s="5" t="s">
        <v>58</v>
      </c>
      <c r="M2425" s="11">
        <v>0.070000000000000007</v>
      </c>
      <c r="N2425" s="5" t="e">
        <f>IF(AND(M2425&gt;#REF!,Cartera!O2425="Guaraníes"),"Rendimiento significativo",IF(AND(M2425&gt;#REF!,Cartera!O2425="Dólares americanos"),"Rendimiento significativo","Rendimiento no significativo"))</f>
        <v>#REF!</v>
      </c>
      <c r="O2425" s="5" t="s">
        <v>41</v>
      </c>
      <c r="P2425" s="12">
        <v>1144356.164415</v>
      </c>
      <c r="Q2425" s="12">
        <f>IF(O2425="Guaraníes",P2425,P2425*#REF!)</f>
        <v>1144356.164415</v>
      </c>
      <c r="R2425" s="12" t="e">
        <f>IF(O2425="Guaraníes",P2425/#REF!,P2425)</f>
        <v>#REF!</v>
      </c>
      <c r="S2425" s="5" t="s">
        <v>52</v>
      </c>
      <c r="T2425" s="5">
        <v>593</v>
      </c>
      <c r="W2425" s="5" t="s">
        <v>410</v>
      </c>
      <c r="X2425" s="5">
        <v>0</v>
      </c>
      <c r="Y2425" s="5">
        <v>0</v>
      </c>
      <c r="Z2425" s="5">
        <v>13463.013698999999</v>
      </c>
      <c r="AA2425" s="5">
        <v>85</v>
      </c>
      <c r="AB2425" s="5">
        <v>1144356.164415</v>
      </c>
      <c r="AC2425" s="5" t="str">
        <f t="shared" si="118"/>
        <v>Bonos</v>
      </c>
      <c r="AD2425" s="5" t="s">
        <v>43</v>
      </c>
      <c r="AE2425" s="5">
        <f t="shared" si="116"/>
        <v>5</v>
      </c>
      <c r="AF2425" s="5">
        <f t="shared" si="117"/>
        <v>2021</v>
      </c>
    </row>
    <row r="2426" s="5" customFormat="1" ht="13">
      <c r="A2426" s="5" t="s">
        <v>44</v>
      </c>
      <c r="B2426" s="5" t="s">
        <v>44</v>
      </c>
      <c r="C2426" s="5" t="s">
        <v>114</v>
      </c>
      <c r="D2426" s="5" t="s">
        <v>21</v>
      </c>
      <c r="E2426" s="5" t="s">
        <v>44</v>
      </c>
      <c r="F2426" s="5" t="s">
        <v>68</v>
      </c>
      <c r="G2426" s="5" t="s">
        <v>69</v>
      </c>
      <c r="H2426" s="9" t="s">
        <v>520</v>
      </c>
      <c r="I2426" s="10"/>
      <c r="J2426" s="10">
        <v>44342</v>
      </c>
      <c r="K2426" s="5" t="s">
        <v>77</v>
      </c>
      <c r="L2426" s="5" t="s">
        <v>50</v>
      </c>
      <c r="M2426" s="11">
        <v>0.14249999999999999</v>
      </c>
      <c r="N2426" s="5" t="e">
        <f>IF(AND(M2426&gt;#REF!,Cartera!O2426="Guaraníes"),"Rendimiento significativo",IF(AND(M2426&gt;#REF!,Cartera!O2426="Dólares americanos"),"Rendimiento significativo","Rendimiento no significativo"))</f>
        <v>#REF!</v>
      </c>
      <c r="O2426" s="5" t="s">
        <v>41</v>
      </c>
      <c r="P2426" s="12">
        <v>3552739.7259999998</v>
      </c>
      <c r="Q2426" s="12">
        <f>IF(O2426="Guaraníes",P2426,P2426*#REF!)</f>
        <v>3552739.7259999998</v>
      </c>
      <c r="R2426" s="12" t="e">
        <f>IF(O2426="Guaraníes",P2426/#REF!,P2426)</f>
        <v>#REF!</v>
      </c>
      <c r="S2426" s="5" t="s">
        <v>52</v>
      </c>
      <c r="T2426" s="5">
        <v>593</v>
      </c>
      <c r="W2426" s="5" t="s">
        <v>528</v>
      </c>
      <c r="X2426" s="5">
        <v>0</v>
      </c>
      <c r="Y2426" s="5">
        <v>0</v>
      </c>
      <c r="Z2426" s="5">
        <v>35527.397259999998</v>
      </c>
      <c r="AA2426" s="5">
        <v>100</v>
      </c>
      <c r="AB2426" s="5">
        <v>3552739.7259999998</v>
      </c>
      <c r="AC2426" s="5" t="str">
        <f t="shared" si="118"/>
        <v>Bonos</v>
      </c>
      <c r="AD2426" s="5" t="s">
        <v>43</v>
      </c>
      <c r="AE2426" s="5">
        <f t="shared" si="116"/>
        <v>5</v>
      </c>
      <c r="AF2426" s="5">
        <f t="shared" si="117"/>
        <v>2021</v>
      </c>
    </row>
    <row r="2427" s="5" customFormat="1" ht="13">
      <c r="A2427" s="5" t="s">
        <v>44</v>
      </c>
      <c r="B2427" s="5" t="s">
        <v>44</v>
      </c>
      <c r="C2427" s="5" t="s">
        <v>67</v>
      </c>
      <c r="D2427" s="5" t="s">
        <v>21</v>
      </c>
      <c r="E2427" s="5" t="s">
        <v>44</v>
      </c>
      <c r="F2427" s="5" t="s">
        <v>68</v>
      </c>
      <c r="G2427" s="5" t="s">
        <v>69</v>
      </c>
      <c r="H2427" s="9" t="s">
        <v>70</v>
      </c>
      <c r="I2427" s="10"/>
      <c r="J2427" s="10">
        <v>44343</v>
      </c>
      <c r="K2427" s="5" t="s">
        <v>71</v>
      </c>
      <c r="L2427" s="5" t="s">
        <v>58</v>
      </c>
      <c r="M2427" s="11">
        <v>0.067500000000000004</v>
      </c>
      <c r="N2427" s="5" t="e">
        <f>IF(AND(M2427&gt;#REF!,Cartera!O2427="Guaraníes"),"Rendimiento significativo",IF(AND(M2427&gt;#REF!,Cartera!O2427="Dólares americanos"),"Rendimiento significativo","Rendimiento no significativo"))</f>
        <v>#REF!</v>
      </c>
      <c r="O2427" s="5" t="s">
        <v>51</v>
      </c>
      <c r="P2427" s="13">
        <v>159.56</v>
      </c>
      <c r="Q2427" s="12" t="e">
        <f>IF(O2427="Guaraníes",P2427,P2427*#REF!)</f>
        <v>#REF!</v>
      </c>
      <c r="R2427" s="12">
        <f>IF(O2427="Guaraníes",P2427/#REF!,P2427)</f>
        <v>159.56</v>
      </c>
      <c r="S2427" s="5" t="s">
        <v>52</v>
      </c>
      <c r="T2427" s="5">
        <v>593</v>
      </c>
      <c r="W2427" s="5" t="s">
        <v>529</v>
      </c>
      <c r="X2427" s="5">
        <v>0</v>
      </c>
      <c r="Y2427" s="5">
        <v>0</v>
      </c>
      <c r="Z2427" s="5">
        <v>17.452055000000001</v>
      </c>
      <c r="AA2427" s="5">
        <v>8</v>
      </c>
      <c r="AB2427" s="5">
        <v>139.61644000000001</v>
      </c>
      <c r="AC2427" s="5" t="str">
        <f t="shared" si="118"/>
        <v>Bonos</v>
      </c>
      <c r="AD2427" s="5" t="s">
        <v>43</v>
      </c>
      <c r="AE2427" s="5">
        <f t="shared" si="116"/>
        <v>5</v>
      </c>
      <c r="AF2427" s="5">
        <f t="shared" si="117"/>
        <v>2021</v>
      </c>
    </row>
    <row r="2428" s="5" customFormat="1" ht="13">
      <c r="A2428" s="5" t="s">
        <v>44</v>
      </c>
      <c r="B2428" s="5" t="s">
        <v>44</v>
      </c>
      <c r="C2428" s="5" t="s">
        <v>156</v>
      </c>
      <c r="D2428" s="5" t="s">
        <v>21</v>
      </c>
      <c r="E2428" s="5" t="s">
        <v>44</v>
      </c>
      <c r="F2428" s="5" t="s">
        <v>68</v>
      </c>
      <c r="G2428" s="5" t="s">
        <v>69</v>
      </c>
      <c r="H2428" s="9" t="s">
        <v>407</v>
      </c>
      <c r="I2428" s="10"/>
      <c r="J2428" s="10">
        <v>44362</v>
      </c>
      <c r="K2428" s="5" t="s">
        <v>158</v>
      </c>
      <c r="L2428" s="5" t="s">
        <v>58</v>
      </c>
      <c r="M2428" s="11">
        <v>0.12</v>
      </c>
      <c r="N2428" s="5" t="e">
        <f>IF(AND(M2428&gt;#REF!,Cartera!O2428="Guaraníes"),"Rendimiento significativo",IF(AND(M2428&gt;#REF!,Cartera!O2428="Dólares americanos"),"Rendimiento significativo","Rendimiento no significativo"))</f>
        <v>#REF!</v>
      </c>
      <c r="O2428" s="5" t="s">
        <v>41</v>
      </c>
      <c r="P2428" s="12">
        <v>1779287.6718900001</v>
      </c>
      <c r="Q2428" s="12">
        <f>IF(O2428="Guaraníes",P2428,P2428*#REF!)</f>
        <v>1779287.6718900001</v>
      </c>
      <c r="R2428" s="12" t="e">
        <f>IF(O2428="Guaraníes",P2428/#REF!,P2428)</f>
        <v>#REF!</v>
      </c>
      <c r="S2428" s="5" t="s">
        <v>52</v>
      </c>
      <c r="T2428" s="5">
        <v>593</v>
      </c>
      <c r="W2428" s="5" t="s">
        <v>464</v>
      </c>
      <c r="X2428" s="5">
        <v>0</v>
      </c>
      <c r="Y2428" s="5">
        <v>0</v>
      </c>
      <c r="Z2428" s="5">
        <v>14465.753430000001</v>
      </c>
      <c r="AA2428" s="5">
        <v>123</v>
      </c>
      <c r="AB2428" s="5">
        <v>1779287.6710000001</v>
      </c>
      <c r="AC2428" s="5" t="str">
        <f t="shared" si="118"/>
        <v>Bonos</v>
      </c>
      <c r="AD2428" s="5" t="s">
        <v>43</v>
      </c>
      <c r="AE2428" s="5">
        <f t="shared" si="116"/>
        <v>6</v>
      </c>
      <c r="AF2428" s="5">
        <f t="shared" si="117"/>
        <v>2021</v>
      </c>
    </row>
    <row r="2429" s="5" customFormat="1" ht="13">
      <c r="A2429" s="5" t="s">
        <v>44</v>
      </c>
      <c r="B2429" s="5" t="s">
        <v>44</v>
      </c>
      <c r="C2429" s="5" t="s">
        <v>176</v>
      </c>
      <c r="D2429" s="5" t="s">
        <v>21</v>
      </c>
      <c r="E2429" s="5" t="s">
        <v>44</v>
      </c>
      <c r="F2429" s="5" t="s">
        <v>68</v>
      </c>
      <c r="G2429" s="5" t="s">
        <v>69</v>
      </c>
      <c r="H2429" s="9" t="s">
        <v>479</v>
      </c>
      <c r="I2429" s="10"/>
      <c r="J2429" s="10">
        <v>44370</v>
      </c>
      <c r="K2429" s="5" t="s">
        <v>178</v>
      </c>
      <c r="L2429" s="5" t="s">
        <v>58</v>
      </c>
      <c r="M2429" s="11">
        <v>0.074999999999999997</v>
      </c>
      <c r="N2429" s="5" t="e">
        <f>IF(AND(M2429&gt;#REF!,Cartera!O2429="Guaraníes"),"Rendimiento significativo",IF(AND(M2429&gt;#REF!,Cartera!O2429="Dólares americanos"),"Rendimiento significativo","Rendimiento no significativo"))</f>
        <v>#REF!</v>
      </c>
      <c r="O2429" s="5" t="s">
        <v>51</v>
      </c>
      <c r="P2429" s="13">
        <v>635.75342999999998</v>
      </c>
      <c r="Q2429" s="12" t="e">
        <f>IF(O2429="Guaraníes",P2429,P2429*#REF!)</f>
        <v>#REF!</v>
      </c>
      <c r="R2429" s="12">
        <f>IF(O2429="Guaraníes",P2429/#REF!,P2429)</f>
        <v>635.75342999999998</v>
      </c>
      <c r="S2429" s="5" t="s">
        <v>52</v>
      </c>
      <c r="T2429" s="5">
        <v>593</v>
      </c>
      <c r="W2429" s="5" t="s">
        <v>205</v>
      </c>
      <c r="X2429" s="5">
        <v>0</v>
      </c>
      <c r="Y2429" s="5">
        <v>0</v>
      </c>
      <c r="Z2429" s="5">
        <v>21.191780999999999</v>
      </c>
      <c r="AA2429" s="5">
        <v>30</v>
      </c>
      <c r="AB2429" s="5">
        <v>635.75342999999998</v>
      </c>
      <c r="AC2429" s="5" t="str">
        <f t="shared" si="118"/>
        <v>Bonos</v>
      </c>
      <c r="AD2429" s="5" t="s">
        <v>43</v>
      </c>
      <c r="AE2429" s="5">
        <f t="shared" si="116"/>
        <v>6</v>
      </c>
      <c r="AF2429" s="5">
        <f t="shared" si="117"/>
        <v>2021</v>
      </c>
    </row>
    <row r="2430" s="5" customFormat="1" ht="13">
      <c r="A2430" s="5" t="s">
        <v>44</v>
      </c>
      <c r="B2430" s="5" t="s">
        <v>44</v>
      </c>
      <c r="C2430" s="5" t="s">
        <v>156</v>
      </c>
      <c r="D2430" s="5" t="s">
        <v>21</v>
      </c>
      <c r="E2430" s="5" t="s">
        <v>44</v>
      </c>
      <c r="F2430" s="5" t="s">
        <v>68</v>
      </c>
      <c r="G2430" s="5" t="s">
        <v>69</v>
      </c>
      <c r="H2430" s="9" t="s">
        <v>407</v>
      </c>
      <c r="I2430" s="10"/>
      <c r="J2430" s="10">
        <v>44392</v>
      </c>
      <c r="K2430" s="5" t="s">
        <v>158</v>
      </c>
      <c r="L2430" s="5" t="s">
        <v>58</v>
      </c>
      <c r="M2430" s="11">
        <v>0.12</v>
      </c>
      <c r="N2430" s="5" t="e">
        <f>IF(AND(M2430&gt;#REF!,Cartera!O2430="Guaraníes"),"Rendimiento significativo",IF(AND(M2430&gt;#REF!,Cartera!O2430="Dólares americanos"),"Rendimiento significativo","Rendimiento no significativo"))</f>
        <v>#REF!</v>
      </c>
      <c r="O2430" s="5" t="s">
        <v>41</v>
      </c>
      <c r="P2430" s="12">
        <v>1617534.24639</v>
      </c>
      <c r="Q2430" s="12">
        <f>IF(O2430="Guaraníes",P2430,P2430*#REF!)</f>
        <v>1617534.24639</v>
      </c>
      <c r="R2430" s="12" t="e">
        <f>IF(O2430="Guaraníes",P2430/#REF!,P2430)</f>
        <v>#REF!</v>
      </c>
      <c r="S2430" s="5" t="s">
        <v>52</v>
      </c>
      <c r="T2430" s="5">
        <v>593</v>
      </c>
      <c r="W2430" s="5" t="s">
        <v>501</v>
      </c>
      <c r="X2430" s="5">
        <v>0</v>
      </c>
      <c r="Y2430" s="5">
        <v>0</v>
      </c>
      <c r="Z2430" s="5">
        <v>13150.684929999999</v>
      </c>
      <c r="AA2430" s="5">
        <v>123</v>
      </c>
      <c r="AB2430" s="5">
        <v>1617534.247</v>
      </c>
      <c r="AC2430" s="5" t="str">
        <f t="shared" si="118"/>
        <v>Bonos</v>
      </c>
      <c r="AD2430" s="5" t="s">
        <v>43</v>
      </c>
      <c r="AE2430" s="5">
        <f t="shared" si="116"/>
        <v>7</v>
      </c>
      <c r="AF2430" s="5">
        <f t="shared" si="117"/>
        <v>2021</v>
      </c>
    </row>
    <row r="2431" s="5" customFormat="1" ht="13">
      <c r="A2431" s="5" t="s">
        <v>44</v>
      </c>
      <c r="B2431" s="5" t="s">
        <v>44</v>
      </c>
      <c r="C2431" s="5" t="s">
        <v>171</v>
      </c>
      <c r="D2431" s="5" t="s">
        <v>21</v>
      </c>
      <c r="E2431" s="5" t="s">
        <v>44</v>
      </c>
      <c r="F2431" s="5" t="s">
        <v>100</v>
      </c>
      <c r="G2431" s="5" t="s">
        <v>69</v>
      </c>
      <c r="H2431" s="9" t="s">
        <v>172</v>
      </c>
      <c r="I2431" s="10"/>
      <c r="J2431" s="10">
        <v>44392</v>
      </c>
      <c r="K2431" s="5" t="s">
        <v>173</v>
      </c>
      <c r="L2431" s="5" t="s">
        <v>58</v>
      </c>
      <c r="M2431" s="11">
        <v>0.14999999999999999</v>
      </c>
      <c r="N2431" s="5" t="e">
        <f>IF(AND(M2431&gt;#REF!,Cartera!O2431="Guaraníes"),"Rendimiento significativo",IF(AND(M2431&gt;#REF!,Cartera!O2431="Dólares americanos"),"Rendimiento significativo","Rendimiento no significativo"))</f>
        <v>#REF!</v>
      </c>
      <c r="O2431" s="5" t="s">
        <v>41</v>
      </c>
      <c r="P2431" s="12">
        <v>673150.684932</v>
      </c>
      <c r="Q2431" s="12">
        <f>IF(O2431="Guaraníes",P2431,P2431*#REF!)</f>
        <v>673150.684932</v>
      </c>
      <c r="R2431" s="12" t="e">
        <f>IF(O2431="Guaraníes",P2431/#REF!,P2431)</f>
        <v>#REF!</v>
      </c>
      <c r="S2431" s="5" t="s">
        <v>52</v>
      </c>
      <c r="T2431" s="5">
        <v>593</v>
      </c>
      <c r="W2431" s="5" t="s">
        <v>310</v>
      </c>
      <c r="X2431" s="5">
        <v>0</v>
      </c>
      <c r="Y2431" s="5">
        <v>0</v>
      </c>
      <c r="Z2431" s="5">
        <v>74794.520548</v>
      </c>
      <c r="AA2431" s="5">
        <v>9</v>
      </c>
      <c r="AB2431" s="5">
        <v>673150.684932</v>
      </c>
      <c r="AC2431" s="5" t="str">
        <f t="shared" si="118"/>
        <v>Bonos</v>
      </c>
      <c r="AD2431" s="5" t="s">
        <v>43</v>
      </c>
      <c r="AE2431" s="5">
        <f t="shared" si="116"/>
        <v>7</v>
      </c>
      <c r="AF2431" s="5">
        <f t="shared" si="117"/>
        <v>2021</v>
      </c>
    </row>
    <row r="2432" s="5" customFormat="1" ht="13">
      <c r="A2432" s="5" t="s">
        <v>44</v>
      </c>
      <c r="B2432" s="5" t="s">
        <v>44</v>
      </c>
      <c r="C2432" s="5" t="s">
        <v>99</v>
      </c>
      <c r="D2432" s="5" t="s">
        <v>21</v>
      </c>
      <c r="E2432" s="5" t="s">
        <v>44</v>
      </c>
      <c r="F2432" s="5" t="s">
        <v>100</v>
      </c>
      <c r="G2432" s="5" t="s">
        <v>69</v>
      </c>
      <c r="H2432" s="9" t="s">
        <v>238</v>
      </c>
      <c r="I2432" s="10"/>
      <c r="J2432" s="10">
        <v>44410</v>
      </c>
      <c r="K2432" s="5" t="s">
        <v>102</v>
      </c>
      <c r="L2432" s="5" t="s">
        <v>102</v>
      </c>
      <c r="M2432" s="11">
        <v>0.070000000000000007</v>
      </c>
      <c r="N2432" s="5" t="e">
        <f>IF(AND(M2432&gt;#REF!,Cartera!O2432="Guaraníes"),"Rendimiento significativo",IF(AND(M2432&gt;#REF!,Cartera!O2432="Dólares americanos"),"Rendimiento significativo","Rendimiento no significativo"))</f>
        <v>#REF!</v>
      </c>
      <c r="O2432" s="5" t="s">
        <v>41</v>
      </c>
      <c r="P2432" s="12">
        <v>2008356.1644000001</v>
      </c>
      <c r="Q2432" s="12">
        <f>IF(O2432="Guaraníes",P2432,P2432*#REF!)</f>
        <v>2008356.1644000001</v>
      </c>
      <c r="R2432" s="12" t="e">
        <f>IF(O2432="Guaraníes",P2432/#REF!,P2432)</f>
        <v>#REF!</v>
      </c>
      <c r="S2432" s="5" t="s">
        <v>52</v>
      </c>
      <c r="T2432" s="5">
        <v>593</v>
      </c>
      <c r="W2432" s="5" t="s">
        <v>530</v>
      </c>
      <c r="X2432" s="5">
        <v>0</v>
      </c>
      <c r="Y2432" s="5">
        <v>0</v>
      </c>
      <c r="Z2432" s="5">
        <v>40167.123288000003</v>
      </c>
      <c r="AA2432" s="5">
        <v>50</v>
      </c>
      <c r="AB2432" s="5">
        <v>2008356.1643999999</v>
      </c>
      <c r="AC2432" s="5" t="str">
        <f t="shared" si="118"/>
        <v>Bonos</v>
      </c>
      <c r="AD2432" s="5" t="s">
        <v>43</v>
      </c>
      <c r="AE2432" s="5">
        <f t="shared" si="116"/>
        <v>8</v>
      </c>
      <c r="AF2432" s="5">
        <f t="shared" si="117"/>
        <v>2021</v>
      </c>
    </row>
    <row r="2433" s="5" customFormat="1" ht="13">
      <c r="A2433" s="5" t="s">
        <v>44</v>
      </c>
      <c r="B2433" s="5" t="s">
        <v>44</v>
      </c>
      <c r="C2433" s="5" t="s">
        <v>457</v>
      </c>
      <c r="D2433" s="5" t="s">
        <v>21</v>
      </c>
      <c r="E2433" s="5" t="s">
        <v>44</v>
      </c>
      <c r="F2433" s="5" t="s">
        <v>100</v>
      </c>
      <c r="G2433" s="5" t="s">
        <v>69</v>
      </c>
      <c r="H2433" s="9" t="s">
        <v>459</v>
      </c>
      <c r="I2433" s="10"/>
      <c r="J2433" s="10">
        <v>44417</v>
      </c>
      <c r="K2433" s="5" t="s">
        <v>173</v>
      </c>
      <c r="L2433" s="5" t="s">
        <v>58</v>
      </c>
      <c r="M2433" s="11">
        <v>0.14499999999999999</v>
      </c>
      <c r="N2433" s="5" t="e">
        <f>IF(AND(M2433&gt;#REF!,Cartera!O2433="Guaraníes"),"Rendimiento significativo",IF(AND(M2433&gt;#REF!,Cartera!O2433="Dólares americanos"),"Rendimiento significativo","Rendimiento no significativo"))</f>
        <v>#REF!</v>
      </c>
      <c r="O2433" s="5" t="s">
        <v>41</v>
      </c>
      <c r="P2433" s="12">
        <v>2013315.068492</v>
      </c>
      <c r="Q2433" s="12">
        <f>IF(O2433="Guaraníes",P2433,P2433*#REF!)</f>
        <v>2013315.068492</v>
      </c>
      <c r="R2433" s="12" t="e">
        <f>IF(O2433="Guaraníes",P2433/#REF!,P2433)</f>
        <v>#REF!</v>
      </c>
      <c r="S2433" s="5" t="s">
        <v>52</v>
      </c>
      <c r="T2433" s="5">
        <v>593</v>
      </c>
      <c r="W2433" s="5" t="e">
        <v>#REF!</v>
      </c>
      <c r="X2433" s="5">
        <v>0</v>
      </c>
      <c r="Y2433" s="5">
        <v>0</v>
      </c>
      <c r="Z2433" s="5">
        <v>71904.109589</v>
      </c>
      <c r="AA2433" s="5">
        <v>28</v>
      </c>
      <c r="AB2433" s="5">
        <v>2013315.068492</v>
      </c>
      <c r="AC2433" s="5" t="str">
        <f t="shared" si="118"/>
        <v>Bonos</v>
      </c>
      <c r="AD2433" s="5" t="s">
        <v>43</v>
      </c>
      <c r="AE2433" s="5">
        <f t="shared" si="116"/>
        <v>8</v>
      </c>
      <c r="AF2433" s="5">
        <f t="shared" si="117"/>
        <v>2021</v>
      </c>
    </row>
    <row r="2434" s="5" customFormat="1" ht="13">
      <c r="A2434" s="5" t="s">
        <v>44</v>
      </c>
      <c r="B2434" s="5" t="s">
        <v>44</v>
      </c>
      <c r="C2434" s="5" t="s">
        <v>156</v>
      </c>
      <c r="D2434" s="5" t="s">
        <v>21</v>
      </c>
      <c r="E2434" s="5" t="s">
        <v>44</v>
      </c>
      <c r="F2434" s="5" t="s">
        <v>68</v>
      </c>
      <c r="G2434" s="5" t="s">
        <v>69</v>
      </c>
      <c r="H2434" s="9" t="s">
        <v>407</v>
      </c>
      <c r="I2434" s="10"/>
      <c r="J2434" s="10">
        <v>44421</v>
      </c>
      <c r="K2434" s="5" t="s">
        <v>158</v>
      </c>
      <c r="L2434" s="5" t="s">
        <v>58</v>
      </c>
      <c r="M2434" s="11">
        <v>0.12</v>
      </c>
      <c r="N2434" s="5" t="e">
        <f>IF(AND(M2434&gt;#REF!,Cartera!O2434="Guaraníes"),"Rendimiento significativo",IF(AND(M2434&gt;#REF!,Cartera!O2434="Dólares americanos"),"Rendimiento significativo","Rendimiento no significativo"))</f>
        <v>#REF!</v>
      </c>
      <c r="O2434" s="5" t="s">
        <v>41</v>
      </c>
      <c r="P2434" s="12">
        <v>1563616.4387099999</v>
      </c>
      <c r="Q2434" s="12">
        <f>IF(O2434="Guaraníes",P2434,P2434*#REF!)</f>
        <v>1563616.4387099999</v>
      </c>
      <c r="R2434" s="12" t="e">
        <f>IF(O2434="Guaraníes",P2434/#REF!,P2434)</f>
        <v>#REF!</v>
      </c>
      <c r="S2434" s="5" t="s">
        <v>52</v>
      </c>
      <c r="T2434" s="5">
        <v>593</v>
      </c>
      <c r="W2434" s="5" t="e">
        <v>#REF!</v>
      </c>
      <c r="X2434" s="5">
        <v>0</v>
      </c>
      <c r="Y2434" s="5">
        <v>0</v>
      </c>
      <c r="Z2434" s="5">
        <v>12712.32877</v>
      </c>
      <c r="AA2434" s="5">
        <v>123</v>
      </c>
      <c r="AB2434" s="5">
        <v>1563616.4380000001</v>
      </c>
      <c r="AC2434" s="5" t="str">
        <f t="shared" si="118"/>
        <v>Bonos</v>
      </c>
      <c r="AD2434" s="5" t="s">
        <v>43</v>
      </c>
      <c r="AE2434" s="5">
        <f t="shared" si="116"/>
        <v>8</v>
      </c>
      <c r="AF2434" s="5">
        <f t="shared" si="117"/>
        <v>2021</v>
      </c>
    </row>
    <row r="2435" s="5" customFormat="1" ht="13">
      <c r="A2435" s="5" t="s">
        <v>44</v>
      </c>
      <c r="B2435" s="5" t="s">
        <v>44</v>
      </c>
      <c r="C2435" s="5" t="s">
        <v>67</v>
      </c>
      <c r="D2435" s="5" t="s">
        <v>21</v>
      </c>
      <c r="E2435" s="5" t="s">
        <v>44</v>
      </c>
      <c r="F2435" s="5" t="s">
        <v>68</v>
      </c>
      <c r="G2435" s="5" t="s">
        <v>69</v>
      </c>
      <c r="H2435" s="9" t="s">
        <v>376</v>
      </c>
      <c r="I2435" s="10"/>
      <c r="J2435" s="10">
        <v>44433</v>
      </c>
      <c r="K2435" s="5" t="s">
        <v>71</v>
      </c>
      <c r="L2435" s="5" t="s">
        <v>58</v>
      </c>
      <c r="M2435" s="11">
        <v>0.070000000000000007</v>
      </c>
      <c r="N2435" s="5" t="e">
        <f>IF(AND(M2435&gt;#REF!,Cartera!O2435="Guaraníes"),"Rendimiento significativo",IF(AND(M2435&gt;#REF!,Cartera!O2435="Dólares americanos"),"Rendimiento significativo","Rendimiento no significativo"))</f>
        <v>#REF!</v>
      </c>
      <c r="O2435" s="5" t="s">
        <v>41</v>
      </c>
      <c r="P2435" s="12">
        <v>1144356.164415</v>
      </c>
      <c r="Q2435" s="12">
        <f>IF(O2435="Guaraníes",P2435,P2435*#REF!)</f>
        <v>1144356.164415</v>
      </c>
      <c r="R2435" s="12" t="e">
        <f>IF(O2435="Guaraníes",P2435/#REF!,P2435)</f>
        <v>#REF!</v>
      </c>
      <c r="S2435" s="5" t="s">
        <v>52</v>
      </c>
      <c r="T2435" s="5">
        <v>593</v>
      </c>
      <c r="W2435" s="5" t="e">
        <v>#REF!</v>
      </c>
      <c r="X2435" s="5">
        <v>0</v>
      </c>
      <c r="Y2435" s="5">
        <v>0</v>
      </c>
      <c r="Z2435" s="5">
        <v>13463.013698999999</v>
      </c>
      <c r="AA2435" s="5">
        <v>85</v>
      </c>
      <c r="AB2435" s="5">
        <v>1144356.164415</v>
      </c>
      <c r="AC2435" s="5" t="str">
        <f t="shared" si="118"/>
        <v>Bonos</v>
      </c>
      <c r="AD2435" s="5" t="s">
        <v>43</v>
      </c>
      <c r="AE2435" s="5">
        <f t="shared" si="116"/>
        <v>8</v>
      </c>
      <c r="AF2435" s="5">
        <f t="shared" si="117"/>
        <v>2021</v>
      </c>
    </row>
    <row r="2436" s="5" customFormat="1" ht="13">
      <c r="A2436" s="5" t="s">
        <v>44</v>
      </c>
      <c r="B2436" s="5" t="s">
        <v>44</v>
      </c>
      <c r="C2436" s="5" t="s">
        <v>114</v>
      </c>
      <c r="D2436" s="5" t="s">
        <v>21</v>
      </c>
      <c r="E2436" s="5" t="s">
        <v>44</v>
      </c>
      <c r="F2436" s="5" t="s">
        <v>68</v>
      </c>
      <c r="G2436" s="5" t="s">
        <v>69</v>
      </c>
      <c r="H2436" s="9" t="s">
        <v>520</v>
      </c>
      <c r="I2436" s="10"/>
      <c r="J2436" s="10">
        <v>44433</v>
      </c>
      <c r="K2436" s="5" t="s">
        <v>77</v>
      </c>
      <c r="L2436" s="5" t="s">
        <v>50</v>
      </c>
      <c r="M2436" s="11">
        <v>0.14249999999999999</v>
      </c>
      <c r="N2436" s="5" t="e">
        <f>IF(AND(M2436&gt;#REF!,Cartera!O2436="Guaraníes"),"Rendimiento significativo",IF(AND(M2436&gt;#REF!,Cartera!O2436="Dólares americanos"),"Rendimiento significativo","Rendimiento no significativo"))</f>
        <v>#REF!</v>
      </c>
      <c r="O2436" s="5" t="s">
        <v>41</v>
      </c>
      <c r="P2436" s="12">
        <v>3552739.7259999998</v>
      </c>
      <c r="Q2436" s="12">
        <f>IF(O2436="Guaraníes",P2436,P2436*#REF!)</f>
        <v>3552739.7259999998</v>
      </c>
      <c r="R2436" s="12" t="e">
        <f>IF(O2436="Guaraníes",P2436/#REF!,P2436)</f>
        <v>#REF!</v>
      </c>
      <c r="S2436" s="5" t="s">
        <v>52</v>
      </c>
      <c r="T2436" s="5">
        <v>593</v>
      </c>
      <c r="W2436" s="5" t="e">
        <v>#REF!</v>
      </c>
      <c r="X2436" s="5">
        <v>0</v>
      </c>
      <c r="Y2436" s="5">
        <v>0</v>
      </c>
      <c r="Z2436" s="5">
        <v>35527.397259999998</v>
      </c>
      <c r="AA2436" s="5">
        <v>100</v>
      </c>
      <c r="AB2436" s="5">
        <v>3552739.7259999998</v>
      </c>
      <c r="AC2436" s="5" t="str">
        <f t="shared" si="118"/>
        <v>Bonos</v>
      </c>
      <c r="AD2436" s="5" t="s">
        <v>43</v>
      </c>
      <c r="AE2436" s="5">
        <f t="shared" si="116"/>
        <v>8</v>
      </c>
      <c r="AF2436" s="5">
        <f t="shared" si="117"/>
        <v>2021</v>
      </c>
    </row>
    <row r="2437" s="5" customFormat="1" ht="13">
      <c r="A2437" s="5" t="s">
        <v>44</v>
      </c>
      <c r="B2437" s="5" t="s">
        <v>44</v>
      </c>
      <c r="C2437" s="5" t="s">
        <v>67</v>
      </c>
      <c r="D2437" s="5" t="s">
        <v>21</v>
      </c>
      <c r="E2437" s="5" t="s">
        <v>44</v>
      </c>
      <c r="F2437" s="5" t="s">
        <v>68</v>
      </c>
      <c r="G2437" s="5" t="s">
        <v>69</v>
      </c>
      <c r="H2437" s="9" t="s">
        <v>70</v>
      </c>
      <c r="I2437" s="10"/>
      <c r="J2437" s="10">
        <v>44434</v>
      </c>
      <c r="K2437" s="5" t="s">
        <v>71</v>
      </c>
      <c r="L2437" s="5" t="s">
        <v>58</v>
      </c>
      <c r="M2437" s="11">
        <v>0.067500000000000004</v>
      </c>
      <c r="N2437" s="5" t="e">
        <f>IF(AND(M2437&gt;#REF!,Cartera!O2437="Guaraníes"),"Rendimiento significativo",IF(AND(M2437&gt;#REF!,Cartera!O2437="Dólares americanos"),"Rendimiento significativo","Rendimiento no significativo"))</f>
        <v>#REF!</v>
      </c>
      <c r="O2437" s="5" t="s">
        <v>51</v>
      </c>
      <c r="P2437" s="13">
        <v>159.56</v>
      </c>
      <c r="Q2437" s="12" t="e">
        <f>IF(O2437="Guaraníes",P2437,P2437*#REF!)</f>
        <v>#REF!</v>
      </c>
      <c r="R2437" s="12">
        <f>IF(O2437="Guaraníes",P2437/#REF!,P2437)</f>
        <v>159.56</v>
      </c>
      <c r="S2437" s="5" t="s">
        <v>52</v>
      </c>
      <c r="T2437" s="5">
        <v>593</v>
      </c>
      <c r="W2437" s="5" t="e">
        <v>#REF!</v>
      </c>
      <c r="X2437" s="5">
        <v>0</v>
      </c>
      <c r="Y2437" s="5">
        <v>0</v>
      </c>
      <c r="Z2437" s="5">
        <v>17.452055000000001</v>
      </c>
      <c r="AA2437" s="5">
        <v>8</v>
      </c>
      <c r="AB2437" s="5">
        <v>139.61644000000001</v>
      </c>
      <c r="AC2437" s="5" t="str">
        <f t="shared" si="118"/>
        <v>Bonos</v>
      </c>
      <c r="AD2437" s="5" t="s">
        <v>43</v>
      </c>
      <c r="AE2437" s="5">
        <f t="shared" si="116"/>
        <v>8</v>
      </c>
      <c r="AF2437" s="5">
        <f t="shared" si="117"/>
        <v>2021</v>
      </c>
    </row>
    <row r="2438" s="5" customFormat="1" ht="13">
      <c r="A2438" s="5" t="s">
        <v>44</v>
      </c>
      <c r="B2438" s="5" t="s">
        <v>44</v>
      </c>
      <c r="C2438" s="5" t="s">
        <v>156</v>
      </c>
      <c r="D2438" s="5" t="s">
        <v>21</v>
      </c>
      <c r="E2438" s="5" t="s">
        <v>44</v>
      </c>
      <c r="F2438" s="5" t="s">
        <v>68</v>
      </c>
      <c r="G2438" s="5" t="s">
        <v>69</v>
      </c>
      <c r="H2438" s="9" t="s">
        <v>407</v>
      </c>
      <c r="I2438" s="10"/>
      <c r="J2438" s="10">
        <v>44452</v>
      </c>
      <c r="K2438" s="5" t="s">
        <v>158</v>
      </c>
      <c r="L2438" s="5" t="s">
        <v>58</v>
      </c>
      <c r="M2438" s="11">
        <v>0.12</v>
      </c>
      <c r="N2438" s="5" t="e">
        <f>IF(AND(M2438&gt;#REF!,Cartera!O2438="Guaraníes"),"Rendimiento significativo",IF(AND(M2438&gt;#REF!,Cartera!O2438="Dólares americanos"),"Rendimiento significativo","Rendimiento no significativo"))</f>
        <v>#REF!</v>
      </c>
      <c r="O2438" s="5" t="s">
        <v>41</v>
      </c>
      <c r="P2438" s="12">
        <v>1671452.0553000001</v>
      </c>
      <c r="Q2438" s="12">
        <f>IF(O2438="Guaraníes",P2438,P2438*#REF!)</f>
        <v>1671452.0553000001</v>
      </c>
      <c r="R2438" s="12" t="e">
        <f>IF(O2438="Guaraníes",P2438/#REF!,P2438)</f>
        <v>#REF!</v>
      </c>
      <c r="S2438" s="5" t="s">
        <v>52</v>
      </c>
      <c r="T2438" s="5">
        <v>593</v>
      </c>
      <c r="W2438" s="5" t="e">
        <v>#REF!</v>
      </c>
      <c r="X2438" s="5">
        <v>0</v>
      </c>
      <c r="Y2438" s="5">
        <v>0</v>
      </c>
      <c r="Z2438" s="5">
        <v>13589.0411</v>
      </c>
      <c r="AA2438" s="5">
        <v>123</v>
      </c>
      <c r="AB2438" s="5">
        <v>1671452.0549999999</v>
      </c>
      <c r="AC2438" s="5" t="str">
        <f t="shared" si="118"/>
        <v>Bonos</v>
      </c>
      <c r="AD2438" s="5" t="s">
        <v>43</v>
      </c>
      <c r="AE2438" s="5">
        <f t="shared" si="116"/>
        <v>9</v>
      </c>
      <c r="AF2438" s="5">
        <f t="shared" si="117"/>
        <v>2021</v>
      </c>
    </row>
    <row r="2439" s="5" customFormat="1" ht="13">
      <c r="A2439" s="5" t="s">
        <v>44</v>
      </c>
      <c r="B2439" s="5" t="s">
        <v>44</v>
      </c>
      <c r="C2439" s="5" t="s">
        <v>176</v>
      </c>
      <c r="D2439" s="5" t="s">
        <v>21</v>
      </c>
      <c r="E2439" s="5" t="s">
        <v>44</v>
      </c>
      <c r="F2439" s="5" t="s">
        <v>68</v>
      </c>
      <c r="G2439" s="5" t="s">
        <v>69</v>
      </c>
      <c r="H2439" s="9" t="s">
        <v>479</v>
      </c>
      <c r="I2439" s="10"/>
      <c r="J2439" s="10">
        <v>44461</v>
      </c>
      <c r="K2439" s="5" t="s">
        <v>178</v>
      </c>
      <c r="L2439" s="5" t="s">
        <v>58</v>
      </c>
      <c r="M2439" s="11">
        <v>0.074999999999999997</v>
      </c>
      <c r="N2439" s="5" t="e">
        <f>IF(AND(M2439&gt;#REF!,Cartera!O2439="Guaraníes"),"Rendimiento significativo",IF(AND(M2439&gt;#REF!,Cartera!O2439="Dólares americanos"),"Rendimiento significativo","Rendimiento no significativo"))</f>
        <v>#REF!</v>
      </c>
      <c r="O2439" s="5" t="s">
        <v>51</v>
      </c>
      <c r="P2439" s="13">
        <v>635.75342999999998</v>
      </c>
      <c r="Q2439" s="12" t="e">
        <f>IF(O2439="Guaraníes",P2439,P2439*#REF!)</f>
        <v>#REF!</v>
      </c>
      <c r="R2439" s="12">
        <f>IF(O2439="Guaraníes",P2439/#REF!,P2439)</f>
        <v>635.75342999999998</v>
      </c>
      <c r="S2439" s="5" t="s">
        <v>52</v>
      </c>
      <c r="T2439" s="5">
        <v>593</v>
      </c>
      <c r="W2439" s="5" t="e">
        <v>#REF!</v>
      </c>
      <c r="X2439" s="5">
        <v>0</v>
      </c>
      <c r="Y2439" s="5">
        <v>0</v>
      </c>
      <c r="Z2439" s="5">
        <v>21.191780999999999</v>
      </c>
      <c r="AA2439" s="5">
        <v>30</v>
      </c>
      <c r="AB2439" s="5">
        <v>635.75342999999998</v>
      </c>
      <c r="AC2439" s="5" t="str">
        <f t="shared" si="118"/>
        <v>Bonos</v>
      </c>
      <c r="AD2439" s="5" t="s">
        <v>43</v>
      </c>
      <c r="AE2439" s="5">
        <f t="shared" si="116"/>
        <v>9</v>
      </c>
      <c r="AF2439" s="5">
        <f t="shared" si="117"/>
        <v>2021</v>
      </c>
    </row>
    <row r="2440" s="5" customFormat="1" ht="13">
      <c r="A2440" s="5" t="s">
        <v>44</v>
      </c>
      <c r="B2440" s="5" t="s">
        <v>44</v>
      </c>
      <c r="C2440" s="5" t="s">
        <v>116</v>
      </c>
      <c r="D2440" s="5" t="s">
        <v>21</v>
      </c>
      <c r="E2440" s="5" t="s">
        <v>44</v>
      </c>
      <c r="F2440" s="5" t="s">
        <v>68</v>
      </c>
      <c r="G2440" s="5" t="s">
        <v>69</v>
      </c>
      <c r="H2440" s="9" t="s">
        <v>194</v>
      </c>
      <c r="I2440" s="10"/>
      <c r="J2440" s="10">
        <v>44468</v>
      </c>
      <c r="K2440" s="5" t="s">
        <v>118</v>
      </c>
      <c r="L2440" s="5" t="s">
        <v>50</v>
      </c>
      <c r="M2440" s="11">
        <v>0.065000000000000002</v>
      </c>
      <c r="N2440" s="5" t="e">
        <f>IF(AND(M2440&gt;#REF!,Cartera!O2440="Guaraníes"),"Rendimiento significativo",IF(AND(M2440&gt;#REF!,Cartera!O2440="Dólares americanos"),"Rendimiento significativo","Rendimiento no significativo"))</f>
        <v>#REF!</v>
      </c>
      <c r="O2440" s="5" t="s">
        <v>51</v>
      </c>
      <c r="P2440" s="13">
        <v>324.10958999999997</v>
      </c>
      <c r="Q2440" s="12" t="e">
        <f>IF(O2440="Guaraníes",P2440,P2440*#REF!)</f>
        <v>#REF!</v>
      </c>
      <c r="R2440" s="12">
        <f>IF(O2440="Guaraníes",P2440/#REF!,P2440)</f>
        <v>324.10958999999997</v>
      </c>
      <c r="S2440" s="5" t="s">
        <v>52</v>
      </c>
      <c r="T2440" s="5">
        <v>593</v>
      </c>
      <c r="W2440" s="5" t="e">
        <v>#REF!</v>
      </c>
      <c r="X2440" s="5">
        <v>0</v>
      </c>
      <c r="Y2440" s="5">
        <v>0</v>
      </c>
      <c r="Z2440" s="5">
        <v>32.410958999999998</v>
      </c>
      <c r="AA2440" s="5">
        <v>10</v>
      </c>
      <c r="AB2440" s="5">
        <v>324.10959000000003</v>
      </c>
      <c r="AC2440" s="5" t="str">
        <f t="shared" si="118"/>
        <v>Bonos</v>
      </c>
      <c r="AD2440" s="5" t="s">
        <v>43</v>
      </c>
      <c r="AE2440" s="5">
        <f t="shared" si="116"/>
        <v>9</v>
      </c>
      <c r="AF2440" s="5">
        <f t="shared" si="117"/>
        <v>2021</v>
      </c>
    </row>
    <row r="2441" s="5" customFormat="1" ht="13">
      <c r="A2441" s="5" t="s">
        <v>44</v>
      </c>
      <c r="B2441" s="5" t="s">
        <v>44</v>
      </c>
      <c r="C2441" s="5" t="s">
        <v>156</v>
      </c>
      <c r="D2441" s="5" t="s">
        <v>21</v>
      </c>
      <c r="E2441" s="5" t="s">
        <v>44</v>
      </c>
      <c r="F2441" s="5" t="s">
        <v>68</v>
      </c>
      <c r="G2441" s="5" t="s">
        <v>69</v>
      </c>
      <c r="H2441" s="9" t="s">
        <v>407</v>
      </c>
      <c r="I2441" s="10"/>
      <c r="J2441" s="10">
        <v>44482</v>
      </c>
      <c r="K2441" s="5" t="s">
        <v>158</v>
      </c>
      <c r="L2441" s="5" t="s">
        <v>58</v>
      </c>
      <c r="M2441" s="11">
        <v>0.12</v>
      </c>
      <c r="N2441" s="5" t="e">
        <f>IF(AND(M2441&gt;#REF!,Cartera!O2441="Guaraníes"),"Rendimiento significativo",IF(AND(M2441&gt;#REF!,Cartera!O2441="Dólares americanos"),"Rendimiento significativo","Rendimiento no significativo"))</f>
        <v>#REF!</v>
      </c>
      <c r="O2441" s="5" t="s">
        <v>41</v>
      </c>
      <c r="P2441" s="12">
        <v>1617534.24639</v>
      </c>
      <c r="Q2441" s="12">
        <f>IF(O2441="Guaraníes",P2441,P2441*#REF!)</f>
        <v>1617534.24639</v>
      </c>
      <c r="R2441" s="12" t="e">
        <f>IF(O2441="Guaraníes",P2441/#REF!,P2441)</f>
        <v>#REF!</v>
      </c>
      <c r="S2441" s="5" t="s">
        <v>52</v>
      </c>
      <c r="T2441" s="5">
        <v>593</v>
      </c>
      <c r="W2441" s="5" t="e">
        <v>#REF!</v>
      </c>
      <c r="X2441" s="5">
        <v>0</v>
      </c>
      <c r="Y2441" s="5">
        <v>0</v>
      </c>
      <c r="Z2441" s="5">
        <v>13150.684929999999</v>
      </c>
      <c r="AA2441" s="5">
        <v>123</v>
      </c>
      <c r="AB2441" s="5">
        <v>1617534.247</v>
      </c>
      <c r="AC2441" s="5" t="str">
        <f t="shared" si="118"/>
        <v>Bonos</v>
      </c>
      <c r="AD2441" s="5" t="s">
        <v>43</v>
      </c>
      <c r="AE2441" s="5">
        <f t="shared" si="116"/>
        <v>10</v>
      </c>
      <c r="AF2441" s="5">
        <f t="shared" si="117"/>
        <v>2021</v>
      </c>
    </row>
    <row r="2442" s="5" customFormat="1" ht="13">
      <c r="A2442" s="5" t="s">
        <v>44</v>
      </c>
      <c r="B2442" s="5" t="s">
        <v>44</v>
      </c>
      <c r="C2442" s="5" t="s">
        <v>156</v>
      </c>
      <c r="D2442" s="5" t="s">
        <v>21</v>
      </c>
      <c r="E2442" s="5" t="s">
        <v>44</v>
      </c>
      <c r="F2442" s="5" t="s">
        <v>68</v>
      </c>
      <c r="G2442" s="5" t="s">
        <v>69</v>
      </c>
      <c r="H2442" s="9" t="s">
        <v>407</v>
      </c>
      <c r="I2442" s="10"/>
      <c r="J2442" s="10">
        <v>44512</v>
      </c>
      <c r="K2442" s="5" t="s">
        <v>158</v>
      </c>
      <c r="L2442" s="5" t="s">
        <v>58</v>
      </c>
      <c r="M2442" s="11">
        <v>0.12</v>
      </c>
      <c r="N2442" s="5" t="e">
        <f>IF(AND(M2442&gt;#REF!,Cartera!O2442="Guaraníes"),"Rendimiento significativo",IF(AND(M2442&gt;#REF!,Cartera!O2442="Dólares americanos"),"Rendimiento significativo","Rendimiento no significativo"))</f>
        <v>#REF!</v>
      </c>
      <c r="O2442" s="5" t="s">
        <v>41</v>
      </c>
      <c r="P2442" s="12">
        <v>1617534.24639</v>
      </c>
      <c r="Q2442" s="12">
        <f>IF(O2442="Guaraníes",P2442,P2442*#REF!)</f>
        <v>1617534.24639</v>
      </c>
      <c r="R2442" s="12" t="e">
        <f>IF(O2442="Guaraníes",P2442/#REF!,P2442)</f>
        <v>#REF!</v>
      </c>
      <c r="S2442" s="5" t="s">
        <v>52</v>
      </c>
      <c r="T2442" s="5">
        <v>593</v>
      </c>
      <c r="W2442" s="5" t="e">
        <v>#REF!</v>
      </c>
      <c r="X2442" s="5">
        <v>0</v>
      </c>
      <c r="Y2442" s="5">
        <v>0</v>
      </c>
      <c r="Z2442" s="5">
        <v>13150.684929999999</v>
      </c>
      <c r="AA2442" s="5">
        <v>123</v>
      </c>
      <c r="AB2442" s="5">
        <v>1617534.247</v>
      </c>
      <c r="AC2442" s="5" t="str">
        <f t="shared" si="118"/>
        <v>Bonos</v>
      </c>
      <c r="AD2442" s="5" t="s">
        <v>43</v>
      </c>
      <c r="AE2442" s="5">
        <f t="shared" si="116"/>
        <v>11</v>
      </c>
      <c r="AF2442" s="5">
        <f t="shared" si="117"/>
        <v>2021</v>
      </c>
    </row>
    <row r="2443" s="5" customFormat="1" ht="13">
      <c r="A2443" s="5" t="s">
        <v>44</v>
      </c>
      <c r="B2443" s="5" t="s">
        <v>44</v>
      </c>
      <c r="C2443" s="5" t="s">
        <v>67</v>
      </c>
      <c r="D2443" s="5" t="s">
        <v>21</v>
      </c>
      <c r="E2443" s="5" t="s">
        <v>44</v>
      </c>
      <c r="F2443" s="5" t="s">
        <v>68</v>
      </c>
      <c r="G2443" s="5" t="s">
        <v>69</v>
      </c>
      <c r="H2443" s="9" t="s">
        <v>376</v>
      </c>
      <c r="I2443" s="10"/>
      <c r="J2443" s="10">
        <v>44524</v>
      </c>
      <c r="K2443" s="5" t="s">
        <v>71</v>
      </c>
      <c r="L2443" s="5" t="s">
        <v>58</v>
      </c>
      <c r="M2443" s="11">
        <v>0.070000000000000007</v>
      </c>
      <c r="N2443" s="5" t="e">
        <f>IF(AND(M2443&gt;#REF!,Cartera!O2443="Guaraníes"),"Rendimiento significativo",IF(AND(M2443&gt;#REF!,Cartera!O2443="Dólares americanos"),"Rendimiento significativo","Rendimiento no significativo"))</f>
        <v>#REF!</v>
      </c>
      <c r="O2443" s="5" t="s">
        <v>41</v>
      </c>
      <c r="P2443" s="12">
        <v>1144356.164415</v>
      </c>
      <c r="Q2443" s="12">
        <f>IF(O2443="Guaraníes",P2443,P2443*#REF!)</f>
        <v>1144356.164415</v>
      </c>
      <c r="R2443" s="12" t="e">
        <f>IF(O2443="Guaraníes",P2443/#REF!,P2443)</f>
        <v>#REF!</v>
      </c>
      <c r="S2443" s="5" t="s">
        <v>52</v>
      </c>
      <c r="T2443" s="5">
        <v>593</v>
      </c>
      <c r="W2443" s="5" t="e">
        <v>#REF!</v>
      </c>
      <c r="X2443" s="5">
        <v>0</v>
      </c>
      <c r="Y2443" s="5">
        <v>0</v>
      </c>
      <c r="Z2443" s="5">
        <v>13463.013698999999</v>
      </c>
      <c r="AA2443" s="5">
        <v>85</v>
      </c>
      <c r="AB2443" s="5">
        <v>1144356.164415</v>
      </c>
      <c r="AC2443" s="5" t="str">
        <f t="shared" si="118"/>
        <v>Bonos</v>
      </c>
      <c r="AD2443" s="5" t="s">
        <v>43</v>
      </c>
      <c r="AE2443" s="5">
        <f t="shared" si="116"/>
        <v>11</v>
      </c>
      <c r="AF2443" s="5">
        <f t="shared" si="117"/>
        <v>2021</v>
      </c>
    </row>
    <row r="2444" s="5" customFormat="1" ht="13">
      <c r="A2444" s="5" t="s">
        <v>44</v>
      </c>
      <c r="B2444" s="5" t="s">
        <v>44</v>
      </c>
      <c r="C2444" s="5" t="s">
        <v>114</v>
      </c>
      <c r="D2444" s="5" t="s">
        <v>21</v>
      </c>
      <c r="E2444" s="5" t="s">
        <v>44</v>
      </c>
      <c r="F2444" s="5" t="s">
        <v>68</v>
      </c>
      <c r="G2444" s="5" t="s">
        <v>69</v>
      </c>
      <c r="H2444" s="9" t="s">
        <v>520</v>
      </c>
      <c r="I2444" s="10"/>
      <c r="J2444" s="10">
        <v>44524</v>
      </c>
      <c r="K2444" s="5" t="s">
        <v>77</v>
      </c>
      <c r="L2444" s="5" t="s">
        <v>50</v>
      </c>
      <c r="M2444" s="11">
        <v>0.14249999999999999</v>
      </c>
      <c r="N2444" s="5" t="e">
        <f>IF(AND(M2444&gt;#REF!,Cartera!O2444="Guaraníes"),"Rendimiento significativo",IF(AND(M2444&gt;#REF!,Cartera!O2444="Dólares americanos"),"Rendimiento significativo","Rendimiento no significativo"))</f>
        <v>#REF!</v>
      </c>
      <c r="O2444" s="5" t="s">
        <v>41</v>
      </c>
      <c r="P2444" s="12">
        <v>3552739.7259999998</v>
      </c>
      <c r="Q2444" s="12">
        <f>IF(O2444="Guaraníes",P2444,P2444*#REF!)</f>
        <v>3552739.7259999998</v>
      </c>
      <c r="R2444" s="12" t="e">
        <f>IF(O2444="Guaraníes",P2444/#REF!,P2444)</f>
        <v>#REF!</v>
      </c>
      <c r="S2444" s="5" t="s">
        <v>52</v>
      </c>
      <c r="T2444" s="5">
        <v>593</v>
      </c>
      <c r="W2444" s="5" t="e">
        <v>#REF!</v>
      </c>
      <c r="X2444" s="5">
        <v>0</v>
      </c>
      <c r="Y2444" s="5">
        <v>0</v>
      </c>
      <c r="Z2444" s="5">
        <v>35527.397259999998</v>
      </c>
      <c r="AA2444" s="5">
        <v>100</v>
      </c>
      <c r="AB2444" s="5">
        <v>3552739.7259999998</v>
      </c>
      <c r="AC2444" s="5" t="str">
        <f t="shared" si="118"/>
        <v>Bonos</v>
      </c>
      <c r="AD2444" s="5" t="s">
        <v>43</v>
      </c>
      <c r="AE2444" s="5">
        <f t="shared" si="116"/>
        <v>11</v>
      </c>
      <c r="AF2444" s="5">
        <f t="shared" si="117"/>
        <v>2021</v>
      </c>
    </row>
    <row r="2445" s="5" customFormat="1" ht="13">
      <c r="A2445" s="5" t="s">
        <v>44</v>
      </c>
      <c r="B2445" s="5" t="s">
        <v>44</v>
      </c>
      <c r="C2445" s="5" t="s">
        <v>67</v>
      </c>
      <c r="D2445" s="5" t="s">
        <v>21</v>
      </c>
      <c r="E2445" s="5" t="s">
        <v>44</v>
      </c>
      <c r="F2445" s="5" t="s">
        <v>68</v>
      </c>
      <c r="G2445" s="5" t="s">
        <v>69</v>
      </c>
      <c r="H2445" s="9" t="s">
        <v>70</v>
      </c>
      <c r="I2445" s="10"/>
      <c r="J2445" s="10">
        <v>44525</v>
      </c>
      <c r="K2445" s="5" t="s">
        <v>71</v>
      </c>
      <c r="L2445" s="5" t="s">
        <v>58</v>
      </c>
      <c r="M2445" s="11">
        <v>0.067500000000000004</v>
      </c>
      <c r="N2445" s="5" t="e">
        <f>IF(AND(M2445&gt;#REF!,Cartera!O2445="Guaraníes"),"Rendimiento significativo",IF(AND(M2445&gt;#REF!,Cartera!O2445="Dólares americanos"),"Rendimiento significativo","Rendimiento no significativo"))</f>
        <v>#REF!</v>
      </c>
      <c r="O2445" s="5" t="s">
        <v>51</v>
      </c>
      <c r="P2445" s="13">
        <v>159.56</v>
      </c>
      <c r="Q2445" s="12" t="e">
        <f>IF(O2445="Guaraníes",P2445,P2445*#REF!)</f>
        <v>#REF!</v>
      </c>
      <c r="R2445" s="12">
        <f>IF(O2445="Guaraníes",P2445/#REF!,P2445)</f>
        <v>159.56</v>
      </c>
      <c r="S2445" s="5" t="s">
        <v>52</v>
      </c>
      <c r="T2445" s="5">
        <v>593</v>
      </c>
      <c r="W2445" s="5" t="e">
        <v>#REF!</v>
      </c>
      <c r="X2445" s="5">
        <v>0</v>
      </c>
      <c r="Y2445" s="5">
        <v>0</v>
      </c>
      <c r="Z2445" s="5">
        <v>17.452055000000001</v>
      </c>
      <c r="AA2445" s="5">
        <v>8</v>
      </c>
      <c r="AB2445" s="5">
        <v>139.61644000000001</v>
      </c>
      <c r="AC2445" s="5" t="str">
        <f t="shared" si="118"/>
        <v>Bonos</v>
      </c>
      <c r="AD2445" s="5" t="s">
        <v>43</v>
      </c>
      <c r="AE2445" s="5">
        <f t="shared" si="116"/>
        <v>11</v>
      </c>
      <c r="AF2445" s="5">
        <f t="shared" si="117"/>
        <v>2021</v>
      </c>
    </row>
    <row r="2446" s="5" customFormat="1" ht="13">
      <c r="A2446" s="5" t="s">
        <v>44</v>
      </c>
      <c r="B2446" s="5" t="s">
        <v>44</v>
      </c>
      <c r="C2446" s="5" t="s">
        <v>156</v>
      </c>
      <c r="D2446" s="5" t="s">
        <v>21</v>
      </c>
      <c r="E2446" s="5" t="s">
        <v>44</v>
      </c>
      <c r="F2446" s="5" t="s">
        <v>68</v>
      </c>
      <c r="G2446" s="5" t="s">
        <v>69</v>
      </c>
      <c r="H2446" s="9" t="s">
        <v>407</v>
      </c>
      <c r="I2446" s="10"/>
      <c r="J2446" s="10">
        <v>44543</v>
      </c>
      <c r="K2446" s="5" t="s">
        <v>158</v>
      </c>
      <c r="L2446" s="5" t="s">
        <v>58</v>
      </c>
      <c r="M2446" s="11">
        <v>0.12</v>
      </c>
      <c r="N2446" s="5" t="e">
        <f>IF(AND(M2446&gt;#REF!,Cartera!O2446="Guaraníes"),"Rendimiento significativo",IF(AND(M2446&gt;#REF!,Cartera!O2446="Dólares americanos"),"Rendimiento significativo","Rendimiento no significativo"))</f>
        <v>#REF!</v>
      </c>
      <c r="O2446" s="5" t="s">
        <v>41</v>
      </c>
      <c r="P2446" s="12">
        <v>1671452.0553000001</v>
      </c>
      <c r="Q2446" s="12">
        <f>IF(O2446="Guaraníes",P2446,P2446*#REF!)</f>
        <v>1671452.0553000001</v>
      </c>
      <c r="R2446" s="12" t="e">
        <f>IF(O2446="Guaraníes",P2446/#REF!,P2446)</f>
        <v>#REF!</v>
      </c>
      <c r="S2446" s="5" t="s">
        <v>52</v>
      </c>
      <c r="T2446" s="5">
        <v>593</v>
      </c>
      <c r="W2446" s="5" t="e">
        <v>#REF!</v>
      </c>
      <c r="X2446" s="5">
        <v>0</v>
      </c>
      <c r="Y2446" s="5">
        <v>0</v>
      </c>
      <c r="Z2446" s="5">
        <v>13589.0411</v>
      </c>
      <c r="AA2446" s="5">
        <v>123</v>
      </c>
      <c r="AB2446" s="5">
        <v>1671452.0549999999</v>
      </c>
      <c r="AC2446" s="5" t="str">
        <f t="shared" si="118"/>
        <v>Bonos</v>
      </c>
      <c r="AD2446" s="5" t="s">
        <v>43</v>
      </c>
      <c r="AE2446" s="5">
        <f t="shared" si="116"/>
        <v>12</v>
      </c>
      <c r="AF2446" s="5">
        <f t="shared" si="117"/>
        <v>2021</v>
      </c>
    </row>
    <row r="2447" s="5" customFormat="1" ht="13">
      <c r="A2447" s="5" t="s">
        <v>44</v>
      </c>
      <c r="B2447" s="5" t="s">
        <v>44</v>
      </c>
      <c r="C2447" s="5" t="s">
        <v>33</v>
      </c>
      <c r="D2447" s="5" t="s">
        <v>21</v>
      </c>
      <c r="E2447" s="5" t="s">
        <v>44</v>
      </c>
      <c r="F2447" s="5" t="s">
        <v>35</v>
      </c>
      <c r="G2447" s="5" t="s">
        <v>69</v>
      </c>
      <c r="H2447" s="9" t="s">
        <v>186</v>
      </c>
      <c r="I2447" s="10"/>
      <c r="J2447" s="10">
        <v>44545</v>
      </c>
      <c r="K2447" s="5" t="s">
        <v>39</v>
      </c>
      <c r="L2447" s="5" t="s">
        <v>50</v>
      </c>
      <c r="M2447" s="11">
        <v>0.044999999999999998</v>
      </c>
      <c r="N2447" s="5" t="e">
        <f>IF(AND(M2447&gt;#REF!,Cartera!O2447="Guaraníes"),"Rendimiento significativo",IF(AND(M2447&gt;#REF!,Cartera!O2447="Dólares americanos"),"Rendimiento significativo","Rendimiento no significativo"))</f>
        <v>#REF!</v>
      </c>
      <c r="O2447" s="5" t="s">
        <v>51</v>
      </c>
      <c r="P2447" s="13">
        <v>448.76711999999998</v>
      </c>
      <c r="Q2447" s="12" t="e">
        <f>IF(O2447="Guaraníes",P2447,P2447*#REF!)</f>
        <v>#REF!</v>
      </c>
      <c r="R2447" s="12">
        <f>IF(O2447="Guaraníes",P2447/#REF!,P2447)</f>
        <v>448.76711999999998</v>
      </c>
      <c r="S2447" s="5" t="s">
        <v>52</v>
      </c>
      <c r="T2447" s="5">
        <v>593</v>
      </c>
      <c r="W2447" s="5" t="s">
        <v>65</v>
      </c>
      <c r="X2447" s="5">
        <v>0</v>
      </c>
      <c r="Y2447" s="5">
        <v>0</v>
      </c>
      <c r="Z2447" s="5">
        <v>11.219177999999999</v>
      </c>
      <c r="AA2447" s="5">
        <v>40</v>
      </c>
      <c r="AB2447" s="5">
        <v>448.76711999999998</v>
      </c>
      <c r="AC2447" s="5" t="str">
        <f t="shared" si="118"/>
        <v>Bonos</v>
      </c>
      <c r="AD2447" s="5" t="s">
        <v>43</v>
      </c>
      <c r="AE2447" s="5">
        <f t="shared" si="116"/>
        <v>12</v>
      </c>
      <c r="AF2447" s="5">
        <f t="shared" si="117"/>
        <v>2021</v>
      </c>
    </row>
    <row r="2448" s="5" customFormat="1" ht="13">
      <c r="A2448" s="5" t="s">
        <v>44</v>
      </c>
      <c r="B2448" s="5" t="s">
        <v>44</v>
      </c>
      <c r="C2448" s="5" t="s">
        <v>176</v>
      </c>
      <c r="D2448" s="5" t="s">
        <v>21</v>
      </c>
      <c r="E2448" s="5" t="s">
        <v>44</v>
      </c>
      <c r="F2448" s="5" t="s">
        <v>68</v>
      </c>
      <c r="G2448" s="5" t="s">
        <v>69</v>
      </c>
      <c r="H2448" s="9" t="s">
        <v>479</v>
      </c>
      <c r="I2448" s="10"/>
      <c r="J2448" s="10">
        <v>44552</v>
      </c>
      <c r="K2448" s="5" t="s">
        <v>178</v>
      </c>
      <c r="L2448" s="5" t="s">
        <v>58</v>
      </c>
      <c r="M2448" s="11">
        <v>0.074999999999999997</v>
      </c>
      <c r="N2448" s="5" t="e">
        <f>IF(AND(M2448&gt;#REF!,Cartera!O2448="Guaraníes"),"Rendimiento significativo",IF(AND(M2448&gt;#REF!,Cartera!O2448="Dólares americanos"),"Rendimiento significativo","Rendimiento no significativo"))</f>
        <v>#REF!</v>
      </c>
      <c r="O2448" s="5" t="s">
        <v>51</v>
      </c>
      <c r="P2448" s="13">
        <v>635.75342999999998</v>
      </c>
      <c r="Q2448" s="12" t="e">
        <f>IF(O2448="Guaraníes",P2448,P2448*#REF!)</f>
        <v>#REF!</v>
      </c>
      <c r="R2448" s="12">
        <f>IF(O2448="Guaraníes",P2448/#REF!,P2448)</f>
        <v>635.75342999999998</v>
      </c>
      <c r="S2448" s="5" t="s">
        <v>52</v>
      </c>
      <c r="T2448" s="5">
        <v>593</v>
      </c>
      <c r="W2448" s="5" t="s">
        <v>196</v>
      </c>
      <c r="X2448" s="5">
        <v>0</v>
      </c>
      <c r="Y2448" s="5">
        <v>0</v>
      </c>
      <c r="Z2448" s="5">
        <v>21.191780999999999</v>
      </c>
      <c r="AA2448" s="5">
        <v>30</v>
      </c>
      <c r="AB2448" s="5">
        <v>635.75342999999998</v>
      </c>
      <c r="AC2448" s="5" t="str">
        <f t="shared" si="118"/>
        <v>Bonos</v>
      </c>
      <c r="AD2448" s="5" t="s">
        <v>43</v>
      </c>
      <c r="AE2448" s="5">
        <f t="shared" si="116"/>
        <v>12</v>
      </c>
      <c r="AF2448" s="5">
        <f t="shared" si="117"/>
        <v>2021</v>
      </c>
    </row>
    <row r="2449" s="5" customFormat="1" ht="13">
      <c r="A2449" s="5" t="s">
        <v>44</v>
      </c>
      <c r="B2449" s="5" t="s">
        <v>44</v>
      </c>
      <c r="C2449" s="5" t="s">
        <v>67</v>
      </c>
      <c r="D2449" s="5" t="s">
        <v>21</v>
      </c>
      <c r="E2449" s="5" t="s">
        <v>44</v>
      </c>
      <c r="F2449" s="5" t="s">
        <v>68</v>
      </c>
      <c r="G2449" s="5" t="s">
        <v>69</v>
      </c>
      <c r="H2449" s="9" t="s">
        <v>376</v>
      </c>
      <c r="I2449" s="10"/>
      <c r="J2449" s="10">
        <v>44554</v>
      </c>
      <c r="K2449" s="5" t="s">
        <v>71</v>
      </c>
      <c r="L2449" s="5" t="s">
        <v>58</v>
      </c>
      <c r="M2449" s="11">
        <v>0.070000000000000007</v>
      </c>
      <c r="N2449" s="5" t="e">
        <f>IF(AND(M2449&gt;#REF!,Cartera!O2449="Guaraníes"),"Rendimiento significativo",IF(AND(M2449&gt;#REF!,Cartera!O2449="Dólares americanos"),"Rendimiento significativo","Rendimiento no significativo"))</f>
        <v>#REF!</v>
      </c>
      <c r="O2449" s="5" t="s">
        <v>41</v>
      </c>
      <c r="P2449" s="12">
        <v>8877260.2739400007</v>
      </c>
      <c r="Q2449" s="12">
        <f>IF(O2449="Guaraníes",P2449,P2449*#REF!)</f>
        <v>8877260.2739400007</v>
      </c>
      <c r="R2449" s="12" t="e">
        <f>IF(O2449="Guaraníes",P2449/#REF!,P2449)</f>
        <v>#REF!</v>
      </c>
      <c r="S2449" s="5" t="s">
        <v>52</v>
      </c>
      <c r="T2449" s="5">
        <v>593</v>
      </c>
      <c r="W2449" s="5" t="s">
        <v>531</v>
      </c>
      <c r="X2449" s="5">
        <v>10</v>
      </c>
      <c r="Y2449" s="5">
        <v>100000</v>
      </c>
      <c r="Z2449" s="5">
        <v>104438.356164</v>
      </c>
      <c r="AA2449" s="5">
        <v>85</v>
      </c>
      <c r="AB2449" s="5">
        <v>8877260.2739400007</v>
      </c>
      <c r="AC2449" s="5" t="str">
        <f t="shared" si="118"/>
        <v>Bonos</v>
      </c>
      <c r="AD2449" s="5" t="s">
        <v>43</v>
      </c>
      <c r="AE2449" s="5">
        <f t="shared" si="116"/>
        <v>12</v>
      </c>
      <c r="AF2449" s="5">
        <f t="shared" si="117"/>
        <v>2021</v>
      </c>
    </row>
    <row r="2450" s="5" customFormat="1" ht="13">
      <c r="A2450" s="5" t="s">
        <v>44</v>
      </c>
      <c r="B2450" s="5" t="s">
        <v>44</v>
      </c>
      <c r="C2450" s="5" t="s">
        <v>156</v>
      </c>
      <c r="D2450" s="5" t="s">
        <v>20</v>
      </c>
      <c r="E2450" s="5" t="s">
        <v>44</v>
      </c>
      <c r="F2450" s="5" t="s">
        <v>68</v>
      </c>
      <c r="G2450" s="5" t="s">
        <v>69</v>
      </c>
      <c r="H2450" s="9" t="s">
        <v>407</v>
      </c>
      <c r="I2450" s="10">
        <v>44146</v>
      </c>
      <c r="J2450" s="10">
        <v>44567</v>
      </c>
      <c r="K2450" s="5" t="s">
        <v>158</v>
      </c>
      <c r="L2450" s="5" t="s">
        <v>58</v>
      </c>
      <c r="M2450" s="11">
        <v>0.12</v>
      </c>
      <c r="N2450" s="5" t="e">
        <f>IF(AND(M2450&gt;#REF!,Cartera!O2450="Guaraníes"),"Rendimiento significativo",IF(AND(M2450&gt;#REF!,Cartera!O2450="Dólares americanos"),"Rendimiento significativo","Rendimiento no significativo"))</f>
        <v>#REF!</v>
      </c>
      <c r="O2450" s="5" t="s">
        <v>41</v>
      </c>
      <c r="P2450" s="12">
        <v>123000000</v>
      </c>
      <c r="Q2450" s="12">
        <f>IF(O2450="Guaraníes",P2450,P2450*#REF!)</f>
        <v>123000000</v>
      </c>
      <c r="R2450" s="12" t="e">
        <f>IF(O2450="Guaraníes",P2450/#REF!,P2450)</f>
        <v>#REF!</v>
      </c>
      <c r="S2450" s="5" t="s">
        <v>52</v>
      </c>
      <c r="AC2450" s="5" t="str">
        <f t="shared" si="118"/>
        <v>Bonos</v>
      </c>
      <c r="AD2450" s="5" t="s">
        <v>43</v>
      </c>
      <c r="AE2450" s="5">
        <f t="shared" ref="AE2450:AE2513" si="119">IFERROR((MONTH(J2450)),0)</f>
        <v>1</v>
      </c>
      <c r="AF2450" s="5">
        <f t="shared" ref="AF2450:AF2513" si="120">IFERROR((YEAR(J2450)),0)</f>
        <v>2022</v>
      </c>
    </row>
    <row r="2451" s="5" customFormat="1" ht="13">
      <c r="A2451" s="5" t="s">
        <v>44</v>
      </c>
      <c r="B2451" s="5" t="s">
        <v>44</v>
      </c>
      <c r="C2451" s="5" t="s">
        <v>171</v>
      </c>
      <c r="D2451" s="5" t="s">
        <v>21</v>
      </c>
      <c r="E2451" s="5" t="s">
        <v>44</v>
      </c>
      <c r="F2451" s="5" t="s">
        <v>100</v>
      </c>
      <c r="G2451" s="5" t="s">
        <v>69</v>
      </c>
      <c r="H2451" s="9" t="s">
        <v>172</v>
      </c>
      <c r="I2451" s="10"/>
      <c r="J2451" s="10">
        <v>44575</v>
      </c>
      <c r="K2451" s="5" t="s">
        <v>173</v>
      </c>
      <c r="L2451" s="5" t="s">
        <v>58</v>
      </c>
      <c r="M2451" s="11">
        <v>0.14999999999999999</v>
      </c>
      <c r="N2451" s="5" t="e">
        <f>IF(AND(M2451&gt;#REF!,Cartera!O2451="Guaraníes"),"Rendimiento significativo",IF(AND(M2451&gt;#REF!,Cartera!O2451="Dólares americanos"),"Rendimiento significativo","Rendimiento no significativo"))</f>
        <v>#REF!</v>
      </c>
      <c r="O2451" s="5" t="s">
        <v>41</v>
      </c>
      <c r="P2451" s="12">
        <v>676849.315068</v>
      </c>
      <c r="Q2451" s="12">
        <f>IF(O2451="Guaraníes",P2451,P2451*#REF!)</f>
        <v>676849.315068</v>
      </c>
      <c r="R2451" s="12" t="e">
        <f>IF(O2451="Guaraníes",P2451/#REF!,P2451)</f>
        <v>#REF!</v>
      </c>
      <c r="S2451" s="5" t="s">
        <v>52</v>
      </c>
      <c r="T2451" s="5">
        <v>593</v>
      </c>
      <c r="W2451" s="5" t="s">
        <v>137</v>
      </c>
      <c r="X2451" s="5">
        <v>0</v>
      </c>
      <c r="Y2451" s="5">
        <v>0</v>
      </c>
      <c r="Z2451" s="5">
        <v>75205.479452</v>
      </c>
      <c r="AA2451" s="5">
        <v>9</v>
      </c>
      <c r="AB2451" s="5">
        <v>676849.315068</v>
      </c>
      <c r="AC2451" s="5" t="str">
        <f t="shared" si="118"/>
        <v>Bonos</v>
      </c>
      <c r="AD2451" s="5" t="s">
        <v>43</v>
      </c>
      <c r="AE2451" s="5">
        <f t="shared" si="119"/>
        <v>1</v>
      </c>
      <c r="AF2451" s="5">
        <f t="shared" si="120"/>
        <v>2022</v>
      </c>
    </row>
    <row r="2452" s="5" customFormat="1" ht="13">
      <c r="A2452" s="5" t="s">
        <v>44</v>
      </c>
      <c r="B2452" s="5" t="s">
        <v>44</v>
      </c>
      <c r="C2452" s="5" t="s">
        <v>67</v>
      </c>
      <c r="D2452" s="5" t="s">
        <v>21</v>
      </c>
      <c r="E2452" s="5" t="s">
        <v>44</v>
      </c>
      <c r="F2452" s="5" t="s">
        <v>68</v>
      </c>
      <c r="G2452" s="5" t="s">
        <v>69</v>
      </c>
      <c r="H2452" s="9" t="s">
        <v>376</v>
      </c>
      <c r="I2452" s="10"/>
      <c r="J2452" s="10">
        <v>44586</v>
      </c>
      <c r="K2452" s="5" t="s">
        <v>71</v>
      </c>
      <c r="L2452" s="5" t="s">
        <v>58</v>
      </c>
      <c r="M2452" s="11">
        <v>0.070000000000000007</v>
      </c>
      <c r="N2452" s="5" t="e">
        <f>IF(AND(M2452&gt;#REF!,Cartera!O2452="Guaraníes"),"Rendimiento significativo",IF(AND(M2452&gt;#REF!,Cartera!O2452="Dólares americanos"),"Rendimiento significativo","Rendimiento no significativo"))</f>
        <v>#REF!</v>
      </c>
      <c r="O2452" s="5" t="s">
        <v>41</v>
      </c>
      <c r="P2452" s="12">
        <v>8835342.4657150004</v>
      </c>
      <c r="Q2452" s="12">
        <f>IF(O2452="Guaraníes",P2452,P2452*#REF!)</f>
        <v>8835342.4657150004</v>
      </c>
      <c r="R2452" s="12" t="e">
        <f>IF(O2452="Guaraníes",P2452/#REF!,P2452)</f>
        <v>#REF!</v>
      </c>
      <c r="S2452" s="5" t="s">
        <v>52</v>
      </c>
      <c r="T2452" s="5">
        <v>593</v>
      </c>
      <c r="W2452" s="5" t="s">
        <v>531</v>
      </c>
      <c r="X2452" s="5">
        <v>10</v>
      </c>
      <c r="Y2452" s="5">
        <v>100000</v>
      </c>
      <c r="Z2452" s="5">
        <v>103945.205479</v>
      </c>
      <c r="AA2452" s="5">
        <v>85</v>
      </c>
      <c r="AB2452" s="5">
        <v>8835342.4657150004</v>
      </c>
      <c r="AC2452" s="5" t="str">
        <f t="shared" si="118"/>
        <v>Bonos</v>
      </c>
      <c r="AD2452" s="5" t="s">
        <v>43</v>
      </c>
      <c r="AE2452" s="5">
        <f t="shared" si="119"/>
        <v>1</v>
      </c>
      <c r="AF2452" s="5">
        <f t="shared" si="120"/>
        <v>2022</v>
      </c>
    </row>
    <row r="2453" s="5" customFormat="1" ht="13">
      <c r="A2453" s="5" t="s">
        <v>44</v>
      </c>
      <c r="B2453" s="5" t="s">
        <v>44</v>
      </c>
      <c r="C2453" s="5" t="s">
        <v>99</v>
      </c>
      <c r="D2453" s="5" t="s">
        <v>21</v>
      </c>
      <c r="E2453" s="5" t="s">
        <v>44</v>
      </c>
      <c r="F2453" s="5" t="s">
        <v>100</v>
      </c>
      <c r="G2453" s="5" t="s">
        <v>69</v>
      </c>
      <c r="H2453" s="9" t="s">
        <v>238</v>
      </c>
      <c r="I2453" s="10"/>
      <c r="J2453" s="10">
        <v>44594</v>
      </c>
      <c r="K2453" s="5" t="s">
        <v>102</v>
      </c>
      <c r="L2453" s="5" t="s">
        <v>102</v>
      </c>
      <c r="M2453" s="11">
        <v>0.070000000000000007</v>
      </c>
      <c r="N2453" s="5" t="e">
        <f>IF(AND(M2453&gt;#REF!,Cartera!O2453="Guaraníes"),"Rendimiento significativo",IF(AND(M2453&gt;#REF!,Cartera!O2453="Dólares americanos"),"Rendimiento significativo","Rendimiento no significativo"))</f>
        <v>#REF!</v>
      </c>
      <c r="O2453" s="5" t="s">
        <v>41</v>
      </c>
      <c r="P2453" s="12">
        <v>2041643.8355999999</v>
      </c>
      <c r="Q2453" s="12">
        <f>IF(O2453="Guaraníes",P2453,P2453*#REF!)</f>
        <v>2041643.8355999999</v>
      </c>
      <c r="R2453" s="12" t="e">
        <f>IF(O2453="Guaraníes",P2453/#REF!,P2453)</f>
        <v>#REF!</v>
      </c>
      <c r="S2453" s="5" t="s">
        <v>52</v>
      </c>
      <c r="T2453" s="5">
        <v>593</v>
      </c>
      <c r="W2453" s="5" t="s">
        <v>492</v>
      </c>
      <c r="X2453" s="5">
        <v>0</v>
      </c>
      <c r="Y2453" s="5">
        <v>0</v>
      </c>
      <c r="Z2453" s="5">
        <v>40832.876711999997</v>
      </c>
      <c r="AA2453" s="5">
        <v>50</v>
      </c>
      <c r="AB2453" s="5">
        <v>2041643.8356000001</v>
      </c>
      <c r="AC2453" s="5" t="str">
        <f t="shared" si="118"/>
        <v>Bonos</v>
      </c>
      <c r="AD2453" s="5" t="s">
        <v>43</v>
      </c>
      <c r="AE2453" s="5">
        <f t="shared" si="119"/>
        <v>2</v>
      </c>
      <c r="AF2453" s="5">
        <f t="shared" si="120"/>
        <v>2022</v>
      </c>
    </row>
    <row r="2454" s="5" customFormat="1" ht="13">
      <c r="A2454" s="5" t="s">
        <v>44</v>
      </c>
      <c r="B2454" s="5" t="s">
        <v>44</v>
      </c>
      <c r="C2454" s="5" t="s">
        <v>457</v>
      </c>
      <c r="D2454" s="5" t="s">
        <v>21</v>
      </c>
      <c r="E2454" s="5" t="s">
        <v>44</v>
      </c>
      <c r="F2454" s="5" t="s">
        <v>100</v>
      </c>
      <c r="G2454" s="5" t="s">
        <v>69</v>
      </c>
      <c r="H2454" s="9" t="s">
        <v>459</v>
      </c>
      <c r="I2454" s="10"/>
      <c r="J2454" s="10">
        <v>44602</v>
      </c>
      <c r="K2454" s="5" t="s">
        <v>173</v>
      </c>
      <c r="L2454" s="5" t="s">
        <v>58</v>
      </c>
      <c r="M2454" s="11">
        <v>0.14499999999999999</v>
      </c>
      <c r="N2454" s="5" t="e">
        <f>IF(AND(M2454&gt;#REF!,Cartera!O2454="Guaraníes"),"Rendimiento significativo",IF(AND(M2454&gt;#REF!,Cartera!O2454="Dólares americanos"),"Rendimiento significativo","Rendimiento no significativo"))</f>
        <v>#REF!</v>
      </c>
      <c r="O2454" s="5" t="s">
        <v>41</v>
      </c>
      <c r="P2454" s="12">
        <v>2057808.21918</v>
      </c>
      <c r="Q2454" s="12">
        <f>IF(O2454="Guaraníes",P2454,P2454*#REF!)</f>
        <v>2057808.21918</v>
      </c>
      <c r="R2454" s="12" t="e">
        <f>IF(O2454="Guaraníes",P2454/#REF!,P2454)</f>
        <v>#REF!</v>
      </c>
      <c r="S2454" s="5" t="s">
        <v>52</v>
      </c>
      <c r="T2454" s="5">
        <v>593</v>
      </c>
      <c r="W2454" s="5" t="s">
        <v>297</v>
      </c>
      <c r="X2454" s="5">
        <v>0</v>
      </c>
      <c r="Y2454" s="5">
        <v>0</v>
      </c>
      <c r="Z2454" s="5">
        <v>73493.150685000001</v>
      </c>
      <c r="AA2454" s="5">
        <v>28</v>
      </c>
      <c r="AB2454" s="5">
        <v>2057808.21918</v>
      </c>
      <c r="AC2454" s="5" t="str">
        <f t="shared" si="118"/>
        <v>Bonos</v>
      </c>
      <c r="AD2454" s="5" t="s">
        <v>43</v>
      </c>
      <c r="AE2454" s="5">
        <f t="shared" si="119"/>
        <v>2</v>
      </c>
      <c r="AF2454" s="5">
        <f t="shared" si="120"/>
        <v>2022</v>
      </c>
    </row>
    <row r="2455" s="5" customFormat="1" ht="13">
      <c r="A2455" s="5" t="s">
        <v>44</v>
      </c>
      <c r="B2455" s="5" t="s">
        <v>44</v>
      </c>
      <c r="C2455" s="5" t="s">
        <v>114</v>
      </c>
      <c r="D2455" s="5" t="s">
        <v>21</v>
      </c>
      <c r="E2455" s="5" t="s">
        <v>44</v>
      </c>
      <c r="F2455" s="5" t="s">
        <v>68</v>
      </c>
      <c r="G2455" s="5" t="s">
        <v>69</v>
      </c>
      <c r="H2455" s="9" t="s">
        <v>520</v>
      </c>
      <c r="I2455" s="10"/>
      <c r="J2455" s="10">
        <v>44615</v>
      </c>
      <c r="K2455" s="5" t="s">
        <v>77</v>
      </c>
      <c r="L2455" s="5" t="s">
        <v>50</v>
      </c>
      <c r="M2455" s="11">
        <v>0.14249999999999999</v>
      </c>
      <c r="N2455" s="5" t="e">
        <f>IF(AND(M2455&gt;#REF!,Cartera!O2455="Guaraníes"),"Rendimiento significativo",IF(AND(M2455&gt;#REF!,Cartera!O2455="Dólares americanos"),"Rendimiento significativo","Rendimiento no significativo"))</f>
        <v>#REF!</v>
      </c>
      <c r="O2455" s="5" t="s">
        <v>41</v>
      </c>
      <c r="P2455" s="12">
        <v>3552739.7259999998</v>
      </c>
      <c r="Q2455" s="12">
        <f>IF(O2455="Guaraníes",P2455,P2455*#REF!)</f>
        <v>3552739.7259999998</v>
      </c>
      <c r="R2455" s="12" t="e">
        <f>IF(O2455="Guaraníes",P2455/#REF!,P2455)</f>
        <v>#REF!</v>
      </c>
      <c r="S2455" s="5" t="s">
        <v>52</v>
      </c>
      <c r="T2455" s="5">
        <v>593</v>
      </c>
      <c r="W2455" s="5" t="s">
        <v>532</v>
      </c>
      <c r="X2455" s="5">
        <v>0</v>
      </c>
      <c r="Y2455" s="5">
        <v>0</v>
      </c>
      <c r="Z2455" s="5">
        <v>35527.397259999998</v>
      </c>
      <c r="AA2455" s="5">
        <v>100</v>
      </c>
      <c r="AB2455" s="5">
        <v>3552739.7259999998</v>
      </c>
      <c r="AC2455" s="5" t="str">
        <f t="shared" si="118"/>
        <v>Bonos</v>
      </c>
      <c r="AD2455" s="5" t="s">
        <v>43</v>
      </c>
      <c r="AE2455" s="5">
        <f t="shared" si="119"/>
        <v>2</v>
      </c>
      <c r="AF2455" s="5">
        <f t="shared" si="120"/>
        <v>2022</v>
      </c>
    </row>
    <row r="2456" s="5" customFormat="1" ht="13">
      <c r="A2456" s="5" t="s">
        <v>44</v>
      </c>
      <c r="B2456" s="5" t="s">
        <v>44</v>
      </c>
      <c r="C2456" s="5" t="s">
        <v>67</v>
      </c>
      <c r="D2456" s="5" t="s">
        <v>21</v>
      </c>
      <c r="E2456" s="5" t="s">
        <v>44</v>
      </c>
      <c r="F2456" s="5" t="s">
        <v>68</v>
      </c>
      <c r="G2456" s="5" t="s">
        <v>69</v>
      </c>
      <c r="H2456" s="9" t="s">
        <v>376</v>
      </c>
      <c r="I2456" s="10"/>
      <c r="J2456" s="10">
        <v>44616</v>
      </c>
      <c r="K2456" s="5" t="s">
        <v>71</v>
      </c>
      <c r="L2456" s="5" t="s">
        <v>58</v>
      </c>
      <c r="M2456" s="11">
        <v>0.070000000000000007</v>
      </c>
      <c r="N2456" s="5" t="e">
        <f>IF(AND(M2456&gt;#REF!,Cartera!O2456="Guaraníes"),"Rendimiento significativo",IF(AND(M2456&gt;#REF!,Cartera!O2456="Dólares americanos"),"Rendimiento significativo","Rendimiento no significativo"))</f>
        <v>#REF!</v>
      </c>
      <c r="O2456" s="5" t="s">
        <v>41</v>
      </c>
      <c r="P2456" s="12">
        <v>8751506.8493499998</v>
      </c>
      <c r="Q2456" s="12">
        <f>IF(O2456="Guaraníes",P2456,P2456*#REF!)</f>
        <v>8751506.8493499998</v>
      </c>
      <c r="R2456" s="12" t="e">
        <f>IF(O2456="Guaraníes",P2456/#REF!,P2456)</f>
        <v>#REF!</v>
      </c>
      <c r="S2456" s="5" t="s">
        <v>52</v>
      </c>
      <c r="T2456" s="5">
        <v>593</v>
      </c>
      <c r="W2456" s="5" t="s">
        <v>515</v>
      </c>
      <c r="X2456" s="5">
        <v>10</v>
      </c>
      <c r="Y2456" s="5">
        <v>100000</v>
      </c>
      <c r="Z2456" s="5">
        <v>102958.90411</v>
      </c>
      <c r="AA2456" s="5">
        <v>85</v>
      </c>
      <c r="AB2456" s="5">
        <v>8751506.8493499998</v>
      </c>
      <c r="AC2456" s="5" t="str">
        <f t="shared" si="118"/>
        <v>Bonos</v>
      </c>
      <c r="AD2456" s="5" t="s">
        <v>43</v>
      </c>
      <c r="AE2456" s="5">
        <f t="shared" si="119"/>
        <v>2</v>
      </c>
      <c r="AF2456" s="5">
        <f t="shared" si="120"/>
        <v>2022</v>
      </c>
    </row>
    <row r="2457" s="5" customFormat="1" ht="13">
      <c r="A2457" s="5" t="s">
        <v>44</v>
      </c>
      <c r="B2457" s="5" t="s">
        <v>44</v>
      </c>
      <c r="C2457" s="5" t="s">
        <v>67</v>
      </c>
      <c r="D2457" s="5" t="s">
        <v>21</v>
      </c>
      <c r="E2457" s="5" t="s">
        <v>44</v>
      </c>
      <c r="F2457" s="5" t="s">
        <v>68</v>
      </c>
      <c r="G2457" s="5" t="s">
        <v>69</v>
      </c>
      <c r="H2457" s="9" t="s">
        <v>70</v>
      </c>
      <c r="I2457" s="10"/>
      <c r="J2457" s="10">
        <v>44616</v>
      </c>
      <c r="K2457" s="5" t="s">
        <v>71</v>
      </c>
      <c r="L2457" s="5" t="s">
        <v>58</v>
      </c>
      <c r="M2457" s="11">
        <v>0.067500000000000004</v>
      </c>
      <c r="N2457" s="5" t="e">
        <f>IF(AND(M2457&gt;#REF!,Cartera!O2457="Guaraníes"),"Rendimiento significativo",IF(AND(M2457&gt;#REF!,Cartera!O2457="Dólares americanos"),"Rendimiento significativo","Rendimiento no significativo"))</f>
        <v>#REF!</v>
      </c>
      <c r="O2457" s="5" t="s">
        <v>51</v>
      </c>
      <c r="P2457" s="13">
        <v>159.56</v>
      </c>
      <c r="Q2457" s="12" t="e">
        <f>IF(O2457="Guaraníes",P2457,P2457*#REF!)</f>
        <v>#REF!</v>
      </c>
      <c r="R2457" s="12">
        <f>IF(O2457="Guaraníes",P2457/#REF!,P2457)</f>
        <v>159.56</v>
      </c>
      <c r="S2457" s="5" t="s">
        <v>52</v>
      </c>
      <c r="T2457" s="5">
        <v>593</v>
      </c>
      <c r="W2457" s="5" t="s">
        <v>516</v>
      </c>
      <c r="X2457" s="5">
        <v>0</v>
      </c>
      <c r="Y2457" s="5">
        <v>0</v>
      </c>
      <c r="Z2457" s="5">
        <v>17.452055000000001</v>
      </c>
      <c r="AA2457" s="5">
        <v>8</v>
      </c>
      <c r="AB2457" s="5">
        <v>139.61644000000001</v>
      </c>
      <c r="AC2457" s="5" t="str">
        <f t="shared" si="118"/>
        <v>Bonos</v>
      </c>
      <c r="AD2457" s="5" t="s">
        <v>43</v>
      </c>
      <c r="AE2457" s="5">
        <f t="shared" si="119"/>
        <v>2</v>
      </c>
      <c r="AF2457" s="5">
        <f t="shared" si="120"/>
        <v>2022</v>
      </c>
    </row>
    <row r="2458" s="5" customFormat="1" ht="13">
      <c r="A2458" s="5" t="s">
        <v>44</v>
      </c>
      <c r="B2458" s="5" t="s">
        <v>44</v>
      </c>
      <c r="C2458" s="5" t="s">
        <v>33</v>
      </c>
      <c r="D2458" s="5" t="s">
        <v>21</v>
      </c>
      <c r="E2458" s="5" t="s">
        <v>44</v>
      </c>
      <c r="F2458" s="5" t="s">
        <v>35</v>
      </c>
      <c r="G2458" s="5" t="s">
        <v>69</v>
      </c>
      <c r="H2458" s="9" t="s">
        <v>186</v>
      </c>
      <c r="I2458" s="10"/>
      <c r="J2458" s="10">
        <v>44636</v>
      </c>
      <c r="K2458" s="5" t="s">
        <v>39</v>
      </c>
      <c r="L2458" s="5" t="s">
        <v>50</v>
      </c>
      <c r="M2458" s="11">
        <v>0.044999999999999998</v>
      </c>
      <c r="N2458" s="5" t="e">
        <f>IF(AND(M2458&gt;#REF!,Cartera!O2458="Guaraníes"),"Rendimiento significativo",IF(AND(M2458&gt;#REF!,Cartera!O2458="Dólares americanos"),"Rendimiento significativo","Rendimiento no significativo"))</f>
        <v>#REF!</v>
      </c>
      <c r="O2458" s="5" t="s">
        <v>51</v>
      </c>
      <c r="P2458" s="13">
        <v>448.76711999999998</v>
      </c>
      <c r="Q2458" s="12" t="e">
        <f>IF(O2458="Guaraníes",P2458,P2458*#REF!)</f>
        <v>#REF!</v>
      </c>
      <c r="R2458" s="12">
        <f>IF(O2458="Guaraníes",P2458/#REF!,P2458)</f>
        <v>448.76711999999998</v>
      </c>
      <c r="S2458" s="5" t="s">
        <v>52</v>
      </c>
      <c r="T2458" s="5">
        <v>593</v>
      </c>
      <c r="W2458" s="5" t="s">
        <v>65</v>
      </c>
      <c r="X2458" s="5">
        <v>0</v>
      </c>
      <c r="Y2458" s="5">
        <v>0</v>
      </c>
      <c r="Z2458" s="5">
        <v>11.219177999999999</v>
      </c>
      <c r="AA2458" s="5">
        <v>40</v>
      </c>
      <c r="AB2458" s="5">
        <v>448.76711999999998</v>
      </c>
      <c r="AC2458" s="5" t="str">
        <f t="shared" si="118"/>
        <v>Bonos</v>
      </c>
      <c r="AD2458" s="5" t="s">
        <v>43</v>
      </c>
      <c r="AE2458" s="5">
        <f t="shared" si="119"/>
        <v>3</v>
      </c>
      <c r="AF2458" s="5">
        <f t="shared" si="120"/>
        <v>2022</v>
      </c>
    </row>
    <row r="2459" s="5" customFormat="1" ht="13">
      <c r="A2459" s="5" t="s">
        <v>44</v>
      </c>
      <c r="B2459" s="5" t="s">
        <v>44</v>
      </c>
      <c r="C2459" s="5" t="s">
        <v>176</v>
      </c>
      <c r="D2459" s="5" t="s">
        <v>21</v>
      </c>
      <c r="E2459" s="5" t="s">
        <v>44</v>
      </c>
      <c r="F2459" s="5" t="s">
        <v>68</v>
      </c>
      <c r="G2459" s="5" t="s">
        <v>69</v>
      </c>
      <c r="H2459" s="9" t="s">
        <v>479</v>
      </c>
      <c r="I2459" s="10"/>
      <c r="J2459" s="10">
        <v>44643</v>
      </c>
      <c r="K2459" s="5" t="s">
        <v>178</v>
      </c>
      <c r="L2459" s="5" t="s">
        <v>58</v>
      </c>
      <c r="M2459" s="11">
        <v>0.074999999999999997</v>
      </c>
      <c r="N2459" s="5" t="e">
        <f>IF(AND(M2459&gt;#REF!,Cartera!O2459="Guaraníes"),"Rendimiento significativo",IF(AND(M2459&gt;#REF!,Cartera!O2459="Dólares americanos"),"Rendimiento significativo","Rendimiento no significativo"))</f>
        <v>#REF!</v>
      </c>
      <c r="O2459" s="5" t="s">
        <v>51</v>
      </c>
      <c r="P2459" s="13">
        <v>635.75342999999998</v>
      </c>
      <c r="Q2459" s="12" t="e">
        <f>IF(O2459="Guaraníes",P2459,P2459*#REF!)</f>
        <v>#REF!</v>
      </c>
      <c r="R2459" s="12">
        <f>IF(O2459="Guaraníes",P2459/#REF!,P2459)</f>
        <v>635.75342999999998</v>
      </c>
      <c r="S2459" s="5" t="s">
        <v>52</v>
      </c>
      <c r="T2459" s="5">
        <v>593</v>
      </c>
      <c r="W2459" s="5" t="s">
        <v>196</v>
      </c>
      <c r="X2459" s="5">
        <v>0</v>
      </c>
      <c r="Y2459" s="5">
        <v>0</v>
      </c>
      <c r="Z2459" s="5">
        <v>21.191780999999999</v>
      </c>
      <c r="AA2459" s="5">
        <v>30</v>
      </c>
      <c r="AB2459" s="5">
        <v>635.75342999999998</v>
      </c>
      <c r="AC2459" s="5" t="str">
        <f t="shared" si="118"/>
        <v>Bonos</v>
      </c>
      <c r="AD2459" s="5" t="s">
        <v>43</v>
      </c>
      <c r="AE2459" s="5">
        <f t="shared" si="119"/>
        <v>3</v>
      </c>
      <c r="AF2459" s="5">
        <f t="shared" si="120"/>
        <v>2022</v>
      </c>
    </row>
    <row r="2460" s="5" customFormat="1" ht="13">
      <c r="A2460" s="5" t="s">
        <v>44</v>
      </c>
      <c r="B2460" s="5" t="s">
        <v>44</v>
      </c>
      <c r="C2460" s="5" t="s">
        <v>67</v>
      </c>
      <c r="D2460" s="5" t="s">
        <v>21</v>
      </c>
      <c r="E2460" s="5" t="s">
        <v>44</v>
      </c>
      <c r="F2460" s="5" t="s">
        <v>68</v>
      </c>
      <c r="G2460" s="5" t="s">
        <v>69</v>
      </c>
      <c r="H2460" s="9" t="s">
        <v>376</v>
      </c>
      <c r="I2460" s="10"/>
      <c r="J2460" s="10">
        <v>44648</v>
      </c>
      <c r="K2460" s="5" t="s">
        <v>71</v>
      </c>
      <c r="L2460" s="5" t="s">
        <v>58</v>
      </c>
      <c r="M2460" s="11">
        <v>0.070000000000000007</v>
      </c>
      <c r="N2460" s="5" t="e">
        <f>IF(AND(M2460&gt;#REF!,Cartera!O2460="Guaraníes"),"Rendimiento significativo",IF(AND(M2460&gt;#REF!,Cartera!O2460="Dólares americanos"),"Rendimiento significativo","Rendimiento no significativo"))</f>
        <v>#REF!</v>
      </c>
      <c r="O2460" s="5" t="s">
        <v>41</v>
      </c>
      <c r="P2460" s="12">
        <v>8500000</v>
      </c>
      <c r="Q2460" s="12">
        <f>IF(O2460="Guaraníes",P2460,P2460*#REF!)</f>
        <v>8500000</v>
      </c>
      <c r="R2460" s="12" t="e">
        <f>IF(O2460="Guaraníes",P2460/#REF!,P2460)</f>
        <v>#REF!</v>
      </c>
      <c r="S2460" s="5" t="s">
        <v>52</v>
      </c>
      <c r="T2460" s="5">
        <v>593</v>
      </c>
      <c r="W2460" s="5" t="s">
        <v>531</v>
      </c>
      <c r="X2460" s="5">
        <v>10</v>
      </c>
      <c r="Y2460" s="5">
        <v>100000</v>
      </c>
      <c r="Z2460" s="5">
        <v>100000</v>
      </c>
      <c r="AA2460" s="5">
        <v>85</v>
      </c>
      <c r="AB2460" s="5">
        <v>8500000</v>
      </c>
      <c r="AC2460" s="5" t="str">
        <f t="shared" si="118"/>
        <v>Bonos</v>
      </c>
      <c r="AD2460" s="5" t="s">
        <v>43</v>
      </c>
      <c r="AE2460" s="5">
        <f t="shared" si="119"/>
        <v>3</v>
      </c>
      <c r="AF2460" s="5">
        <f t="shared" si="120"/>
        <v>2022</v>
      </c>
    </row>
    <row r="2461" s="5" customFormat="1" ht="13">
      <c r="A2461" s="5" t="s">
        <v>44</v>
      </c>
      <c r="B2461" s="5" t="s">
        <v>44</v>
      </c>
      <c r="C2461" s="5" t="s">
        <v>116</v>
      </c>
      <c r="D2461" s="5" t="s">
        <v>21</v>
      </c>
      <c r="E2461" s="5" t="s">
        <v>44</v>
      </c>
      <c r="F2461" s="5" t="s">
        <v>68</v>
      </c>
      <c r="G2461" s="5" t="s">
        <v>69</v>
      </c>
      <c r="H2461" s="9" t="s">
        <v>194</v>
      </c>
      <c r="I2461" s="10"/>
      <c r="J2461" s="10">
        <v>44650</v>
      </c>
      <c r="K2461" s="5" t="s">
        <v>118</v>
      </c>
      <c r="L2461" s="5" t="s">
        <v>50</v>
      </c>
      <c r="M2461" s="11">
        <v>0.065000000000000002</v>
      </c>
      <c r="N2461" s="5" t="e">
        <f>IF(AND(M2461&gt;#REF!,Cartera!O2461="Guaraníes"),"Rendimiento significativo",IF(AND(M2461&gt;#REF!,Cartera!O2461="Dólares americanos"),"Rendimiento significativo","Rendimiento no significativo"))</f>
        <v>#REF!</v>
      </c>
      <c r="O2461" s="5" t="s">
        <v>51</v>
      </c>
      <c r="P2461" s="13">
        <v>324.10958999999997</v>
      </c>
      <c r="Q2461" s="12" t="e">
        <f>IF(O2461="Guaraníes",P2461,P2461*#REF!)</f>
        <v>#REF!</v>
      </c>
      <c r="R2461" s="12">
        <f>IF(O2461="Guaraníes",P2461/#REF!,P2461)</f>
        <v>324.10958999999997</v>
      </c>
      <c r="S2461" s="5" t="s">
        <v>52</v>
      </c>
      <c r="T2461" s="5">
        <v>593</v>
      </c>
      <c r="W2461" s="5" t="s">
        <v>346</v>
      </c>
      <c r="X2461" s="5">
        <v>0</v>
      </c>
      <c r="Y2461" s="5">
        <v>0</v>
      </c>
      <c r="Z2461" s="5">
        <v>32.410958999999998</v>
      </c>
      <c r="AA2461" s="5">
        <v>10</v>
      </c>
      <c r="AB2461" s="5">
        <v>324.10959000000003</v>
      </c>
      <c r="AC2461" s="5" t="str">
        <f t="shared" si="118"/>
        <v>Bonos</v>
      </c>
      <c r="AD2461" s="5" t="s">
        <v>43</v>
      </c>
      <c r="AE2461" s="5">
        <f t="shared" si="119"/>
        <v>3</v>
      </c>
      <c r="AF2461" s="5">
        <f t="shared" si="120"/>
        <v>2022</v>
      </c>
    </row>
    <row r="2462" s="5" customFormat="1" ht="13">
      <c r="A2462" s="5" t="s">
        <v>44</v>
      </c>
      <c r="B2462" s="5" t="s">
        <v>44</v>
      </c>
      <c r="C2462" s="5" t="s">
        <v>67</v>
      </c>
      <c r="D2462" s="5" t="s">
        <v>21</v>
      </c>
      <c r="E2462" s="5" t="s">
        <v>44</v>
      </c>
      <c r="F2462" s="5" t="s">
        <v>68</v>
      </c>
      <c r="G2462" s="5" t="s">
        <v>69</v>
      </c>
      <c r="H2462" s="9" t="s">
        <v>376</v>
      </c>
      <c r="I2462" s="10"/>
      <c r="J2462" s="10">
        <v>44678</v>
      </c>
      <c r="K2462" s="5" t="s">
        <v>71</v>
      </c>
      <c r="L2462" s="5" t="s">
        <v>58</v>
      </c>
      <c r="M2462" s="11">
        <v>0.070000000000000007</v>
      </c>
      <c r="N2462" s="5" t="e">
        <f>IF(AND(M2462&gt;#REF!,Cartera!O2462="Guaraníes"),"Rendimiento significativo",IF(AND(M2462&gt;#REF!,Cartera!O2462="Dólares americanos"),"Rendimiento significativo","Rendimiento no significativo"))</f>
        <v>#REF!</v>
      </c>
      <c r="O2462" s="5" t="s">
        <v>41</v>
      </c>
      <c r="P2462" s="12">
        <v>8500000</v>
      </c>
      <c r="Q2462" s="12">
        <f>IF(O2462="Guaraníes",P2462,P2462*#REF!)</f>
        <v>8500000</v>
      </c>
      <c r="R2462" s="12" t="e">
        <f>IF(O2462="Guaraníes",P2462/#REF!,P2462)</f>
        <v>#REF!</v>
      </c>
      <c r="S2462" s="5" t="s">
        <v>52</v>
      </c>
      <c r="T2462" s="5">
        <v>593</v>
      </c>
      <c r="W2462" s="5" t="s">
        <v>462</v>
      </c>
      <c r="X2462" s="5">
        <v>10</v>
      </c>
      <c r="Y2462" s="5">
        <v>100000</v>
      </c>
      <c r="Z2462" s="5">
        <v>100000</v>
      </c>
      <c r="AA2462" s="5">
        <v>85</v>
      </c>
      <c r="AB2462" s="5">
        <v>8500000</v>
      </c>
      <c r="AC2462" s="5" t="str">
        <f t="shared" si="118"/>
        <v>Bonos</v>
      </c>
      <c r="AD2462" s="5" t="s">
        <v>43</v>
      </c>
      <c r="AE2462" s="5">
        <f t="shared" si="119"/>
        <v>4</v>
      </c>
      <c r="AF2462" s="5">
        <f t="shared" si="120"/>
        <v>2022</v>
      </c>
    </row>
    <row r="2463" s="5" customFormat="1" ht="13">
      <c r="A2463" s="5" t="s">
        <v>44</v>
      </c>
      <c r="B2463" s="5" t="s">
        <v>44</v>
      </c>
      <c r="C2463" s="5" t="s">
        <v>67</v>
      </c>
      <c r="D2463" s="5" t="s">
        <v>20</v>
      </c>
      <c r="E2463" s="5" t="s">
        <v>44</v>
      </c>
      <c r="F2463" s="5" t="s">
        <v>68</v>
      </c>
      <c r="G2463" s="5" t="s">
        <v>69</v>
      </c>
      <c r="H2463" s="9" t="s">
        <v>376</v>
      </c>
      <c r="I2463" s="10">
        <v>43271</v>
      </c>
      <c r="J2463" s="10">
        <v>44701</v>
      </c>
      <c r="K2463" s="5" t="s">
        <v>71</v>
      </c>
      <c r="L2463" s="5" t="s">
        <v>58</v>
      </c>
      <c r="M2463" s="11">
        <v>0.070000000000000007</v>
      </c>
      <c r="N2463" s="5" t="e">
        <f>IF(AND(M2463&gt;#REF!,Cartera!O2463="Guaraníes"),"Rendimiento significativo",IF(AND(M2463&gt;#REF!,Cartera!O2463="Dólares americanos"),"Rendimiento significativo","Rendimiento no significativo"))</f>
        <v>#REF!</v>
      </c>
      <c r="O2463" s="5" t="s">
        <v>41</v>
      </c>
      <c r="P2463" s="12">
        <v>8500000</v>
      </c>
      <c r="Q2463" s="12">
        <f>IF(O2463="Guaraníes",P2463,P2463*#REF!)</f>
        <v>8500000</v>
      </c>
      <c r="R2463" s="12" t="e">
        <f>IF(O2463="Guaraníes",P2463/#REF!,P2463)</f>
        <v>#REF!</v>
      </c>
      <c r="S2463" s="5" t="s">
        <v>52</v>
      </c>
      <c r="AA2463" s="5">
        <v>85</v>
      </c>
      <c r="AC2463" s="5" t="str">
        <f t="shared" si="118"/>
        <v>Bonos</v>
      </c>
      <c r="AD2463" s="5" t="s">
        <v>43</v>
      </c>
      <c r="AE2463" s="5">
        <f t="shared" si="119"/>
        <v>5</v>
      </c>
      <c r="AF2463" s="5">
        <f t="shared" si="120"/>
        <v>2022</v>
      </c>
    </row>
    <row r="2464" s="5" customFormat="1" ht="13">
      <c r="A2464" s="5" t="s">
        <v>44</v>
      </c>
      <c r="B2464" s="5" t="s">
        <v>44</v>
      </c>
      <c r="C2464" s="5" t="s">
        <v>67</v>
      </c>
      <c r="D2464" s="5" t="s">
        <v>21</v>
      </c>
      <c r="E2464" s="5" t="s">
        <v>44</v>
      </c>
      <c r="F2464" s="5" t="s">
        <v>68</v>
      </c>
      <c r="G2464" s="5" t="s">
        <v>69</v>
      </c>
      <c r="H2464" s="9" t="s">
        <v>376</v>
      </c>
      <c r="I2464" s="10"/>
      <c r="J2464" s="10">
        <v>44701</v>
      </c>
      <c r="K2464" s="5" t="s">
        <v>71</v>
      </c>
      <c r="L2464" s="5" t="s">
        <v>58</v>
      </c>
      <c r="M2464" s="11">
        <v>0.070000000000000007</v>
      </c>
      <c r="N2464" s="5" t="e">
        <f>IF(AND(M2464&gt;#REF!,Cartera!O2464="Guaraníes"),"Rendimiento significativo",IF(AND(M2464&gt;#REF!,Cartera!O2464="Dólares americanos"),"Rendimiento significativo","Rendimiento no significativo"))</f>
        <v>#REF!</v>
      </c>
      <c r="O2464" s="5" t="s">
        <v>41</v>
      </c>
      <c r="P2464" s="12">
        <v>375164.38363500003</v>
      </c>
      <c r="Q2464" s="12">
        <f>IF(O2464="Guaraníes",P2464,P2464*#REF!)</f>
        <v>375164.38363500003</v>
      </c>
      <c r="R2464" s="12" t="e">
        <f>IF(O2464="Guaraníes",P2464/#REF!,P2464)</f>
        <v>#REF!</v>
      </c>
      <c r="S2464" s="5" t="s">
        <v>52</v>
      </c>
      <c r="T2464" s="5">
        <v>593</v>
      </c>
      <c r="U2464" s="5">
        <v>25500000</v>
      </c>
      <c r="V2464" s="5">
        <v>12680959.205564998</v>
      </c>
      <c r="W2464" s="5" t="s">
        <v>405</v>
      </c>
      <c r="X2464" s="5">
        <v>10</v>
      </c>
      <c r="Y2464" s="5">
        <v>100000</v>
      </c>
      <c r="Z2464" s="5">
        <v>104413.69863100001</v>
      </c>
      <c r="AA2464" s="5">
        <v>85</v>
      </c>
      <c r="AB2464" s="5">
        <v>8875164.3836349994</v>
      </c>
      <c r="AC2464" s="5" t="str">
        <f t="shared" si="118"/>
        <v>Bonos</v>
      </c>
      <c r="AD2464" s="5" t="s">
        <v>43</v>
      </c>
      <c r="AE2464" s="5">
        <f t="shared" si="119"/>
        <v>5</v>
      </c>
      <c r="AF2464" s="5">
        <f t="shared" si="120"/>
        <v>2022</v>
      </c>
    </row>
    <row r="2465" s="5" customFormat="1" ht="13">
      <c r="A2465" s="5" t="s">
        <v>44</v>
      </c>
      <c r="B2465" s="5" t="s">
        <v>44</v>
      </c>
      <c r="C2465" s="5" t="s">
        <v>114</v>
      </c>
      <c r="D2465" s="5" t="s">
        <v>21</v>
      </c>
      <c r="E2465" s="5" t="s">
        <v>44</v>
      </c>
      <c r="F2465" s="5" t="s">
        <v>68</v>
      </c>
      <c r="G2465" s="5" t="s">
        <v>69</v>
      </c>
      <c r="H2465" s="9" t="s">
        <v>520</v>
      </c>
      <c r="I2465" s="10"/>
      <c r="J2465" s="10">
        <v>44706</v>
      </c>
      <c r="K2465" s="5" t="s">
        <v>77</v>
      </c>
      <c r="L2465" s="5" t="s">
        <v>50</v>
      </c>
      <c r="M2465" s="11">
        <v>0.14249999999999999</v>
      </c>
      <c r="N2465" s="5" t="e">
        <f>IF(AND(M2465&gt;#REF!,Cartera!O2465="Guaraníes"),"Rendimiento significativo",IF(AND(M2465&gt;#REF!,Cartera!O2465="Dólares americanos"),"Rendimiento significativo","Rendimiento no significativo"))</f>
        <v>#REF!</v>
      </c>
      <c r="O2465" s="5" t="s">
        <v>41</v>
      </c>
      <c r="P2465" s="12">
        <v>3552739.7259999998</v>
      </c>
      <c r="Q2465" s="12">
        <f>IF(O2465="Guaraníes",P2465,P2465*#REF!)</f>
        <v>3552739.7259999998</v>
      </c>
      <c r="R2465" s="12" t="e">
        <f>IF(O2465="Guaraníes",P2465/#REF!,P2465)</f>
        <v>#REF!</v>
      </c>
      <c r="S2465" s="5" t="s">
        <v>52</v>
      </c>
      <c r="T2465" s="5">
        <v>593</v>
      </c>
      <c r="W2465" s="5" t="s">
        <v>533</v>
      </c>
      <c r="X2465" s="5">
        <v>0</v>
      </c>
      <c r="Y2465" s="5">
        <v>0</v>
      </c>
      <c r="Z2465" s="5">
        <v>35527.397259999998</v>
      </c>
      <c r="AA2465" s="5">
        <v>100</v>
      </c>
      <c r="AB2465" s="5">
        <v>3552739.7259999998</v>
      </c>
      <c r="AC2465" s="5" t="str">
        <f t="shared" si="118"/>
        <v>Bonos</v>
      </c>
      <c r="AD2465" s="5" t="s">
        <v>43</v>
      </c>
      <c r="AE2465" s="5">
        <f t="shared" si="119"/>
        <v>5</v>
      </c>
      <c r="AF2465" s="5">
        <f t="shared" si="120"/>
        <v>2022</v>
      </c>
    </row>
    <row r="2466" s="5" customFormat="1" ht="13">
      <c r="A2466" s="5" t="s">
        <v>44</v>
      </c>
      <c r="B2466" s="5" t="s">
        <v>44</v>
      </c>
      <c r="C2466" s="5" t="s">
        <v>67</v>
      </c>
      <c r="D2466" s="5" t="s">
        <v>21</v>
      </c>
      <c r="E2466" s="5" t="s">
        <v>44</v>
      </c>
      <c r="F2466" s="5" t="s">
        <v>68</v>
      </c>
      <c r="G2466" s="5" t="s">
        <v>69</v>
      </c>
      <c r="H2466" s="9" t="s">
        <v>70</v>
      </c>
      <c r="I2466" s="10"/>
      <c r="J2466" s="10">
        <v>44707</v>
      </c>
      <c r="K2466" s="5" t="s">
        <v>71</v>
      </c>
      <c r="L2466" s="5" t="s">
        <v>58</v>
      </c>
      <c r="M2466" s="11">
        <v>0.067500000000000004</v>
      </c>
      <c r="N2466" s="5" t="e">
        <f>IF(AND(M2466&gt;#REF!,Cartera!O2466="Guaraníes"),"Rendimiento significativo",IF(AND(M2466&gt;#REF!,Cartera!O2466="Dólares americanos"),"Rendimiento significativo","Rendimiento no significativo"))</f>
        <v>#REF!</v>
      </c>
      <c r="O2466" s="5" t="s">
        <v>51</v>
      </c>
      <c r="P2466" s="13">
        <v>159.56</v>
      </c>
      <c r="Q2466" s="12" t="e">
        <f>IF(O2466="Guaraníes",P2466,P2466*#REF!)</f>
        <v>#REF!</v>
      </c>
      <c r="R2466" s="12">
        <f>IF(O2466="Guaraníes",P2466/#REF!,P2466)</f>
        <v>159.56</v>
      </c>
      <c r="S2466" s="5" t="s">
        <v>52</v>
      </c>
      <c r="T2466" s="5">
        <v>593</v>
      </c>
      <c r="W2466" s="5" t="s">
        <v>134</v>
      </c>
      <c r="X2466" s="5">
        <v>0</v>
      </c>
      <c r="Y2466" s="5">
        <v>0</v>
      </c>
      <c r="Z2466" s="5">
        <v>17.452055000000001</v>
      </c>
      <c r="AA2466" s="5">
        <v>8</v>
      </c>
      <c r="AB2466" s="5">
        <v>139.61644000000001</v>
      </c>
      <c r="AC2466" s="5" t="str">
        <f t="shared" si="118"/>
        <v>Bonos</v>
      </c>
      <c r="AD2466" s="5" t="s">
        <v>43</v>
      </c>
      <c r="AE2466" s="5">
        <f t="shared" si="119"/>
        <v>5</v>
      </c>
      <c r="AF2466" s="5">
        <f t="shared" si="120"/>
        <v>2022</v>
      </c>
    </row>
    <row r="2467" s="5" customFormat="1" ht="13">
      <c r="A2467" s="5" t="s">
        <v>44</v>
      </c>
      <c r="B2467" s="5" t="s">
        <v>44</v>
      </c>
      <c r="C2467" s="5" t="s">
        <v>33</v>
      </c>
      <c r="D2467" s="5" t="s">
        <v>21</v>
      </c>
      <c r="E2467" s="5" t="s">
        <v>44</v>
      </c>
      <c r="F2467" s="5" t="s">
        <v>35</v>
      </c>
      <c r="G2467" s="5" t="s">
        <v>69</v>
      </c>
      <c r="H2467" s="9" t="s">
        <v>186</v>
      </c>
      <c r="I2467" s="10"/>
      <c r="J2467" s="10">
        <v>44727</v>
      </c>
      <c r="K2467" s="5" t="s">
        <v>39</v>
      </c>
      <c r="L2467" s="5" t="s">
        <v>50</v>
      </c>
      <c r="M2467" s="11">
        <v>0.044999999999999998</v>
      </c>
      <c r="N2467" s="5" t="e">
        <f>IF(AND(M2467&gt;#REF!,Cartera!O2467="Guaraníes"),"Rendimiento significativo",IF(AND(M2467&gt;#REF!,Cartera!O2467="Dólares americanos"),"Rendimiento significativo","Rendimiento no significativo"))</f>
        <v>#REF!</v>
      </c>
      <c r="O2467" s="5" t="s">
        <v>51</v>
      </c>
      <c r="P2467" s="13">
        <v>448.76711999999998</v>
      </c>
      <c r="Q2467" s="12" t="e">
        <f>IF(O2467="Guaraníes",P2467,P2467*#REF!)</f>
        <v>#REF!</v>
      </c>
      <c r="R2467" s="12">
        <f>IF(O2467="Guaraníes",P2467/#REF!,P2467)</f>
        <v>448.76711999999998</v>
      </c>
      <c r="S2467" s="5" t="s">
        <v>52</v>
      </c>
      <c r="T2467" s="5">
        <v>593</v>
      </c>
      <c r="W2467" s="5" t="s">
        <v>65</v>
      </c>
      <c r="X2467" s="5">
        <v>0</v>
      </c>
      <c r="Y2467" s="5">
        <v>0</v>
      </c>
      <c r="Z2467" s="5">
        <v>11.219177999999999</v>
      </c>
      <c r="AA2467" s="5">
        <v>40</v>
      </c>
      <c r="AB2467" s="5">
        <v>448.76711999999998</v>
      </c>
      <c r="AC2467" s="5" t="str">
        <f t="shared" si="118"/>
        <v>Bonos</v>
      </c>
      <c r="AD2467" s="5" t="s">
        <v>43</v>
      </c>
      <c r="AE2467" s="5">
        <f t="shared" si="119"/>
        <v>6</v>
      </c>
      <c r="AF2467" s="5">
        <f t="shared" si="120"/>
        <v>2022</v>
      </c>
    </row>
    <row r="2468" s="5" customFormat="1" ht="13">
      <c r="A2468" s="5" t="s">
        <v>44</v>
      </c>
      <c r="B2468" s="5" t="s">
        <v>44</v>
      </c>
      <c r="C2468" s="5" t="s">
        <v>176</v>
      </c>
      <c r="D2468" s="5" t="s">
        <v>21</v>
      </c>
      <c r="E2468" s="5" t="s">
        <v>44</v>
      </c>
      <c r="F2468" s="5" t="s">
        <v>68</v>
      </c>
      <c r="G2468" s="5" t="s">
        <v>69</v>
      </c>
      <c r="H2468" s="9" t="s">
        <v>479</v>
      </c>
      <c r="I2468" s="10"/>
      <c r="J2468" s="10">
        <v>44734</v>
      </c>
      <c r="K2468" s="5" t="s">
        <v>178</v>
      </c>
      <c r="L2468" s="5" t="s">
        <v>58</v>
      </c>
      <c r="M2468" s="11">
        <v>0.074999999999999997</v>
      </c>
      <c r="N2468" s="5" t="e">
        <f>IF(AND(M2468&gt;#REF!,Cartera!O2468="Guaraníes"),"Rendimiento significativo",IF(AND(M2468&gt;#REF!,Cartera!O2468="Dólares americanos"),"Rendimiento significativo","Rendimiento no significativo"))</f>
        <v>#REF!</v>
      </c>
      <c r="O2468" s="5" t="s">
        <v>51</v>
      </c>
      <c r="P2468" s="13">
        <v>635.75342999999998</v>
      </c>
      <c r="Q2468" s="12" t="e">
        <f>IF(O2468="Guaraníes",P2468,P2468*#REF!)</f>
        <v>#REF!</v>
      </c>
      <c r="R2468" s="12">
        <f>IF(O2468="Guaraníes",P2468/#REF!,P2468)</f>
        <v>635.75342999999998</v>
      </c>
      <c r="S2468" s="5" t="s">
        <v>52</v>
      </c>
      <c r="T2468" s="5">
        <v>593</v>
      </c>
      <c r="W2468" s="5" t="s">
        <v>196</v>
      </c>
      <c r="X2468" s="5">
        <v>0</v>
      </c>
      <c r="Y2468" s="5">
        <v>0</v>
      </c>
      <c r="Z2468" s="5">
        <v>21.191780999999999</v>
      </c>
      <c r="AA2468" s="5">
        <v>30</v>
      </c>
      <c r="AB2468" s="5">
        <v>635.75342999999998</v>
      </c>
      <c r="AC2468" s="5" t="str">
        <f t="shared" si="118"/>
        <v>Bonos</v>
      </c>
      <c r="AD2468" s="5" t="s">
        <v>43</v>
      </c>
      <c r="AE2468" s="5">
        <f t="shared" si="119"/>
        <v>6</v>
      </c>
      <c r="AF2468" s="5">
        <f t="shared" si="120"/>
        <v>2022</v>
      </c>
    </row>
    <row r="2469" s="5" customFormat="1" ht="13">
      <c r="A2469" s="5">
        <v>12315</v>
      </c>
      <c r="B2469" s="5" t="s">
        <v>73</v>
      </c>
      <c r="C2469" s="5" t="s">
        <v>45</v>
      </c>
      <c r="D2469" s="5" t="s">
        <v>21</v>
      </c>
      <c r="E2469" s="5" t="s">
        <v>34</v>
      </c>
      <c r="F2469" s="5" t="s">
        <v>46</v>
      </c>
      <c r="G2469" s="5" t="s">
        <v>55</v>
      </c>
      <c r="H2469" s="9" t="s">
        <v>108</v>
      </c>
      <c r="I2469" s="10">
        <v>44704</v>
      </c>
      <c r="J2469" s="10">
        <v>46342</v>
      </c>
      <c r="K2469" s="5" t="s">
        <v>49</v>
      </c>
      <c r="L2469" s="5" t="s">
        <v>58</v>
      </c>
      <c r="M2469" s="11">
        <v>0.059999999999999998</v>
      </c>
      <c r="N2469" s="5" t="e">
        <f>IF(AND(M2469&gt;#REF!,Cartera!O2469="Guaraníes"),"Rendimiento significativo",IF(AND(M2469&gt;#REF!,Cartera!O2469="Dólares americanos"),"Rendimiento significativo","Rendimiento no significativo"))</f>
        <v>#REF!</v>
      </c>
      <c r="O2469" s="5" t="s">
        <v>51</v>
      </c>
      <c r="P2469" s="13">
        <v>373.9726</v>
      </c>
      <c r="Q2469" s="12" t="e">
        <f>IF(O2469="Guaraníes",P2469,P2469*#REF!)</f>
        <v>#REF!</v>
      </c>
      <c r="R2469" s="12">
        <f>IF(O2469="Guaraníes",P2469/#REF!,P2469)</f>
        <v>373.9726</v>
      </c>
      <c r="S2469" s="5" t="s">
        <v>42</v>
      </c>
      <c r="V2469" s="5">
        <v>14.958904</v>
      </c>
      <c r="AA2469" s="5">
        <v>25</v>
      </c>
      <c r="AC2469" s="5" t="str">
        <f t="shared" si="118"/>
        <v>Bonos</v>
      </c>
      <c r="AD2469" s="5" t="s">
        <v>43</v>
      </c>
      <c r="AE2469" s="5">
        <f t="shared" si="119"/>
        <v>11</v>
      </c>
      <c r="AF2469" s="5">
        <f t="shared" si="120"/>
        <v>2026</v>
      </c>
    </row>
    <row r="2470" s="5" customFormat="1" ht="13">
      <c r="A2470" s="5" t="s">
        <v>534</v>
      </c>
      <c r="B2470" s="5" t="s">
        <v>534</v>
      </c>
      <c r="C2470" s="5" t="s">
        <v>517</v>
      </c>
      <c r="D2470" s="5" t="s">
        <v>21</v>
      </c>
      <c r="E2470" s="5" t="s">
        <v>534</v>
      </c>
      <c r="F2470" s="9" t="s">
        <v>68</v>
      </c>
      <c r="G2470" s="9" t="s">
        <v>69</v>
      </c>
      <c r="H2470" s="10" t="s">
        <v>535</v>
      </c>
      <c r="I2470" s="10"/>
      <c r="J2470" s="5">
        <v>44746</v>
      </c>
      <c r="K2470" s="5" t="s">
        <v>509</v>
      </c>
      <c r="L2470" s="11" t="s">
        <v>58</v>
      </c>
      <c r="M2470" s="11">
        <v>0.17000000000000001</v>
      </c>
      <c r="N2470" s="11" t="e">
        <f>IF(AND(M2470&gt;#REF!,Cartera!O2470="Guaraníes"),"Rendimiento significativo",IF(AND(M2470&gt;#REF!,Cartera!O2470="Dólares americanos"),"Rendimiento significativo","Rendimiento no significativo"))</f>
        <v>#REF!</v>
      </c>
      <c r="O2470" s="12" t="s">
        <v>41</v>
      </c>
      <c r="P2470" s="13">
        <v>1952136.98630137</v>
      </c>
      <c r="Q2470" s="12">
        <f>IF(O2470="Guaraníes",P2470,P2470*#REF!)</f>
        <v>1952136.98630137</v>
      </c>
      <c r="R2470" s="5" t="e">
        <f>IF(O2470="Guaraníes",P2470/#REF!,P2470)</f>
        <v>#REF!</v>
      </c>
      <c r="S2470" s="5" t="s">
        <v>52</v>
      </c>
      <c r="T2470" s="5">
        <v>44685</v>
      </c>
      <c r="W2470" s="5" t="s">
        <v>65</v>
      </c>
      <c r="AB2470" s="5">
        <v>1952136.98630137</v>
      </c>
      <c r="AC2470" s="5" t="str">
        <f t="shared" si="118"/>
        <v>Bonos</v>
      </c>
      <c r="AD2470" s="5" t="s">
        <v>43</v>
      </c>
      <c r="AE2470" s="5">
        <f t="shared" si="119"/>
        <v>7</v>
      </c>
      <c r="AF2470" s="5">
        <f t="shared" si="120"/>
        <v>2022</v>
      </c>
    </row>
    <row r="2471" s="5" customFormat="1" ht="13">
      <c r="A2471" s="5" t="s">
        <v>44</v>
      </c>
      <c r="B2471" s="5" t="s">
        <v>44</v>
      </c>
      <c r="C2471" s="5" t="s">
        <v>99</v>
      </c>
      <c r="D2471" s="5" t="s">
        <v>21</v>
      </c>
      <c r="E2471" s="5" t="s">
        <v>44</v>
      </c>
      <c r="F2471" s="5" t="s">
        <v>100</v>
      </c>
      <c r="G2471" s="5" t="s">
        <v>69</v>
      </c>
      <c r="H2471" s="9" t="s">
        <v>238</v>
      </c>
      <c r="I2471" s="10"/>
      <c r="J2471" s="10">
        <v>44775</v>
      </c>
      <c r="K2471" s="5" t="s">
        <v>102</v>
      </c>
      <c r="L2471" s="5" t="s">
        <v>102</v>
      </c>
      <c r="M2471" s="11">
        <v>0.070000000000000007</v>
      </c>
      <c r="N2471" s="5" t="e">
        <f>IF(AND(M2471&gt;#REF!,Cartera!O2471="Guaraníes"),"Rendimiento significativo",IF(AND(M2471&gt;#REF!,Cartera!O2471="Dólares americanos"),"Rendimiento significativo","Rendimiento no significativo"))</f>
        <v>#REF!</v>
      </c>
      <c r="O2471" s="5" t="s">
        <v>41</v>
      </c>
      <c r="P2471" s="12">
        <v>2008356.1644000001</v>
      </c>
      <c r="Q2471" s="12">
        <f>IF(O2471="Guaraníes",P2471,P2471*#REF!)</f>
        <v>2008356.1644000001</v>
      </c>
      <c r="R2471" s="12" t="e">
        <f>IF(O2471="Guaraníes",P2471/#REF!,P2471)</f>
        <v>#REF!</v>
      </c>
      <c r="S2471" s="5" t="s">
        <v>52</v>
      </c>
      <c r="T2471" s="5">
        <v>593</v>
      </c>
      <c r="W2471" s="5" t="s">
        <v>483</v>
      </c>
      <c r="X2471" s="5">
        <v>0</v>
      </c>
      <c r="Y2471" s="5">
        <v>0</v>
      </c>
      <c r="Z2471" s="5">
        <v>40167.123288000003</v>
      </c>
      <c r="AA2471" s="5">
        <v>50</v>
      </c>
      <c r="AB2471" s="5">
        <v>2008356.1643999999</v>
      </c>
      <c r="AC2471" s="5" t="str">
        <f t="shared" si="118"/>
        <v>Bonos</v>
      </c>
      <c r="AD2471" s="5" t="s">
        <v>43</v>
      </c>
      <c r="AE2471" s="5">
        <f t="shared" si="119"/>
        <v>8</v>
      </c>
      <c r="AF2471" s="5">
        <f t="shared" si="120"/>
        <v>2022</v>
      </c>
    </row>
    <row r="2472" s="5" customFormat="1" ht="13">
      <c r="A2472" s="5" t="s">
        <v>44</v>
      </c>
      <c r="B2472" s="5" t="s">
        <v>44</v>
      </c>
      <c r="C2472" s="5" t="s">
        <v>457</v>
      </c>
      <c r="D2472" s="5" t="s">
        <v>21</v>
      </c>
      <c r="E2472" s="5" t="s">
        <v>44</v>
      </c>
      <c r="F2472" s="5" t="s">
        <v>100</v>
      </c>
      <c r="G2472" s="5" t="s">
        <v>69</v>
      </c>
      <c r="H2472" s="9" t="s">
        <v>459</v>
      </c>
      <c r="I2472" s="10"/>
      <c r="J2472" s="10">
        <v>44784</v>
      </c>
      <c r="K2472" s="5" t="s">
        <v>173</v>
      </c>
      <c r="L2472" s="5" t="s">
        <v>58</v>
      </c>
      <c r="M2472" s="11">
        <v>0.14499999999999999</v>
      </c>
      <c r="N2472" s="5" t="e">
        <f>IF(AND(M2472&gt;#REF!,Cartera!O2472="Guaraníes"),"Rendimiento significativo",IF(AND(M2472&gt;#REF!,Cartera!O2472="Dólares americanos"),"Rendimiento significativo","Rendimiento no significativo"))</f>
        <v>#REF!</v>
      </c>
      <c r="O2472" s="5" t="s">
        <v>41</v>
      </c>
      <c r="P2472" s="12">
        <v>2024438.356164</v>
      </c>
      <c r="Q2472" s="12">
        <f>IF(O2472="Guaraníes",P2472,P2472*#REF!)</f>
        <v>2024438.356164</v>
      </c>
      <c r="R2472" s="12" t="e">
        <f>IF(O2472="Guaraníes",P2472/#REF!,P2472)</f>
        <v>#REF!</v>
      </c>
      <c r="S2472" s="5" t="s">
        <v>52</v>
      </c>
      <c r="T2472" s="5">
        <v>593</v>
      </c>
      <c r="W2472" s="5" t="s">
        <v>250</v>
      </c>
      <c r="X2472" s="5">
        <v>0</v>
      </c>
      <c r="Y2472" s="5">
        <v>0</v>
      </c>
      <c r="Z2472" s="5">
        <v>72301.369863</v>
      </c>
      <c r="AA2472" s="5">
        <v>28</v>
      </c>
      <c r="AB2472" s="5">
        <v>2024438.356164</v>
      </c>
      <c r="AC2472" s="5" t="str">
        <f t="shared" si="118"/>
        <v>Bonos</v>
      </c>
      <c r="AD2472" s="5" t="s">
        <v>43</v>
      </c>
      <c r="AE2472" s="5">
        <f t="shared" si="119"/>
        <v>8</v>
      </c>
      <c r="AF2472" s="5">
        <f t="shared" si="120"/>
        <v>2022</v>
      </c>
    </row>
    <row r="2473" s="5" customFormat="1" ht="13">
      <c r="A2473" s="5" t="s">
        <v>44</v>
      </c>
      <c r="B2473" s="5" t="s">
        <v>44</v>
      </c>
      <c r="C2473" s="5" t="s">
        <v>114</v>
      </c>
      <c r="D2473" s="5" t="s">
        <v>21</v>
      </c>
      <c r="E2473" s="5" t="s">
        <v>44</v>
      </c>
      <c r="F2473" s="5" t="s">
        <v>68</v>
      </c>
      <c r="G2473" s="5" t="s">
        <v>69</v>
      </c>
      <c r="H2473" s="9" t="s">
        <v>520</v>
      </c>
      <c r="I2473" s="10"/>
      <c r="J2473" s="10">
        <v>44797</v>
      </c>
      <c r="K2473" s="5" t="s">
        <v>77</v>
      </c>
      <c r="L2473" s="5" t="s">
        <v>50</v>
      </c>
      <c r="M2473" s="11">
        <v>0.14249999999999999</v>
      </c>
      <c r="N2473" s="5" t="e">
        <f>IF(AND(M2473&gt;#REF!,Cartera!O2473="Guaraníes"),"Rendimiento significativo",IF(AND(M2473&gt;#REF!,Cartera!O2473="Dólares americanos"),"Rendimiento significativo","Rendimiento no significativo"))</f>
        <v>#REF!</v>
      </c>
      <c r="O2473" s="5" t="s">
        <v>41</v>
      </c>
      <c r="P2473" s="12">
        <v>3552739.7259999998</v>
      </c>
      <c r="Q2473" s="12">
        <f>IF(O2473="Guaraníes",P2473,P2473*#REF!)</f>
        <v>3552739.7259999998</v>
      </c>
      <c r="R2473" s="12" t="e">
        <f>IF(O2473="Guaraníes",P2473/#REF!,P2473)</f>
        <v>#REF!</v>
      </c>
      <c r="S2473" s="5" t="s">
        <v>52</v>
      </c>
      <c r="T2473" s="5">
        <v>593</v>
      </c>
      <c r="W2473" s="5" t="s">
        <v>536</v>
      </c>
      <c r="X2473" s="5">
        <v>0</v>
      </c>
      <c r="Y2473" s="5">
        <v>0</v>
      </c>
      <c r="Z2473" s="5">
        <v>35527.397259999998</v>
      </c>
      <c r="AA2473" s="5">
        <v>100</v>
      </c>
      <c r="AB2473" s="5">
        <v>3552739.7259999998</v>
      </c>
      <c r="AC2473" s="5" t="str">
        <f t="shared" si="118"/>
        <v>Bonos</v>
      </c>
      <c r="AD2473" s="5" t="s">
        <v>43</v>
      </c>
      <c r="AE2473" s="5">
        <f t="shared" si="119"/>
        <v>8</v>
      </c>
      <c r="AF2473" s="5">
        <f t="shared" si="120"/>
        <v>2022</v>
      </c>
    </row>
    <row r="2474" s="5" customFormat="1" ht="13">
      <c r="A2474" s="5" t="s">
        <v>44</v>
      </c>
      <c r="B2474" s="5" t="s">
        <v>44</v>
      </c>
      <c r="C2474" s="5" t="s">
        <v>67</v>
      </c>
      <c r="D2474" s="5" t="s">
        <v>21</v>
      </c>
      <c r="E2474" s="5" t="s">
        <v>44</v>
      </c>
      <c r="F2474" s="5" t="s">
        <v>68</v>
      </c>
      <c r="G2474" s="5" t="s">
        <v>69</v>
      </c>
      <c r="H2474" s="9" t="s">
        <v>70</v>
      </c>
      <c r="I2474" s="10"/>
      <c r="J2474" s="10">
        <v>44798</v>
      </c>
      <c r="K2474" s="5" t="s">
        <v>71</v>
      </c>
      <c r="L2474" s="5" t="s">
        <v>58</v>
      </c>
      <c r="M2474" s="11">
        <v>0.067500000000000004</v>
      </c>
      <c r="N2474" s="5" t="e">
        <f>IF(AND(M2474&gt;#REF!,Cartera!O2474="Guaraníes"),"Rendimiento significativo",IF(AND(M2474&gt;#REF!,Cartera!O2474="Dólares americanos"),"Rendimiento significativo","Rendimiento no significativo"))</f>
        <v>#REF!</v>
      </c>
      <c r="O2474" s="5" t="s">
        <v>51</v>
      </c>
      <c r="P2474" s="13">
        <v>159.56</v>
      </c>
      <c r="Q2474" s="12" t="e">
        <f>IF(O2474="Guaraníes",P2474,P2474*#REF!)</f>
        <v>#REF!</v>
      </c>
      <c r="R2474" s="12">
        <f>IF(O2474="Guaraníes",P2474/#REF!,P2474)</f>
        <v>159.56</v>
      </c>
      <c r="S2474" s="5" t="s">
        <v>52</v>
      </c>
      <c r="T2474" s="5">
        <v>593</v>
      </c>
      <c r="W2474" s="5" t="s">
        <v>72</v>
      </c>
      <c r="X2474" s="5">
        <v>0</v>
      </c>
      <c r="Y2474" s="5">
        <v>0</v>
      </c>
      <c r="Z2474" s="5">
        <v>17.452055000000001</v>
      </c>
      <c r="AA2474" s="5">
        <v>8</v>
      </c>
      <c r="AB2474" s="5">
        <v>139.61644000000001</v>
      </c>
      <c r="AC2474" s="5" t="str">
        <f t="shared" si="118"/>
        <v>Bonos</v>
      </c>
      <c r="AD2474" s="5" t="s">
        <v>43</v>
      </c>
      <c r="AE2474" s="5">
        <f t="shared" si="119"/>
        <v>8</v>
      </c>
      <c r="AF2474" s="5">
        <f t="shared" si="120"/>
        <v>2022</v>
      </c>
    </row>
    <row r="2475" s="5" customFormat="1" ht="13">
      <c r="A2475" s="5" t="s">
        <v>44</v>
      </c>
      <c r="B2475" s="5" t="s">
        <v>44</v>
      </c>
      <c r="C2475" s="5" t="s">
        <v>33</v>
      </c>
      <c r="D2475" s="5" t="s">
        <v>21</v>
      </c>
      <c r="E2475" s="5" t="s">
        <v>44</v>
      </c>
      <c r="F2475" s="5" t="s">
        <v>35</v>
      </c>
      <c r="G2475" s="5" t="s">
        <v>69</v>
      </c>
      <c r="H2475" s="9" t="s">
        <v>186</v>
      </c>
      <c r="I2475" s="10"/>
      <c r="J2475" s="10">
        <v>44818</v>
      </c>
      <c r="K2475" s="5" t="s">
        <v>39</v>
      </c>
      <c r="L2475" s="5" t="s">
        <v>50</v>
      </c>
      <c r="M2475" s="11">
        <v>0.044999999999999998</v>
      </c>
      <c r="N2475" s="5" t="e">
        <f>IF(AND(M2475&gt;#REF!,Cartera!O2475="Guaraníes"),"Rendimiento significativo",IF(AND(M2475&gt;#REF!,Cartera!O2475="Dólares americanos"),"Rendimiento significativo","Rendimiento no significativo"))</f>
        <v>#REF!</v>
      </c>
      <c r="O2475" s="5" t="s">
        <v>51</v>
      </c>
      <c r="P2475" s="13">
        <v>448.76711999999998</v>
      </c>
      <c r="Q2475" s="12" t="e">
        <f>IF(O2475="Guaraníes",P2475,P2475*#REF!)</f>
        <v>#REF!</v>
      </c>
      <c r="R2475" s="12">
        <f>IF(O2475="Guaraníes",P2475/#REF!,P2475)</f>
        <v>448.76711999999998</v>
      </c>
      <c r="S2475" s="5" t="s">
        <v>52</v>
      </c>
      <c r="T2475" s="5">
        <v>593</v>
      </c>
      <c r="W2475" s="5" t="s">
        <v>65</v>
      </c>
      <c r="X2475" s="5">
        <v>0</v>
      </c>
      <c r="Y2475" s="5">
        <v>0</v>
      </c>
      <c r="Z2475" s="5">
        <v>11.219177999999999</v>
      </c>
      <c r="AA2475" s="5">
        <v>40</v>
      </c>
      <c r="AB2475" s="5">
        <v>448.76711999999998</v>
      </c>
      <c r="AC2475" s="5" t="str">
        <f t="shared" si="118"/>
        <v>Bonos</v>
      </c>
      <c r="AD2475" s="5" t="s">
        <v>43</v>
      </c>
      <c r="AE2475" s="5">
        <f t="shared" si="119"/>
        <v>9</v>
      </c>
      <c r="AF2475" s="5">
        <f t="shared" si="120"/>
        <v>2022</v>
      </c>
    </row>
    <row r="2476" s="5" customFormat="1" ht="13">
      <c r="A2476" s="5" t="s">
        <v>44</v>
      </c>
      <c r="B2476" s="5" t="s">
        <v>44</v>
      </c>
      <c r="C2476" s="5" t="s">
        <v>176</v>
      </c>
      <c r="D2476" s="5" t="s">
        <v>21</v>
      </c>
      <c r="E2476" s="5" t="s">
        <v>44</v>
      </c>
      <c r="F2476" s="5" t="s">
        <v>68</v>
      </c>
      <c r="G2476" s="5" t="s">
        <v>69</v>
      </c>
      <c r="H2476" s="9" t="s">
        <v>479</v>
      </c>
      <c r="I2476" s="10"/>
      <c r="J2476" s="10">
        <v>44825</v>
      </c>
      <c r="K2476" s="5" t="s">
        <v>178</v>
      </c>
      <c r="L2476" s="5" t="s">
        <v>58</v>
      </c>
      <c r="M2476" s="11">
        <v>0.074999999999999997</v>
      </c>
      <c r="N2476" s="5" t="e">
        <f>IF(AND(M2476&gt;#REF!,Cartera!O2476="Guaraníes"),"Rendimiento significativo",IF(AND(M2476&gt;#REF!,Cartera!O2476="Dólares americanos"),"Rendimiento significativo","Rendimiento no significativo"))</f>
        <v>#REF!</v>
      </c>
      <c r="O2476" s="5" t="s">
        <v>51</v>
      </c>
      <c r="P2476" s="13">
        <v>635.75342999999998</v>
      </c>
      <c r="Q2476" s="12" t="e">
        <f>IF(O2476="Guaraníes",P2476,P2476*#REF!)</f>
        <v>#REF!</v>
      </c>
      <c r="R2476" s="12">
        <f>IF(O2476="Guaraníes",P2476/#REF!,P2476)</f>
        <v>635.75342999999998</v>
      </c>
      <c r="S2476" s="5" t="s">
        <v>52</v>
      </c>
      <c r="T2476" s="5">
        <v>593</v>
      </c>
      <c r="W2476" s="5" t="s">
        <v>196</v>
      </c>
      <c r="X2476" s="5">
        <v>0</v>
      </c>
      <c r="Y2476" s="5">
        <v>0</v>
      </c>
      <c r="Z2476" s="5">
        <v>21.191780999999999</v>
      </c>
      <c r="AA2476" s="5">
        <v>30</v>
      </c>
      <c r="AB2476" s="5">
        <v>635.75342999999998</v>
      </c>
      <c r="AC2476" s="5" t="str">
        <f t="shared" si="118"/>
        <v>Bonos</v>
      </c>
      <c r="AD2476" s="5" t="s">
        <v>43</v>
      </c>
      <c r="AE2476" s="5">
        <f t="shared" si="119"/>
        <v>9</v>
      </c>
      <c r="AF2476" s="5">
        <f t="shared" si="120"/>
        <v>2022</v>
      </c>
    </row>
    <row r="2477" s="5" customFormat="1" ht="13">
      <c r="A2477" s="5" t="s">
        <v>44</v>
      </c>
      <c r="B2477" s="5" t="s">
        <v>44</v>
      </c>
      <c r="C2477" s="5" t="s">
        <v>116</v>
      </c>
      <c r="D2477" s="5" t="s">
        <v>21</v>
      </c>
      <c r="E2477" s="5" t="s">
        <v>44</v>
      </c>
      <c r="F2477" s="5" t="s">
        <v>68</v>
      </c>
      <c r="G2477" s="5" t="s">
        <v>69</v>
      </c>
      <c r="H2477" s="9" t="s">
        <v>194</v>
      </c>
      <c r="I2477" s="10"/>
      <c r="J2477" s="10">
        <v>44832</v>
      </c>
      <c r="K2477" s="5" t="s">
        <v>118</v>
      </c>
      <c r="L2477" s="5" t="s">
        <v>50</v>
      </c>
      <c r="M2477" s="11">
        <v>0.065000000000000002</v>
      </c>
      <c r="N2477" s="5" t="e">
        <f>IF(AND(M2477&gt;#REF!,Cartera!O2477="Guaraníes"),"Rendimiento significativo",IF(AND(M2477&gt;#REF!,Cartera!O2477="Dólares americanos"),"Rendimiento significativo","Rendimiento no significativo"))</f>
        <v>#REF!</v>
      </c>
      <c r="O2477" s="5" t="s">
        <v>51</v>
      </c>
      <c r="P2477" s="13">
        <v>324.10958999999997</v>
      </c>
      <c r="Q2477" s="12" t="e">
        <f>IF(O2477="Guaraníes",P2477,P2477*#REF!)</f>
        <v>#REF!</v>
      </c>
      <c r="R2477" s="12">
        <f>IF(O2477="Guaraníes",P2477/#REF!,P2477)</f>
        <v>324.10958999999997</v>
      </c>
      <c r="S2477" s="5" t="s">
        <v>52</v>
      </c>
      <c r="T2477" s="5">
        <v>593</v>
      </c>
      <c r="W2477" s="5" t="s">
        <v>195</v>
      </c>
      <c r="X2477" s="5">
        <v>0</v>
      </c>
      <c r="Y2477" s="5">
        <v>0</v>
      </c>
      <c r="Z2477" s="5">
        <v>32.410958999999998</v>
      </c>
      <c r="AA2477" s="5">
        <v>10</v>
      </c>
      <c r="AB2477" s="5">
        <v>324.10959000000003</v>
      </c>
      <c r="AC2477" s="5" t="str">
        <f t="shared" si="118"/>
        <v>Bonos</v>
      </c>
      <c r="AD2477" s="5" t="s">
        <v>43</v>
      </c>
      <c r="AE2477" s="5">
        <f t="shared" si="119"/>
        <v>9</v>
      </c>
      <c r="AF2477" s="5">
        <f t="shared" si="120"/>
        <v>2022</v>
      </c>
    </row>
    <row r="2478" s="5" customFormat="1" ht="13">
      <c r="A2478" s="5" t="s">
        <v>44</v>
      </c>
      <c r="B2478" s="5" t="s">
        <v>44</v>
      </c>
      <c r="C2478" s="5" t="s">
        <v>114</v>
      </c>
      <c r="D2478" s="5" t="s">
        <v>21</v>
      </c>
      <c r="E2478" s="5" t="s">
        <v>44</v>
      </c>
      <c r="F2478" s="5" t="s">
        <v>68</v>
      </c>
      <c r="G2478" s="5" t="s">
        <v>69</v>
      </c>
      <c r="H2478" s="9" t="s">
        <v>520</v>
      </c>
      <c r="I2478" s="10"/>
      <c r="J2478" s="10">
        <v>44888</v>
      </c>
      <c r="K2478" s="5" t="s">
        <v>77</v>
      </c>
      <c r="L2478" s="5" t="s">
        <v>50</v>
      </c>
      <c r="M2478" s="11">
        <v>0.14249999999999999</v>
      </c>
      <c r="N2478" s="5" t="e">
        <f>IF(AND(M2478&gt;#REF!,Cartera!O2478="Guaraníes"),"Rendimiento significativo",IF(AND(M2478&gt;#REF!,Cartera!O2478="Dólares americanos"),"Rendimiento significativo","Rendimiento no significativo"))</f>
        <v>#REF!</v>
      </c>
      <c r="O2478" s="5" t="s">
        <v>41</v>
      </c>
      <c r="P2478" s="12">
        <v>3552739.7259999998</v>
      </c>
      <c r="Q2478" s="12">
        <f>IF(O2478="Guaraníes",P2478,P2478*#REF!)</f>
        <v>3552739.7259999998</v>
      </c>
      <c r="R2478" s="12" t="e">
        <f>IF(O2478="Guaraníes",P2478/#REF!,P2478)</f>
        <v>#REF!</v>
      </c>
      <c r="S2478" s="5" t="s">
        <v>52</v>
      </c>
      <c r="T2478" s="5">
        <v>593</v>
      </c>
      <c r="W2478" s="5" t="s">
        <v>536</v>
      </c>
      <c r="X2478" s="5">
        <v>0</v>
      </c>
      <c r="Y2478" s="5">
        <v>0</v>
      </c>
      <c r="Z2478" s="5">
        <v>35527.397259999998</v>
      </c>
      <c r="AA2478" s="5">
        <v>100</v>
      </c>
      <c r="AB2478" s="5">
        <v>3552739.7259999998</v>
      </c>
      <c r="AC2478" s="5" t="str">
        <f t="shared" si="118"/>
        <v>Bonos</v>
      </c>
      <c r="AD2478" s="5" t="s">
        <v>43</v>
      </c>
      <c r="AE2478" s="5">
        <f t="shared" si="119"/>
        <v>11</v>
      </c>
      <c r="AF2478" s="5">
        <f t="shared" si="120"/>
        <v>2022</v>
      </c>
    </row>
    <row r="2479" s="5" customFormat="1" ht="13">
      <c r="A2479" s="5" t="s">
        <v>44</v>
      </c>
      <c r="B2479" s="5" t="s">
        <v>44</v>
      </c>
      <c r="C2479" s="5" t="s">
        <v>67</v>
      </c>
      <c r="D2479" s="5" t="s">
        <v>21</v>
      </c>
      <c r="E2479" s="5" t="s">
        <v>44</v>
      </c>
      <c r="F2479" s="5" t="s">
        <v>68</v>
      </c>
      <c r="G2479" s="5" t="s">
        <v>69</v>
      </c>
      <c r="H2479" s="9" t="s">
        <v>70</v>
      </c>
      <c r="I2479" s="10"/>
      <c r="J2479" s="10">
        <v>44889</v>
      </c>
      <c r="K2479" s="5" t="s">
        <v>71</v>
      </c>
      <c r="L2479" s="5" t="s">
        <v>58</v>
      </c>
      <c r="M2479" s="11">
        <v>0.067500000000000004</v>
      </c>
      <c r="N2479" s="5" t="e">
        <f>IF(AND(M2479&gt;#REF!,Cartera!O2479="Guaraníes"),"Rendimiento significativo",IF(AND(M2479&gt;#REF!,Cartera!O2479="Dólares americanos"),"Rendimiento significativo","Rendimiento no significativo"))</f>
        <v>#REF!</v>
      </c>
      <c r="O2479" s="5" t="s">
        <v>51</v>
      </c>
      <c r="P2479" s="13">
        <v>159.56</v>
      </c>
      <c r="Q2479" s="12" t="e">
        <f>IF(O2479="Guaraníes",P2479,P2479*#REF!)</f>
        <v>#REF!</v>
      </c>
      <c r="R2479" s="12">
        <f>IF(O2479="Guaraníes",P2479/#REF!,P2479)</f>
        <v>159.56</v>
      </c>
      <c r="S2479" s="5" t="s">
        <v>52</v>
      </c>
      <c r="T2479" s="5">
        <v>593</v>
      </c>
      <c r="W2479" s="5" t="s">
        <v>72</v>
      </c>
      <c r="X2479" s="5">
        <v>0</v>
      </c>
      <c r="Y2479" s="5">
        <v>0</v>
      </c>
      <c r="Z2479" s="5">
        <v>17.452055000000001</v>
      </c>
      <c r="AA2479" s="5">
        <v>8</v>
      </c>
      <c r="AB2479" s="5">
        <v>139.61644000000001</v>
      </c>
      <c r="AC2479" s="5" t="str">
        <f t="shared" si="118"/>
        <v>Bonos</v>
      </c>
      <c r="AD2479" s="5" t="s">
        <v>43</v>
      </c>
      <c r="AE2479" s="5">
        <f t="shared" si="119"/>
        <v>11</v>
      </c>
      <c r="AF2479" s="5">
        <f t="shared" si="120"/>
        <v>2022</v>
      </c>
    </row>
    <row r="2480" s="5" customFormat="1" ht="13">
      <c r="A2480" s="5">
        <v>11301</v>
      </c>
      <c r="B2480" s="5" t="s">
        <v>537</v>
      </c>
      <c r="C2480" s="5" t="s">
        <v>517</v>
      </c>
      <c r="D2480" s="5" t="s">
        <v>20</v>
      </c>
      <c r="E2480" s="5" t="s">
        <v>534</v>
      </c>
      <c r="F2480" s="5" t="s">
        <v>68</v>
      </c>
      <c r="G2480" s="5" t="s">
        <v>69</v>
      </c>
      <c r="H2480" s="9" t="s">
        <v>535</v>
      </c>
      <c r="I2480" s="10">
        <v>40695</v>
      </c>
      <c r="J2480" s="10">
        <v>44897</v>
      </c>
      <c r="K2480" s="5" t="s">
        <v>509</v>
      </c>
      <c r="L2480" s="5" t="s">
        <v>58</v>
      </c>
      <c r="M2480" s="11">
        <v>0.17000000000000001</v>
      </c>
      <c r="N2480" s="5" t="e">
        <f>IF(AND(M2480&gt;#REF!,Cartera!O2480="Guaraníes"),"Rendimiento significativo",IF(AND(M2480&gt;#REF!,Cartera!O2480="Dólares americanos"),"Rendimiento significativo","Rendimiento no significativo"))</f>
        <v>#REF!</v>
      </c>
      <c r="O2480" s="5" t="s">
        <v>41</v>
      </c>
      <c r="P2480" s="12">
        <v>14033056</v>
      </c>
      <c r="Q2480" s="12">
        <f>IF(O2480="Guaraníes",P2480,P2480*#REF!)</f>
        <v>14033056</v>
      </c>
      <c r="R2480" s="12" t="e">
        <f>IF(O2480="Guaraníes",P2480/#REF!,P2480)</f>
        <v>#REF!</v>
      </c>
      <c r="S2480" s="5" t="s">
        <v>42</v>
      </c>
      <c r="AC2480" s="5" t="str">
        <f t="shared" si="118"/>
        <v>Bonos</v>
      </c>
      <c r="AD2480" s="5" t="s">
        <v>43</v>
      </c>
      <c r="AE2480" s="5">
        <f t="shared" si="119"/>
        <v>12</v>
      </c>
      <c r="AF2480" s="5">
        <f t="shared" si="120"/>
        <v>2022</v>
      </c>
      <c r="AG2480" s="5" t="s">
        <v>278</v>
      </c>
    </row>
    <row r="2481" s="5" customFormat="1" ht="13">
      <c r="A2481" s="5" t="s">
        <v>44</v>
      </c>
      <c r="B2481" s="5" t="s">
        <v>44</v>
      </c>
      <c r="C2481" s="5" t="s">
        <v>33</v>
      </c>
      <c r="D2481" s="5" t="s">
        <v>21</v>
      </c>
      <c r="E2481" s="5" t="s">
        <v>44</v>
      </c>
      <c r="F2481" s="5" t="s">
        <v>35</v>
      </c>
      <c r="G2481" s="5" t="s">
        <v>69</v>
      </c>
      <c r="H2481" s="9" t="s">
        <v>186</v>
      </c>
      <c r="I2481" s="10"/>
      <c r="J2481" s="10">
        <v>44909</v>
      </c>
      <c r="K2481" s="5" t="s">
        <v>39</v>
      </c>
      <c r="L2481" s="5" t="s">
        <v>50</v>
      </c>
      <c r="M2481" s="11">
        <v>0.044999999999999998</v>
      </c>
      <c r="N2481" s="5" t="e">
        <f>IF(AND(M2481&gt;#REF!,Cartera!O2481="Guaraníes"),"Rendimiento significativo",IF(AND(M2481&gt;#REF!,Cartera!O2481="Dólares americanos"),"Rendimiento significativo","Rendimiento no significativo"))</f>
        <v>#REF!</v>
      </c>
      <c r="O2481" s="5" t="s">
        <v>51</v>
      </c>
      <c r="P2481" s="13">
        <v>448.76711999999998</v>
      </c>
      <c r="Q2481" s="12" t="e">
        <f>IF(O2481="Guaraníes",P2481,P2481*#REF!)</f>
        <v>#REF!</v>
      </c>
      <c r="R2481" s="12">
        <f>IF(O2481="Guaraníes",P2481/#REF!,P2481)</f>
        <v>448.76711999999998</v>
      </c>
      <c r="S2481" s="5" t="s">
        <v>52</v>
      </c>
      <c r="T2481" s="5">
        <v>593</v>
      </c>
      <c r="W2481" s="5" t="s">
        <v>65</v>
      </c>
      <c r="X2481" s="5">
        <v>0</v>
      </c>
      <c r="Y2481" s="5">
        <v>0</v>
      </c>
      <c r="Z2481" s="5">
        <v>11.219177999999999</v>
      </c>
      <c r="AA2481" s="5">
        <v>40</v>
      </c>
      <c r="AB2481" s="5">
        <v>448.76711999999998</v>
      </c>
      <c r="AC2481" s="5" t="str">
        <f t="shared" si="118"/>
        <v>Bonos</v>
      </c>
      <c r="AD2481" s="5" t="s">
        <v>43</v>
      </c>
      <c r="AE2481" s="5">
        <f t="shared" si="119"/>
        <v>12</v>
      </c>
      <c r="AF2481" s="5">
        <f t="shared" si="120"/>
        <v>2022</v>
      </c>
    </row>
    <row r="2482" s="5" customFormat="1" ht="13">
      <c r="A2482" s="5" t="s">
        <v>44</v>
      </c>
      <c r="B2482" s="5" t="s">
        <v>44</v>
      </c>
      <c r="C2482" s="5" t="s">
        <v>176</v>
      </c>
      <c r="D2482" s="5" t="s">
        <v>21</v>
      </c>
      <c r="E2482" s="5" t="s">
        <v>44</v>
      </c>
      <c r="F2482" s="5" t="s">
        <v>68</v>
      </c>
      <c r="G2482" s="5" t="s">
        <v>69</v>
      </c>
      <c r="H2482" s="9" t="s">
        <v>479</v>
      </c>
      <c r="I2482" s="10"/>
      <c r="J2482" s="10">
        <v>44916</v>
      </c>
      <c r="K2482" s="5" t="s">
        <v>178</v>
      </c>
      <c r="L2482" s="5" t="s">
        <v>58</v>
      </c>
      <c r="M2482" s="11">
        <v>0.074999999999999997</v>
      </c>
      <c r="N2482" s="5" t="e">
        <f>IF(AND(M2482&gt;#REF!,Cartera!O2482="Guaraníes"),"Rendimiento significativo",IF(AND(M2482&gt;#REF!,Cartera!O2482="Dólares americanos"),"Rendimiento significativo","Rendimiento no significativo"))</f>
        <v>#REF!</v>
      </c>
      <c r="O2482" s="5" t="s">
        <v>51</v>
      </c>
      <c r="P2482" s="13">
        <v>635.75342999999998</v>
      </c>
      <c r="Q2482" s="12" t="e">
        <f>IF(O2482="Guaraníes",P2482,P2482*#REF!)</f>
        <v>#REF!</v>
      </c>
      <c r="R2482" s="12">
        <f>IF(O2482="Guaraníes",P2482/#REF!,P2482)</f>
        <v>635.75342999999998</v>
      </c>
      <c r="S2482" s="5" t="s">
        <v>52</v>
      </c>
      <c r="T2482" s="5">
        <v>593</v>
      </c>
      <c r="W2482" s="5" t="s">
        <v>196</v>
      </c>
      <c r="X2482" s="5">
        <v>0</v>
      </c>
      <c r="Y2482" s="5">
        <v>0</v>
      </c>
      <c r="Z2482" s="5">
        <v>21.191780999999999</v>
      </c>
      <c r="AA2482" s="5">
        <v>30</v>
      </c>
      <c r="AB2482" s="5">
        <v>635.75342999999998</v>
      </c>
      <c r="AC2482" s="5" t="str">
        <f t="shared" si="118"/>
        <v>Bonos</v>
      </c>
      <c r="AD2482" s="5" t="s">
        <v>43</v>
      </c>
      <c r="AE2482" s="5">
        <f t="shared" si="119"/>
        <v>12</v>
      </c>
      <c r="AF2482" s="5">
        <f t="shared" si="120"/>
        <v>2022</v>
      </c>
    </row>
    <row r="2483" s="5" customFormat="1" ht="13">
      <c r="A2483" s="5" t="s">
        <v>44</v>
      </c>
      <c r="B2483" s="5" t="s">
        <v>44</v>
      </c>
      <c r="C2483" s="5" t="s">
        <v>171</v>
      </c>
      <c r="D2483" s="5" t="s">
        <v>21</v>
      </c>
      <c r="E2483" s="5" t="s">
        <v>44</v>
      </c>
      <c r="F2483" s="5" t="s">
        <v>100</v>
      </c>
      <c r="G2483" s="5" t="s">
        <v>69</v>
      </c>
      <c r="H2483" s="9" t="s">
        <v>172</v>
      </c>
      <c r="I2483" s="10"/>
      <c r="J2483" s="10">
        <v>44939</v>
      </c>
      <c r="K2483" s="5" t="s">
        <v>173</v>
      </c>
      <c r="L2483" s="5" t="s">
        <v>58</v>
      </c>
      <c r="M2483" s="11">
        <v>0.14999999999999999</v>
      </c>
      <c r="N2483" s="5" t="e">
        <f>IF(AND(M2483&gt;#REF!,Cartera!O2483="Guaraníes"),"Rendimiento significativo",IF(AND(M2483&gt;#REF!,Cartera!O2483="Dólares americanos"),"Rendimiento significativo","Rendimiento no significativo"))</f>
        <v>#REF!</v>
      </c>
      <c r="O2483" s="5" t="s">
        <v>41</v>
      </c>
      <c r="P2483" s="12">
        <v>673150.684932</v>
      </c>
      <c r="Q2483" s="12">
        <f>IF(O2483="Guaraníes",P2483,P2483*#REF!)</f>
        <v>673150.684932</v>
      </c>
      <c r="R2483" s="12" t="e">
        <f>IF(O2483="Guaraníes",P2483/#REF!,P2483)</f>
        <v>#REF!</v>
      </c>
      <c r="S2483" s="5" t="s">
        <v>52</v>
      </c>
      <c r="T2483" s="5">
        <v>593</v>
      </c>
      <c r="W2483" s="5" t="s">
        <v>271</v>
      </c>
      <c r="X2483" s="5">
        <v>20</v>
      </c>
      <c r="Y2483" s="5">
        <v>200000</v>
      </c>
      <c r="Z2483" s="5">
        <v>274794.520548</v>
      </c>
      <c r="AA2483" s="5">
        <v>9</v>
      </c>
      <c r="AB2483" s="5">
        <v>2473150.684932</v>
      </c>
      <c r="AC2483" s="5" t="str">
        <f t="shared" si="118"/>
        <v>Bonos</v>
      </c>
      <c r="AD2483" s="5" t="s">
        <v>43</v>
      </c>
      <c r="AE2483" s="5">
        <f t="shared" si="119"/>
        <v>1</v>
      </c>
      <c r="AF2483" s="5">
        <f t="shared" si="120"/>
        <v>2023</v>
      </c>
    </row>
    <row r="2484" s="5" customFormat="1" ht="13">
      <c r="A2484" s="5" t="s">
        <v>44</v>
      </c>
      <c r="B2484" s="5" t="s">
        <v>44</v>
      </c>
      <c r="C2484" s="5" t="s">
        <v>99</v>
      </c>
      <c r="D2484" s="5" t="s">
        <v>20</v>
      </c>
      <c r="E2484" s="5" t="s">
        <v>44</v>
      </c>
      <c r="F2484" s="5" t="s">
        <v>100</v>
      </c>
      <c r="G2484" s="5" t="s">
        <v>69</v>
      </c>
      <c r="H2484" s="9" t="s">
        <v>238</v>
      </c>
      <c r="I2484" s="10">
        <v>42696</v>
      </c>
      <c r="J2484" s="10">
        <v>44959</v>
      </c>
      <c r="K2484" s="5" t="s">
        <v>102</v>
      </c>
      <c r="L2484" s="5" t="s">
        <v>102</v>
      </c>
      <c r="M2484" s="11">
        <v>0.070000000000000007</v>
      </c>
      <c r="N2484" s="5" t="e">
        <f>IF(AND(M2484&gt;#REF!,Cartera!O2484="Guaraníes"),"Rendimiento significativo",IF(AND(M2484&gt;#REF!,Cartera!O2484="Dólares americanos"),"Rendimiento significativo","Rendimiento no significativo"))</f>
        <v>#REF!</v>
      </c>
      <c r="O2484" s="5" t="s">
        <v>41</v>
      </c>
      <c r="P2484" s="12">
        <v>50000000</v>
      </c>
      <c r="Q2484" s="12">
        <f>IF(O2484="Guaraníes",P2484,P2484*#REF!)</f>
        <v>50000000</v>
      </c>
      <c r="R2484" s="12" t="e">
        <f>IF(O2484="Guaraníes",P2484/#REF!,P2484)</f>
        <v>#REF!</v>
      </c>
      <c r="S2484" s="5" t="s">
        <v>52</v>
      </c>
      <c r="T2484" s="5">
        <v>593</v>
      </c>
      <c r="W2484" s="5" t="s">
        <v>483</v>
      </c>
      <c r="X2484" s="5">
        <v>0</v>
      </c>
      <c r="Y2484" s="5">
        <v>0</v>
      </c>
      <c r="Z2484" s="5">
        <v>40167.123288000003</v>
      </c>
      <c r="AA2484" s="5">
        <v>50</v>
      </c>
      <c r="AB2484" s="5">
        <v>2008356.1643999999</v>
      </c>
      <c r="AC2484" s="5" t="str">
        <f t="shared" si="118"/>
        <v>Bonos</v>
      </c>
      <c r="AD2484" s="5" t="s">
        <v>43</v>
      </c>
      <c r="AE2484" s="5">
        <f t="shared" si="119"/>
        <v>2</v>
      </c>
      <c r="AF2484" s="5">
        <f t="shared" si="120"/>
        <v>2023</v>
      </c>
    </row>
    <row r="2485" s="5" customFormat="1" ht="13">
      <c r="A2485" s="5" t="s">
        <v>44</v>
      </c>
      <c r="B2485" s="5" t="s">
        <v>44</v>
      </c>
      <c r="C2485" s="5" t="s">
        <v>457</v>
      </c>
      <c r="D2485" s="5" t="s">
        <v>21</v>
      </c>
      <c r="E2485" s="5" t="s">
        <v>44</v>
      </c>
      <c r="F2485" s="5" t="s">
        <v>100</v>
      </c>
      <c r="G2485" s="5" t="s">
        <v>69</v>
      </c>
      <c r="H2485" s="9" t="s">
        <v>459</v>
      </c>
      <c r="I2485" s="10"/>
      <c r="J2485" s="10">
        <v>44967</v>
      </c>
      <c r="K2485" s="5" t="s">
        <v>173</v>
      </c>
      <c r="L2485" s="5" t="s">
        <v>58</v>
      </c>
      <c r="M2485" s="11">
        <v>0.14499999999999999</v>
      </c>
      <c r="N2485" s="5" t="e">
        <f>IF(AND(M2485&gt;#REF!,Cartera!O2485="Guaraníes"),"Rendimiento significativo",IF(AND(M2485&gt;#REF!,Cartera!O2485="Dólares americanos"),"Rendimiento significativo","Rendimiento no significativo"))</f>
        <v>#REF!</v>
      </c>
      <c r="O2485" s="5" t="s">
        <v>41</v>
      </c>
      <c r="P2485" s="12">
        <v>2035561.643836</v>
      </c>
      <c r="Q2485" s="12">
        <f>IF(O2485="Guaraníes",P2485,P2485*#REF!)</f>
        <v>2035561.643836</v>
      </c>
      <c r="R2485" s="12" t="e">
        <f>IF(O2485="Guaraníes",P2485/#REF!,P2485)</f>
        <v>#REF!</v>
      </c>
      <c r="S2485" s="5" t="s">
        <v>52</v>
      </c>
      <c r="T2485" s="5">
        <v>593</v>
      </c>
      <c r="W2485" s="5" t="s">
        <v>230</v>
      </c>
      <c r="X2485" s="5">
        <v>0</v>
      </c>
      <c r="Y2485" s="5">
        <v>0</v>
      </c>
      <c r="Z2485" s="5">
        <v>72698.630137</v>
      </c>
      <c r="AA2485" s="5">
        <v>28</v>
      </c>
      <c r="AB2485" s="5">
        <v>2035561.643836</v>
      </c>
      <c r="AC2485" s="5" t="str">
        <f t="shared" si="118"/>
        <v>Bonos</v>
      </c>
      <c r="AD2485" s="5" t="s">
        <v>43</v>
      </c>
      <c r="AE2485" s="5">
        <f t="shared" si="119"/>
        <v>2</v>
      </c>
      <c r="AF2485" s="5">
        <f t="shared" si="120"/>
        <v>2023</v>
      </c>
    </row>
    <row r="2486" s="5" customFormat="1" ht="13">
      <c r="A2486" s="5" t="s">
        <v>44</v>
      </c>
      <c r="B2486" s="5" t="s">
        <v>44</v>
      </c>
      <c r="C2486" s="5" t="s">
        <v>114</v>
      </c>
      <c r="D2486" s="5" t="s">
        <v>21</v>
      </c>
      <c r="E2486" s="5" t="s">
        <v>44</v>
      </c>
      <c r="F2486" s="5" t="s">
        <v>68</v>
      </c>
      <c r="G2486" s="5" t="s">
        <v>69</v>
      </c>
      <c r="H2486" s="9" t="s">
        <v>520</v>
      </c>
      <c r="I2486" s="10"/>
      <c r="J2486" s="10">
        <v>44979</v>
      </c>
      <c r="K2486" s="5" t="s">
        <v>77</v>
      </c>
      <c r="L2486" s="5" t="s">
        <v>50</v>
      </c>
      <c r="M2486" s="11">
        <v>0.14249999999999999</v>
      </c>
      <c r="N2486" s="5" t="e">
        <f>IF(AND(M2486&gt;#REF!,Cartera!O2486="Guaraníes"),"Rendimiento significativo",IF(AND(M2486&gt;#REF!,Cartera!O2486="Dólares americanos"),"Rendimiento significativo","Rendimiento no significativo"))</f>
        <v>#REF!</v>
      </c>
      <c r="O2486" s="5" t="s">
        <v>41</v>
      </c>
      <c r="P2486" s="12">
        <v>3552739.7259999998</v>
      </c>
      <c r="Q2486" s="12">
        <f>IF(O2486="Guaraníes",P2486,P2486*#REF!)</f>
        <v>3552739.7259999998</v>
      </c>
      <c r="R2486" s="12" t="e">
        <f>IF(O2486="Guaraníes",P2486/#REF!,P2486)</f>
        <v>#REF!</v>
      </c>
      <c r="S2486" s="5" t="s">
        <v>52</v>
      </c>
      <c r="T2486" s="5">
        <v>593</v>
      </c>
      <c r="W2486" s="5" t="s">
        <v>533</v>
      </c>
      <c r="X2486" s="5">
        <v>0</v>
      </c>
      <c r="Y2486" s="5">
        <v>0</v>
      </c>
      <c r="Z2486" s="5">
        <v>35527.397259999998</v>
      </c>
      <c r="AA2486" s="5">
        <v>100</v>
      </c>
      <c r="AB2486" s="5">
        <v>3552739.7259999998</v>
      </c>
      <c r="AC2486" s="5" t="str">
        <f t="shared" si="118"/>
        <v>Bonos</v>
      </c>
      <c r="AD2486" s="5" t="s">
        <v>43</v>
      </c>
      <c r="AE2486" s="5">
        <f t="shared" si="119"/>
        <v>2</v>
      </c>
      <c r="AF2486" s="5">
        <f t="shared" si="120"/>
        <v>2023</v>
      </c>
    </row>
    <row r="2487" s="5" customFormat="1" ht="13">
      <c r="A2487" s="5" t="s">
        <v>44</v>
      </c>
      <c r="B2487" s="5" t="s">
        <v>44</v>
      </c>
      <c r="C2487" s="5" t="s">
        <v>67</v>
      </c>
      <c r="D2487" s="5" t="s">
        <v>21</v>
      </c>
      <c r="E2487" s="5" t="s">
        <v>44</v>
      </c>
      <c r="F2487" s="5" t="s">
        <v>68</v>
      </c>
      <c r="G2487" s="5" t="s">
        <v>69</v>
      </c>
      <c r="H2487" s="9" t="s">
        <v>70</v>
      </c>
      <c r="I2487" s="10"/>
      <c r="J2487" s="10">
        <v>44980</v>
      </c>
      <c r="K2487" s="5" t="s">
        <v>71</v>
      </c>
      <c r="L2487" s="5" t="s">
        <v>58</v>
      </c>
      <c r="M2487" s="11">
        <v>0.067500000000000004</v>
      </c>
      <c r="N2487" s="5" t="e">
        <f>IF(AND(M2487&gt;#REF!,Cartera!O2487="Guaraníes"),"Rendimiento significativo",IF(AND(M2487&gt;#REF!,Cartera!O2487="Dólares americanos"),"Rendimiento significativo","Rendimiento no significativo"))</f>
        <v>#REF!</v>
      </c>
      <c r="O2487" s="5" t="s">
        <v>51</v>
      </c>
      <c r="P2487" s="13">
        <v>159.56</v>
      </c>
      <c r="Q2487" s="12" t="e">
        <f>IF(O2487="Guaraníes",P2487,P2487*#REF!)</f>
        <v>#REF!</v>
      </c>
      <c r="R2487" s="12">
        <f>IF(O2487="Guaraníes",P2487/#REF!,P2487)</f>
        <v>159.56</v>
      </c>
      <c r="S2487" s="5" t="s">
        <v>52</v>
      </c>
      <c r="T2487" s="5">
        <v>593</v>
      </c>
      <c r="W2487" s="5" t="s">
        <v>134</v>
      </c>
      <c r="X2487" s="5">
        <v>0</v>
      </c>
      <c r="Y2487" s="5">
        <v>0</v>
      </c>
      <c r="Z2487" s="5">
        <v>17.452055000000001</v>
      </c>
      <c r="AA2487" s="5">
        <v>8</v>
      </c>
      <c r="AB2487" s="5">
        <v>139.61644000000001</v>
      </c>
      <c r="AC2487" s="5" t="str">
        <f t="shared" ref="AC2487:AC2550" si="121">IF(ISNUMBER(SEARCH("Acciones",L2487)),"Acciones",IF(ISNUMBER(SEARCH("Bono",L2487)),"Bonos",IF(ISNUMBER(SEARCH("CDA",L2487)),"CDA",IF(ISNUMBER(SEARCH("Fondo",L2487)),"Fondo",0))))</f>
        <v>Bonos</v>
      </c>
      <c r="AD2487" s="5" t="s">
        <v>43</v>
      </c>
      <c r="AE2487" s="5">
        <f t="shared" si="119"/>
        <v>2</v>
      </c>
      <c r="AF2487" s="5">
        <f t="shared" si="120"/>
        <v>2023</v>
      </c>
    </row>
    <row r="2488" s="5" customFormat="1" ht="13">
      <c r="A2488" s="5" t="s">
        <v>44</v>
      </c>
      <c r="B2488" s="5" t="s">
        <v>44</v>
      </c>
      <c r="C2488" s="5" t="s">
        <v>33</v>
      </c>
      <c r="D2488" s="5" t="s">
        <v>21</v>
      </c>
      <c r="E2488" s="5" t="s">
        <v>44</v>
      </c>
      <c r="F2488" s="5" t="s">
        <v>35</v>
      </c>
      <c r="G2488" s="5" t="s">
        <v>69</v>
      </c>
      <c r="H2488" s="9" t="s">
        <v>186</v>
      </c>
      <c r="I2488" s="10"/>
      <c r="J2488" s="10">
        <v>45000</v>
      </c>
      <c r="K2488" s="5" t="s">
        <v>39</v>
      </c>
      <c r="L2488" s="5" t="s">
        <v>50</v>
      </c>
      <c r="M2488" s="11">
        <v>0.044999999999999998</v>
      </c>
      <c r="N2488" s="5" t="e">
        <f>IF(AND(M2488&gt;#REF!,Cartera!O2488="Guaraníes"),"Rendimiento significativo",IF(AND(M2488&gt;#REF!,Cartera!O2488="Dólares americanos"),"Rendimiento significativo","Rendimiento no significativo"))</f>
        <v>#REF!</v>
      </c>
      <c r="O2488" s="5" t="s">
        <v>51</v>
      </c>
      <c r="P2488" s="13">
        <v>448.76711999999998</v>
      </c>
      <c r="Q2488" s="12" t="e">
        <f>IF(O2488="Guaraníes",P2488,P2488*#REF!)</f>
        <v>#REF!</v>
      </c>
      <c r="R2488" s="12">
        <f>IF(O2488="Guaraníes",P2488/#REF!,P2488)</f>
        <v>448.76711999999998</v>
      </c>
      <c r="S2488" s="5" t="s">
        <v>52</v>
      </c>
      <c r="T2488" s="5">
        <v>593</v>
      </c>
      <c r="W2488" s="5" t="s">
        <v>65</v>
      </c>
      <c r="X2488" s="5">
        <v>0</v>
      </c>
      <c r="Y2488" s="5">
        <v>0</v>
      </c>
      <c r="Z2488" s="5">
        <v>11.219177999999999</v>
      </c>
      <c r="AA2488" s="5">
        <v>40</v>
      </c>
      <c r="AB2488" s="5">
        <v>448.76711999999998</v>
      </c>
      <c r="AC2488" s="5" t="str">
        <f t="shared" si="121"/>
        <v>Bonos</v>
      </c>
      <c r="AD2488" s="5" t="s">
        <v>43</v>
      </c>
      <c r="AE2488" s="5">
        <f t="shared" si="119"/>
        <v>3</v>
      </c>
      <c r="AF2488" s="5">
        <f t="shared" si="120"/>
        <v>2023</v>
      </c>
    </row>
    <row r="2489" s="5" customFormat="1" ht="13">
      <c r="A2489" s="5" t="s">
        <v>44</v>
      </c>
      <c r="B2489" s="5" t="s">
        <v>44</v>
      </c>
      <c r="C2489" s="5" t="s">
        <v>176</v>
      </c>
      <c r="D2489" s="5" t="s">
        <v>21</v>
      </c>
      <c r="E2489" s="5" t="s">
        <v>44</v>
      </c>
      <c r="F2489" s="5" t="s">
        <v>68</v>
      </c>
      <c r="G2489" s="5" t="s">
        <v>69</v>
      </c>
      <c r="H2489" s="9" t="s">
        <v>479</v>
      </c>
      <c r="I2489" s="10"/>
      <c r="J2489" s="10">
        <v>45007</v>
      </c>
      <c r="K2489" s="5" t="s">
        <v>178</v>
      </c>
      <c r="L2489" s="5" t="s">
        <v>58</v>
      </c>
      <c r="M2489" s="11">
        <v>0.074999999999999997</v>
      </c>
      <c r="N2489" s="5" t="e">
        <f>IF(AND(M2489&gt;#REF!,Cartera!O2489="Guaraníes"),"Rendimiento significativo",IF(AND(M2489&gt;#REF!,Cartera!O2489="Dólares americanos"),"Rendimiento significativo","Rendimiento no significativo"))</f>
        <v>#REF!</v>
      </c>
      <c r="O2489" s="5" t="s">
        <v>51</v>
      </c>
      <c r="P2489" s="13">
        <v>635.75342999999998</v>
      </c>
      <c r="Q2489" s="12" t="e">
        <f>IF(O2489="Guaraníes",P2489,P2489*#REF!)</f>
        <v>#REF!</v>
      </c>
      <c r="R2489" s="12">
        <f>IF(O2489="Guaraníes",P2489/#REF!,P2489)</f>
        <v>635.75342999999998</v>
      </c>
      <c r="S2489" s="5" t="s">
        <v>52</v>
      </c>
      <c r="T2489" s="5">
        <v>593</v>
      </c>
      <c r="W2489" s="5" t="s">
        <v>196</v>
      </c>
      <c r="X2489" s="5">
        <v>0</v>
      </c>
      <c r="Y2489" s="5">
        <v>0</v>
      </c>
      <c r="Z2489" s="5">
        <v>21.191780999999999</v>
      </c>
      <c r="AA2489" s="5">
        <v>30</v>
      </c>
      <c r="AB2489" s="5">
        <v>635.75342999999998</v>
      </c>
      <c r="AC2489" s="5" t="str">
        <f t="shared" si="121"/>
        <v>Bonos</v>
      </c>
      <c r="AD2489" s="5" t="s">
        <v>43</v>
      </c>
      <c r="AE2489" s="5">
        <f t="shared" si="119"/>
        <v>3</v>
      </c>
      <c r="AF2489" s="5">
        <f t="shared" si="120"/>
        <v>2023</v>
      </c>
    </row>
    <row r="2490" s="5" customFormat="1" ht="13">
      <c r="A2490" s="5" t="s">
        <v>44</v>
      </c>
      <c r="B2490" s="5" t="s">
        <v>44</v>
      </c>
      <c r="C2490" s="5" t="s">
        <v>116</v>
      </c>
      <c r="D2490" s="5" t="s">
        <v>21</v>
      </c>
      <c r="E2490" s="5" t="s">
        <v>44</v>
      </c>
      <c r="F2490" s="5" t="s">
        <v>68</v>
      </c>
      <c r="G2490" s="5" t="s">
        <v>69</v>
      </c>
      <c r="H2490" s="9" t="s">
        <v>194</v>
      </c>
      <c r="I2490" s="10"/>
      <c r="J2490" s="10">
        <v>45014</v>
      </c>
      <c r="K2490" s="5" t="s">
        <v>118</v>
      </c>
      <c r="L2490" s="5" t="s">
        <v>50</v>
      </c>
      <c r="M2490" s="11">
        <v>0.065000000000000002</v>
      </c>
      <c r="N2490" s="5" t="e">
        <f>IF(AND(M2490&gt;#REF!,Cartera!O2490="Guaraníes"),"Rendimiento significativo",IF(AND(M2490&gt;#REF!,Cartera!O2490="Dólares americanos"),"Rendimiento significativo","Rendimiento no significativo"))</f>
        <v>#REF!</v>
      </c>
      <c r="O2490" s="5" t="s">
        <v>51</v>
      </c>
      <c r="P2490" s="13">
        <v>324.10958999999997</v>
      </c>
      <c r="Q2490" s="12" t="e">
        <f>IF(O2490="Guaraníes",P2490,P2490*#REF!)</f>
        <v>#REF!</v>
      </c>
      <c r="R2490" s="12">
        <f>IF(O2490="Guaraníes",P2490/#REF!,P2490)</f>
        <v>324.10958999999997</v>
      </c>
      <c r="S2490" s="5" t="s">
        <v>52</v>
      </c>
      <c r="T2490" s="5">
        <v>593</v>
      </c>
      <c r="W2490" s="5" t="s">
        <v>195</v>
      </c>
      <c r="X2490" s="5">
        <v>0</v>
      </c>
      <c r="Y2490" s="5">
        <v>0</v>
      </c>
      <c r="Z2490" s="5">
        <v>32.410958999999998</v>
      </c>
      <c r="AA2490" s="5">
        <v>10</v>
      </c>
      <c r="AB2490" s="5">
        <v>324.10959000000003</v>
      </c>
      <c r="AC2490" s="5" t="str">
        <f t="shared" si="121"/>
        <v>Bonos</v>
      </c>
      <c r="AD2490" s="5" t="s">
        <v>43</v>
      </c>
      <c r="AE2490" s="5">
        <f t="shared" si="119"/>
        <v>3</v>
      </c>
      <c r="AF2490" s="5">
        <f t="shared" si="120"/>
        <v>2023</v>
      </c>
    </row>
    <row r="2491" s="5" customFormat="1" ht="13">
      <c r="A2491" s="5" t="s">
        <v>44</v>
      </c>
      <c r="B2491" s="5" t="s">
        <v>44</v>
      </c>
      <c r="C2491" s="5" t="s">
        <v>114</v>
      </c>
      <c r="D2491" s="5" t="s">
        <v>21</v>
      </c>
      <c r="E2491" s="5" t="s">
        <v>44</v>
      </c>
      <c r="F2491" s="5" t="s">
        <v>68</v>
      </c>
      <c r="G2491" s="5" t="s">
        <v>69</v>
      </c>
      <c r="H2491" s="9" t="s">
        <v>520</v>
      </c>
      <c r="I2491" s="10"/>
      <c r="J2491" s="10">
        <v>45070</v>
      </c>
      <c r="K2491" s="5" t="s">
        <v>77</v>
      </c>
      <c r="L2491" s="5" t="s">
        <v>50</v>
      </c>
      <c r="M2491" s="11">
        <v>0.14249999999999999</v>
      </c>
      <c r="N2491" s="5" t="e">
        <f>IF(AND(M2491&gt;#REF!,Cartera!O2491="Guaraníes"),"Rendimiento significativo",IF(AND(M2491&gt;#REF!,Cartera!O2491="Dólares americanos"),"Rendimiento significativo","Rendimiento no significativo"))</f>
        <v>#REF!</v>
      </c>
      <c r="O2491" s="5" t="s">
        <v>41</v>
      </c>
      <c r="P2491" s="12">
        <v>3552739.7259999998</v>
      </c>
      <c r="Q2491" s="12">
        <f>IF(O2491="Guaraníes",P2491,P2491*#REF!)</f>
        <v>3552739.7259999998</v>
      </c>
      <c r="R2491" s="12" t="e">
        <f>IF(O2491="Guaraníes",P2491/#REF!,P2491)</f>
        <v>#REF!</v>
      </c>
      <c r="S2491" s="5" t="s">
        <v>52</v>
      </c>
      <c r="T2491" s="5">
        <v>593</v>
      </c>
      <c r="W2491" s="5" t="s">
        <v>536</v>
      </c>
      <c r="X2491" s="5">
        <v>0</v>
      </c>
      <c r="Y2491" s="5">
        <v>0</v>
      </c>
      <c r="Z2491" s="5">
        <v>35527.397259999998</v>
      </c>
      <c r="AA2491" s="5">
        <v>100</v>
      </c>
      <c r="AB2491" s="5">
        <v>3552739.7259999998</v>
      </c>
      <c r="AC2491" s="5" t="str">
        <f t="shared" si="121"/>
        <v>Bonos</v>
      </c>
      <c r="AD2491" s="5" t="s">
        <v>43</v>
      </c>
      <c r="AE2491" s="5">
        <f t="shared" si="119"/>
        <v>5</v>
      </c>
      <c r="AF2491" s="5">
        <f t="shared" si="120"/>
        <v>2023</v>
      </c>
    </row>
    <row r="2492" s="5" customFormat="1" ht="13">
      <c r="A2492" s="5" t="s">
        <v>44</v>
      </c>
      <c r="B2492" s="5" t="s">
        <v>44</v>
      </c>
      <c r="C2492" s="5" t="s">
        <v>67</v>
      </c>
      <c r="D2492" s="5" t="s">
        <v>21</v>
      </c>
      <c r="E2492" s="5" t="s">
        <v>44</v>
      </c>
      <c r="F2492" s="5" t="s">
        <v>68</v>
      </c>
      <c r="G2492" s="5" t="s">
        <v>69</v>
      </c>
      <c r="H2492" s="9" t="s">
        <v>70</v>
      </c>
      <c r="I2492" s="10"/>
      <c r="J2492" s="10">
        <v>45071</v>
      </c>
      <c r="K2492" s="5" t="s">
        <v>71</v>
      </c>
      <c r="L2492" s="5" t="s">
        <v>58</v>
      </c>
      <c r="M2492" s="11">
        <v>0.067500000000000004</v>
      </c>
      <c r="N2492" s="5" t="e">
        <f>IF(AND(M2492&gt;#REF!,Cartera!O2492="Guaraníes"),"Rendimiento significativo",IF(AND(M2492&gt;#REF!,Cartera!O2492="Dólares americanos"),"Rendimiento significativo","Rendimiento no significativo"))</f>
        <v>#REF!</v>
      </c>
      <c r="O2492" s="5" t="s">
        <v>51</v>
      </c>
      <c r="P2492" s="13">
        <v>159.56</v>
      </c>
      <c r="Q2492" s="12" t="e">
        <f>IF(O2492="Guaraníes",P2492,P2492*#REF!)</f>
        <v>#REF!</v>
      </c>
      <c r="R2492" s="12">
        <f>IF(O2492="Guaraníes",P2492/#REF!,P2492)</f>
        <v>159.56</v>
      </c>
      <c r="S2492" s="5" t="s">
        <v>52</v>
      </c>
      <c r="T2492" s="5">
        <v>593</v>
      </c>
      <c r="W2492" s="5" t="s">
        <v>72</v>
      </c>
      <c r="X2492" s="5">
        <v>0</v>
      </c>
      <c r="Y2492" s="5">
        <v>0</v>
      </c>
      <c r="Z2492" s="5">
        <v>17.452055000000001</v>
      </c>
      <c r="AA2492" s="5">
        <v>8</v>
      </c>
      <c r="AB2492" s="5">
        <v>139.61644000000001</v>
      </c>
      <c r="AC2492" s="5" t="str">
        <f t="shared" si="121"/>
        <v>Bonos</v>
      </c>
      <c r="AD2492" s="5" t="s">
        <v>43</v>
      </c>
      <c r="AE2492" s="5">
        <f t="shared" si="119"/>
        <v>5</v>
      </c>
      <c r="AF2492" s="5">
        <f t="shared" si="120"/>
        <v>2023</v>
      </c>
    </row>
    <row r="2493" s="5" customFormat="1" ht="13">
      <c r="A2493" s="5" t="s">
        <v>44</v>
      </c>
      <c r="B2493" s="5" t="s">
        <v>44</v>
      </c>
      <c r="C2493" s="5" t="s">
        <v>33</v>
      </c>
      <c r="D2493" s="5" t="s">
        <v>21</v>
      </c>
      <c r="E2493" s="5" t="s">
        <v>44</v>
      </c>
      <c r="F2493" s="5" t="s">
        <v>35</v>
      </c>
      <c r="G2493" s="5" t="s">
        <v>69</v>
      </c>
      <c r="H2493" s="9" t="s">
        <v>186</v>
      </c>
      <c r="I2493" s="10"/>
      <c r="J2493" s="10">
        <v>45091</v>
      </c>
      <c r="K2493" s="5" t="s">
        <v>39</v>
      </c>
      <c r="L2493" s="5" t="s">
        <v>50</v>
      </c>
      <c r="M2493" s="11">
        <v>0.044999999999999998</v>
      </c>
      <c r="N2493" s="5" t="e">
        <f>IF(AND(M2493&gt;#REF!,Cartera!O2493="Guaraníes"),"Rendimiento significativo",IF(AND(M2493&gt;#REF!,Cartera!O2493="Dólares americanos"),"Rendimiento significativo","Rendimiento no significativo"))</f>
        <v>#REF!</v>
      </c>
      <c r="O2493" s="5" t="s">
        <v>51</v>
      </c>
      <c r="P2493" s="13">
        <v>448.76711999999998</v>
      </c>
      <c r="Q2493" s="12" t="e">
        <f>IF(O2493="Guaraníes",P2493,P2493*#REF!)</f>
        <v>#REF!</v>
      </c>
      <c r="R2493" s="12">
        <f>IF(O2493="Guaraníes",P2493/#REF!,P2493)</f>
        <v>448.76711999999998</v>
      </c>
      <c r="S2493" s="5" t="s">
        <v>52</v>
      </c>
      <c r="T2493" s="5">
        <v>593</v>
      </c>
      <c r="W2493" s="5" t="s">
        <v>65</v>
      </c>
      <c r="X2493" s="5">
        <v>0</v>
      </c>
      <c r="Y2493" s="5">
        <v>0</v>
      </c>
      <c r="Z2493" s="5">
        <v>11.219177999999999</v>
      </c>
      <c r="AA2493" s="5">
        <v>40</v>
      </c>
      <c r="AB2493" s="5">
        <v>448.76711999999998</v>
      </c>
      <c r="AC2493" s="5" t="str">
        <f t="shared" si="121"/>
        <v>Bonos</v>
      </c>
      <c r="AD2493" s="5" t="s">
        <v>43</v>
      </c>
      <c r="AE2493" s="5">
        <f t="shared" si="119"/>
        <v>6</v>
      </c>
      <c r="AF2493" s="5">
        <f t="shared" si="120"/>
        <v>2023</v>
      </c>
    </row>
    <row r="2494" s="5" customFormat="1" ht="13">
      <c r="A2494" s="5" t="s">
        <v>44</v>
      </c>
      <c r="B2494" s="5" t="s">
        <v>44</v>
      </c>
      <c r="C2494" s="5" t="s">
        <v>176</v>
      </c>
      <c r="D2494" s="5" t="s">
        <v>21</v>
      </c>
      <c r="E2494" s="5" t="s">
        <v>44</v>
      </c>
      <c r="F2494" s="5" t="s">
        <v>68</v>
      </c>
      <c r="G2494" s="5" t="s">
        <v>69</v>
      </c>
      <c r="H2494" s="9" t="s">
        <v>479</v>
      </c>
      <c r="I2494" s="10"/>
      <c r="J2494" s="10">
        <v>45098</v>
      </c>
      <c r="K2494" s="5" t="s">
        <v>178</v>
      </c>
      <c r="L2494" s="5" t="s">
        <v>58</v>
      </c>
      <c r="M2494" s="11">
        <v>0.074999999999999997</v>
      </c>
      <c r="N2494" s="5" t="e">
        <f>IF(AND(M2494&gt;#REF!,Cartera!O2494="Guaraníes"),"Rendimiento significativo",IF(AND(M2494&gt;#REF!,Cartera!O2494="Dólares americanos"),"Rendimiento significativo","Rendimiento no significativo"))</f>
        <v>#REF!</v>
      </c>
      <c r="O2494" s="5" t="s">
        <v>51</v>
      </c>
      <c r="P2494" s="13">
        <v>635.75342999999998</v>
      </c>
      <c r="Q2494" s="12" t="e">
        <f>IF(O2494="Guaraníes",P2494,P2494*#REF!)</f>
        <v>#REF!</v>
      </c>
      <c r="R2494" s="12">
        <f>IF(O2494="Guaraníes",P2494/#REF!,P2494)</f>
        <v>635.75342999999998</v>
      </c>
      <c r="S2494" s="5" t="s">
        <v>52</v>
      </c>
      <c r="T2494" s="5">
        <v>593</v>
      </c>
      <c r="W2494" s="5" t="s">
        <v>196</v>
      </c>
      <c r="X2494" s="5">
        <v>0</v>
      </c>
      <c r="Y2494" s="5">
        <v>0</v>
      </c>
      <c r="Z2494" s="5">
        <v>21.191780999999999</v>
      </c>
      <c r="AA2494" s="5">
        <v>30</v>
      </c>
      <c r="AB2494" s="5">
        <v>635.75342999999998</v>
      </c>
      <c r="AC2494" s="5" t="str">
        <f t="shared" si="121"/>
        <v>Bonos</v>
      </c>
      <c r="AD2494" s="5" t="s">
        <v>43</v>
      </c>
      <c r="AE2494" s="5">
        <f t="shared" si="119"/>
        <v>6</v>
      </c>
      <c r="AF2494" s="5">
        <f t="shared" si="120"/>
        <v>2023</v>
      </c>
    </row>
    <row r="2495" s="5" customFormat="1" ht="13">
      <c r="A2495" s="5" t="s">
        <v>44</v>
      </c>
      <c r="B2495" s="5" t="s">
        <v>44</v>
      </c>
      <c r="C2495" s="5" t="s">
        <v>171</v>
      </c>
      <c r="D2495" s="5" t="s">
        <v>21</v>
      </c>
      <c r="E2495" s="5" t="s">
        <v>44</v>
      </c>
      <c r="F2495" s="5" t="s">
        <v>100</v>
      </c>
      <c r="G2495" s="5" t="s">
        <v>69</v>
      </c>
      <c r="H2495" s="9" t="s">
        <v>172</v>
      </c>
      <c r="I2495" s="10"/>
      <c r="J2495" s="10">
        <v>45121</v>
      </c>
      <c r="K2495" s="5" t="s">
        <v>173</v>
      </c>
      <c r="L2495" s="5" t="s">
        <v>58</v>
      </c>
      <c r="M2495" s="11">
        <v>0.14999999999999999</v>
      </c>
      <c r="N2495" s="5" t="e">
        <f>IF(AND(M2495&gt;#REF!,Cartera!O2495="Guaraníes"),"Rendimiento significativo",IF(AND(M2495&gt;#REF!,Cartera!O2495="Dólares americanos"),"Rendimiento significativo","Rendimiento no significativo"))</f>
        <v>#REF!</v>
      </c>
      <c r="O2495" s="5" t="s">
        <v>41</v>
      </c>
      <c r="P2495" s="12">
        <v>538520.54794199998</v>
      </c>
      <c r="Q2495" s="12">
        <f>IF(O2495="Guaraníes",P2495,P2495*#REF!)</f>
        <v>538520.54794199998</v>
      </c>
      <c r="R2495" s="12" t="e">
        <f>IF(O2495="Guaraníes",P2495/#REF!,P2495)</f>
        <v>#REF!</v>
      </c>
      <c r="S2495" s="5" t="s">
        <v>52</v>
      </c>
      <c r="T2495" s="5">
        <v>593</v>
      </c>
      <c r="W2495" s="5" t="s">
        <v>271</v>
      </c>
      <c r="X2495" s="5">
        <v>0</v>
      </c>
      <c r="Y2495" s="5">
        <v>0</v>
      </c>
      <c r="Z2495" s="5">
        <v>59835.616437999997</v>
      </c>
      <c r="AA2495" s="5">
        <v>9</v>
      </c>
      <c r="AB2495" s="5">
        <v>538520.54794199998</v>
      </c>
      <c r="AC2495" s="5" t="str">
        <f t="shared" si="121"/>
        <v>Bonos</v>
      </c>
      <c r="AD2495" s="5" t="s">
        <v>43</v>
      </c>
      <c r="AE2495" s="5">
        <f t="shared" si="119"/>
        <v>7</v>
      </c>
      <c r="AF2495" s="5">
        <f t="shared" si="120"/>
        <v>2023</v>
      </c>
    </row>
    <row r="2496" s="5" customFormat="1" ht="13">
      <c r="A2496" s="5" t="s">
        <v>44</v>
      </c>
      <c r="B2496" s="5" t="s">
        <v>44</v>
      </c>
      <c r="C2496" s="5" t="s">
        <v>457</v>
      </c>
      <c r="D2496" s="5" t="s">
        <v>20</v>
      </c>
      <c r="E2496" s="5" t="s">
        <v>44</v>
      </c>
      <c r="F2496" s="5" t="s">
        <v>100</v>
      </c>
      <c r="G2496" s="5" t="s">
        <v>69</v>
      </c>
      <c r="H2496" s="9" t="s">
        <v>459</v>
      </c>
      <c r="I2496" s="10">
        <v>42594</v>
      </c>
      <c r="J2496" s="10">
        <v>45098</v>
      </c>
      <c r="K2496" s="5" t="s">
        <v>173</v>
      </c>
      <c r="L2496" s="5" t="s">
        <v>58</v>
      </c>
      <c r="M2496" s="11">
        <v>0.14499999999999999</v>
      </c>
      <c r="N2496" s="5" t="e">
        <f>IF(AND(M2496&gt;#REF!,Cartera!O2496="Guaraníes"),"Rendimiento significativo",IF(AND(M2496&gt;#REF!,Cartera!O2496="Dólares americanos"),"Rendimiento significativo","Rendimiento no significativo"))</f>
        <v>#REF!</v>
      </c>
      <c r="O2496" s="5" t="s">
        <v>41</v>
      </c>
      <c r="P2496" s="12">
        <v>28000000</v>
      </c>
      <c r="Q2496" s="12">
        <f>IF(O2496="Guaraníes",P2496,P2496*#REF!)</f>
        <v>28000000</v>
      </c>
      <c r="R2496" s="12" t="e">
        <f>IF(O2496="Guaraníes",P2496/#REF!,P2496)</f>
        <v>#REF!</v>
      </c>
      <c r="S2496" s="5" t="s">
        <v>52</v>
      </c>
      <c r="AC2496" s="5" t="str">
        <f t="shared" si="121"/>
        <v>Bonos</v>
      </c>
      <c r="AD2496" s="5" t="s">
        <v>43</v>
      </c>
      <c r="AE2496" s="5">
        <f t="shared" si="119"/>
        <v>6</v>
      </c>
      <c r="AF2496" s="5">
        <f t="shared" si="120"/>
        <v>2023</v>
      </c>
    </row>
    <row r="2497" s="5" customFormat="1" ht="13">
      <c r="A2497" s="5" t="s">
        <v>44</v>
      </c>
      <c r="B2497" s="5" t="s">
        <v>44</v>
      </c>
      <c r="C2497" s="5" t="s">
        <v>457</v>
      </c>
      <c r="D2497" s="5" t="s">
        <v>21</v>
      </c>
      <c r="E2497" s="5" t="s">
        <v>44</v>
      </c>
      <c r="F2497" s="5" t="s">
        <v>100</v>
      </c>
      <c r="G2497" s="5" t="s">
        <v>69</v>
      </c>
      <c r="H2497" s="9" t="s">
        <v>459</v>
      </c>
      <c r="I2497" s="10"/>
      <c r="J2497" s="10">
        <v>45098</v>
      </c>
      <c r="K2497" s="5" t="s">
        <v>173</v>
      </c>
      <c r="L2497" s="5" t="s">
        <v>58</v>
      </c>
      <c r="M2497" s="11">
        <v>0.14499999999999999</v>
      </c>
      <c r="N2497" s="5" t="e">
        <f>IF(AND(M2497&gt;#REF!,Cartera!O2497="Guaraníes"),"Rendimiento significativo",IF(AND(M2497&gt;#REF!,Cartera!O2497="Dólares americanos"),"Rendimiento significativo","Rendimiento no significativo"))</f>
        <v>#REF!</v>
      </c>
      <c r="O2497" s="5" t="s">
        <v>41</v>
      </c>
      <c r="P2497" s="12">
        <v>1457150.6849199999</v>
      </c>
      <c r="Q2497" s="12">
        <f>IF(O2497="Guaraníes",P2497,P2497*#REF!)</f>
        <v>1457150.6849199999</v>
      </c>
      <c r="R2497" s="12" t="e">
        <f>IF(O2497="Guaraníes",P2497/#REF!,P2497)</f>
        <v>#REF!</v>
      </c>
      <c r="S2497" s="5" t="s">
        <v>52</v>
      </c>
      <c r="T2497" s="5">
        <v>593</v>
      </c>
      <c r="U2497" s="5">
        <v>28000000</v>
      </c>
      <c r="V2497" s="5">
        <v>2541936.4657520019</v>
      </c>
      <c r="W2497" s="5" t="s">
        <v>230</v>
      </c>
      <c r="X2497" s="5">
        <v>100</v>
      </c>
      <c r="Y2497" s="5">
        <v>1000000</v>
      </c>
      <c r="Z2497" s="5">
        <v>1071506.849315</v>
      </c>
      <c r="AA2497" s="5">
        <v>28</v>
      </c>
      <c r="AB2497" s="5">
        <v>30002191.780820001</v>
      </c>
      <c r="AC2497" s="5" t="str">
        <f t="shared" si="121"/>
        <v>Bonos</v>
      </c>
      <c r="AD2497" s="5" t="s">
        <v>43</v>
      </c>
      <c r="AE2497" s="5">
        <f t="shared" si="119"/>
        <v>6</v>
      </c>
      <c r="AF2497" s="5">
        <f t="shared" si="120"/>
        <v>2023</v>
      </c>
    </row>
    <row r="2498" s="5" customFormat="1" ht="13">
      <c r="A2498" s="5" t="s">
        <v>44</v>
      </c>
      <c r="B2498" s="5" t="s">
        <v>44</v>
      </c>
      <c r="C2498" s="5" t="s">
        <v>114</v>
      </c>
      <c r="D2498" s="5" t="s">
        <v>21</v>
      </c>
      <c r="E2498" s="5" t="s">
        <v>44</v>
      </c>
      <c r="F2498" s="5" t="s">
        <v>68</v>
      </c>
      <c r="G2498" s="5" t="s">
        <v>69</v>
      </c>
      <c r="H2498" s="9" t="s">
        <v>520</v>
      </c>
      <c r="I2498" s="10"/>
      <c r="J2498" s="10">
        <v>45161</v>
      </c>
      <c r="K2498" s="5" t="s">
        <v>77</v>
      </c>
      <c r="L2498" s="5" t="s">
        <v>50</v>
      </c>
      <c r="M2498" s="11">
        <v>0.14249999999999999</v>
      </c>
      <c r="N2498" s="5" t="e">
        <f>IF(AND(M2498&gt;#REF!,Cartera!O2498="Guaraníes"),"Rendimiento significativo",IF(AND(M2498&gt;#REF!,Cartera!O2498="Dólares americanos"),"Rendimiento significativo","Rendimiento no significativo"))</f>
        <v>#REF!</v>
      </c>
      <c r="O2498" s="5" t="s">
        <v>41</v>
      </c>
      <c r="P2498" s="12">
        <v>3552739.7259999998</v>
      </c>
      <c r="Q2498" s="12">
        <f>IF(O2498="Guaraníes",P2498,P2498*#REF!)</f>
        <v>3552739.7259999998</v>
      </c>
      <c r="R2498" s="12" t="e">
        <f>IF(O2498="Guaraníes",P2498/#REF!,P2498)</f>
        <v>#REF!</v>
      </c>
      <c r="S2498" s="5" t="s">
        <v>52</v>
      </c>
      <c r="T2498" s="5">
        <v>593</v>
      </c>
      <c r="W2498" s="5" t="s">
        <v>533</v>
      </c>
      <c r="X2498" s="5">
        <v>0</v>
      </c>
      <c r="Y2498" s="5">
        <v>0</v>
      </c>
      <c r="Z2498" s="5">
        <v>35527.397259999998</v>
      </c>
      <c r="AA2498" s="5">
        <v>100</v>
      </c>
      <c r="AB2498" s="5">
        <v>3552739.7259999998</v>
      </c>
      <c r="AC2498" s="5" t="str">
        <f t="shared" si="121"/>
        <v>Bonos</v>
      </c>
      <c r="AD2498" s="5" t="s">
        <v>43</v>
      </c>
      <c r="AE2498" s="5">
        <f t="shared" si="119"/>
        <v>8</v>
      </c>
      <c r="AF2498" s="5">
        <f t="shared" si="120"/>
        <v>2023</v>
      </c>
    </row>
    <row r="2499" s="5" customFormat="1" ht="13">
      <c r="A2499" s="5" t="s">
        <v>44</v>
      </c>
      <c r="B2499" s="5" t="s">
        <v>44</v>
      </c>
      <c r="C2499" s="5" t="s">
        <v>67</v>
      </c>
      <c r="D2499" s="5" t="s">
        <v>21</v>
      </c>
      <c r="E2499" s="5" t="s">
        <v>44</v>
      </c>
      <c r="F2499" s="5" t="s">
        <v>68</v>
      </c>
      <c r="G2499" s="5" t="s">
        <v>69</v>
      </c>
      <c r="H2499" s="9" t="s">
        <v>70</v>
      </c>
      <c r="I2499" s="10"/>
      <c r="J2499" s="10">
        <v>45162</v>
      </c>
      <c r="K2499" s="5" t="s">
        <v>71</v>
      </c>
      <c r="L2499" s="5" t="s">
        <v>58</v>
      </c>
      <c r="M2499" s="11">
        <v>0.067500000000000004</v>
      </c>
      <c r="N2499" s="5" t="e">
        <f>IF(AND(M2499&gt;#REF!,Cartera!O2499="Guaraníes"),"Rendimiento significativo",IF(AND(M2499&gt;#REF!,Cartera!O2499="Dólares americanos"),"Rendimiento significativo","Rendimiento no significativo"))</f>
        <v>#REF!</v>
      </c>
      <c r="O2499" s="5" t="s">
        <v>51</v>
      </c>
      <c r="P2499" s="13">
        <v>159.56</v>
      </c>
      <c r="Q2499" s="12" t="e">
        <f>IF(O2499="Guaraníes",P2499,P2499*#REF!)</f>
        <v>#REF!</v>
      </c>
      <c r="R2499" s="12">
        <f>IF(O2499="Guaraníes",P2499/#REF!,P2499)</f>
        <v>159.56</v>
      </c>
      <c r="S2499" s="5" t="s">
        <v>52</v>
      </c>
      <c r="T2499" s="5">
        <v>593</v>
      </c>
      <c r="W2499" s="5" t="s">
        <v>134</v>
      </c>
      <c r="X2499" s="5">
        <v>0</v>
      </c>
      <c r="Y2499" s="5">
        <v>0</v>
      </c>
      <c r="Z2499" s="5">
        <v>17.452055000000001</v>
      </c>
      <c r="AA2499" s="5">
        <v>8</v>
      </c>
      <c r="AB2499" s="5">
        <v>139.61644000000001</v>
      </c>
      <c r="AC2499" s="5" t="str">
        <f t="shared" si="121"/>
        <v>Bonos</v>
      </c>
      <c r="AD2499" s="5" t="s">
        <v>43</v>
      </c>
      <c r="AE2499" s="5">
        <f t="shared" si="119"/>
        <v>8</v>
      </c>
      <c r="AF2499" s="5">
        <f t="shared" si="120"/>
        <v>2023</v>
      </c>
    </row>
    <row r="2500" s="5" customFormat="1" ht="13">
      <c r="A2500" s="5" t="s">
        <v>44</v>
      </c>
      <c r="B2500" s="5" t="s">
        <v>44</v>
      </c>
      <c r="C2500" s="5" t="s">
        <v>33</v>
      </c>
      <c r="D2500" s="5" t="s">
        <v>21</v>
      </c>
      <c r="E2500" s="5" t="s">
        <v>44</v>
      </c>
      <c r="F2500" s="5" t="s">
        <v>35</v>
      </c>
      <c r="G2500" s="5" t="s">
        <v>69</v>
      </c>
      <c r="H2500" s="9" t="s">
        <v>186</v>
      </c>
      <c r="I2500" s="10"/>
      <c r="J2500" s="10">
        <v>45182</v>
      </c>
      <c r="K2500" s="5" t="s">
        <v>39</v>
      </c>
      <c r="L2500" s="5" t="s">
        <v>50</v>
      </c>
      <c r="M2500" s="11">
        <v>0.044999999999999998</v>
      </c>
      <c r="N2500" s="5" t="e">
        <f>IF(AND(M2500&gt;#REF!,Cartera!O2500="Guaraníes"),"Rendimiento significativo",IF(AND(M2500&gt;#REF!,Cartera!O2500="Dólares americanos"),"Rendimiento significativo","Rendimiento no significativo"))</f>
        <v>#REF!</v>
      </c>
      <c r="O2500" s="5" t="s">
        <v>51</v>
      </c>
      <c r="P2500" s="13">
        <v>448.76711999999998</v>
      </c>
      <c r="Q2500" s="12" t="e">
        <f>IF(O2500="Guaraníes",P2500,P2500*#REF!)</f>
        <v>#REF!</v>
      </c>
      <c r="R2500" s="12">
        <f>IF(O2500="Guaraníes",P2500/#REF!,P2500)</f>
        <v>448.76711999999998</v>
      </c>
      <c r="S2500" s="5" t="s">
        <v>52</v>
      </c>
      <c r="T2500" s="5">
        <v>593</v>
      </c>
      <c r="W2500" s="5" t="s">
        <v>65</v>
      </c>
      <c r="X2500" s="5">
        <v>0</v>
      </c>
      <c r="Y2500" s="5">
        <v>0</v>
      </c>
      <c r="Z2500" s="5">
        <v>11.219177999999999</v>
      </c>
      <c r="AA2500" s="5">
        <v>40</v>
      </c>
      <c r="AB2500" s="5">
        <v>448.76711999999998</v>
      </c>
      <c r="AC2500" s="5" t="str">
        <f t="shared" si="121"/>
        <v>Bonos</v>
      </c>
      <c r="AD2500" s="5" t="s">
        <v>43</v>
      </c>
      <c r="AE2500" s="5">
        <f t="shared" si="119"/>
        <v>9</v>
      </c>
      <c r="AF2500" s="5">
        <f t="shared" si="120"/>
        <v>2023</v>
      </c>
    </row>
    <row r="2501" s="5" customFormat="1" ht="13">
      <c r="A2501" s="5" t="s">
        <v>44</v>
      </c>
      <c r="B2501" s="5" t="s">
        <v>44</v>
      </c>
      <c r="C2501" s="5" t="s">
        <v>176</v>
      </c>
      <c r="D2501" s="5" t="s">
        <v>21</v>
      </c>
      <c r="E2501" s="5" t="s">
        <v>44</v>
      </c>
      <c r="F2501" s="5" t="s">
        <v>68</v>
      </c>
      <c r="G2501" s="5" t="s">
        <v>69</v>
      </c>
      <c r="H2501" s="9" t="s">
        <v>479</v>
      </c>
      <c r="I2501" s="10"/>
      <c r="J2501" s="10">
        <v>45189</v>
      </c>
      <c r="K2501" s="5" t="s">
        <v>178</v>
      </c>
      <c r="L2501" s="5" t="s">
        <v>58</v>
      </c>
      <c r="M2501" s="11">
        <v>0.074999999999999997</v>
      </c>
      <c r="N2501" s="5" t="e">
        <f>IF(AND(M2501&gt;#REF!,Cartera!O2501="Guaraníes"),"Rendimiento significativo",IF(AND(M2501&gt;#REF!,Cartera!O2501="Dólares americanos"),"Rendimiento significativo","Rendimiento no significativo"))</f>
        <v>#REF!</v>
      </c>
      <c r="O2501" s="5" t="s">
        <v>51</v>
      </c>
      <c r="P2501" s="13">
        <v>635.75342999999998</v>
      </c>
      <c r="Q2501" s="12" t="e">
        <f>IF(O2501="Guaraníes",P2501,P2501*#REF!)</f>
        <v>#REF!</v>
      </c>
      <c r="R2501" s="12">
        <f>IF(O2501="Guaraníes",P2501/#REF!,P2501)</f>
        <v>635.75342999999998</v>
      </c>
      <c r="S2501" s="5" t="s">
        <v>52</v>
      </c>
      <c r="T2501" s="5">
        <v>593</v>
      </c>
      <c r="W2501" s="5" t="s">
        <v>196</v>
      </c>
      <c r="X2501" s="5">
        <v>0</v>
      </c>
      <c r="Y2501" s="5">
        <v>0</v>
      </c>
      <c r="Z2501" s="5">
        <v>21.191780999999999</v>
      </c>
      <c r="AA2501" s="5">
        <v>30</v>
      </c>
      <c r="AB2501" s="5">
        <v>635.75342999999998</v>
      </c>
      <c r="AC2501" s="5" t="str">
        <f t="shared" si="121"/>
        <v>Bonos</v>
      </c>
      <c r="AD2501" s="5" t="s">
        <v>43</v>
      </c>
      <c r="AE2501" s="5">
        <f t="shared" si="119"/>
        <v>9</v>
      </c>
      <c r="AF2501" s="5">
        <f t="shared" si="120"/>
        <v>2023</v>
      </c>
    </row>
    <row r="2502" s="5" customFormat="1" ht="13">
      <c r="A2502" s="5" t="s">
        <v>44</v>
      </c>
      <c r="B2502" s="5" t="s">
        <v>44</v>
      </c>
      <c r="C2502" s="5" t="s">
        <v>116</v>
      </c>
      <c r="D2502" s="5" t="s">
        <v>21</v>
      </c>
      <c r="E2502" s="5" t="s">
        <v>44</v>
      </c>
      <c r="F2502" s="5" t="s">
        <v>68</v>
      </c>
      <c r="G2502" s="5" t="s">
        <v>69</v>
      </c>
      <c r="H2502" s="9" t="s">
        <v>194</v>
      </c>
      <c r="I2502" s="10"/>
      <c r="J2502" s="10">
        <v>45196</v>
      </c>
      <c r="K2502" s="5" t="s">
        <v>118</v>
      </c>
      <c r="L2502" s="5" t="s">
        <v>50</v>
      </c>
      <c r="M2502" s="11">
        <v>0.065000000000000002</v>
      </c>
      <c r="N2502" s="5" t="e">
        <f>IF(AND(M2502&gt;#REF!,Cartera!O2502="Guaraníes"),"Rendimiento significativo",IF(AND(M2502&gt;#REF!,Cartera!O2502="Dólares americanos"),"Rendimiento significativo","Rendimiento no significativo"))</f>
        <v>#REF!</v>
      </c>
      <c r="O2502" s="5" t="s">
        <v>51</v>
      </c>
      <c r="P2502" s="13">
        <v>324.10958999999997</v>
      </c>
      <c r="Q2502" s="12" t="e">
        <f>IF(O2502="Guaraníes",P2502,P2502*#REF!)</f>
        <v>#REF!</v>
      </c>
      <c r="R2502" s="12">
        <f>IF(O2502="Guaraníes",P2502/#REF!,P2502)</f>
        <v>324.10958999999997</v>
      </c>
      <c r="S2502" s="5" t="s">
        <v>52</v>
      </c>
      <c r="T2502" s="5">
        <v>593</v>
      </c>
      <c r="W2502" s="5" t="s">
        <v>195</v>
      </c>
      <c r="X2502" s="5">
        <v>0</v>
      </c>
      <c r="Y2502" s="5">
        <v>0</v>
      </c>
      <c r="Z2502" s="5">
        <v>32.410958999999998</v>
      </c>
      <c r="AA2502" s="5">
        <v>10</v>
      </c>
      <c r="AB2502" s="5">
        <v>324.10959000000003</v>
      </c>
      <c r="AC2502" s="5" t="str">
        <f t="shared" si="121"/>
        <v>Bonos</v>
      </c>
      <c r="AD2502" s="5" t="s">
        <v>43</v>
      </c>
      <c r="AE2502" s="5">
        <f t="shared" si="119"/>
        <v>9</v>
      </c>
      <c r="AF2502" s="5">
        <f t="shared" si="120"/>
        <v>2023</v>
      </c>
    </row>
    <row r="2503" s="5" customFormat="1" ht="13">
      <c r="A2503" s="5" t="s">
        <v>44</v>
      </c>
      <c r="B2503" s="5" t="s">
        <v>44</v>
      </c>
      <c r="C2503" s="5" t="s">
        <v>67</v>
      </c>
      <c r="D2503" s="5" t="s">
        <v>21</v>
      </c>
      <c r="E2503" s="5" t="s">
        <v>44</v>
      </c>
      <c r="F2503" s="5" t="s">
        <v>68</v>
      </c>
      <c r="G2503" s="5" t="s">
        <v>69</v>
      </c>
      <c r="H2503" s="9" t="s">
        <v>70</v>
      </c>
      <c r="I2503" s="10"/>
      <c r="J2503" s="10">
        <v>45253</v>
      </c>
      <c r="K2503" s="5" t="s">
        <v>71</v>
      </c>
      <c r="L2503" s="5" t="s">
        <v>58</v>
      </c>
      <c r="M2503" s="11">
        <v>0.067500000000000004</v>
      </c>
      <c r="N2503" s="5" t="e">
        <f>IF(AND(M2503&gt;#REF!,Cartera!O2503="Guaraníes"),"Rendimiento significativo",IF(AND(M2503&gt;#REF!,Cartera!O2503="Dólares americanos"),"Rendimiento significativo","Rendimiento no significativo"))</f>
        <v>#REF!</v>
      </c>
      <c r="O2503" s="5" t="s">
        <v>51</v>
      </c>
      <c r="P2503" s="13">
        <v>159.56</v>
      </c>
      <c r="Q2503" s="12" t="e">
        <f>IF(O2503="Guaraníes",P2503,P2503*#REF!)</f>
        <v>#REF!</v>
      </c>
      <c r="R2503" s="12">
        <f>IF(O2503="Guaraníes",P2503/#REF!,P2503)</f>
        <v>159.56</v>
      </c>
      <c r="S2503" s="5" t="s">
        <v>52</v>
      </c>
      <c r="T2503" s="5">
        <v>593</v>
      </c>
      <c r="W2503" s="5" t="s">
        <v>72</v>
      </c>
      <c r="X2503" s="5">
        <v>0</v>
      </c>
      <c r="Y2503" s="5">
        <v>0</v>
      </c>
      <c r="Z2503" s="5">
        <v>17.452055000000001</v>
      </c>
      <c r="AA2503" s="5">
        <v>8</v>
      </c>
      <c r="AB2503" s="5">
        <v>139.61644000000001</v>
      </c>
      <c r="AC2503" s="5" t="str">
        <f t="shared" si="121"/>
        <v>Bonos</v>
      </c>
      <c r="AD2503" s="5" t="s">
        <v>43</v>
      </c>
      <c r="AE2503" s="5">
        <f t="shared" si="119"/>
        <v>11</v>
      </c>
      <c r="AF2503" s="5">
        <f t="shared" si="120"/>
        <v>2023</v>
      </c>
    </row>
    <row r="2504" s="5" customFormat="1" ht="13">
      <c r="A2504" s="5" t="s">
        <v>44</v>
      </c>
      <c r="B2504" s="5" t="s">
        <v>44</v>
      </c>
      <c r="C2504" s="5" t="s">
        <v>33</v>
      </c>
      <c r="D2504" s="5" t="s">
        <v>21</v>
      </c>
      <c r="E2504" s="5" t="s">
        <v>44</v>
      </c>
      <c r="F2504" s="5" t="s">
        <v>35</v>
      </c>
      <c r="G2504" s="5" t="s">
        <v>69</v>
      </c>
      <c r="H2504" s="9" t="s">
        <v>186</v>
      </c>
      <c r="I2504" s="10"/>
      <c r="J2504" s="10">
        <v>45273</v>
      </c>
      <c r="K2504" s="5" t="s">
        <v>39</v>
      </c>
      <c r="L2504" s="5" t="s">
        <v>50</v>
      </c>
      <c r="M2504" s="11">
        <v>0.044999999999999998</v>
      </c>
      <c r="N2504" s="5" t="e">
        <f>IF(AND(M2504&gt;#REF!,Cartera!O2504="Guaraníes"),"Rendimiento significativo",IF(AND(M2504&gt;#REF!,Cartera!O2504="Dólares americanos"),"Rendimiento significativo","Rendimiento no significativo"))</f>
        <v>#REF!</v>
      </c>
      <c r="O2504" s="5" t="s">
        <v>51</v>
      </c>
      <c r="P2504" s="13">
        <v>448.76711999999998</v>
      </c>
      <c r="Q2504" s="12" t="e">
        <f>IF(O2504="Guaraníes",P2504,P2504*#REF!)</f>
        <v>#REF!</v>
      </c>
      <c r="R2504" s="12">
        <f>IF(O2504="Guaraníes",P2504/#REF!,P2504)</f>
        <v>448.76711999999998</v>
      </c>
      <c r="S2504" s="5" t="s">
        <v>52</v>
      </c>
      <c r="T2504" s="5">
        <v>593</v>
      </c>
      <c r="W2504" s="5" t="s">
        <v>65</v>
      </c>
      <c r="X2504" s="5">
        <v>0</v>
      </c>
      <c r="Y2504" s="5">
        <v>0</v>
      </c>
      <c r="Z2504" s="5">
        <v>11.219177999999999</v>
      </c>
      <c r="AA2504" s="5">
        <v>40</v>
      </c>
      <c r="AB2504" s="5">
        <v>448.76711999999998</v>
      </c>
      <c r="AC2504" s="5" t="str">
        <f t="shared" si="121"/>
        <v>Bonos</v>
      </c>
      <c r="AD2504" s="5" t="s">
        <v>43</v>
      </c>
      <c r="AE2504" s="5">
        <f t="shared" si="119"/>
        <v>12</v>
      </c>
      <c r="AF2504" s="5">
        <f t="shared" si="120"/>
        <v>2023</v>
      </c>
    </row>
    <row r="2505" s="5" customFormat="1" ht="13">
      <c r="A2505" s="5" t="s">
        <v>44</v>
      </c>
      <c r="B2505" s="5" t="s">
        <v>44</v>
      </c>
      <c r="C2505" s="5" t="s">
        <v>176</v>
      </c>
      <c r="D2505" s="5" t="s">
        <v>21</v>
      </c>
      <c r="E2505" s="5" t="s">
        <v>44</v>
      </c>
      <c r="F2505" s="5" t="s">
        <v>68</v>
      </c>
      <c r="G2505" s="5" t="s">
        <v>69</v>
      </c>
      <c r="H2505" s="9" t="s">
        <v>479</v>
      </c>
      <c r="I2505" s="10"/>
      <c r="J2505" s="10">
        <v>45280</v>
      </c>
      <c r="K2505" s="5" t="s">
        <v>178</v>
      </c>
      <c r="L2505" s="5" t="s">
        <v>58</v>
      </c>
      <c r="M2505" s="11">
        <v>0.074999999999999997</v>
      </c>
      <c r="N2505" s="5" t="e">
        <f>IF(AND(M2505&gt;#REF!,Cartera!O2505="Guaraníes"),"Rendimiento significativo",IF(AND(M2505&gt;#REF!,Cartera!O2505="Dólares americanos"),"Rendimiento significativo","Rendimiento no significativo"))</f>
        <v>#REF!</v>
      </c>
      <c r="O2505" s="5" t="s">
        <v>51</v>
      </c>
      <c r="P2505" s="13">
        <v>635.75342999999998</v>
      </c>
      <c r="Q2505" s="12" t="e">
        <f>IF(O2505="Guaraníes",P2505,P2505*#REF!)</f>
        <v>#REF!</v>
      </c>
      <c r="R2505" s="12">
        <f>IF(O2505="Guaraníes",P2505/#REF!,P2505)</f>
        <v>635.75342999999998</v>
      </c>
      <c r="S2505" s="5" t="s">
        <v>52</v>
      </c>
      <c r="T2505" s="5">
        <v>593</v>
      </c>
      <c r="W2505" s="5" t="s">
        <v>196</v>
      </c>
      <c r="X2505" s="5">
        <v>0</v>
      </c>
      <c r="Y2505" s="5">
        <v>0</v>
      </c>
      <c r="Z2505" s="5">
        <v>21.191780999999999</v>
      </c>
      <c r="AA2505" s="5">
        <v>30</v>
      </c>
      <c r="AB2505" s="5">
        <v>635.75342999999998</v>
      </c>
      <c r="AC2505" s="5" t="str">
        <f t="shared" si="121"/>
        <v>Bonos</v>
      </c>
      <c r="AD2505" s="5" t="s">
        <v>43</v>
      </c>
      <c r="AE2505" s="5">
        <f t="shared" si="119"/>
        <v>12</v>
      </c>
      <c r="AF2505" s="5">
        <f t="shared" si="120"/>
        <v>2023</v>
      </c>
    </row>
    <row r="2506" s="5" customFormat="1" ht="13">
      <c r="A2506" s="5" t="s">
        <v>44</v>
      </c>
      <c r="B2506" s="5" t="s">
        <v>44</v>
      </c>
      <c r="C2506" s="5" t="s">
        <v>171</v>
      </c>
      <c r="D2506" s="5" t="s">
        <v>21</v>
      </c>
      <c r="E2506" s="5" t="s">
        <v>44</v>
      </c>
      <c r="F2506" s="5" t="s">
        <v>100</v>
      </c>
      <c r="G2506" s="5" t="s">
        <v>69</v>
      </c>
      <c r="H2506" s="9" t="s">
        <v>172</v>
      </c>
      <c r="I2506" s="10"/>
      <c r="J2506" s="10">
        <v>45306</v>
      </c>
      <c r="K2506" s="5" t="s">
        <v>173</v>
      </c>
      <c r="L2506" s="5" t="s">
        <v>58</v>
      </c>
      <c r="M2506" s="11">
        <v>0.14999999999999999</v>
      </c>
      <c r="N2506" s="5" t="e">
        <f>IF(AND(M2506&gt;#REF!,Cartera!O2506="Guaraníes"),"Rendimiento significativo",IF(AND(M2506&gt;#REF!,Cartera!O2506="Dólares americanos"),"Rendimiento significativo","Rendimiento no significativo"))</f>
        <v>#REF!</v>
      </c>
      <c r="O2506" s="5" t="s">
        <v>41</v>
      </c>
      <c r="P2506" s="12">
        <v>547397.26027199998</v>
      </c>
      <c r="Q2506" s="12">
        <f>IF(O2506="Guaraníes",P2506,P2506*#REF!)</f>
        <v>547397.26027199998</v>
      </c>
      <c r="R2506" s="12" t="e">
        <f>IF(O2506="Guaraníes",P2506/#REF!,P2506)</f>
        <v>#REF!</v>
      </c>
      <c r="S2506" s="5" t="s">
        <v>52</v>
      </c>
      <c r="T2506" s="5">
        <v>593</v>
      </c>
      <c r="W2506" s="5" t="s">
        <v>271</v>
      </c>
      <c r="X2506" s="5">
        <v>30</v>
      </c>
      <c r="Y2506" s="5">
        <v>300000</v>
      </c>
      <c r="Z2506" s="5">
        <v>360821.917808</v>
      </c>
      <c r="AA2506" s="5">
        <v>9</v>
      </c>
      <c r="AB2506" s="5">
        <v>3247397.260272</v>
      </c>
      <c r="AC2506" s="5" t="str">
        <f t="shared" si="121"/>
        <v>Bonos</v>
      </c>
      <c r="AD2506" s="5" t="s">
        <v>43</v>
      </c>
      <c r="AE2506" s="5">
        <f t="shared" si="119"/>
        <v>1</v>
      </c>
      <c r="AF2506" s="5">
        <f t="shared" si="120"/>
        <v>2024</v>
      </c>
    </row>
    <row r="2507" s="5" customFormat="1" ht="13">
      <c r="A2507" s="5" t="s">
        <v>44</v>
      </c>
      <c r="B2507" s="5" t="s">
        <v>44</v>
      </c>
      <c r="C2507" s="5" t="s">
        <v>67</v>
      </c>
      <c r="D2507" s="5" t="s">
        <v>21</v>
      </c>
      <c r="E2507" s="5" t="s">
        <v>44</v>
      </c>
      <c r="F2507" s="5" t="s">
        <v>68</v>
      </c>
      <c r="G2507" s="5" t="s">
        <v>69</v>
      </c>
      <c r="H2507" s="9" t="s">
        <v>70</v>
      </c>
      <c r="I2507" s="10"/>
      <c r="J2507" s="10">
        <v>45556</v>
      </c>
      <c r="K2507" s="5" t="s">
        <v>71</v>
      </c>
      <c r="L2507" s="5" t="s">
        <v>58</v>
      </c>
      <c r="M2507" s="11">
        <v>0.067500000000000004</v>
      </c>
      <c r="N2507" s="5" t="e">
        <f>IF(AND(M2507&gt;#REF!,Cartera!O2507="Guaraníes"),"Rendimiento significativo",IF(AND(M2507&gt;#REF!,Cartera!O2507="Dólares americanos"),"Rendimiento significativo","Rendimiento no significativo"))</f>
        <v>#REF!</v>
      </c>
      <c r="O2507" s="5" t="s">
        <v>51</v>
      </c>
      <c r="P2507" s="13">
        <v>47.560000000000002</v>
      </c>
      <c r="Q2507" s="12" t="e">
        <f>IF(O2507="Guaraníes",P2507,P2507*#REF!)</f>
        <v>#REF!</v>
      </c>
      <c r="R2507" s="12">
        <f>IF(O2507="Guaraníes",P2507/#REF!,P2507)</f>
        <v>47.560000000000002</v>
      </c>
      <c r="S2507" s="5" t="s">
        <v>52</v>
      </c>
      <c r="T2507" s="5">
        <v>593</v>
      </c>
      <c r="W2507" s="5" t="s">
        <v>385</v>
      </c>
      <c r="X2507" s="5">
        <v>4.1666666667000003</v>
      </c>
      <c r="Y2507" s="5">
        <v>41.666666999999997</v>
      </c>
      <c r="Z2507" s="5">
        <v>46.621004999999997</v>
      </c>
      <c r="AA2507" s="5">
        <v>8</v>
      </c>
      <c r="AB2507" s="5">
        <v>372.96803999999997</v>
      </c>
      <c r="AC2507" s="5" t="str">
        <f t="shared" si="121"/>
        <v>Bonos</v>
      </c>
      <c r="AD2507" s="5" t="s">
        <v>43</v>
      </c>
      <c r="AE2507" s="5">
        <f t="shared" si="119"/>
        <v>9</v>
      </c>
      <c r="AF2507" s="5">
        <f t="shared" si="120"/>
        <v>2024</v>
      </c>
    </row>
    <row r="2508" s="5" customFormat="1" ht="13">
      <c r="A2508" s="5" t="s">
        <v>44</v>
      </c>
      <c r="B2508" s="5" t="s">
        <v>44</v>
      </c>
      <c r="C2508" s="5" t="s">
        <v>114</v>
      </c>
      <c r="D2508" s="5" t="s">
        <v>21</v>
      </c>
      <c r="E2508" s="5" t="s">
        <v>44</v>
      </c>
      <c r="F2508" s="5" t="s">
        <v>68</v>
      </c>
      <c r="G2508" s="5" t="s">
        <v>69</v>
      </c>
      <c r="H2508" s="9" t="s">
        <v>520</v>
      </c>
      <c r="I2508" s="10"/>
      <c r="J2508" s="10">
        <v>45343</v>
      </c>
      <c r="K2508" s="5" t="s">
        <v>77</v>
      </c>
      <c r="L2508" s="5" t="s">
        <v>50</v>
      </c>
      <c r="M2508" s="11">
        <v>0.14249999999999999</v>
      </c>
      <c r="N2508" s="5" t="e">
        <f>IF(AND(M2508&gt;#REF!,Cartera!O2508="Guaraníes"),"Rendimiento significativo",IF(AND(M2508&gt;#REF!,Cartera!O2508="Dólares americanos"),"Rendimiento significativo","Rendimiento no significativo"))</f>
        <v>#REF!</v>
      </c>
      <c r="O2508" s="5" t="s">
        <v>41</v>
      </c>
      <c r="P2508" s="12">
        <v>3552739.7259999998</v>
      </c>
      <c r="Q2508" s="12">
        <f>IF(O2508="Guaraníes",P2508,P2508*#REF!)</f>
        <v>3552739.7259999998</v>
      </c>
      <c r="R2508" s="12" t="e">
        <f>IF(O2508="Guaraníes",P2508/#REF!,P2508)</f>
        <v>#REF!</v>
      </c>
      <c r="S2508" s="5" t="s">
        <v>52</v>
      </c>
      <c r="T2508" s="5">
        <v>593</v>
      </c>
      <c r="W2508" s="5" t="s">
        <v>528</v>
      </c>
      <c r="X2508" s="5">
        <v>0</v>
      </c>
      <c r="Y2508" s="5">
        <v>0</v>
      </c>
      <c r="Z2508" s="5">
        <v>35527.397259999998</v>
      </c>
      <c r="AA2508" s="5">
        <v>100</v>
      </c>
      <c r="AB2508" s="5">
        <v>3552739.7259999998</v>
      </c>
      <c r="AC2508" s="5" t="str">
        <f t="shared" si="121"/>
        <v>Bonos</v>
      </c>
      <c r="AD2508" s="5" t="s">
        <v>43</v>
      </c>
      <c r="AE2508" s="5">
        <f t="shared" si="119"/>
        <v>2</v>
      </c>
      <c r="AF2508" s="5">
        <f t="shared" si="120"/>
        <v>2024</v>
      </c>
    </row>
    <row r="2509" s="5" customFormat="1" ht="13">
      <c r="A2509" s="5" t="s">
        <v>44</v>
      </c>
      <c r="B2509" s="5" t="s">
        <v>44</v>
      </c>
      <c r="C2509" s="5" t="s">
        <v>33</v>
      </c>
      <c r="D2509" s="5" t="s">
        <v>21</v>
      </c>
      <c r="E2509" s="5" t="s">
        <v>44</v>
      </c>
      <c r="F2509" s="5" t="s">
        <v>35</v>
      </c>
      <c r="G2509" s="5" t="s">
        <v>69</v>
      </c>
      <c r="H2509" s="9" t="s">
        <v>186</v>
      </c>
      <c r="I2509" s="10"/>
      <c r="J2509" s="10">
        <v>45364</v>
      </c>
      <c r="K2509" s="5" t="s">
        <v>39</v>
      </c>
      <c r="L2509" s="5" t="s">
        <v>50</v>
      </c>
      <c r="M2509" s="11">
        <v>0.044999999999999998</v>
      </c>
      <c r="N2509" s="5" t="e">
        <f>IF(AND(M2509&gt;#REF!,Cartera!O2509="Guaraníes"),"Rendimiento significativo",IF(AND(M2509&gt;#REF!,Cartera!O2509="Dólares americanos"),"Rendimiento significativo","Rendimiento no significativo"))</f>
        <v>#REF!</v>
      </c>
      <c r="O2509" s="5" t="s">
        <v>51</v>
      </c>
      <c r="P2509" s="13">
        <v>448.76711999999998</v>
      </c>
      <c r="Q2509" s="12" t="e">
        <f>IF(O2509="Guaraníes",P2509,P2509*#REF!)</f>
        <v>#REF!</v>
      </c>
      <c r="R2509" s="12">
        <f>IF(O2509="Guaraníes",P2509/#REF!,P2509)</f>
        <v>448.76711999999998</v>
      </c>
      <c r="S2509" s="5" t="s">
        <v>52</v>
      </c>
      <c r="T2509" s="5">
        <v>593</v>
      </c>
      <c r="W2509" s="5" t="s">
        <v>65</v>
      </c>
      <c r="X2509" s="5">
        <v>0</v>
      </c>
      <c r="Y2509" s="5">
        <v>0</v>
      </c>
      <c r="Z2509" s="5">
        <v>11.219177999999999</v>
      </c>
      <c r="AA2509" s="5">
        <v>40</v>
      </c>
      <c r="AB2509" s="5">
        <v>448.76711999999998</v>
      </c>
      <c r="AC2509" s="5" t="str">
        <f t="shared" si="121"/>
        <v>Bonos</v>
      </c>
      <c r="AD2509" s="5" t="s">
        <v>43</v>
      </c>
      <c r="AE2509" s="5">
        <f t="shared" si="119"/>
        <v>3</v>
      </c>
      <c r="AF2509" s="5">
        <f t="shared" si="120"/>
        <v>2024</v>
      </c>
    </row>
    <row r="2510" s="5" customFormat="1" ht="13">
      <c r="A2510" s="5" t="s">
        <v>44</v>
      </c>
      <c r="B2510" s="5" t="s">
        <v>44</v>
      </c>
      <c r="C2510" s="5" t="s">
        <v>116</v>
      </c>
      <c r="D2510" s="5" t="s">
        <v>21</v>
      </c>
      <c r="E2510" s="5" t="s">
        <v>44</v>
      </c>
      <c r="F2510" s="5" t="s">
        <v>68</v>
      </c>
      <c r="G2510" s="5" t="s">
        <v>69</v>
      </c>
      <c r="H2510" s="9" t="s">
        <v>194</v>
      </c>
      <c r="I2510" s="10"/>
      <c r="J2510" s="10">
        <v>45378</v>
      </c>
      <c r="K2510" s="5" t="s">
        <v>118</v>
      </c>
      <c r="L2510" s="5" t="s">
        <v>50</v>
      </c>
      <c r="M2510" s="11">
        <v>0.065000000000000002</v>
      </c>
      <c r="N2510" s="5" t="e">
        <f>IF(AND(M2510&gt;#REF!,Cartera!O2510="Guaraníes"),"Rendimiento significativo",IF(AND(M2510&gt;#REF!,Cartera!O2510="Dólares americanos"),"Rendimiento significativo","Rendimiento no significativo"))</f>
        <v>#REF!</v>
      </c>
      <c r="O2510" s="5" t="s">
        <v>51</v>
      </c>
      <c r="P2510" s="13">
        <v>324.10958999999997</v>
      </c>
      <c r="Q2510" s="12" t="e">
        <f>IF(O2510="Guaraníes",P2510,P2510*#REF!)</f>
        <v>#REF!</v>
      </c>
      <c r="R2510" s="12">
        <f>IF(O2510="Guaraníes",P2510/#REF!,P2510)</f>
        <v>324.10958999999997</v>
      </c>
      <c r="S2510" s="5" t="s">
        <v>52</v>
      </c>
      <c r="T2510" s="5">
        <v>593</v>
      </c>
      <c r="W2510" s="5" t="s">
        <v>218</v>
      </c>
      <c r="X2510" s="5">
        <v>0</v>
      </c>
      <c r="Y2510" s="5">
        <v>0</v>
      </c>
      <c r="Z2510" s="5">
        <v>32.410958999999998</v>
      </c>
      <c r="AA2510" s="5">
        <v>10</v>
      </c>
      <c r="AB2510" s="5">
        <v>324.10959000000003</v>
      </c>
      <c r="AC2510" s="5" t="str">
        <f t="shared" si="121"/>
        <v>Bonos</v>
      </c>
      <c r="AD2510" s="5" t="s">
        <v>43</v>
      </c>
      <c r="AE2510" s="5">
        <f t="shared" si="119"/>
        <v>3</v>
      </c>
      <c r="AF2510" s="5">
        <f t="shared" si="120"/>
        <v>2024</v>
      </c>
    </row>
    <row r="2511" s="5" customFormat="1" ht="13">
      <c r="A2511" s="5" t="s">
        <v>44</v>
      </c>
      <c r="B2511" s="5" t="s">
        <v>44</v>
      </c>
      <c r="C2511" s="5" t="s">
        <v>176</v>
      </c>
      <c r="D2511" s="5" t="s">
        <v>20</v>
      </c>
      <c r="E2511" s="5" t="s">
        <v>44</v>
      </c>
      <c r="F2511" s="5" t="s">
        <v>68</v>
      </c>
      <c r="G2511" s="5" t="s">
        <v>69</v>
      </c>
      <c r="H2511" s="9" t="s">
        <v>479</v>
      </c>
      <c r="I2511" s="10">
        <v>42823</v>
      </c>
      <c r="J2511" s="10">
        <v>45378</v>
      </c>
      <c r="K2511" s="5" t="s">
        <v>178</v>
      </c>
      <c r="L2511" s="5" t="s">
        <v>58</v>
      </c>
      <c r="M2511" s="11">
        <v>0.074999999999999997</v>
      </c>
      <c r="N2511" s="5" t="e">
        <f>IF(AND(M2511&gt;#REF!,Cartera!O2511="Guaraníes"),"Rendimiento significativo",IF(AND(M2511&gt;#REF!,Cartera!O2511="Dólares americanos"),"Rendimiento significativo","Rendimiento no significativo"))</f>
        <v>#REF!</v>
      </c>
      <c r="O2511" s="5" t="s">
        <v>51</v>
      </c>
      <c r="P2511" s="13">
        <v>30000</v>
      </c>
      <c r="Q2511" s="12" t="e">
        <f>IF(O2511="Guaraníes",P2511,P2511*#REF!)</f>
        <v>#REF!</v>
      </c>
      <c r="R2511" s="12">
        <f>IF(O2511="Guaraníes",P2511/#REF!,P2511)</f>
        <v>30000</v>
      </c>
      <c r="S2511" s="5" t="s">
        <v>52</v>
      </c>
      <c r="T2511" s="5">
        <v>593</v>
      </c>
      <c r="AC2511" s="5" t="str">
        <f t="shared" si="121"/>
        <v>Bonos</v>
      </c>
      <c r="AD2511" s="5" t="s">
        <v>43</v>
      </c>
      <c r="AE2511" s="5">
        <f t="shared" si="119"/>
        <v>3</v>
      </c>
      <c r="AF2511" s="5">
        <f t="shared" si="120"/>
        <v>2024</v>
      </c>
    </row>
    <row r="2512" s="5" customFormat="1" ht="13">
      <c r="A2512" s="5" t="s">
        <v>44</v>
      </c>
      <c r="B2512" s="5" t="s">
        <v>44</v>
      </c>
      <c r="C2512" s="5" t="s">
        <v>176</v>
      </c>
      <c r="D2512" s="5" t="s">
        <v>21</v>
      </c>
      <c r="E2512" s="5" t="s">
        <v>44</v>
      </c>
      <c r="F2512" s="5" t="s">
        <v>68</v>
      </c>
      <c r="G2512" s="5" t="s">
        <v>69</v>
      </c>
      <c r="H2512" s="9" t="s">
        <v>479</v>
      </c>
      <c r="I2512" s="10"/>
      <c r="J2512" s="10">
        <v>45378</v>
      </c>
      <c r="K2512" s="5" t="s">
        <v>178</v>
      </c>
      <c r="L2512" s="5" t="s">
        <v>58</v>
      </c>
      <c r="M2512" s="11">
        <v>0.074999999999999997</v>
      </c>
      <c r="N2512" s="5" t="e">
        <f>IF(AND(M2512&gt;#REF!,Cartera!O2512="Guaraníes"),"Rendimiento significativo",IF(AND(M2512&gt;#REF!,Cartera!O2512="Dólares americanos"),"Rendimiento significativo","Rendimiento no significativo"))</f>
        <v>#REF!</v>
      </c>
      <c r="O2512" s="5" t="s">
        <v>51</v>
      </c>
      <c r="P2512" s="13">
        <v>684.65999999999997</v>
      </c>
      <c r="Q2512" s="12" t="e">
        <f>IF(O2512="Guaraníes",P2512,P2512*#REF!)</f>
        <v>#REF!</v>
      </c>
      <c r="R2512" s="12">
        <f>IF(O2512="Guaraníes",P2512/#REF!,P2512)</f>
        <v>684.65999999999997</v>
      </c>
      <c r="S2512" s="5" t="s">
        <v>52</v>
      </c>
      <c r="T2512" s="5">
        <v>593</v>
      </c>
      <c r="U2512" s="5">
        <v>30000</v>
      </c>
      <c r="V2512" s="5">
        <v>10356648.657491999</v>
      </c>
      <c r="W2512" s="5" t="s">
        <v>196</v>
      </c>
      <c r="X2512" s="5">
        <v>100</v>
      </c>
      <c r="Y2512" s="5">
        <v>1000</v>
      </c>
      <c r="Z2512" s="5">
        <v>1022.821918</v>
      </c>
      <c r="AA2512" s="5">
        <v>30</v>
      </c>
      <c r="AB2512" s="5">
        <v>30684.65754</v>
      </c>
      <c r="AC2512" s="5" t="str">
        <f t="shared" si="121"/>
        <v>Bonos</v>
      </c>
      <c r="AD2512" s="5" t="s">
        <v>43</v>
      </c>
      <c r="AE2512" s="5">
        <f t="shared" si="119"/>
        <v>3</v>
      </c>
      <c r="AF2512" s="5">
        <f t="shared" si="120"/>
        <v>2024</v>
      </c>
    </row>
    <row r="2513" s="5" customFormat="1" ht="13">
      <c r="A2513" s="5" t="s">
        <v>44</v>
      </c>
      <c r="B2513" s="5" t="s">
        <v>44</v>
      </c>
      <c r="C2513" s="5" t="s">
        <v>114</v>
      </c>
      <c r="D2513" s="5" t="s">
        <v>20</v>
      </c>
      <c r="E2513" s="5" t="s">
        <v>44</v>
      </c>
      <c r="F2513" s="5" t="s">
        <v>68</v>
      </c>
      <c r="G2513" s="5" t="s">
        <v>69</v>
      </c>
      <c r="H2513" s="9" t="s">
        <v>520</v>
      </c>
      <c r="I2513" s="10">
        <v>44085</v>
      </c>
      <c r="J2513" s="10">
        <v>45434</v>
      </c>
      <c r="K2513" s="5" t="s">
        <v>77</v>
      </c>
      <c r="L2513" s="5" t="s">
        <v>50</v>
      </c>
      <c r="M2513" s="11">
        <v>0.14249999999999999</v>
      </c>
      <c r="N2513" s="5" t="e">
        <f>IF(AND(M2513&gt;#REF!,Cartera!O2513="Guaraníes"),"Rendimiento significativo",IF(AND(M2513&gt;#REF!,Cartera!O2513="Dólares americanos"),"Rendimiento significativo","Rendimiento no significativo"))</f>
        <v>#REF!</v>
      </c>
      <c r="O2513" s="5" t="s">
        <v>41</v>
      </c>
      <c r="P2513" s="12">
        <v>100000000</v>
      </c>
      <c r="Q2513" s="12">
        <f>IF(O2513="Guaraníes",P2513,P2513*#REF!)</f>
        <v>100000000</v>
      </c>
      <c r="R2513" s="12" t="e">
        <f>IF(O2513="Guaraníes",P2513/#REF!,P2513)</f>
        <v>#REF!</v>
      </c>
      <c r="S2513" s="5" t="s">
        <v>52</v>
      </c>
      <c r="AC2513" s="5" t="str">
        <f t="shared" si="121"/>
        <v>Bonos</v>
      </c>
      <c r="AD2513" s="5" t="s">
        <v>43</v>
      </c>
      <c r="AE2513" s="5">
        <f t="shared" si="119"/>
        <v>5</v>
      </c>
      <c r="AF2513" s="5">
        <f t="shared" si="120"/>
        <v>2024</v>
      </c>
    </row>
    <row r="2514" s="5" customFormat="1" ht="13">
      <c r="A2514" s="5" t="s">
        <v>44</v>
      </c>
      <c r="B2514" s="5" t="s">
        <v>44</v>
      </c>
      <c r="C2514" s="5" t="s">
        <v>33</v>
      </c>
      <c r="D2514" s="5" t="s">
        <v>21</v>
      </c>
      <c r="E2514" s="5" t="s">
        <v>44</v>
      </c>
      <c r="F2514" s="5" t="s">
        <v>35</v>
      </c>
      <c r="G2514" s="5" t="s">
        <v>69</v>
      </c>
      <c r="H2514" s="9" t="s">
        <v>186</v>
      </c>
      <c r="I2514" s="10"/>
      <c r="J2514" s="10">
        <v>45455</v>
      </c>
      <c r="K2514" s="5" t="s">
        <v>39</v>
      </c>
      <c r="L2514" s="5" t="s">
        <v>50</v>
      </c>
      <c r="M2514" s="11">
        <v>0.044999999999999998</v>
      </c>
      <c r="N2514" s="5" t="e">
        <f>IF(AND(M2514&gt;#REF!,Cartera!O2514="Guaraníes"),"Rendimiento significativo",IF(AND(M2514&gt;#REF!,Cartera!O2514="Dólares americanos"),"Rendimiento significativo","Rendimiento no significativo"))</f>
        <v>#REF!</v>
      </c>
      <c r="O2514" s="5" t="s">
        <v>51</v>
      </c>
      <c r="P2514" s="13">
        <v>448.76711999999998</v>
      </c>
      <c r="Q2514" s="12" t="e">
        <f>IF(O2514="Guaraníes",P2514,P2514*#REF!)</f>
        <v>#REF!</v>
      </c>
      <c r="R2514" s="12">
        <f>IF(O2514="Guaraníes",P2514/#REF!,P2514)</f>
        <v>448.76711999999998</v>
      </c>
      <c r="S2514" s="5" t="s">
        <v>52</v>
      </c>
      <c r="T2514" s="5">
        <v>593</v>
      </c>
      <c r="W2514" s="5" t="s">
        <v>65</v>
      </c>
      <c r="X2514" s="5">
        <v>0</v>
      </c>
      <c r="Y2514" s="5">
        <v>0</v>
      </c>
      <c r="Z2514" s="5">
        <v>11.219177999999999</v>
      </c>
      <c r="AA2514" s="5">
        <v>40</v>
      </c>
      <c r="AB2514" s="5">
        <v>448.76711999999998</v>
      </c>
      <c r="AC2514" s="5" t="str">
        <f t="shared" si="121"/>
        <v>Bonos</v>
      </c>
      <c r="AD2514" s="5" t="s">
        <v>43</v>
      </c>
      <c r="AE2514" s="5">
        <f t="shared" ref="AE2514:AE2577" si="122">IFERROR((MONTH(J2514)),0)</f>
        <v>6</v>
      </c>
      <c r="AF2514" s="5">
        <f t="shared" ref="AF2514:AF2577" si="123">IFERROR((YEAR(J2514)),0)</f>
        <v>2024</v>
      </c>
    </row>
    <row r="2515" s="5" customFormat="1" ht="13">
      <c r="A2515" s="5" t="s">
        <v>44</v>
      </c>
      <c r="B2515" s="5" t="s">
        <v>44</v>
      </c>
      <c r="C2515" s="5" t="s">
        <v>67</v>
      </c>
      <c r="D2515" s="5" t="s">
        <v>21</v>
      </c>
      <c r="E2515" s="5" t="s">
        <v>44</v>
      </c>
      <c r="F2515" s="5" t="s">
        <v>68</v>
      </c>
      <c r="G2515" s="5" t="s">
        <v>69</v>
      </c>
      <c r="H2515" s="9" t="s">
        <v>70</v>
      </c>
      <c r="I2515" s="10">
        <v>45580</v>
      </c>
      <c r="J2515" s="10">
        <v>45580</v>
      </c>
      <c r="K2515" s="5" t="s">
        <v>538</v>
      </c>
      <c r="L2515" s="5" t="s">
        <v>58</v>
      </c>
      <c r="M2515" s="11">
        <v>0.067500000000000004</v>
      </c>
      <c r="N2515" s="5" t="e">
        <f>IF(AND(M2515&gt;#REF!,Cartera!O2515="Guaraníes"),"Rendimiento significativo",IF(AND(M2515&gt;#REF!,Cartera!O2515="Dólares americanos"),"Rendimiento significativo","Rendimiento no significativo"))</f>
        <v>#REF!</v>
      </c>
      <c r="O2515" s="5" t="s">
        <v>51</v>
      </c>
      <c r="P2515" s="13">
        <v>36.82</v>
      </c>
      <c r="Q2515" s="12" t="e">
        <f>IF(O2515="Guaraníes",P2515,P2515*#REF!)</f>
        <v>#REF!</v>
      </c>
      <c r="R2515" s="12">
        <f>IF(O2515="Guaraníes",P2515/#REF!,P2515)</f>
        <v>36.82</v>
      </c>
      <c r="S2515" s="5" t="s">
        <v>52</v>
      </c>
      <c r="T2515" s="5">
        <v>593</v>
      </c>
      <c r="W2515" s="5" t="s">
        <v>134</v>
      </c>
      <c r="X2515" s="5">
        <v>4.1666666667000003</v>
      </c>
      <c r="Y2515" s="5">
        <v>41.666666999999997</v>
      </c>
      <c r="Z2515" s="5">
        <v>45.917808999999998</v>
      </c>
      <c r="AA2515" s="5">
        <v>8</v>
      </c>
      <c r="AB2515" s="5">
        <v>367.34247199999999</v>
      </c>
      <c r="AC2515" s="5" t="str">
        <f t="shared" si="121"/>
        <v>Bonos</v>
      </c>
      <c r="AD2515" s="5" t="s">
        <v>43</v>
      </c>
      <c r="AE2515" s="5">
        <f t="shared" si="122"/>
        <v>10</v>
      </c>
      <c r="AF2515" s="5">
        <f t="shared" si="123"/>
        <v>2024</v>
      </c>
      <c r="AG2515" s="28" t="s">
        <v>539</v>
      </c>
    </row>
    <row r="2516" s="5" customFormat="1" ht="13">
      <c r="A2516" s="5" t="s">
        <v>44</v>
      </c>
      <c r="B2516" s="5" t="s">
        <v>44</v>
      </c>
      <c r="C2516" s="5" t="s">
        <v>171</v>
      </c>
      <c r="D2516" s="5" t="s">
        <v>21</v>
      </c>
      <c r="E2516" s="5" t="s">
        <v>44</v>
      </c>
      <c r="F2516" s="9" t="s">
        <v>100</v>
      </c>
      <c r="G2516" s="9" t="s">
        <v>69</v>
      </c>
      <c r="H2516" s="10" t="s">
        <v>172</v>
      </c>
      <c r="I2516" s="10"/>
      <c r="J2516" s="5">
        <v>45488</v>
      </c>
      <c r="K2516" s="5" t="s">
        <v>173</v>
      </c>
      <c r="L2516" s="11" t="s">
        <v>58</v>
      </c>
      <c r="M2516" s="11">
        <v>0.14999999999999999</v>
      </c>
      <c r="N2516" s="11" t="e">
        <f>IF(AND(M2516&gt;#REF!,Cartera!O2516="Guaraníes"),"Rendimiento significativo",IF(AND(M2516&gt;#REF!,Cartera!O2516="Dólares americanos"),"Rendimiento significativo","Rendimiento no significativo"))</f>
        <v>#REF!</v>
      </c>
      <c r="O2516" s="12" t="s">
        <v>41</v>
      </c>
      <c r="P2516" s="13">
        <v>336575.342466</v>
      </c>
      <c r="Q2516" s="12">
        <f>IF(O2516="Guaraníes",P2516,P2516*#REF!)</f>
        <v>336575.342466</v>
      </c>
      <c r="R2516" s="5" t="e">
        <f>IF(O2516="Guaraníes",P2516/#REF!,P2516)</f>
        <v>#REF!</v>
      </c>
      <c r="S2516" s="5" t="s">
        <v>52</v>
      </c>
      <c r="T2516" s="5">
        <v>593</v>
      </c>
      <c r="W2516" s="5" t="s">
        <v>271</v>
      </c>
      <c r="X2516" s="5">
        <v>0</v>
      </c>
      <c r="Y2516" s="5">
        <v>0</v>
      </c>
      <c r="Z2516" s="5">
        <v>37397.260274</v>
      </c>
      <c r="AA2516" s="5">
        <v>9</v>
      </c>
      <c r="AB2516" s="5">
        <v>336575.342466</v>
      </c>
      <c r="AC2516" s="5" t="str">
        <f t="shared" si="121"/>
        <v>Bonos</v>
      </c>
      <c r="AD2516" s="5" t="s">
        <v>43</v>
      </c>
      <c r="AE2516" s="5">
        <f t="shared" si="122"/>
        <v>7</v>
      </c>
      <c r="AF2516" s="5">
        <f t="shared" si="123"/>
        <v>2024</v>
      </c>
    </row>
    <row r="2517" s="5" customFormat="1" ht="13">
      <c r="A2517" s="5" t="s">
        <v>44</v>
      </c>
      <c r="B2517" s="5" t="s">
        <v>44</v>
      </c>
      <c r="C2517" s="5" t="s">
        <v>67</v>
      </c>
      <c r="D2517" s="5" t="s">
        <v>21</v>
      </c>
      <c r="E2517" s="5" t="s">
        <v>44</v>
      </c>
      <c r="F2517" s="5" t="s">
        <v>68</v>
      </c>
      <c r="G2517" s="5" t="s">
        <v>69</v>
      </c>
      <c r="H2517" s="9" t="s">
        <v>70</v>
      </c>
      <c r="I2517" s="10">
        <v>45580</v>
      </c>
      <c r="J2517" s="10">
        <v>45612</v>
      </c>
      <c r="K2517" s="5" t="s">
        <v>538</v>
      </c>
      <c r="L2517" s="5" t="s">
        <v>58</v>
      </c>
      <c r="M2517" s="11">
        <v>0.067500000000000004</v>
      </c>
      <c r="N2517" s="5" t="e">
        <f>IF(AND(M2517&gt;#REF!,Cartera!O2517="Guaraníes"),"Rendimiento significativo",IF(AND(M2517&gt;#REF!,Cartera!O2517="Dólares americanos"),"Rendimiento significativo","Rendimiento no significativo"))</f>
        <v>#REF!</v>
      </c>
      <c r="O2517" s="5" t="s">
        <v>51</v>
      </c>
      <c r="P2517" s="13">
        <v>11.68</v>
      </c>
      <c r="Q2517" s="12" t="e">
        <f>IF(O2517="Guaraníes",P2517,P2517*#REF!)</f>
        <v>#REF!</v>
      </c>
      <c r="R2517" s="12">
        <f>IF(O2517="Guaraníes",P2517/#REF!,P2517)</f>
        <v>11.68</v>
      </c>
      <c r="S2517" s="5" t="s">
        <v>52</v>
      </c>
      <c r="T2517" s="5">
        <v>593</v>
      </c>
      <c r="W2517" s="5" t="s">
        <v>72</v>
      </c>
      <c r="X2517" s="5">
        <v>4.1666666667000003</v>
      </c>
      <c r="Y2517" s="5">
        <v>41.666666999999997</v>
      </c>
      <c r="Z2517" s="5">
        <v>45.694063999999997</v>
      </c>
      <c r="AA2517" s="5">
        <v>8</v>
      </c>
      <c r="AB2517" s="5">
        <v>365.55251199999998</v>
      </c>
      <c r="AC2517" s="5" t="str">
        <f t="shared" si="121"/>
        <v>Bonos</v>
      </c>
      <c r="AD2517" s="5" t="s">
        <v>43</v>
      </c>
      <c r="AE2517" s="5">
        <f t="shared" si="122"/>
        <v>11</v>
      </c>
      <c r="AF2517" s="5">
        <f t="shared" si="123"/>
        <v>2024</v>
      </c>
      <c r="AG2517" s="28" t="s">
        <v>539</v>
      </c>
    </row>
    <row r="2518" s="5" customFormat="1" ht="13">
      <c r="A2518" s="5" t="s">
        <v>44</v>
      </c>
      <c r="B2518" s="5" t="s">
        <v>44</v>
      </c>
      <c r="C2518" s="5" t="s">
        <v>54</v>
      </c>
      <c r="D2518" s="5" t="s">
        <v>21</v>
      </c>
      <c r="E2518" s="5" t="s">
        <v>44</v>
      </c>
      <c r="F2518" s="5" t="s">
        <v>46</v>
      </c>
      <c r="G2518" s="5" t="s">
        <v>86</v>
      </c>
      <c r="H2518" s="9" t="s">
        <v>148</v>
      </c>
      <c r="I2518" s="10"/>
      <c r="J2518" s="10">
        <v>45558</v>
      </c>
      <c r="K2518" s="5" t="s">
        <v>57</v>
      </c>
      <c r="L2518" s="5" t="s">
        <v>58</v>
      </c>
      <c r="M2518" s="11">
        <v>0.097500000000000003</v>
      </c>
      <c r="N2518" s="5" t="e">
        <f>IF(AND(M2518&gt;#REF!,Cartera!O2518="Guaraníes"),"Rendimiento significativo",IF(AND(M2518&gt;#REF!,Cartera!O2518="Dólares americanos"),"Rendimiento significativo","Rendimiento no significativo"))</f>
        <v>#REF!</v>
      </c>
      <c r="O2518" s="5" t="s">
        <v>41</v>
      </c>
      <c r="P2518" s="12">
        <v>12154109.589</v>
      </c>
      <c r="Q2518" s="12">
        <f>IF(O2518="Guaraníes",P2518,P2518*#REF!)</f>
        <v>12154109.589</v>
      </c>
      <c r="R2518" s="12" t="e">
        <f>IF(O2518="Guaraníes",P2518/#REF!,P2518)</f>
        <v>#REF!</v>
      </c>
      <c r="S2518" s="5" t="s">
        <v>52</v>
      </c>
      <c r="T2518" s="5">
        <v>10834</v>
      </c>
      <c r="W2518" s="5" t="s">
        <v>65</v>
      </c>
      <c r="X2518" s="5">
        <v>0</v>
      </c>
      <c r="Y2518" s="5">
        <v>0</v>
      </c>
      <c r="Z2518" s="5">
        <v>24308.219177999999</v>
      </c>
      <c r="AA2518" s="5">
        <v>500</v>
      </c>
      <c r="AB2518" s="5">
        <v>12154109.589</v>
      </c>
      <c r="AC2518" s="5" t="str">
        <f t="shared" si="121"/>
        <v>Bonos</v>
      </c>
      <c r="AD2518" s="5" t="s">
        <v>43</v>
      </c>
      <c r="AE2518" s="5">
        <f t="shared" si="122"/>
        <v>9</v>
      </c>
      <c r="AF2518" s="5">
        <f t="shared" si="123"/>
        <v>2024</v>
      </c>
    </row>
    <row r="2519" s="5" customFormat="1" ht="13">
      <c r="A2519" s="5" t="s">
        <v>44</v>
      </c>
      <c r="B2519" s="5" t="s">
        <v>44</v>
      </c>
      <c r="C2519" s="5" t="s">
        <v>54</v>
      </c>
      <c r="D2519" s="5" t="s">
        <v>21</v>
      </c>
      <c r="E2519" s="5" t="s">
        <v>44</v>
      </c>
      <c r="F2519" s="5" t="s">
        <v>46</v>
      </c>
      <c r="G2519" s="5" t="s">
        <v>75</v>
      </c>
      <c r="H2519" s="9" t="s">
        <v>147</v>
      </c>
      <c r="I2519" s="10"/>
      <c r="J2519" s="10">
        <v>45558</v>
      </c>
      <c r="K2519" s="5" t="s">
        <v>57</v>
      </c>
      <c r="L2519" s="5" t="s">
        <v>58</v>
      </c>
      <c r="M2519" s="11">
        <v>0.12</v>
      </c>
      <c r="N2519" s="5" t="e">
        <f>IF(AND(M2519&gt;#REF!,Cartera!O2519="Guaraníes"),"Rendimiento significativo",IF(AND(M2519&gt;#REF!,Cartera!O2519="Dólares americanos"),"Rendimiento significativo","Rendimiento no significativo"))</f>
        <v>#REF!</v>
      </c>
      <c r="O2519" s="5" t="s">
        <v>41</v>
      </c>
      <c r="P2519" s="12">
        <v>4487671.2328500003</v>
      </c>
      <c r="Q2519" s="12">
        <f>IF(O2519="Guaraníes",P2519,P2519*#REF!)</f>
        <v>4487671.2328500003</v>
      </c>
      <c r="R2519" s="12" t="e">
        <f>IF(O2519="Guaraníes",P2519/#REF!,P2519)</f>
        <v>#REF!</v>
      </c>
      <c r="S2519" s="5" t="s">
        <v>52</v>
      </c>
      <c r="T2519" s="5">
        <v>25</v>
      </c>
      <c r="W2519" s="5" t="s">
        <v>192</v>
      </c>
      <c r="X2519" s="5">
        <v>0</v>
      </c>
      <c r="Y2519" s="5">
        <v>0</v>
      </c>
      <c r="Z2519" s="5">
        <v>29917.808218999999</v>
      </c>
      <c r="AA2519" s="5">
        <v>150</v>
      </c>
      <c r="AB2519" s="5">
        <v>4487671.2328500003</v>
      </c>
      <c r="AC2519" s="5" t="str">
        <f t="shared" si="121"/>
        <v>Bonos</v>
      </c>
      <c r="AD2519" s="5" t="s">
        <v>43</v>
      </c>
      <c r="AE2519" s="5">
        <f t="shared" si="122"/>
        <v>9</v>
      </c>
      <c r="AF2519" s="5">
        <f t="shared" si="123"/>
        <v>2024</v>
      </c>
    </row>
    <row r="2520" s="5" customFormat="1" ht="13">
      <c r="A2520" s="5" t="s">
        <v>44</v>
      </c>
      <c r="B2520" s="5" t="s">
        <v>44</v>
      </c>
      <c r="C2520" s="5" t="s">
        <v>138</v>
      </c>
      <c r="D2520" s="5" t="s">
        <v>21</v>
      </c>
      <c r="E2520" s="5" t="s">
        <v>44</v>
      </c>
      <c r="F2520" s="5" t="s">
        <v>68</v>
      </c>
      <c r="G2520" s="5" t="s">
        <v>86</v>
      </c>
      <c r="H2520" s="9" t="s">
        <v>193</v>
      </c>
      <c r="I2520" s="10">
        <v>44104</v>
      </c>
      <c r="J2520" s="10">
        <v>45559</v>
      </c>
      <c r="K2520" s="5" t="s">
        <v>140</v>
      </c>
      <c r="L2520" s="5" t="s">
        <v>58</v>
      </c>
      <c r="M2520" s="11">
        <v>0.10000000000000001</v>
      </c>
      <c r="N2520" s="5" t="e">
        <f>IF(AND(M2520&gt;#REF!,Cartera!O2520="Guaraníes"),"Rendimiento significativo",IF(AND(M2520&gt;#REF!,Cartera!O2520="Dólares americanos"),"Rendimiento significativo","Rendimiento no significativo"))</f>
        <v>#REF!</v>
      </c>
      <c r="O2520" s="5" t="s">
        <v>41</v>
      </c>
      <c r="P2520" s="12">
        <v>2493150.6849000002</v>
      </c>
      <c r="Q2520" s="12">
        <f>IF(O2520="Guaraníes",P2520,P2520*#REF!)</f>
        <v>2493150.6849000002</v>
      </c>
      <c r="R2520" s="12" t="e">
        <f>IF(O2520="Guaraníes",P2520/#REF!,P2520)</f>
        <v>#REF!</v>
      </c>
      <c r="S2520" s="5" t="s">
        <v>52</v>
      </c>
      <c r="AC2520" s="5" t="str">
        <f t="shared" si="121"/>
        <v>Bonos</v>
      </c>
      <c r="AD2520" s="5" t="s">
        <v>43</v>
      </c>
      <c r="AE2520" s="5">
        <f t="shared" si="122"/>
        <v>9</v>
      </c>
      <c r="AF2520" s="5">
        <f t="shared" si="123"/>
        <v>2024</v>
      </c>
    </row>
    <row r="2521" s="5" customFormat="1" ht="13">
      <c r="A2521" s="5" t="s">
        <v>44</v>
      </c>
      <c r="B2521" s="5" t="s">
        <v>44</v>
      </c>
      <c r="C2521" s="5" t="s">
        <v>45</v>
      </c>
      <c r="D2521" s="5" t="s">
        <v>21</v>
      </c>
      <c r="E2521" s="5" t="s">
        <v>44</v>
      </c>
      <c r="F2521" s="5" t="s">
        <v>46</v>
      </c>
      <c r="G2521" s="5" t="s">
        <v>86</v>
      </c>
      <c r="H2521" s="9" t="s">
        <v>48</v>
      </c>
      <c r="I2521" s="10"/>
      <c r="J2521" s="10">
        <v>45586</v>
      </c>
      <c r="K2521" s="5" t="s">
        <v>49</v>
      </c>
      <c r="L2521" s="5" t="s">
        <v>50</v>
      </c>
      <c r="M2521" s="11">
        <v>0.070000000000000007</v>
      </c>
      <c r="N2521" s="5" t="e">
        <f>IF(AND(M2521&gt;#REF!,Cartera!O2521="Guaraníes"),"Rendimiento significativo",IF(AND(M2521&gt;#REF!,Cartera!O2521="Dólares americanos"),"Rendimiento significativo","Rendimiento no significativo"))</f>
        <v>#REF!</v>
      </c>
      <c r="O2521" s="5" t="s">
        <v>51</v>
      </c>
      <c r="P2521" s="13">
        <v>872.60275000000001</v>
      </c>
      <c r="Q2521" s="12" t="e">
        <f>IF(O2521="Guaraníes",P2521,P2521*#REF!)</f>
        <v>#REF!</v>
      </c>
      <c r="R2521" s="12">
        <f>IF(O2521="Guaraníes",P2521/#REF!,P2521)</f>
        <v>872.60275000000001</v>
      </c>
      <c r="S2521" s="5" t="s">
        <v>52</v>
      </c>
      <c r="T2521" s="5">
        <v>10834</v>
      </c>
      <c r="W2521" s="5" t="s">
        <v>65</v>
      </c>
      <c r="X2521" s="5">
        <v>0</v>
      </c>
      <c r="Y2521" s="5">
        <v>0</v>
      </c>
      <c r="Z2521" s="5">
        <v>17.452055000000001</v>
      </c>
      <c r="AA2521" s="5">
        <v>50</v>
      </c>
      <c r="AB2521" s="5">
        <v>872.60275000000001</v>
      </c>
      <c r="AC2521" s="5" t="str">
        <f t="shared" si="121"/>
        <v>Bonos</v>
      </c>
      <c r="AD2521" s="5" t="s">
        <v>43</v>
      </c>
      <c r="AE2521" s="5">
        <f t="shared" si="122"/>
        <v>10</v>
      </c>
      <c r="AF2521" s="5">
        <f t="shared" si="123"/>
        <v>2024</v>
      </c>
    </row>
    <row r="2522" s="5" customFormat="1" ht="13">
      <c r="A2522" s="5" t="s">
        <v>44</v>
      </c>
      <c r="B2522" s="5" t="s">
        <v>44</v>
      </c>
      <c r="C2522" s="5" t="s">
        <v>116</v>
      </c>
      <c r="D2522" s="5" t="s">
        <v>21</v>
      </c>
      <c r="E2522" s="5" t="s">
        <v>44</v>
      </c>
      <c r="F2522" s="5" t="s">
        <v>68</v>
      </c>
      <c r="G2522" s="5" t="s">
        <v>69</v>
      </c>
      <c r="H2522" s="9" t="s">
        <v>194</v>
      </c>
      <c r="I2522" s="10"/>
      <c r="J2522" s="10">
        <v>45560</v>
      </c>
      <c r="K2522" s="5" t="s">
        <v>118</v>
      </c>
      <c r="L2522" s="5" t="s">
        <v>50</v>
      </c>
      <c r="M2522" s="11">
        <v>0.065000000000000002</v>
      </c>
      <c r="N2522" s="5" t="e">
        <f>IF(AND(M2522&gt;#REF!,Cartera!O2522="Guaraníes"),"Rendimiento significativo",IF(AND(M2522&gt;#REF!,Cartera!O2522="Dólares americanos"),"Rendimiento significativo","Rendimiento no significativo"))</f>
        <v>#REF!</v>
      </c>
      <c r="O2522" s="5" t="s">
        <v>51</v>
      </c>
      <c r="P2522" s="13">
        <v>324.10958999999997</v>
      </c>
      <c r="Q2522" s="12" t="e">
        <f>IF(O2522="Guaraníes",P2522,P2522*#REF!)</f>
        <v>#REF!</v>
      </c>
      <c r="R2522" s="12">
        <f>IF(O2522="Guaraníes",P2522/#REF!,P2522)</f>
        <v>324.10958999999997</v>
      </c>
      <c r="S2522" s="5" t="s">
        <v>52</v>
      </c>
      <c r="T2522" s="5">
        <v>593</v>
      </c>
      <c r="W2522" s="5" t="s">
        <v>195</v>
      </c>
      <c r="X2522" s="5">
        <v>0</v>
      </c>
      <c r="Y2522" s="5">
        <v>0</v>
      </c>
      <c r="Z2522" s="5">
        <v>32.410958999999998</v>
      </c>
      <c r="AA2522" s="5">
        <v>10</v>
      </c>
      <c r="AB2522" s="5">
        <v>324.10959000000003</v>
      </c>
      <c r="AC2522" s="5" t="str">
        <f t="shared" si="121"/>
        <v>Bonos</v>
      </c>
      <c r="AD2522" s="5" t="s">
        <v>43</v>
      </c>
      <c r="AE2522" s="5">
        <f t="shared" si="122"/>
        <v>9</v>
      </c>
      <c r="AF2522" s="5">
        <f t="shared" si="123"/>
        <v>2024</v>
      </c>
    </row>
    <row r="2523" s="5" customFormat="1" ht="13">
      <c r="A2523" s="5" t="s">
        <v>44</v>
      </c>
      <c r="B2523" s="5" t="s">
        <v>44</v>
      </c>
      <c r="C2523" s="5" t="s">
        <v>45</v>
      </c>
      <c r="D2523" s="5" t="s">
        <v>21</v>
      </c>
      <c r="E2523" s="5" t="s">
        <v>44</v>
      </c>
      <c r="F2523" s="5" t="s">
        <v>46</v>
      </c>
      <c r="G2523" s="5" t="s">
        <v>86</v>
      </c>
      <c r="H2523" s="9" t="s">
        <v>108</v>
      </c>
      <c r="I2523" s="10">
        <v>44704</v>
      </c>
      <c r="J2523" s="10">
        <v>45614</v>
      </c>
      <c r="K2523" s="5" t="s">
        <v>49</v>
      </c>
      <c r="L2523" s="5" t="s">
        <v>58</v>
      </c>
      <c r="M2523" s="11">
        <v>0.059999999999999998</v>
      </c>
      <c r="N2523" s="5" t="e">
        <f>IF(AND(M2523&gt;#REF!,Cartera!O2523="Guaraníes"),"Rendimiento significativo",IF(AND(M2523&gt;#REF!,Cartera!O2523="Dólares americanos"),"Rendimiento significativo","Rendimiento no significativo"))</f>
        <v>#REF!</v>
      </c>
      <c r="O2523" s="5" t="s">
        <v>51</v>
      </c>
      <c r="P2523" s="13">
        <v>478.68492800000001</v>
      </c>
      <c r="Q2523" s="12" t="e">
        <f>IF(O2523="Guaraníes",P2523,P2523*#REF!)</f>
        <v>#REF!</v>
      </c>
      <c r="R2523" s="12">
        <f>IF(O2523="Guaraníes",P2523/#REF!,P2523)</f>
        <v>478.68492800000001</v>
      </c>
      <c r="S2523" s="5" t="s">
        <v>52</v>
      </c>
      <c r="AA2523" s="5">
        <v>32</v>
      </c>
      <c r="AC2523" s="5" t="str">
        <f t="shared" si="121"/>
        <v>Bonos</v>
      </c>
      <c r="AD2523" s="5" t="s">
        <v>43</v>
      </c>
      <c r="AE2523" s="5">
        <f t="shared" si="122"/>
        <v>11</v>
      </c>
      <c r="AF2523" s="5">
        <f t="shared" si="123"/>
        <v>2024</v>
      </c>
    </row>
    <row r="2524" s="5" customFormat="1" ht="13">
      <c r="A2524" s="5">
        <v>12315</v>
      </c>
      <c r="B2524" s="5" t="s">
        <v>73</v>
      </c>
      <c r="C2524" s="5" t="s">
        <v>45</v>
      </c>
      <c r="D2524" s="5" t="s">
        <v>21</v>
      </c>
      <c r="E2524" s="5" t="s">
        <v>34</v>
      </c>
      <c r="F2524" s="5" t="s">
        <v>46</v>
      </c>
      <c r="G2524" s="5" t="s">
        <v>86</v>
      </c>
      <c r="H2524" s="9" t="s">
        <v>108</v>
      </c>
      <c r="I2524" s="10">
        <v>44704</v>
      </c>
      <c r="J2524" s="10">
        <v>46342</v>
      </c>
      <c r="K2524" s="5" t="s">
        <v>49</v>
      </c>
      <c r="L2524" s="5" t="s">
        <v>58</v>
      </c>
      <c r="M2524" s="11">
        <v>0.059999999999999998</v>
      </c>
      <c r="N2524" s="5" t="e">
        <f>IF(AND(M2524&gt;#REF!,Cartera!O2524="Guaraníes"),"Rendimiento significativo",IF(AND(M2524&gt;#REF!,Cartera!O2524="Dólares americanos"),"Rendimiento significativo","Rendimiento no significativo"))</f>
        <v>#REF!</v>
      </c>
      <c r="O2524" s="5" t="s">
        <v>51</v>
      </c>
      <c r="P2524" s="13">
        <v>478.68492800000001</v>
      </c>
      <c r="Q2524" s="12" t="e">
        <f>IF(O2524="Guaraníes",P2524,P2524*#REF!)</f>
        <v>#REF!</v>
      </c>
      <c r="R2524" s="12">
        <f>IF(O2524="Guaraníes",P2524/#REF!,P2524)</f>
        <v>478.68492800000001</v>
      </c>
      <c r="S2524" s="5" t="s">
        <v>42</v>
      </c>
      <c r="AA2524" s="5">
        <v>32</v>
      </c>
      <c r="AC2524" s="5" t="str">
        <f t="shared" si="121"/>
        <v>Bonos</v>
      </c>
      <c r="AD2524" s="5" t="s">
        <v>43</v>
      </c>
      <c r="AE2524" s="5">
        <f t="shared" si="122"/>
        <v>11</v>
      </c>
      <c r="AF2524" s="5">
        <f t="shared" si="123"/>
        <v>2026</v>
      </c>
    </row>
    <row r="2525" s="5" customFormat="1" ht="13">
      <c r="A2525" s="5">
        <v>12301</v>
      </c>
      <c r="B2525" s="5" t="s">
        <v>107</v>
      </c>
      <c r="C2525" s="5" t="s">
        <v>171</v>
      </c>
      <c r="D2525" s="5" t="s">
        <v>20</v>
      </c>
      <c r="E2525" s="5" t="s">
        <v>34</v>
      </c>
      <c r="F2525" s="5" t="s">
        <v>100</v>
      </c>
      <c r="G2525" s="5" t="s">
        <v>69</v>
      </c>
      <c r="H2525" s="9" t="s">
        <v>172</v>
      </c>
      <c r="I2525" s="10">
        <v>43879</v>
      </c>
      <c r="J2525" s="10">
        <v>45702</v>
      </c>
      <c r="K2525" s="5" t="s">
        <v>173</v>
      </c>
      <c r="L2525" s="5" t="s">
        <v>58</v>
      </c>
      <c r="M2525" s="11">
        <v>0.14999999999999999</v>
      </c>
      <c r="N2525" s="5" t="e">
        <f>IF(AND(M2525&gt;#REF!,Cartera!O2525="Guaraníes"),"Rendimiento significativo",IF(AND(M2525&gt;#REF!,Cartera!O2525="Dólares americanos"),"Rendimiento significativo","Rendimiento no significativo"))</f>
        <v>#REF!</v>
      </c>
      <c r="O2525" s="5" t="s">
        <v>41</v>
      </c>
      <c r="P2525" s="12">
        <v>4500000</v>
      </c>
      <c r="Q2525" s="12">
        <f>IF(O2525="Guaraníes",P2525,P2525*#REF!)</f>
        <v>4500000</v>
      </c>
      <c r="R2525" s="12" t="e">
        <f>IF(O2525="Guaraníes",P2525/#REF!,P2525)</f>
        <v>#REF!</v>
      </c>
      <c r="S2525" s="5" t="s">
        <v>42</v>
      </c>
      <c r="T2525" s="5">
        <v>593</v>
      </c>
      <c r="AC2525" s="5" t="str">
        <f t="shared" si="121"/>
        <v>Bonos</v>
      </c>
      <c r="AD2525" s="5" t="s">
        <v>43</v>
      </c>
      <c r="AE2525" s="5">
        <f t="shared" si="122"/>
        <v>2</v>
      </c>
      <c r="AF2525" s="5">
        <f t="shared" si="123"/>
        <v>2025</v>
      </c>
    </row>
    <row r="2526" s="5" customFormat="1" ht="13">
      <c r="A2526" s="5">
        <v>12315</v>
      </c>
      <c r="B2526" s="5" t="s">
        <v>73</v>
      </c>
      <c r="C2526" s="5" t="s">
        <v>176</v>
      </c>
      <c r="D2526" s="5" t="s">
        <v>21</v>
      </c>
      <c r="E2526" s="5" t="s">
        <v>34</v>
      </c>
      <c r="F2526" s="5" t="s">
        <v>68</v>
      </c>
      <c r="G2526" s="5" t="s">
        <v>91</v>
      </c>
      <c r="H2526" s="9" t="s">
        <v>177</v>
      </c>
      <c r="I2526" s="10"/>
      <c r="J2526" s="10">
        <v>46344</v>
      </c>
      <c r="K2526" s="5" t="s">
        <v>178</v>
      </c>
      <c r="L2526" s="5" t="s">
        <v>58</v>
      </c>
      <c r="M2526" s="11">
        <v>0.085000000000000006</v>
      </c>
      <c r="N2526" s="5" t="e">
        <f>IF(AND(M2526&gt;#REF!,Cartera!O2526="Guaraníes"),"Rendimiento significativo",IF(AND(M2526&gt;#REF!,Cartera!O2526="Dólares americanos"),"Rendimiento significativo","Rendimiento no significativo"))</f>
        <v>#REF!</v>
      </c>
      <c r="O2526" s="5" t="s">
        <v>51</v>
      </c>
      <c r="P2526" s="13">
        <v>560.96000000000004</v>
      </c>
      <c r="Q2526" s="12" t="e">
        <f>IF(O2526="Guaraníes",P2526,P2526*#REF!)</f>
        <v>#REF!</v>
      </c>
      <c r="R2526" s="12">
        <f>IF(O2526="Guaraníes",P2526/#REF!,P2526)</f>
        <v>560.96000000000004</v>
      </c>
      <c r="S2526" s="5" t="s">
        <v>42</v>
      </c>
      <c r="T2526" s="5">
        <v>3253</v>
      </c>
      <c r="U2526" s="5">
        <v>30000</v>
      </c>
      <c r="V2526" s="5">
        <v>9346633.8356750011</v>
      </c>
      <c r="W2526" s="5" t="s">
        <v>65</v>
      </c>
      <c r="X2526" s="5">
        <v>100</v>
      </c>
      <c r="Y2526" s="5">
        <v>1000</v>
      </c>
      <c r="Z2526" s="5">
        <v>1018.69863</v>
      </c>
      <c r="AA2526" s="5">
        <v>30</v>
      </c>
      <c r="AB2526" s="5">
        <v>30560.958900000001</v>
      </c>
      <c r="AC2526" s="5" t="str">
        <f t="shared" si="121"/>
        <v>Bonos</v>
      </c>
      <c r="AD2526" s="5" t="s">
        <v>43</v>
      </c>
      <c r="AE2526" s="5">
        <f t="shared" si="122"/>
        <v>11</v>
      </c>
      <c r="AF2526" s="5">
        <f t="shared" si="123"/>
        <v>2026</v>
      </c>
    </row>
    <row r="2527" s="5" customFormat="1" ht="13">
      <c r="A2527" s="5">
        <v>12316</v>
      </c>
      <c r="B2527" s="5" t="s">
        <v>78</v>
      </c>
      <c r="C2527" s="5" t="s">
        <v>164</v>
      </c>
      <c r="D2527" s="5" t="s">
        <v>21</v>
      </c>
      <c r="E2527" s="5" t="s">
        <v>34</v>
      </c>
      <c r="F2527" s="5" t="s">
        <v>68</v>
      </c>
      <c r="G2527" s="5" t="s">
        <v>145</v>
      </c>
      <c r="H2527" s="9" t="s">
        <v>165</v>
      </c>
      <c r="I2527" s="10"/>
      <c r="J2527" s="10">
        <v>46356</v>
      </c>
      <c r="K2527" s="5" t="s">
        <v>124</v>
      </c>
      <c r="L2527" s="5" t="s">
        <v>58</v>
      </c>
      <c r="M2527" s="11">
        <v>0.10000000000000001</v>
      </c>
      <c r="N2527" s="5" t="e">
        <f>IF(AND(M2527&gt;#REF!,Cartera!O2527="Guaraníes"),"Rendimiento significativo",IF(AND(M2527&gt;#REF!,Cartera!O2527="Dólares americanos"),"Rendimiento significativo","Rendimiento no significativo"))</f>
        <v>#REF!</v>
      </c>
      <c r="O2527" s="5" t="s">
        <v>41</v>
      </c>
      <c r="P2527" s="12">
        <v>3397260.2740000002</v>
      </c>
      <c r="Q2527" s="12">
        <f>IF(O2527="Guaraníes",P2527,P2527*#REF!)</f>
        <v>3397260.2740000002</v>
      </c>
      <c r="R2527" s="12" t="e">
        <f>IF(O2527="Guaraníes",P2527/#REF!,P2527)</f>
        <v>#REF!</v>
      </c>
      <c r="S2527" s="5" t="s">
        <v>42</v>
      </c>
      <c r="T2527" s="5">
        <v>1057</v>
      </c>
      <c r="W2527" s="5" t="s">
        <v>65</v>
      </c>
      <c r="X2527" s="5">
        <v>0</v>
      </c>
      <c r="Y2527" s="5">
        <v>0</v>
      </c>
      <c r="Z2527" s="5">
        <v>8493.1506850000005</v>
      </c>
      <c r="AA2527" s="5">
        <v>400</v>
      </c>
      <c r="AB2527" s="5">
        <v>3397260.2740000002</v>
      </c>
      <c r="AC2527" s="5" t="str">
        <f t="shared" si="121"/>
        <v>Bonos</v>
      </c>
      <c r="AD2527" s="5" t="s">
        <v>43</v>
      </c>
      <c r="AE2527" s="5">
        <f t="shared" si="122"/>
        <v>11</v>
      </c>
      <c r="AF2527" s="5">
        <f t="shared" si="123"/>
        <v>2026</v>
      </c>
    </row>
    <row r="2528" s="5" customFormat="1" ht="13">
      <c r="A2528" s="5">
        <v>12316</v>
      </c>
      <c r="B2528" s="5" t="s">
        <v>78</v>
      </c>
      <c r="C2528" s="5" t="s">
        <v>164</v>
      </c>
      <c r="D2528" s="5" t="s">
        <v>21</v>
      </c>
      <c r="E2528" s="5" t="s">
        <v>34</v>
      </c>
      <c r="F2528" s="5" t="s">
        <v>68</v>
      </c>
      <c r="G2528" s="5" t="s">
        <v>141</v>
      </c>
      <c r="H2528" s="9" t="s">
        <v>165</v>
      </c>
      <c r="I2528" s="10"/>
      <c r="J2528" s="10">
        <v>46356</v>
      </c>
      <c r="K2528" s="5" t="s">
        <v>124</v>
      </c>
      <c r="L2528" s="5" t="s">
        <v>58</v>
      </c>
      <c r="M2528" s="11">
        <v>0.10000000000000001</v>
      </c>
      <c r="N2528" s="5" t="e">
        <f>IF(AND(M2528&gt;#REF!,Cartera!O2528="Guaraníes"),"Rendimiento significativo",IF(AND(M2528&gt;#REF!,Cartera!O2528="Dólares americanos"),"Rendimiento significativo","Rendimiento no significativo"))</f>
        <v>#REF!</v>
      </c>
      <c r="O2528" s="5" t="s">
        <v>41</v>
      </c>
      <c r="P2528" s="12">
        <v>849315.06850000005</v>
      </c>
      <c r="Q2528" s="12">
        <f>IF(O2528="Guaraníes",P2528,P2528*#REF!)</f>
        <v>849315.06850000005</v>
      </c>
      <c r="R2528" s="12" t="e">
        <f>IF(O2528="Guaraníes",P2528/#REF!,P2528)</f>
        <v>#REF!</v>
      </c>
      <c r="S2528" s="5" t="s">
        <v>42</v>
      </c>
      <c r="T2528" s="5">
        <v>9243</v>
      </c>
      <c r="W2528" s="5" t="s">
        <v>65</v>
      </c>
      <c r="X2528" s="5">
        <v>0</v>
      </c>
      <c r="Y2528" s="5">
        <v>0</v>
      </c>
      <c r="Z2528" s="5">
        <v>8493.1506850000005</v>
      </c>
      <c r="AA2528" s="5">
        <v>100</v>
      </c>
      <c r="AB2528" s="5">
        <v>849315.06850000005</v>
      </c>
      <c r="AC2528" s="5" t="str">
        <f t="shared" si="121"/>
        <v>Bonos</v>
      </c>
      <c r="AD2528" s="5" t="s">
        <v>43</v>
      </c>
      <c r="AE2528" s="5">
        <f t="shared" si="122"/>
        <v>11</v>
      </c>
      <c r="AF2528" s="5">
        <f t="shared" si="123"/>
        <v>2026</v>
      </c>
    </row>
    <row r="2529" s="5" customFormat="1" ht="13">
      <c r="A2529" s="5">
        <v>12316</v>
      </c>
      <c r="B2529" s="5" t="s">
        <v>78</v>
      </c>
      <c r="C2529" s="5" t="s">
        <v>164</v>
      </c>
      <c r="D2529" s="5" t="s">
        <v>21</v>
      </c>
      <c r="E2529" s="5" t="s">
        <v>34</v>
      </c>
      <c r="F2529" s="5" t="s">
        <v>68</v>
      </c>
      <c r="G2529" s="5" t="s">
        <v>141</v>
      </c>
      <c r="H2529" s="9" t="s">
        <v>167</v>
      </c>
      <c r="I2529" s="10"/>
      <c r="J2529" s="10">
        <v>46356</v>
      </c>
      <c r="K2529" s="5" t="s">
        <v>124</v>
      </c>
      <c r="L2529" s="5" t="s">
        <v>58</v>
      </c>
      <c r="M2529" s="11">
        <v>0.092499999999999999</v>
      </c>
      <c r="N2529" s="5" t="e">
        <f>IF(AND(M2529&gt;#REF!,Cartera!O2529="Guaraníes"),"Rendimiento significativo",IF(AND(M2529&gt;#REF!,Cartera!O2529="Dólares americanos"),"Rendimiento significativo","Rendimiento no significativo"))</f>
        <v>#REF!</v>
      </c>
      <c r="O2529" s="5" t="s">
        <v>41</v>
      </c>
      <c r="P2529" s="12">
        <v>785616.43839999998</v>
      </c>
      <c r="Q2529" s="12">
        <f>IF(O2529="Guaraníes",P2529,P2529*#REF!)</f>
        <v>785616.43839999998</v>
      </c>
      <c r="R2529" s="12" t="e">
        <f>IF(O2529="Guaraníes",P2529/#REF!,P2529)</f>
        <v>#REF!</v>
      </c>
      <c r="S2529" s="5" t="s">
        <v>42</v>
      </c>
      <c r="T2529" s="5">
        <v>9243</v>
      </c>
      <c r="W2529" s="5" t="s">
        <v>65</v>
      </c>
      <c r="X2529" s="5">
        <v>0</v>
      </c>
      <c r="Y2529" s="5">
        <v>0</v>
      </c>
      <c r="Z2529" s="5">
        <v>7856.1643839999997</v>
      </c>
      <c r="AA2529" s="5">
        <v>100</v>
      </c>
      <c r="AB2529" s="5">
        <v>785616.43839999998</v>
      </c>
      <c r="AC2529" s="5" t="str">
        <f t="shared" si="121"/>
        <v>Bonos</v>
      </c>
      <c r="AD2529" s="5" t="s">
        <v>43</v>
      </c>
      <c r="AE2529" s="5">
        <f t="shared" si="122"/>
        <v>11</v>
      </c>
      <c r="AF2529" s="5">
        <f t="shared" si="123"/>
        <v>2026</v>
      </c>
    </row>
    <row r="2530" s="5" customFormat="1" ht="13">
      <c r="A2530" s="5">
        <v>12316</v>
      </c>
      <c r="B2530" s="5" t="s">
        <v>78</v>
      </c>
      <c r="C2530" s="5" t="s">
        <v>138</v>
      </c>
      <c r="D2530" s="5" t="s">
        <v>21</v>
      </c>
      <c r="E2530" s="5" t="s">
        <v>34</v>
      </c>
      <c r="F2530" s="5" t="s">
        <v>68</v>
      </c>
      <c r="G2530" s="5" t="s">
        <v>86</v>
      </c>
      <c r="H2530" s="9" t="s">
        <v>139</v>
      </c>
      <c r="I2530" s="10">
        <v>43948</v>
      </c>
      <c r="J2530" s="10">
        <v>46360</v>
      </c>
      <c r="K2530" s="5" t="s">
        <v>140</v>
      </c>
      <c r="L2530" s="5" t="s">
        <v>58</v>
      </c>
      <c r="M2530" s="11">
        <v>0.11</v>
      </c>
      <c r="N2530" s="5" t="e">
        <f>IF(AND(M2530&gt;#REF!,Cartera!O2530="Guaraníes"),"Rendimiento significativo",IF(AND(M2530&gt;#REF!,Cartera!O2530="Dólares americanos"),"Rendimiento significativo","Rendimiento no significativo"))</f>
        <v>#REF!</v>
      </c>
      <c r="O2530" s="5" t="s">
        <v>41</v>
      </c>
      <c r="P2530" s="12">
        <v>858678.16899999999</v>
      </c>
      <c r="Q2530" s="12">
        <f>IF(O2530="Guaraníes",P2530,P2530*#REF!)</f>
        <v>858678.16899999999</v>
      </c>
      <c r="R2530" s="12" t="e">
        <f>IF(O2530="Guaraníes",P2530/#REF!,P2530)</f>
        <v>#REF!</v>
      </c>
      <c r="S2530" s="5" t="s">
        <v>42</v>
      </c>
      <c r="AC2530" s="5" t="str">
        <f t="shared" si="121"/>
        <v>Bonos</v>
      </c>
      <c r="AD2530" s="5" t="s">
        <v>43</v>
      </c>
      <c r="AE2530" s="5">
        <f t="shared" si="122"/>
        <v>12</v>
      </c>
      <c r="AF2530" s="5">
        <f t="shared" si="123"/>
        <v>2026</v>
      </c>
    </row>
    <row r="2531" s="5" customFormat="1" ht="13">
      <c r="A2531" s="5">
        <v>12315</v>
      </c>
      <c r="B2531" s="5" t="s">
        <v>73</v>
      </c>
      <c r="C2531" s="5" t="s">
        <v>33</v>
      </c>
      <c r="D2531" s="5" t="s">
        <v>21</v>
      </c>
      <c r="E2531" s="5" t="s">
        <v>34</v>
      </c>
      <c r="F2531" s="5" t="s">
        <v>35</v>
      </c>
      <c r="G2531" s="5" t="s">
        <v>75</v>
      </c>
      <c r="H2531" s="9" t="s">
        <v>186</v>
      </c>
      <c r="I2531" s="10"/>
      <c r="J2531" s="10">
        <v>46365</v>
      </c>
      <c r="K2531" s="5" t="s">
        <v>39</v>
      </c>
      <c r="L2531" s="5" t="s">
        <v>50</v>
      </c>
      <c r="M2531" s="11">
        <v>0.044999999999999998</v>
      </c>
      <c r="N2531" s="5" t="e">
        <f>IF(AND(M2531&gt;#REF!,Cartera!O2531="Guaraníes"),"Rendimiento significativo",IF(AND(M2531&gt;#REF!,Cartera!O2531="Dólares americanos"),"Rendimiento significativo","Rendimiento no significativo"))</f>
        <v>#REF!</v>
      </c>
      <c r="O2531" s="5" t="s">
        <v>51</v>
      </c>
      <c r="P2531" s="13">
        <v>336.57533999999998</v>
      </c>
      <c r="Q2531" s="12" t="e">
        <f>IF(O2531="Guaraníes",P2531,P2531*#REF!)</f>
        <v>#REF!</v>
      </c>
      <c r="R2531" s="12">
        <f>IF(O2531="Guaraníes",P2531/#REF!,P2531)</f>
        <v>336.57533999999998</v>
      </c>
      <c r="S2531" s="5" t="s">
        <v>42</v>
      </c>
      <c r="T2531" s="5">
        <v>25</v>
      </c>
      <c r="W2531" s="5" t="s">
        <v>65</v>
      </c>
      <c r="X2531" s="5">
        <v>0</v>
      </c>
      <c r="Y2531" s="5">
        <v>0</v>
      </c>
      <c r="Z2531" s="5">
        <v>11.219177999999999</v>
      </c>
      <c r="AA2531" s="5">
        <v>30</v>
      </c>
      <c r="AB2531" s="5">
        <v>336.57533999999998</v>
      </c>
      <c r="AC2531" s="5" t="str">
        <f t="shared" si="121"/>
        <v>Bonos</v>
      </c>
      <c r="AD2531" s="5" t="s">
        <v>43</v>
      </c>
      <c r="AE2531" s="5">
        <f t="shared" si="122"/>
        <v>12</v>
      </c>
      <c r="AF2531" s="5">
        <f t="shared" si="123"/>
        <v>2026</v>
      </c>
    </row>
    <row r="2532" s="5" customFormat="1" ht="13">
      <c r="A2532" s="5">
        <v>12315</v>
      </c>
      <c r="B2532" s="5" t="s">
        <v>73</v>
      </c>
      <c r="C2532" s="5" t="s">
        <v>33</v>
      </c>
      <c r="D2532" s="5" t="s">
        <v>21</v>
      </c>
      <c r="E2532" s="5" t="s">
        <v>34</v>
      </c>
      <c r="F2532" s="5" t="s">
        <v>35</v>
      </c>
      <c r="G2532" s="5" t="s">
        <v>69</v>
      </c>
      <c r="H2532" s="9" t="s">
        <v>186</v>
      </c>
      <c r="I2532" s="10"/>
      <c r="J2532" s="10">
        <v>46365</v>
      </c>
      <c r="K2532" s="5" t="s">
        <v>39</v>
      </c>
      <c r="L2532" s="5" t="s">
        <v>50</v>
      </c>
      <c r="M2532" s="11">
        <v>0.044999999999999998</v>
      </c>
      <c r="N2532" s="5" t="e">
        <f>IF(AND(M2532&gt;#REF!,Cartera!O2532="Guaraníes"),"Rendimiento significativo",IF(AND(M2532&gt;#REF!,Cartera!O2532="Dólares americanos"),"Rendimiento significativo","Rendimiento no significativo"))</f>
        <v>#REF!</v>
      </c>
      <c r="O2532" s="5" t="s">
        <v>51</v>
      </c>
      <c r="P2532" s="13">
        <v>448.76711999999998</v>
      </c>
      <c r="Q2532" s="12" t="e">
        <f>IF(O2532="Guaraníes",P2532,P2532*#REF!)</f>
        <v>#REF!</v>
      </c>
      <c r="R2532" s="12">
        <f>IF(O2532="Guaraníes",P2532/#REF!,P2532)</f>
        <v>448.76711999999998</v>
      </c>
      <c r="S2532" s="5" t="s">
        <v>42</v>
      </c>
      <c r="T2532" s="5">
        <v>593</v>
      </c>
      <c r="W2532" s="5" t="s">
        <v>65</v>
      </c>
      <c r="X2532" s="5">
        <v>0</v>
      </c>
      <c r="Y2532" s="5">
        <v>0</v>
      </c>
      <c r="Z2532" s="5">
        <v>11.219177999999999</v>
      </c>
      <c r="AA2532" s="5">
        <v>40</v>
      </c>
      <c r="AB2532" s="5">
        <v>448.76711999999998</v>
      </c>
      <c r="AC2532" s="5" t="str">
        <f t="shared" si="121"/>
        <v>Bonos</v>
      </c>
      <c r="AD2532" s="5" t="s">
        <v>43</v>
      </c>
      <c r="AE2532" s="5">
        <f t="shared" si="122"/>
        <v>12</v>
      </c>
      <c r="AF2532" s="5">
        <f t="shared" si="123"/>
        <v>2026</v>
      </c>
    </row>
    <row r="2533" s="5" customFormat="1" ht="13">
      <c r="A2533" s="5">
        <v>12316</v>
      </c>
      <c r="B2533" s="5" t="s">
        <v>78</v>
      </c>
      <c r="C2533" s="5" t="s">
        <v>160</v>
      </c>
      <c r="D2533" s="5" t="s">
        <v>21</v>
      </c>
      <c r="E2533" s="5" t="s">
        <v>34</v>
      </c>
      <c r="F2533" s="5" t="s">
        <v>68</v>
      </c>
      <c r="G2533" s="5" t="s">
        <v>91</v>
      </c>
      <c r="H2533" s="9" t="s">
        <v>161</v>
      </c>
      <c r="I2533" s="10">
        <v>44581</v>
      </c>
      <c r="J2533" s="10">
        <v>46370</v>
      </c>
      <c r="K2533" s="5" t="s">
        <v>162</v>
      </c>
      <c r="L2533" s="5" t="s">
        <v>58</v>
      </c>
      <c r="M2533" s="11">
        <v>0.086999999999999994</v>
      </c>
      <c r="N2533" s="5" t="e">
        <f>IF(AND(M2533&gt;#REF!,Cartera!O2533="Guaraníes"),"Rendimiento significativo",IF(AND(M2533&gt;#REF!,Cartera!O2533="Dólares americanos"),"Rendimiento significativo","Rendimiento no significativo"))</f>
        <v>#REF!</v>
      </c>
      <c r="O2533" s="5" t="s">
        <v>41</v>
      </c>
      <c r="P2533" s="12">
        <v>17352328.767200001</v>
      </c>
      <c r="Q2533" s="12">
        <f>IF(O2533="Guaraníes",P2533,P2533*#REF!)</f>
        <v>17352328.767200001</v>
      </c>
      <c r="R2533" s="12" t="e">
        <f>IF(O2533="Guaraníes",P2533/#REF!,P2533)</f>
        <v>#REF!</v>
      </c>
      <c r="S2533" s="5" t="s">
        <v>42</v>
      </c>
      <c r="AC2533" s="5" t="str">
        <f t="shared" si="121"/>
        <v>Bonos</v>
      </c>
      <c r="AD2533" s="5" t="s">
        <v>43</v>
      </c>
      <c r="AE2533" s="5">
        <f t="shared" si="122"/>
        <v>12</v>
      </c>
      <c r="AF2533" s="5">
        <f t="shared" si="123"/>
        <v>2026</v>
      </c>
    </row>
    <row r="2534" s="5" customFormat="1" ht="13">
      <c r="A2534" s="5">
        <v>12316</v>
      </c>
      <c r="B2534" s="5" t="s">
        <v>78</v>
      </c>
      <c r="C2534" s="5" t="s">
        <v>54</v>
      </c>
      <c r="D2534" s="5" t="s">
        <v>21</v>
      </c>
      <c r="E2534" s="5" t="s">
        <v>34</v>
      </c>
      <c r="F2534" s="5" t="s">
        <v>46</v>
      </c>
      <c r="G2534" s="5" t="s">
        <v>86</v>
      </c>
      <c r="H2534" s="9" t="s">
        <v>147</v>
      </c>
      <c r="I2534" s="10"/>
      <c r="J2534" s="10">
        <v>46377</v>
      </c>
      <c r="K2534" s="5" t="s">
        <v>57</v>
      </c>
      <c r="L2534" s="5" t="s">
        <v>58</v>
      </c>
      <c r="M2534" s="11">
        <v>0.12</v>
      </c>
      <c r="N2534" s="5" t="e">
        <f>IF(AND(M2534&gt;#REF!,Cartera!O2534="Guaraníes"),"Rendimiento significativo",IF(AND(M2534&gt;#REF!,Cartera!O2534="Dólares americanos"),"Rendimiento significativo","Rendimiento no significativo"))</f>
        <v>#REF!</v>
      </c>
      <c r="O2534" s="5" t="s">
        <v>41</v>
      </c>
      <c r="P2534" s="12">
        <v>2991780.8218999999</v>
      </c>
      <c r="Q2534" s="12">
        <f>IF(O2534="Guaraníes",P2534,P2534*#REF!)</f>
        <v>2991780.8218999999</v>
      </c>
      <c r="R2534" s="12" t="e">
        <f>IF(O2534="Guaraníes",P2534/#REF!,P2534)</f>
        <v>#REF!</v>
      </c>
      <c r="S2534" s="5" t="s">
        <v>42</v>
      </c>
      <c r="T2534" s="5">
        <v>10834</v>
      </c>
      <c r="W2534" s="5" t="s">
        <v>65</v>
      </c>
      <c r="X2534" s="5">
        <v>0</v>
      </c>
      <c r="Y2534" s="5">
        <v>0</v>
      </c>
      <c r="Z2534" s="5">
        <v>29917.808218999999</v>
      </c>
      <c r="AA2534" s="5">
        <v>100</v>
      </c>
      <c r="AB2534" s="5">
        <v>2991780.8218999999</v>
      </c>
      <c r="AC2534" s="5" t="str">
        <f t="shared" si="121"/>
        <v>Bonos</v>
      </c>
      <c r="AD2534" s="5" t="s">
        <v>43</v>
      </c>
      <c r="AE2534" s="5">
        <f t="shared" si="122"/>
        <v>12</v>
      </c>
      <c r="AF2534" s="5">
        <f t="shared" si="123"/>
        <v>2026</v>
      </c>
    </row>
    <row r="2535" s="5" customFormat="1" ht="13">
      <c r="A2535" s="5">
        <v>12316</v>
      </c>
      <c r="B2535" s="5" t="s">
        <v>78</v>
      </c>
      <c r="C2535" s="5" t="s">
        <v>54</v>
      </c>
      <c r="D2535" s="5" t="s">
        <v>21</v>
      </c>
      <c r="E2535" s="5" t="s">
        <v>34</v>
      </c>
      <c r="F2535" s="5" t="s">
        <v>46</v>
      </c>
      <c r="G2535" s="5" t="s">
        <v>86</v>
      </c>
      <c r="H2535" s="9" t="s">
        <v>148</v>
      </c>
      <c r="I2535" s="10"/>
      <c r="J2535" s="10">
        <v>46377</v>
      </c>
      <c r="K2535" s="5" t="s">
        <v>57</v>
      </c>
      <c r="L2535" s="5" t="s">
        <v>58</v>
      </c>
      <c r="M2535" s="11">
        <v>0.097500000000000003</v>
      </c>
      <c r="N2535" s="5" t="e">
        <f>IF(AND(M2535&gt;#REF!,Cartera!O2535="Guaraníes"),"Rendimiento significativo",IF(AND(M2535&gt;#REF!,Cartera!O2535="Dólares americanos"),"Rendimiento significativo","Rendimiento no significativo"))</f>
        <v>#REF!</v>
      </c>
      <c r="O2535" s="5" t="s">
        <v>41</v>
      </c>
      <c r="P2535" s="12">
        <v>12154109.589</v>
      </c>
      <c r="Q2535" s="12">
        <f>IF(O2535="Guaraníes",P2535,P2535*#REF!)</f>
        <v>12154109.589</v>
      </c>
      <c r="R2535" s="12" t="e">
        <f>IF(O2535="Guaraníes",P2535/#REF!,P2535)</f>
        <v>#REF!</v>
      </c>
      <c r="S2535" s="5" t="s">
        <v>42</v>
      </c>
      <c r="T2535" s="5">
        <v>10834</v>
      </c>
      <c r="W2535" s="5" t="s">
        <v>65</v>
      </c>
      <c r="X2535" s="5">
        <v>0</v>
      </c>
      <c r="Y2535" s="5">
        <v>0</v>
      </c>
      <c r="Z2535" s="5">
        <v>24308.219177999999</v>
      </c>
      <c r="AA2535" s="5">
        <v>500</v>
      </c>
      <c r="AB2535" s="5">
        <v>12154109.589</v>
      </c>
      <c r="AC2535" s="5" t="str">
        <f t="shared" si="121"/>
        <v>Bonos</v>
      </c>
      <c r="AD2535" s="5" t="s">
        <v>43</v>
      </c>
      <c r="AE2535" s="5">
        <f t="shared" si="122"/>
        <v>12</v>
      </c>
      <c r="AF2535" s="5">
        <f t="shared" si="123"/>
        <v>2026</v>
      </c>
    </row>
    <row r="2536" s="5" customFormat="1" ht="13">
      <c r="A2536" s="5">
        <v>12316</v>
      </c>
      <c r="B2536" s="5" t="s">
        <v>78</v>
      </c>
      <c r="C2536" s="5" t="s">
        <v>54</v>
      </c>
      <c r="D2536" s="5" t="s">
        <v>21</v>
      </c>
      <c r="E2536" s="5" t="s">
        <v>34</v>
      </c>
      <c r="F2536" s="5" t="s">
        <v>46</v>
      </c>
      <c r="G2536" s="5" t="s">
        <v>75</v>
      </c>
      <c r="H2536" s="9" t="s">
        <v>147</v>
      </c>
      <c r="I2536" s="10"/>
      <c r="J2536" s="10">
        <v>46377</v>
      </c>
      <c r="K2536" s="5" t="s">
        <v>57</v>
      </c>
      <c r="L2536" s="5" t="s">
        <v>58</v>
      </c>
      <c r="M2536" s="11">
        <v>0.12</v>
      </c>
      <c r="N2536" s="5" t="e">
        <f>IF(AND(M2536&gt;#REF!,Cartera!O2536="Guaraníes"),"Rendimiento significativo",IF(AND(M2536&gt;#REF!,Cartera!O2536="Dólares americanos"),"Rendimiento significativo","Rendimiento no significativo"))</f>
        <v>#REF!</v>
      </c>
      <c r="O2536" s="5" t="s">
        <v>41</v>
      </c>
      <c r="P2536" s="12">
        <v>4487671.2328500003</v>
      </c>
      <c r="Q2536" s="12">
        <f>IF(O2536="Guaraníes",P2536,P2536*#REF!)</f>
        <v>4487671.2328500003</v>
      </c>
      <c r="R2536" s="12" t="e">
        <f>IF(O2536="Guaraníes",P2536/#REF!,P2536)</f>
        <v>#REF!</v>
      </c>
      <c r="S2536" s="5" t="s">
        <v>42</v>
      </c>
      <c r="T2536" s="5">
        <v>25</v>
      </c>
      <c r="W2536" s="5" t="s">
        <v>192</v>
      </c>
      <c r="X2536" s="5">
        <v>0</v>
      </c>
      <c r="Y2536" s="5">
        <v>0</v>
      </c>
      <c r="Z2536" s="5">
        <v>29917.808218999999</v>
      </c>
      <c r="AA2536" s="5">
        <v>150</v>
      </c>
      <c r="AB2536" s="5">
        <v>4487671.2328500003</v>
      </c>
      <c r="AC2536" s="5" t="str">
        <f t="shared" si="121"/>
        <v>Bonos</v>
      </c>
      <c r="AD2536" s="5" t="s">
        <v>43</v>
      </c>
      <c r="AE2536" s="5">
        <f t="shared" si="122"/>
        <v>12</v>
      </c>
      <c r="AF2536" s="5">
        <f t="shared" si="123"/>
        <v>2026</v>
      </c>
    </row>
    <row r="2537" s="5" customFormat="1" ht="13">
      <c r="A2537" s="5">
        <v>12316</v>
      </c>
      <c r="B2537" s="5" t="s">
        <v>78</v>
      </c>
      <c r="C2537" s="5" t="s">
        <v>138</v>
      </c>
      <c r="D2537" s="5" t="s">
        <v>21</v>
      </c>
      <c r="E2537" s="5" t="s">
        <v>34</v>
      </c>
      <c r="F2537" s="5" t="s">
        <v>68</v>
      </c>
      <c r="G2537" s="5" t="s">
        <v>86</v>
      </c>
      <c r="H2537" s="9" t="s">
        <v>193</v>
      </c>
      <c r="I2537" s="10">
        <v>44104</v>
      </c>
      <c r="J2537" s="10">
        <v>46378</v>
      </c>
      <c r="K2537" s="5" t="s">
        <v>140</v>
      </c>
      <c r="L2537" s="5" t="s">
        <v>58</v>
      </c>
      <c r="M2537" s="11">
        <v>0.10000000000000001</v>
      </c>
      <c r="N2537" s="5" t="e">
        <f>IF(AND(M2537&gt;#REF!,Cartera!O2537="Guaraníes"),"Rendimiento significativo",IF(AND(M2537&gt;#REF!,Cartera!O2537="Dólares americanos"),"Rendimiento significativo","Rendimiento no significativo"))</f>
        <v>#REF!</v>
      </c>
      <c r="O2537" s="5" t="s">
        <v>41</v>
      </c>
      <c r="P2537" s="12">
        <v>2493150.6849000002</v>
      </c>
      <c r="Q2537" s="12">
        <f>IF(O2537="Guaraníes",P2537,P2537*#REF!)</f>
        <v>2493150.6849000002</v>
      </c>
      <c r="R2537" s="12" t="e">
        <f>IF(O2537="Guaraníes",P2537/#REF!,P2537)</f>
        <v>#REF!</v>
      </c>
      <c r="S2537" s="5" t="s">
        <v>42</v>
      </c>
      <c r="AC2537" s="5" t="str">
        <f t="shared" si="121"/>
        <v>Bonos</v>
      </c>
      <c r="AD2537" s="5" t="s">
        <v>43</v>
      </c>
      <c r="AE2537" s="5">
        <f t="shared" si="122"/>
        <v>12</v>
      </c>
      <c r="AF2537" s="5">
        <f t="shared" si="123"/>
        <v>2026</v>
      </c>
    </row>
    <row r="2538" s="5" customFormat="1" ht="13">
      <c r="A2538" s="5">
        <v>12316</v>
      </c>
      <c r="B2538" s="5" t="s">
        <v>78</v>
      </c>
      <c r="C2538" s="5" t="s">
        <v>164</v>
      </c>
      <c r="D2538" s="5" t="s">
        <v>21</v>
      </c>
      <c r="E2538" s="5" t="s">
        <v>34</v>
      </c>
      <c r="F2538" s="5" t="s">
        <v>68</v>
      </c>
      <c r="G2538" s="5" t="s">
        <v>145</v>
      </c>
      <c r="H2538" s="9" t="s">
        <v>165</v>
      </c>
      <c r="I2538" s="10"/>
      <c r="J2538" s="10">
        <v>46386</v>
      </c>
      <c r="K2538" s="5" t="s">
        <v>124</v>
      </c>
      <c r="L2538" s="5" t="s">
        <v>58</v>
      </c>
      <c r="M2538" s="11">
        <v>0.10000000000000001</v>
      </c>
      <c r="N2538" s="5" t="e">
        <f>IF(AND(M2538&gt;#REF!,Cartera!O2538="Guaraníes"),"Rendimiento significativo",IF(AND(M2538&gt;#REF!,Cartera!O2538="Dólares americanos"),"Rendimiento significativo","Rendimiento no significativo"))</f>
        <v>#REF!</v>
      </c>
      <c r="O2538" s="5" t="s">
        <v>41</v>
      </c>
      <c r="P2538" s="12">
        <v>3287671.2328000003</v>
      </c>
      <c r="Q2538" s="12">
        <f>IF(O2538="Guaraníes",P2538,P2538*#REF!)</f>
        <v>3287671.2328000003</v>
      </c>
      <c r="R2538" s="12" t="e">
        <f>IF(O2538="Guaraníes",P2538/#REF!,P2538)</f>
        <v>#REF!</v>
      </c>
      <c r="S2538" s="5" t="s">
        <v>42</v>
      </c>
      <c r="T2538" s="5">
        <v>1057</v>
      </c>
      <c r="W2538" s="5" t="s">
        <v>65</v>
      </c>
      <c r="X2538" s="5">
        <v>0</v>
      </c>
      <c r="Y2538" s="5">
        <v>0</v>
      </c>
      <c r="Z2538" s="5">
        <v>8219.1780820000004</v>
      </c>
      <c r="AA2538" s="5">
        <v>400</v>
      </c>
      <c r="AB2538" s="5">
        <v>3287671.2327999999</v>
      </c>
      <c r="AC2538" s="5" t="str">
        <f t="shared" si="121"/>
        <v>Bonos</v>
      </c>
      <c r="AD2538" s="5" t="s">
        <v>43</v>
      </c>
      <c r="AE2538" s="5">
        <f t="shared" si="122"/>
        <v>12</v>
      </c>
      <c r="AF2538" s="5">
        <f t="shared" si="123"/>
        <v>2026</v>
      </c>
    </row>
    <row r="2539" s="5" customFormat="1" ht="13">
      <c r="A2539" s="5">
        <v>12316</v>
      </c>
      <c r="B2539" s="5" t="s">
        <v>78</v>
      </c>
      <c r="C2539" s="5" t="s">
        <v>164</v>
      </c>
      <c r="D2539" s="5" t="s">
        <v>21</v>
      </c>
      <c r="E2539" s="5" t="s">
        <v>34</v>
      </c>
      <c r="F2539" s="5" t="s">
        <v>68</v>
      </c>
      <c r="G2539" s="5" t="s">
        <v>141</v>
      </c>
      <c r="H2539" s="9" t="s">
        <v>165</v>
      </c>
      <c r="I2539" s="10"/>
      <c r="J2539" s="10">
        <v>46386</v>
      </c>
      <c r="K2539" s="5" t="s">
        <v>124</v>
      </c>
      <c r="L2539" s="5" t="s">
        <v>58</v>
      </c>
      <c r="M2539" s="11">
        <v>0.10000000000000001</v>
      </c>
      <c r="N2539" s="5" t="e">
        <f>IF(AND(M2539&gt;#REF!,Cartera!O2539="Guaraníes"),"Rendimiento significativo",IF(AND(M2539&gt;#REF!,Cartera!O2539="Dólares americanos"),"Rendimiento significativo","Rendimiento no significativo"))</f>
        <v>#REF!</v>
      </c>
      <c r="O2539" s="5" t="s">
        <v>41</v>
      </c>
      <c r="P2539" s="12">
        <v>821917.80820000009</v>
      </c>
      <c r="Q2539" s="12">
        <f>IF(O2539="Guaraníes",P2539,P2539*#REF!)</f>
        <v>821917.80820000009</v>
      </c>
      <c r="R2539" s="12" t="e">
        <f>IF(O2539="Guaraníes",P2539/#REF!,P2539)</f>
        <v>#REF!</v>
      </c>
      <c r="S2539" s="5" t="s">
        <v>42</v>
      </c>
      <c r="T2539" s="5">
        <v>9243</v>
      </c>
      <c r="W2539" s="5" t="s">
        <v>65</v>
      </c>
      <c r="X2539" s="5">
        <v>0</v>
      </c>
      <c r="Y2539" s="5">
        <v>0</v>
      </c>
      <c r="Z2539" s="5">
        <v>8219.1780820000004</v>
      </c>
      <c r="AA2539" s="5">
        <v>100</v>
      </c>
      <c r="AB2539" s="5">
        <v>821917.80819999997</v>
      </c>
      <c r="AC2539" s="5" t="str">
        <f t="shared" si="121"/>
        <v>Bonos</v>
      </c>
      <c r="AD2539" s="5" t="s">
        <v>43</v>
      </c>
      <c r="AE2539" s="5">
        <f t="shared" si="122"/>
        <v>12</v>
      </c>
      <c r="AF2539" s="5">
        <f t="shared" si="123"/>
        <v>2026</v>
      </c>
    </row>
    <row r="2540" s="5" customFormat="1" ht="13">
      <c r="A2540" s="5">
        <v>12316</v>
      </c>
      <c r="B2540" s="5" t="s">
        <v>78</v>
      </c>
      <c r="C2540" s="5" t="s">
        <v>164</v>
      </c>
      <c r="D2540" s="5" t="s">
        <v>21</v>
      </c>
      <c r="E2540" s="5" t="s">
        <v>34</v>
      </c>
      <c r="F2540" s="5" t="s">
        <v>68</v>
      </c>
      <c r="G2540" s="5" t="s">
        <v>141</v>
      </c>
      <c r="H2540" s="9" t="s">
        <v>167</v>
      </c>
      <c r="I2540" s="10"/>
      <c r="J2540" s="10">
        <v>46386</v>
      </c>
      <c r="K2540" s="5" t="s">
        <v>124</v>
      </c>
      <c r="L2540" s="5" t="s">
        <v>58</v>
      </c>
      <c r="M2540" s="11">
        <v>0.092499999999999999</v>
      </c>
      <c r="N2540" s="5" t="e">
        <f>IF(AND(M2540&gt;#REF!,Cartera!O2540="Guaraníes"),"Rendimiento significativo",IF(AND(M2540&gt;#REF!,Cartera!O2540="Dólares americanos"),"Rendimiento significativo","Rendimiento no significativo"))</f>
        <v>#REF!</v>
      </c>
      <c r="O2540" s="5" t="s">
        <v>41</v>
      </c>
      <c r="P2540" s="12">
        <v>760275</v>
      </c>
      <c r="Q2540" s="12">
        <f>IF(O2540="Guaraníes",P2540,P2540*#REF!)</f>
        <v>760275</v>
      </c>
      <c r="R2540" s="12" t="e">
        <f>IF(O2540="Guaraníes",P2540/#REF!,P2540)</f>
        <v>#REF!</v>
      </c>
      <c r="S2540" s="5" t="s">
        <v>42</v>
      </c>
      <c r="T2540" s="5">
        <v>9243</v>
      </c>
      <c r="AC2540" s="5" t="str">
        <f t="shared" si="121"/>
        <v>Bonos</v>
      </c>
      <c r="AD2540" s="5" t="s">
        <v>43</v>
      </c>
      <c r="AE2540" s="5">
        <f t="shared" si="122"/>
        <v>12</v>
      </c>
      <c r="AF2540" s="5">
        <f t="shared" si="123"/>
        <v>2026</v>
      </c>
    </row>
    <row r="2541" s="5" customFormat="1" ht="13">
      <c r="A2541" s="5">
        <v>12315</v>
      </c>
      <c r="B2541" s="5" t="s">
        <v>73</v>
      </c>
      <c r="C2541" s="5" t="s">
        <v>74</v>
      </c>
      <c r="D2541" s="5" t="s">
        <v>21</v>
      </c>
      <c r="E2541" s="5" t="s">
        <v>34</v>
      </c>
      <c r="F2541" s="5" t="s">
        <v>68</v>
      </c>
      <c r="G2541" s="5" t="s">
        <v>75</v>
      </c>
      <c r="H2541" s="9" t="s">
        <v>76</v>
      </c>
      <c r="I2541" s="10"/>
      <c r="J2541" s="10">
        <v>46391</v>
      </c>
      <c r="K2541" s="5" t="s">
        <v>77</v>
      </c>
      <c r="L2541" s="5" t="s">
        <v>50</v>
      </c>
      <c r="M2541" s="11">
        <v>0.055</v>
      </c>
      <c r="N2541" s="5" t="e">
        <f>IF(AND(M2541&gt;#REF!,Cartera!O2541="Guaraníes"),"Rendimiento significativo",IF(AND(M2541&gt;#REF!,Cartera!O2541="Dólares americanos"),"Rendimiento significativo","Rendimiento no significativo"))</f>
        <v>#REF!</v>
      </c>
      <c r="O2541" s="5" t="s">
        <v>51</v>
      </c>
      <c r="P2541" s="13">
        <v>429.45204000000001</v>
      </c>
      <c r="Q2541" s="12" t="e">
        <f>IF(O2541="Guaraníes",P2541,P2541*#REF!)</f>
        <v>#REF!</v>
      </c>
      <c r="R2541" s="12">
        <f>IF(O2541="Guaraníes",P2541/#REF!,P2541)</f>
        <v>429.45204000000001</v>
      </c>
      <c r="S2541" s="5" t="s">
        <v>42</v>
      </c>
      <c r="T2541" s="5">
        <v>25</v>
      </c>
      <c r="W2541" s="5" t="s">
        <v>65</v>
      </c>
      <c r="X2541" s="5">
        <v>0</v>
      </c>
      <c r="Y2541" s="5">
        <v>0</v>
      </c>
      <c r="Z2541" s="5">
        <v>14.315068</v>
      </c>
      <c r="AA2541" s="5">
        <v>30</v>
      </c>
      <c r="AB2541" s="5">
        <v>429.44999999999999</v>
      </c>
      <c r="AC2541" s="5" t="str">
        <f t="shared" si="121"/>
        <v>Bonos</v>
      </c>
      <c r="AD2541" s="5" t="s">
        <v>43</v>
      </c>
      <c r="AE2541" s="5">
        <f t="shared" si="122"/>
        <v>1</v>
      </c>
      <c r="AF2541" s="5">
        <f t="shared" si="123"/>
        <v>2027</v>
      </c>
    </row>
    <row r="2542" s="5" customFormat="1" ht="13">
      <c r="A2542" s="5">
        <v>12316</v>
      </c>
      <c r="B2542" s="5" t="s">
        <v>78</v>
      </c>
      <c r="C2542" s="5" t="s">
        <v>138</v>
      </c>
      <c r="D2542" s="5" t="s">
        <v>21</v>
      </c>
      <c r="E2542" s="5" t="s">
        <v>34</v>
      </c>
      <c r="F2542" s="5" t="s">
        <v>68</v>
      </c>
      <c r="G2542" s="5" t="s">
        <v>86</v>
      </c>
      <c r="H2542" s="9" t="s">
        <v>139</v>
      </c>
      <c r="I2542" s="10">
        <v>43948</v>
      </c>
      <c r="J2542" s="10">
        <v>46391</v>
      </c>
      <c r="K2542" s="5" t="s">
        <v>140</v>
      </c>
      <c r="L2542" s="5" t="s">
        <v>58</v>
      </c>
      <c r="M2542" s="11">
        <v>0.11</v>
      </c>
      <c r="N2542" s="5" t="e">
        <f>IF(AND(M2542&gt;#REF!,Cartera!O2542="Guaraníes"),"Rendimiento significativo",IF(AND(M2542&gt;#REF!,Cartera!O2542="Dólares americanos"),"Rendimiento significativo","Rendimiento no significativo"))</f>
        <v>#REF!</v>
      </c>
      <c r="O2542" s="5" t="s">
        <v>41</v>
      </c>
      <c r="P2542" s="12">
        <v>877651.84239999996</v>
      </c>
      <c r="Q2542" s="12">
        <f>IF(O2542="Guaraníes",P2542,P2542*#REF!)</f>
        <v>877651.84239999996</v>
      </c>
      <c r="R2542" s="12" t="e">
        <f>IF(O2542="Guaraníes",P2542/#REF!,P2542)</f>
        <v>#REF!</v>
      </c>
      <c r="S2542" s="5" t="s">
        <v>42</v>
      </c>
      <c r="AC2542" s="5" t="str">
        <f t="shared" si="121"/>
        <v>Bonos</v>
      </c>
      <c r="AD2542" s="5" t="s">
        <v>43</v>
      </c>
      <c r="AE2542" s="5">
        <f t="shared" si="122"/>
        <v>1</v>
      </c>
      <c r="AF2542" s="5">
        <f t="shared" si="123"/>
        <v>2027</v>
      </c>
    </row>
    <row r="2543" s="5" customFormat="1" ht="13">
      <c r="A2543" s="5">
        <v>12315</v>
      </c>
      <c r="B2543" s="5" t="s">
        <v>73</v>
      </c>
      <c r="C2543" s="5" t="s">
        <v>85</v>
      </c>
      <c r="D2543" s="5" t="s">
        <v>21</v>
      </c>
      <c r="E2543" s="5" t="s">
        <v>34</v>
      </c>
      <c r="F2543" s="5" t="s">
        <v>68</v>
      </c>
      <c r="G2543" s="5" t="s">
        <v>86</v>
      </c>
      <c r="H2543" s="9" t="s">
        <v>87</v>
      </c>
      <c r="I2543" s="10"/>
      <c r="J2543" s="10">
        <v>46401</v>
      </c>
      <c r="K2543" s="5" t="s">
        <v>39</v>
      </c>
      <c r="L2543" s="5" t="s">
        <v>58</v>
      </c>
      <c r="M2543" s="11">
        <v>0.059999999999999998</v>
      </c>
      <c r="N2543" s="5" t="e">
        <f>IF(AND(M2543&gt;#REF!,Cartera!O2543="Guaraníes"),"Rendimiento significativo",IF(AND(M2543&gt;#REF!,Cartera!O2543="Dólares americanos"),"Rendimiento significativo","Rendimiento no significativo"))</f>
        <v>#REF!</v>
      </c>
      <c r="O2543" s="5" t="s">
        <v>51</v>
      </c>
      <c r="P2543" s="13">
        <v>747.9452</v>
      </c>
      <c r="Q2543" s="12" t="e">
        <f>IF(O2543="Guaraníes",P2543,P2543*#REF!)</f>
        <v>#REF!</v>
      </c>
      <c r="R2543" s="12">
        <f>IF(O2543="Guaraníes",P2543/#REF!,P2543)</f>
        <v>747.9452</v>
      </c>
      <c r="S2543" s="5" t="s">
        <v>42</v>
      </c>
      <c r="T2543" s="5">
        <v>10834</v>
      </c>
      <c r="W2543" s="5" t="s">
        <v>540</v>
      </c>
      <c r="X2543" s="5">
        <v>0</v>
      </c>
      <c r="Y2543" s="5">
        <v>0</v>
      </c>
      <c r="Z2543" s="5">
        <v>14.958904</v>
      </c>
      <c r="AA2543" s="5">
        <v>50</v>
      </c>
      <c r="AB2543" s="5">
        <v>747.9452</v>
      </c>
      <c r="AC2543" s="5" t="str">
        <f t="shared" si="121"/>
        <v>Bonos</v>
      </c>
      <c r="AD2543" s="5" t="s">
        <v>43</v>
      </c>
      <c r="AE2543" s="5">
        <f t="shared" si="122"/>
        <v>1</v>
      </c>
      <c r="AF2543" s="5">
        <f t="shared" si="123"/>
        <v>2027</v>
      </c>
    </row>
    <row r="2544" s="5" customFormat="1" ht="13">
      <c r="A2544" s="5">
        <v>12315</v>
      </c>
      <c r="B2544" s="5" t="s">
        <v>73</v>
      </c>
      <c r="C2544" s="5" t="s">
        <v>54</v>
      </c>
      <c r="D2544" s="5" t="s">
        <v>21</v>
      </c>
      <c r="E2544" s="5" t="s">
        <v>34</v>
      </c>
      <c r="F2544" s="5" t="s">
        <v>46</v>
      </c>
      <c r="G2544" s="5" t="s">
        <v>55</v>
      </c>
      <c r="H2544" s="9" t="s">
        <v>56</v>
      </c>
      <c r="I2544" s="10">
        <v>44680</v>
      </c>
      <c r="J2544" s="10">
        <v>46409</v>
      </c>
      <c r="K2544" s="5" t="s">
        <v>57</v>
      </c>
      <c r="L2544" s="5" t="s">
        <v>58</v>
      </c>
      <c r="M2544" s="11">
        <v>0.059999999999999998</v>
      </c>
      <c r="N2544" s="5" t="e">
        <f>IF(AND(M2544&gt;#REF!,Cartera!O2544="Guaraníes"),"Rendimiento significativo",IF(AND(M2544&gt;#REF!,Cartera!O2544="Dólares americanos"),"Rendimiento significativo","Rendimiento no significativo"))</f>
        <v>#REF!</v>
      </c>
      <c r="O2544" s="5" t="s">
        <v>51</v>
      </c>
      <c r="P2544" s="13">
        <v>747.9452</v>
      </c>
      <c r="Q2544" s="12" t="e">
        <f>IF(O2544="Guaraníes",P2544,P2544*#REF!)</f>
        <v>#REF!</v>
      </c>
      <c r="R2544" s="12">
        <f>IF(O2544="Guaraníes",P2544/#REF!,P2544)</f>
        <v>747.9452</v>
      </c>
      <c r="S2544" s="5" t="s">
        <v>42</v>
      </c>
      <c r="T2544" s="5">
        <v>17035</v>
      </c>
      <c r="V2544" s="5">
        <v>14.960000000000001</v>
      </c>
      <c r="AA2544" s="5">
        <v>50</v>
      </c>
      <c r="AC2544" s="5" t="str">
        <f t="shared" si="121"/>
        <v>Bonos</v>
      </c>
      <c r="AD2544" s="5" t="s">
        <v>43</v>
      </c>
      <c r="AE2544" s="5">
        <f t="shared" si="122"/>
        <v>1</v>
      </c>
      <c r="AF2544" s="5">
        <f t="shared" si="123"/>
        <v>2027</v>
      </c>
    </row>
    <row r="2545" s="5" customFormat="1" ht="13">
      <c r="A2545" s="5">
        <v>12315</v>
      </c>
      <c r="B2545" s="5" t="s">
        <v>73</v>
      </c>
      <c r="C2545" s="5" t="s">
        <v>33</v>
      </c>
      <c r="D2545" s="5" t="s">
        <v>21</v>
      </c>
      <c r="E2545" s="5" t="s">
        <v>34</v>
      </c>
      <c r="F2545" s="5" t="s">
        <v>35</v>
      </c>
      <c r="G2545" s="5" t="s">
        <v>141</v>
      </c>
      <c r="H2545" s="9" t="s">
        <v>142</v>
      </c>
      <c r="I2545" s="10">
        <v>44956</v>
      </c>
      <c r="J2545" s="10">
        <v>46413</v>
      </c>
      <c r="K2545" s="5" t="s">
        <v>39</v>
      </c>
      <c r="L2545" s="5" t="s">
        <v>50</v>
      </c>
      <c r="M2545" s="11">
        <v>0.065000000000000002</v>
      </c>
      <c r="N2545" s="5" t="e">
        <f>IF(AND(M2545&gt;#REF!,Cartera!O2545="Guaraníes"),"Rendimiento significativo",IF(AND(M2545&gt;#REF!,Cartera!O2545="Dólares americanos"),"Rendimiento significativo","Rendimiento no significativo"))</f>
        <v>#REF!</v>
      </c>
      <c r="O2545" s="5" t="s">
        <v>51</v>
      </c>
      <c r="P2545" s="13">
        <v>1296.43832</v>
      </c>
      <c r="Q2545" s="12" t="e">
        <f>IF(O2545="Guaraníes",P2545,P2545*#REF!)</f>
        <v>#REF!</v>
      </c>
      <c r="R2545" s="12">
        <f>IF(O2545="Guaraníes",P2545/#REF!,P2545)</f>
        <v>1296.43832</v>
      </c>
      <c r="S2545" s="5" t="s">
        <v>42</v>
      </c>
      <c r="AC2545" s="5" t="str">
        <f t="shared" si="121"/>
        <v>Bonos</v>
      </c>
      <c r="AD2545" s="5" t="s">
        <v>43</v>
      </c>
      <c r="AE2545" s="5">
        <f t="shared" si="122"/>
        <v>1</v>
      </c>
      <c r="AF2545" s="5">
        <f t="shared" si="123"/>
        <v>2027</v>
      </c>
    </row>
    <row r="2546" s="5" customFormat="1" ht="13">
      <c r="A2546" s="5">
        <v>12316</v>
      </c>
      <c r="B2546" s="5" t="s">
        <v>78</v>
      </c>
      <c r="C2546" s="5" t="s">
        <v>164</v>
      </c>
      <c r="D2546" s="5" t="s">
        <v>21</v>
      </c>
      <c r="E2546" s="5" t="s">
        <v>34</v>
      </c>
      <c r="F2546" s="5" t="s">
        <v>68</v>
      </c>
      <c r="G2546" s="5" t="s">
        <v>145</v>
      </c>
      <c r="H2546" s="9" t="s">
        <v>165</v>
      </c>
      <c r="I2546" s="10"/>
      <c r="J2546" s="10">
        <v>46416</v>
      </c>
      <c r="K2546" s="5" t="s">
        <v>124</v>
      </c>
      <c r="L2546" s="5" t="s">
        <v>58</v>
      </c>
      <c r="M2546" s="11">
        <v>0.10000000000000001</v>
      </c>
      <c r="N2546" s="5" t="e">
        <f>IF(AND(M2546&gt;#REF!,Cartera!O2546="Guaraníes"),"Rendimiento significativo",IF(AND(M2546&gt;#REF!,Cartera!O2546="Dólares americanos"),"Rendimiento significativo","Rendimiento no significativo"))</f>
        <v>#REF!</v>
      </c>
      <c r="O2546" s="5" t="s">
        <v>41</v>
      </c>
      <c r="P2546" s="12">
        <v>3287671.2328000003</v>
      </c>
      <c r="Q2546" s="12">
        <f>IF(O2546="Guaraníes",P2546,P2546*#REF!)</f>
        <v>3287671.2328000003</v>
      </c>
      <c r="R2546" s="12" t="e">
        <f>IF(O2546="Guaraníes",P2546/#REF!,P2546)</f>
        <v>#REF!</v>
      </c>
      <c r="S2546" s="5" t="s">
        <v>42</v>
      </c>
      <c r="T2546" s="5">
        <v>1057</v>
      </c>
      <c r="W2546" s="5" t="s">
        <v>65</v>
      </c>
      <c r="X2546" s="5">
        <v>0</v>
      </c>
      <c r="Y2546" s="5">
        <v>0</v>
      </c>
      <c r="Z2546" s="5">
        <v>8219.1780820000004</v>
      </c>
      <c r="AA2546" s="5">
        <v>400</v>
      </c>
      <c r="AB2546" s="5">
        <v>3287671.2327999999</v>
      </c>
      <c r="AC2546" s="5" t="str">
        <f t="shared" si="121"/>
        <v>Bonos</v>
      </c>
      <c r="AD2546" s="5" t="s">
        <v>43</v>
      </c>
      <c r="AE2546" s="5">
        <f t="shared" si="122"/>
        <v>1</v>
      </c>
      <c r="AF2546" s="5">
        <f t="shared" si="123"/>
        <v>2027</v>
      </c>
    </row>
    <row r="2547" s="5" customFormat="1" ht="13">
      <c r="A2547" s="5">
        <v>12316</v>
      </c>
      <c r="B2547" s="5" t="s">
        <v>78</v>
      </c>
      <c r="C2547" s="5" t="s">
        <v>164</v>
      </c>
      <c r="D2547" s="5" t="s">
        <v>21</v>
      </c>
      <c r="E2547" s="5" t="s">
        <v>34</v>
      </c>
      <c r="F2547" s="5" t="s">
        <v>68</v>
      </c>
      <c r="G2547" s="5" t="s">
        <v>141</v>
      </c>
      <c r="H2547" s="9" t="s">
        <v>165</v>
      </c>
      <c r="I2547" s="10"/>
      <c r="J2547" s="10">
        <v>46416</v>
      </c>
      <c r="K2547" s="5" t="s">
        <v>124</v>
      </c>
      <c r="L2547" s="5" t="s">
        <v>58</v>
      </c>
      <c r="M2547" s="11">
        <v>0.10000000000000001</v>
      </c>
      <c r="N2547" s="5" t="e">
        <f>IF(AND(M2547&gt;#REF!,Cartera!O2547="Guaraníes"),"Rendimiento significativo",IF(AND(M2547&gt;#REF!,Cartera!O2547="Dólares americanos"),"Rendimiento significativo","Rendimiento no significativo"))</f>
        <v>#REF!</v>
      </c>
      <c r="O2547" s="5" t="s">
        <v>41</v>
      </c>
      <c r="P2547" s="12">
        <v>821917.80820000009</v>
      </c>
      <c r="Q2547" s="12">
        <f>IF(O2547="Guaraníes",P2547,P2547*#REF!)</f>
        <v>821917.80820000009</v>
      </c>
      <c r="R2547" s="12" t="e">
        <f>IF(O2547="Guaraníes",P2547/#REF!,P2547)</f>
        <v>#REF!</v>
      </c>
      <c r="S2547" s="5" t="s">
        <v>42</v>
      </c>
      <c r="T2547" s="5">
        <v>9243</v>
      </c>
      <c r="W2547" s="5" t="s">
        <v>65</v>
      </c>
      <c r="X2547" s="5">
        <v>0</v>
      </c>
      <c r="Y2547" s="5">
        <v>0</v>
      </c>
      <c r="Z2547" s="5">
        <v>8219.1780820000004</v>
      </c>
      <c r="AA2547" s="5">
        <v>100</v>
      </c>
      <c r="AB2547" s="5">
        <v>821917.80819999997</v>
      </c>
      <c r="AC2547" s="5" t="str">
        <f t="shared" si="121"/>
        <v>Bonos</v>
      </c>
      <c r="AD2547" s="5" t="s">
        <v>43</v>
      </c>
      <c r="AE2547" s="5">
        <f t="shared" si="122"/>
        <v>1</v>
      </c>
      <c r="AF2547" s="5">
        <f t="shared" si="123"/>
        <v>2027</v>
      </c>
    </row>
    <row r="2548" s="5" customFormat="1" ht="13">
      <c r="A2548" s="5">
        <v>12316</v>
      </c>
      <c r="B2548" s="5" t="s">
        <v>78</v>
      </c>
      <c r="C2548" s="5" t="s">
        <v>138</v>
      </c>
      <c r="D2548" s="5" t="s">
        <v>21</v>
      </c>
      <c r="E2548" s="5" t="s">
        <v>34</v>
      </c>
      <c r="F2548" s="5" t="s">
        <v>68</v>
      </c>
      <c r="G2548" s="5" t="s">
        <v>86</v>
      </c>
      <c r="H2548" s="9" t="s">
        <v>139</v>
      </c>
      <c r="I2548" s="10">
        <v>43948</v>
      </c>
      <c r="J2548" s="10">
        <v>46421</v>
      </c>
      <c r="K2548" s="5" t="s">
        <v>140</v>
      </c>
      <c r="L2548" s="5" t="s">
        <v>58</v>
      </c>
      <c r="M2548" s="11">
        <v>0.11</v>
      </c>
      <c r="N2548" s="5" t="e">
        <f>IF(AND(M2548&gt;#REF!,Cartera!O2548="Guaraníes"),"Rendimiento significativo",IF(AND(M2548&gt;#REF!,Cartera!O2548="Dólares americanos"),"Rendimiento significativo","Rendimiento no significativo"))</f>
        <v>#REF!</v>
      </c>
      <c r="O2548" s="5" t="s">
        <v>41</v>
      </c>
      <c r="P2548" s="12">
        <v>839917.22050000005</v>
      </c>
      <c r="Q2548" s="12">
        <f>IF(O2548="Guaraníes",P2548,P2548*#REF!)</f>
        <v>839917.22050000005</v>
      </c>
      <c r="R2548" s="12" t="e">
        <f>IF(O2548="Guaraníes",P2548/#REF!,P2548)</f>
        <v>#REF!</v>
      </c>
      <c r="S2548" s="5" t="s">
        <v>42</v>
      </c>
      <c r="AC2548" s="5" t="str">
        <f t="shared" si="121"/>
        <v>Bonos</v>
      </c>
      <c r="AD2548" s="5" t="s">
        <v>43</v>
      </c>
      <c r="AE2548" s="5">
        <f t="shared" si="122"/>
        <v>2</v>
      </c>
      <c r="AF2548" s="5">
        <f t="shared" si="123"/>
        <v>2027</v>
      </c>
    </row>
    <row r="2549" s="5" customFormat="1" ht="13">
      <c r="A2549" s="5">
        <v>12315</v>
      </c>
      <c r="B2549" s="5" t="s">
        <v>73</v>
      </c>
      <c r="C2549" s="5" t="s">
        <v>45</v>
      </c>
      <c r="D2549" s="5" t="s">
        <v>21</v>
      </c>
      <c r="E2549" s="5" t="s">
        <v>34</v>
      </c>
      <c r="F2549" s="5" t="s">
        <v>46</v>
      </c>
      <c r="G2549" s="5" t="s">
        <v>55</v>
      </c>
      <c r="H2549" s="9" t="s">
        <v>108</v>
      </c>
      <c r="I2549" s="10">
        <v>44704</v>
      </c>
      <c r="J2549" s="10">
        <v>46433</v>
      </c>
      <c r="K2549" s="5" t="s">
        <v>49</v>
      </c>
      <c r="L2549" s="5" t="s">
        <v>58</v>
      </c>
      <c r="M2549" s="11">
        <v>0.059999999999999998</v>
      </c>
      <c r="N2549" s="5" t="e">
        <f>IF(AND(M2549&gt;#REF!,Cartera!O2549="Guaraníes"),"Rendimiento significativo",IF(AND(M2549&gt;#REF!,Cartera!O2549="Dólares americanos"),"Rendimiento significativo","Rendimiento no significativo"))</f>
        <v>#REF!</v>
      </c>
      <c r="O2549" s="5" t="s">
        <v>51</v>
      </c>
      <c r="P2549" s="13">
        <v>373.9726</v>
      </c>
      <c r="Q2549" s="12" t="e">
        <f>IF(O2549="Guaraníes",P2549,P2549*#REF!)</f>
        <v>#REF!</v>
      </c>
      <c r="R2549" s="12">
        <f>IF(O2549="Guaraníes",P2549/#REF!,P2549)</f>
        <v>373.9726</v>
      </c>
      <c r="S2549" s="5" t="s">
        <v>42</v>
      </c>
      <c r="V2549" s="5">
        <v>14.958904</v>
      </c>
      <c r="AA2549" s="5">
        <v>25</v>
      </c>
      <c r="AC2549" s="5" t="str">
        <f t="shared" si="121"/>
        <v>Bonos</v>
      </c>
      <c r="AD2549" s="5" t="s">
        <v>43</v>
      </c>
      <c r="AE2549" s="5">
        <f t="shared" si="122"/>
        <v>2</v>
      </c>
      <c r="AF2549" s="5">
        <f t="shared" si="123"/>
        <v>2027</v>
      </c>
    </row>
    <row r="2550" s="5" customFormat="1" ht="13">
      <c r="A2550" s="5" t="s">
        <v>368</v>
      </c>
      <c r="B2550" s="5" t="s">
        <v>368</v>
      </c>
      <c r="C2550" s="5" t="s">
        <v>67</v>
      </c>
      <c r="D2550" s="5" t="s">
        <v>20</v>
      </c>
      <c r="E2550" s="5" t="s">
        <v>34</v>
      </c>
      <c r="F2550" s="5" t="s">
        <v>68</v>
      </c>
      <c r="G2550" s="5" t="s">
        <v>69</v>
      </c>
      <c r="H2550" s="9" t="s">
        <v>70</v>
      </c>
      <c r="I2550" s="10">
        <v>43671</v>
      </c>
      <c r="J2550" s="10">
        <v>46130</v>
      </c>
      <c r="K2550" s="5" t="s">
        <v>71</v>
      </c>
      <c r="L2550" s="5" t="s">
        <v>58</v>
      </c>
      <c r="M2550" s="11">
        <v>0.067500000000000004</v>
      </c>
      <c r="N2550" s="5" t="e">
        <f>IF(AND(M2550&gt;#REF!,Cartera!O2550="Guaraníes"),"Rendimiento significativo",IF(AND(M2550&gt;#REF!,Cartera!O2550="Dólares americanos"),"Rendimiento significativo","Rendimiento no significativo"))</f>
        <v>#REF!</v>
      </c>
      <c r="O2550" s="5" t="s">
        <v>51</v>
      </c>
      <c r="P2550" s="13">
        <v>333.32999999999998</v>
      </c>
      <c r="Q2550" s="12" t="e">
        <f>IF(O2550="Guaraníes",P2550,P2550*#REF!)</f>
        <v>#REF!</v>
      </c>
      <c r="R2550" s="12">
        <f>IF(O2550="Guaraníes",P2550/#REF!,P2550)</f>
        <v>333.32999999999998</v>
      </c>
      <c r="S2550" s="5" t="s">
        <v>52</v>
      </c>
      <c r="T2550" s="5">
        <v>593</v>
      </c>
      <c r="AC2550" s="5" t="str">
        <f t="shared" si="121"/>
        <v>Bonos</v>
      </c>
      <c r="AD2550" s="5" t="s">
        <v>43</v>
      </c>
      <c r="AE2550" s="5">
        <f t="shared" si="122"/>
        <v>4</v>
      </c>
      <c r="AF2550" s="5">
        <f t="shared" si="123"/>
        <v>2026</v>
      </c>
    </row>
    <row r="2551" s="5" customFormat="1" ht="13">
      <c r="A2551" s="5">
        <v>12315</v>
      </c>
      <c r="B2551" s="5" t="s">
        <v>73</v>
      </c>
      <c r="C2551" s="5" t="s">
        <v>45</v>
      </c>
      <c r="D2551" s="5" t="s">
        <v>21</v>
      </c>
      <c r="E2551" s="5" t="s">
        <v>34</v>
      </c>
      <c r="F2551" s="5" t="s">
        <v>46</v>
      </c>
      <c r="G2551" s="5" t="s">
        <v>86</v>
      </c>
      <c r="H2551" s="9" t="s">
        <v>108</v>
      </c>
      <c r="I2551" s="10">
        <v>44704</v>
      </c>
      <c r="J2551" s="10">
        <v>46433</v>
      </c>
      <c r="K2551" s="5" t="s">
        <v>49</v>
      </c>
      <c r="L2551" s="5" t="s">
        <v>58</v>
      </c>
      <c r="M2551" s="11">
        <v>0.059999999999999998</v>
      </c>
      <c r="N2551" s="5" t="e">
        <f>IF(AND(M2551&gt;#REF!,Cartera!O2551="Guaraníes"),"Rendimiento significativo",IF(AND(M2551&gt;#REF!,Cartera!O2551="Dólares americanos"),"Rendimiento significativo","Rendimiento no significativo"))</f>
        <v>#REF!</v>
      </c>
      <c r="O2551" s="5" t="s">
        <v>51</v>
      </c>
      <c r="P2551" s="13">
        <v>478.68492800000001</v>
      </c>
      <c r="Q2551" s="12" t="e">
        <f>IF(O2551="Guaraníes",P2551,P2551*#REF!)</f>
        <v>#REF!</v>
      </c>
      <c r="R2551" s="12">
        <f>IF(O2551="Guaraníes",P2551/#REF!,P2551)</f>
        <v>478.68492800000001</v>
      </c>
      <c r="S2551" s="5" t="s">
        <v>42</v>
      </c>
      <c r="AA2551" s="5">
        <v>32</v>
      </c>
      <c r="AC2551" s="5" t="str">
        <f t="shared" ref="AC2551:AC2614" si="124">IF(ISNUMBER(SEARCH("Acciones",L2551)),"Acciones",IF(ISNUMBER(SEARCH("Bono",L2551)),"Bonos",IF(ISNUMBER(SEARCH("CDA",L2551)),"CDA",IF(ISNUMBER(SEARCH("Fondo",L2551)),"Fondo",0))))</f>
        <v>Bonos</v>
      </c>
      <c r="AD2551" s="5" t="s">
        <v>43</v>
      </c>
      <c r="AE2551" s="5">
        <f t="shared" si="122"/>
        <v>2</v>
      </c>
      <c r="AF2551" s="5">
        <f t="shared" si="123"/>
        <v>2027</v>
      </c>
    </row>
    <row r="2552" s="5" customFormat="1" ht="13">
      <c r="A2552" s="5">
        <v>12316</v>
      </c>
      <c r="B2552" s="5" t="s">
        <v>78</v>
      </c>
      <c r="C2552" s="5" t="s">
        <v>99</v>
      </c>
      <c r="D2552" s="5" t="s">
        <v>21</v>
      </c>
      <c r="E2552" s="5" t="s">
        <v>34</v>
      </c>
      <c r="F2552" s="5" t="s">
        <v>100</v>
      </c>
      <c r="G2552" s="5" t="s">
        <v>91</v>
      </c>
      <c r="H2552" s="9" t="s">
        <v>174</v>
      </c>
      <c r="I2552" s="10">
        <v>44971</v>
      </c>
      <c r="J2552" s="10">
        <v>46433</v>
      </c>
      <c r="K2552" s="5" t="s">
        <v>102</v>
      </c>
      <c r="L2552" s="5" t="s">
        <v>102</v>
      </c>
      <c r="M2552" s="11">
        <v>0.090300000000000005</v>
      </c>
      <c r="N2552" s="5" t="e">
        <f>IF(AND(M2552&gt;#REF!,Cartera!O2552="Guaraníes"),"Rendimiento significativo",IF(AND(M2552&gt;#REF!,Cartera!O2552="Dólares americanos"),"Rendimiento significativo","Rendimiento no significativo"))</f>
        <v>#REF!</v>
      </c>
      <c r="O2552" s="5" t="s">
        <v>41</v>
      </c>
      <c r="P2552" s="12">
        <v>20407800</v>
      </c>
      <c r="Q2552" s="12">
        <f>IF(O2552="Guaraníes",P2552,P2552*#REF!)</f>
        <v>20407800</v>
      </c>
      <c r="R2552" s="12" t="e">
        <f>IF(O2552="Guaraníes",P2552/#REF!,P2552)</f>
        <v>#REF!</v>
      </c>
      <c r="S2552" s="5" t="s">
        <v>42</v>
      </c>
      <c r="AC2552" s="5" t="str">
        <f t="shared" si="124"/>
        <v>Bonos</v>
      </c>
      <c r="AD2552" s="5" t="s">
        <v>43</v>
      </c>
      <c r="AE2552" s="5">
        <f t="shared" si="122"/>
        <v>2</v>
      </c>
      <c r="AF2552" s="5">
        <f t="shared" si="123"/>
        <v>2027</v>
      </c>
    </row>
    <row r="2553" s="5" customFormat="1" ht="13">
      <c r="A2553" s="5">
        <v>12316</v>
      </c>
      <c r="B2553" s="5" t="s">
        <v>78</v>
      </c>
      <c r="C2553" s="5" t="s">
        <v>164</v>
      </c>
      <c r="D2553" s="5" t="s">
        <v>21</v>
      </c>
      <c r="E2553" s="5" t="s">
        <v>34</v>
      </c>
      <c r="F2553" s="5" t="s">
        <v>68</v>
      </c>
      <c r="G2553" s="5" t="s">
        <v>145</v>
      </c>
      <c r="H2553" s="9" t="s">
        <v>165</v>
      </c>
      <c r="I2553" s="10"/>
      <c r="J2553" s="10">
        <v>46444</v>
      </c>
      <c r="K2553" s="5" t="s">
        <v>124</v>
      </c>
      <c r="L2553" s="5" t="s">
        <v>58</v>
      </c>
      <c r="M2553" s="11">
        <v>0.10000000000000001</v>
      </c>
      <c r="N2553" s="5" t="e">
        <f>IF(AND(M2553&gt;#REF!,Cartera!O2553="Guaraníes"),"Rendimiento significativo",IF(AND(M2553&gt;#REF!,Cartera!O2553="Dólares americanos"),"Rendimiento significativo","Rendimiento no significativo"))</f>
        <v>#REF!</v>
      </c>
      <c r="O2553" s="5" t="s">
        <v>41</v>
      </c>
      <c r="P2553" s="12">
        <v>3068493.1507999999</v>
      </c>
      <c r="Q2553" s="12">
        <f>IF(O2553="Guaraníes",P2553,P2553*#REF!)</f>
        <v>3068493.1507999999</v>
      </c>
      <c r="R2553" s="12" t="e">
        <f>IF(O2553="Guaraníes",P2553/#REF!,P2553)</f>
        <v>#REF!</v>
      </c>
      <c r="S2553" s="5" t="s">
        <v>42</v>
      </c>
      <c r="T2553" s="5">
        <v>1057</v>
      </c>
      <c r="W2553" s="5" t="s">
        <v>65</v>
      </c>
      <c r="X2553" s="5">
        <v>0</v>
      </c>
      <c r="Y2553" s="5">
        <v>0</v>
      </c>
      <c r="Z2553" s="5">
        <v>7671.2328770000004</v>
      </c>
      <c r="AA2553" s="5">
        <v>400</v>
      </c>
      <c r="AB2553" s="5">
        <v>3068493.1507999999</v>
      </c>
      <c r="AC2553" s="5" t="str">
        <f t="shared" si="124"/>
        <v>Bonos</v>
      </c>
      <c r="AD2553" s="5" t="s">
        <v>43</v>
      </c>
      <c r="AE2553" s="5">
        <f t="shared" si="122"/>
        <v>2</v>
      </c>
      <c r="AF2553" s="5">
        <f t="shared" si="123"/>
        <v>2027</v>
      </c>
    </row>
    <row r="2554" s="5" customFormat="1" ht="13">
      <c r="A2554" s="5">
        <v>12316</v>
      </c>
      <c r="B2554" s="5" t="s">
        <v>78</v>
      </c>
      <c r="C2554" s="5" t="s">
        <v>164</v>
      </c>
      <c r="D2554" s="5" t="s">
        <v>21</v>
      </c>
      <c r="E2554" s="5" t="s">
        <v>34</v>
      </c>
      <c r="F2554" s="5" t="s">
        <v>68</v>
      </c>
      <c r="G2554" s="5" t="s">
        <v>141</v>
      </c>
      <c r="H2554" s="9" t="s">
        <v>165</v>
      </c>
      <c r="I2554" s="10"/>
      <c r="J2554" s="10">
        <v>46444</v>
      </c>
      <c r="K2554" s="5" t="s">
        <v>124</v>
      </c>
      <c r="L2554" s="5" t="s">
        <v>58</v>
      </c>
      <c r="M2554" s="11">
        <v>0.10000000000000001</v>
      </c>
      <c r="N2554" s="5" t="e">
        <f>IF(AND(M2554&gt;#REF!,Cartera!O2554="Guaraníes"),"Rendimiento significativo",IF(AND(M2554&gt;#REF!,Cartera!O2554="Dólares americanos"),"Rendimiento significativo","Rendimiento no significativo"))</f>
        <v>#REF!</v>
      </c>
      <c r="O2554" s="5" t="s">
        <v>41</v>
      </c>
      <c r="P2554" s="12">
        <v>767123.28769999999</v>
      </c>
      <c r="Q2554" s="12">
        <f>IF(O2554="Guaraníes",P2554,P2554*#REF!)</f>
        <v>767123.28769999999</v>
      </c>
      <c r="R2554" s="12" t="e">
        <f>IF(O2554="Guaraníes",P2554/#REF!,P2554)</f>
        <v>#REF!</v>
      </c>
      <c r="S2554" s="5" t="s">
        <v>42</v>
      </c>
      <c r="T2554" s="5">
        <v>9243</v>
      </c>
      <c r="W2554" s="5" t="s">
        <v>65</v>
      </c>
      <c r="X2554" s="5">
        <v>0</v>
      </c>
      <c r="Y2554" s="5">
        <v>0</v>
      </c>
      <c r="Z2554" s="5">
        <v>7671.2328770000004</v>
      </c>
      <c r="AA2554" s="5">
        <v>100</v>
      </c>
      <c r="AB2554" s="5">
        <v>767123.28769999999</v>
      </c>
      <c r="AC2554" s="5" t="str">
        <f t="shared" si="124"/>
        <v>Bonos</v>
      </c>
      <c r="AD2554" s="5" t="s">
        <v>43</v>
      </c>
      <c r="AE2554" s="5">
        <f t="shared" si="122"/>
        <v>2</v>
      </c>
      <c r="AF2554" s="5">
        <f t="shared" si="123"/>
        <v>2027</v>
      </c>
    </row>
    <row r="2555" s="5" customFormat="1" ht="13">
      <c r="A2555" s="5">
        <v>12316</v>
      </c>
      <c r="B2555" s="5" t="s">
        <v>78</v>
      </c>
      <c r="C2555" s="5" t="s">
        <v>99</v>
      </c>
      <c r="D2555" s="5" t="s">
        <v>21</v>
      </c>
      <c r="E2555" s="5" t="s">
        <v>34</v>
      </c>
      <c r="F2555" s="5" t="s">
        <v>100</v>
      </c>
      <c r="G2555" s="5" t="s">
        <v>86</v>
      </c>
      <c r="H2555" s="9" t="s">
        <v>155</v>
      </c>
      <c r="I2555" s="10"/>
      <c r="J2555" s="10">
        <v>46449</v>
      </c>
      <c r="K2555" s="5" t="s">
        <v>102</v>
      </c>
      <c r="L2555" s="5" t="s">
        <v>102</v>
      </c>
      <c r="M2555" s="11">
        <v>0.081000000000000003</v>
      </c>
      <c r="N2555" s="5" t="e">
        <f>IF(AND(M2555&gt;#REF!,Cartera!O2555="Guaraníes"),"Rendimiento significativo",IF(AND(M2555&gt;#REF!,Cartera!O2555="Dólares americanos"),"Rendimiento significativo","Rendimiento no significativo"))</f>
        <v>#REF!</v>
      </c>
      <c r="O2555" s="5" t="s">
        <v>41</v>
      </c>
      <c r="P2555" s="12">
        <v>28000000</v>
      </c>
      <c r="Q2555" s="12">
        <f>IF(O2555="Guaraníes",P2555,P2555*#REF!)</f>
        <v>28000000</v>
      </c>
      <c r="R2555" s="12" t="e">
        <f>IF(O2555="Guaraníes",P2555/#REF!,P2555)</f>
        <v>#REF!</v>
      </c>
      <c r="S2555" s="5" t="s">
        <v>42</v>
      </c>
      <c r="T2555" s="5">
        <v>10834</v>
      </c>
      <c r="W2555" s="5" t="s">
        <v>65</v>
      </c>
      <c r="X2555" s="5">
        <v>0</v>
      </c>
      <c r="Y2555" s="5">
        <v>0</v>
      </c>
      <c r="Z2555" s="5">
        <v>40000</v>
      </c>
      <c r="AA2555" s="5">
        <v>700</v>
      </c>
      <c r="AB2555" s="5">
        <v>28000000</v>
      </c>
      <c r="AC2555" s="5" t="str">
        <f t="shared" si="124"/>
        <v>Bonos</v>
      </c>
      <c r="AD2555" s="5" t="s">
        <v>43</v>
      </c>
      <c r="AE2555" s="5">
        <f t="shared" si="122"/>
        <v>3</v>
      </c>
      <c r="AF2555" s="5">
        <f t="shared" si="123"/>
        <v>2027</v>
      </c>
    </row>
    <row r="2556" s="5" customFormat="1" ht="13">
      <c r="A2556" s="5">
        <v>12316</v>
      </c>
      <c r="B2556" s="5" t="s">
        <v>78</v>
      </c>
      <c r="C2556" s="5" t="s">
        <v>99</v>
      </c>
      <c r="D2556" s="5" t="s">
        <v>21</v>
      </c>
      <c r="E2556" s="5" t="s">
        <v>34</v>
      </c>
      <c r="F2556" s="5" t="s">
        <v>100</v>
      </c>
      <c r="G2556" s="5" t="s">
        <v>75</v>
      </c>
      <c r="H2556" s="9" t="s">
        <v>159</v>
      </c>
      <c r="I2556" s="10"/>
      <c r="J2556" s="10">
        <v>46449</v>
      </c>
      <c r="K2556" s="5" t="s">
        <v>102</v>
      </c>
      <c r="L2556" s="5" t="s">
        <v>102</v>
      </c>
      <c r="M2556" s="11">
        <v>0.078</v>
      </c>
      <c r="N2556" s="5" t="e">
        <f>IF(AND(M2556&gt;#REF!,Cartera!O2556="Guaraníes"),"Rendimiento significativo",IF(AND(M2556&gt;#REF!,Cartera!O2556="Dólares americanos"),"Rendimiento significativo","Rendimiento no significativo"))</f>
        <v>#REF!</v>
      </c>
      <c r="O2556" s="5" t="s">
        <v>41</v>
      </c>
      <c r="P2556" s="12">
        <v>31200000</v>
      </c>
      <c r="Q2556" s="12">
        <f>IF(O2556="Guaraníes",P2556,P2556*#REF!)</f>
        <v>31200000</v>
      </c>
      <c r="R2556" s="12" t="e">
        <f>IF(O2556="Guaraníes",P2556/#REF!,P2556)</f>
        <v>#REF!</v>
      </c>
      <c r="S2556" s="5" t="s">
        <v>42</v>
      </c>
      <c r="T2556" s="5">
        <v>25</v>
      </c>
      <c r="W2556" s="5" t="s">
        <v>65</v>
      </c>
      <c r="X2556" s="5">
        <v>0</v>
      </c>
      <c r="Y2556" s="5">
        <v>0</v>
      </c>
      <c r="Z2556" s="5">
        <v>39000</v>
      </c>
      <c r="AA2556" s="5">
        <v>800</v>
      </c>
      <c r="AB2556" s="5">
        <v>31200000</v>
      </c>
      <c r="AC2556" s="5" t="str">
        <f t="shared" si="124"/>
        <v>Bonos</v>
      </c>
      <c r="AD2556" s="5" t="s">
        <v>43</v>
      </c>
      <c r="AE2556" s="5">
        <f t="shared" si="122"/>
        <v>3</v>
      </c>
      <c r="AF2556" s="5">
        <f t="shared" si="123"/>
        <v>2027</v>
      </c>
    </row>
    <row r="2557" s="5" customFormat="1" ht="13">
      <c r="A2557" s="5">
        <v>12316</v>
      </c>
      <c r="B2557" s="5" t="s">
        <v>78</v>
      </c>
      <c r="C2557" s="5" t="s">
        <v>99</v>
      </c>
      <c r="D2557" s="5" t="s">
        <v>21</v>
      </c>
      <c r="E2557" s="5" t="s">
        <v>34</v>
      </c>
      <c r="F2557" s="5" t="s">
        <v>100</v>
      </c>
      <c r="G2557" s="5" t="s">
        <v>145</v>
      </c>
      <c r="H2557" s="9" t="s">
        <v>159</v>
      </c>
      <c r="I2557" s="10">
        <v>44657</v>
      </c>
      <c r="J2557" s="10">
        <v>46449</v>
      </c>
      <c r="K2557" s="5" t="s">
        <v>102</v>
      </c>
      <c r="L2557" s="5" t="s">
        <v>102</v>
      </c>
      <c r="M2557" s="11">
        <v>0.078</v>
      </c>
      <c r="N2557" s="5" t="e">
        <f>IF(AND(M2557&gt;#REF!,Cartera!O2557="Guaraníes"),"Rendimiento significativo",IF(AND(M2557&gt;#REF!,Cartera!O2557="Dólares americanos"),"Rendimiento significativo","Rendimiento no significativo"))</f>
        <v>#REF!</v>
      </c>
      <c r="O2557" s="5" t="s">
        <v>41</v>
      </c>
      <c r="P2557" s="12">
        <v>35100000</v>
      </c>
      <c r="Q2557" s="12">
        <f>IF(O2557="Guaraníes",P2557,P2557*#REF!)</f>
        <v>35100000</v>
      </c>
      <c r="R2557" s="12" t="e">
        <f>IF(O2557="Guaraníes",P2557/#REF!,P2557)</f>
        <v>#REF!</v>
      </c>
      <c r="S2557" s="5" t="s">
        <v>42</v>
      </c>
      <c r="V2557" s="5">
        <v>39000</v>
      </c>
      <c r="AA2557" s="5">
        <v>900</v>
      </c>
      <c r="AC2557" s="5" t="str">
        <f t="shared" si="124"/>
        <v>Bonos</v>
      </c>
      <c r="AD2557" s="5" t="s">
        <v>43</v>
      </c>
      <c r="AE2557" s="5">
        <f t="shared" si="122"/>
        <v>3</v>
      </c>
      <c r="AF2557" s="5">
        <f t="shared" si="123"/>
        <v>2027</v>
      </c>
    </row>
    <row r="2558" s="5" customFormat="1" ht="13">
      <c r="A2558" s="5">
        <v>12316</v>
      </c>
      <c r="B2558" s="5" t="s">
        <v>78</v>
      </c>
      <c r="C2558" s="5" t="s">
        <v>138</v>
      </c>
      <c r="D2558" s="5" t="s">
        <v>21</v>
      </c>
      <c r="E2558" s="5" t="s">
        <v>34</v>
      </c>
      <c r="F2558" s="5" t="s">
        <v>68</v>
      </c>
      <c r="G2558" s="5" t="s">
        <v>86</v>
      </c>
      <c r="H2558" s="9" t="s">
        <v>139</v>
      </c>
      <c r="I2558" s="10">
        <v>43948</v>
      </c>
      <c r="J2558" s="10">
        <v>46451</v>
      </c>
      <c r="K2558" s="5" t="s">
        <v>140</v>
      </c>
      <c r="L2558" s="5" t="s">
        <v>58</v>
      </c>
      <c r="M2558" s="11">
        <v>0.11</v>
      </c>
      <c r="N2558" s="5" t="e">
        <f>IF(AND(M2558&gt;#REF!,Cartera!O2558="Guaraníes"),"Rendimiento significativo",IF(AND(M2558&gt;#REF!,Cartera!O2558="Dólares americanos"),"Rendimiento significativo","Rendimiento no significativo"))</f>
        <v>#REF!</v>
      </c>
      <c r="O2558" s="5" t="s">
        <v>41</v>
      </c>
      <c r="P2558" s="12">
        <v>830407.56810000003</v>
      </c>
      <c r="Q2558" s="12">
        <f>IF(O2558="Guaraníes",P2558,P2558*#REF!)</f>
        <v>830407.56810000003</v>
      </c>
      <c r="R2558" s="12" t="e">
        <f>IF(O2558="Guaraníes",P2558/#REF!,P2558)</f>
        <v>#REF!</v>
      </c>
      <c r="S2558" s="5" t="s">
        <v>42</v>
      </c>
      <c r="AC2558" s="5" t="str">
        <f t="shared" si="124"/>
        <v>Bonos</v>
      </c>
      <c r="AD2558" s="5" t="s">
        <v>43</v>
      </c>
      <c r="AE2558" s="5">
        <f t="shared" si="122"/>
        <v>3</v>
      </c>
      <c r="AF2558" s="5">
        <f t="shared" si="123"/>
        <v>2027</v>
      </c>
    </row>
    <row r="2559" s="5" customFormat="1" ht="13">
      <c r="A2559" s="5">
        <v>12316</v>
      </c>
      <c r="B2559" s="5" t="s">
        <v>78</v>
      </c>
      <c r="C2559" s="5" t="s">
        <v>183</v>
      </c>
      <c r="D2559" s="5" t="s">
        <v>21</v>
      </c>
      <c r="E2559" s="5" t="s">
        <v>34</v>
      </c>
      <c r="F2559" s="5" t="s">
        <v>184</v>
      </c>
      <c r="H2559" s="9">
        <v>6217</v>
      </c>
      <c r="I2559" s="10"/>
      <c r="J2559" s="10">
        <v>46454</v>
      </c>
      <c r="K2559" s="5" t="s">
        <v>124</v>
      </c>
      <c r="L2559" s="5" t="s">
        <v>82</v>
      </c>
      <c r="M2559" s="11">
        <v>0.072499999999999995</v>
      </c>
      <c r="N2559" s="5" t="e">
        <f>IF(AND(M2559&gt;#REF!,Cartera!O2559="Guaraníes"),"Rendimiento significativo",IF(AND(M2559&gt;#REF!,Cartera!O2559="Dólares americanos"),"Rendimiento significativo","Rendimiento no significativo"))</f>
        <v>#REF!</v>
      </c>
      <c r="O2559" s="5" t="s">
        <v>41</v>
      </c>
      <c r="P2559" s="12">
        <v>17252690</v>
      </c>
      <c r="Q2559" s="12">
        <f>IF(O2559="Guaraníes",P2559,P2559*#REF!)</f>
        <v>17252690</v>
      </c>
      <c r="R2559" s="12" t="e">
        <f>IF(O2559="Guaraníes",P2559/#REF!,P2559)</f>
        <v>#REF!</v>
      </c>
      <c r="S2559" s="5" t="s">
        <v>42</v>
      </c>
      <c r="V2559" s="5">
        <v>17252690</v>
      </c>
      <c r="W2559" s="5" t="s">
        <v>541</v>
      </c>
      <c r="AC2559" s="5" t="str">
        <f t="shared" si="124"/>
        <v>CDA</v>
      </c>
      <c r="AD2559" s="5" t="s">
        <v>43</v>
      </c>
      <c r="AE2559" s="5">
        <f t="shared" si="122"/>
        <v>3</v>
      </c>
      <c r="AF2559" s="5">
        <f t="shared" si="123"/>
        <v>2027</v>
      </c>
    </row>
    <row r="2560" s="5" customFormat="1" ht="13">
      <c r="A2560" s="5">
        <v>12315</v>
      </c>
      <c r="B2560" s="5" t="s">
        <v>73</v>
      </c>
      <c r="C2560" s="5" t="s">
        <v>33</v>
      </c>
      <c r="D2560" s="5" t="s">
        <v>21</v>
      </c>
      <c r="E2560" s="5" t="s">
        <v>34</v>
      </c>
      <c r="F2560" s="5" t="s">
        <v>35</v>
      </c>
      <c r="G2560" s="5" t="s">
        <v>75</v>
      </c>
      <c r="H2560" s="9" t="s">
        <v>186</v>
      </c>
      <c r="I2560" s="10"/>
      <c r="J2560" s="10">
        <v>46456</v>
      </c>
      <c r="K2560" s="5" t="s">
        <v>39</v>
      </c>
      <c r="L2560" s="5" t="s">
        <v>50</v>
      </c>
      <c r="M2560" s="11">
        <v>0.044999999999999998</v>
      </c>
      <c r="N2560" s="5" t="e">
        <f>IF(AND(M2560&gt;#REF!,Cartera!O2560="Guaraníes"),"Rendimiento significativo",IF(AND(M2560&gt;#REF!,Cartera!O2560="Dólares americanos"),"Rendimiento significativo","Rendimiento no significativo"))</f>
        <v>#REF!</v>
      </c>
      <c r="O2560" s="5" t="s">
        <v>51</v>
      </c>
      <c r="P2560" s="13">
        <v>336.57533999999998</v>
      </c>
      <c r="Q2560" s="12" t="e">
        <f>IF(O2560="Guaraníes",P2560,P2560*#REF!)</f>
        <v>#REF!</v>
      </c>
      <c r="R2560" s="12">
        <f>IF(O2560="Guaraníes",P2560/#REF!,P2560)</f>
        <v>336.57533999999998</v>
      </c>
      <c r="S2560" s="5" t="s">
        <v>42</v>
      </c>
      <c r="T2560" s="5">
        <v>25</v>
      </c>
      <c r="W2560" s="5" t="s">
        <v>65</v>
      </c>
      <c r="X2560" s="5">
        <v>0</v>
      </c>
      <c r="Y2560" s="5">
        <v>0</v>
      </c>
      <c r="Z2560" s="5">
        <v>11.219177999999999</v>
      </c>
      <c r="AA2560" s="5">
        <v>30</v>
      </c>
      <c r="AB2560" s="5">
        <v>336.57533999999998</v>
      </c>
      <c r="AC2560" s="5" t="str">
        <f t="shared" si="124"/>
        <v>Bonos</v>
      </c>
      <c r="AD2560" s="5" t="s">
        <v>43</v>
      </c>
      <c r="AE2560" s="5">
        <f t="shared" si="122"/>
        <v>3</v>
      </c>
      <c r="AF2560" s="5">
        <f t="shared" si="123"/>
        <v>2027</v>
      </c>
    </row>
    <row r="2561" s="5" customFormat="1" ht="13">
      <c r="A2561" s="5">
        <v>12315</v>
      </c>
      <c r="B2561" s="5" t="s">
        <v>73</v>
      </c>
      <c r="C2561" s="5" t="s">
        <v>33</v>
      </c>
      <c r="D2561" s="5" t="s">
        <v>21</v>
      </c>
      <c r="E2561" s="5" t="s">
        <v>34</v>
      </c>
      <c r="F2561" s="5" t="s">
        <v>35</v>
      </c>
      <c r="G2561" s="5" t="s">
        <v>69</v>
      </c>
      <c r="H2561" s="9" t="s">
        <v>186</v>
      </c>
      <c r="I2561" s="10"/>
      <c r="J2561" s="10">
        <v>46456</v>
      </c>
      <c r="K2561" s="5" t="s">
        <v>39</v>
      </c>
      <c r="L2561" s="5" t="s">
        <v>50</v>
      </c>
      <c r="M2561" s="11">
        <v>0.044999999999999998</v>
      </c>
      <c r="N2561" s="5" t="e">
        <f>IF(AND(M2561&gt;#REF!,Cartera!O2561="Guaraníes"),"Rendimiento significativo",IF(AND(M2561&gt;#REF!,Cartera!O2561="Dólares americanos"),"Rendimiento significativo","Rendimiento no significativo"))</f>
        <v>#REF!</v>
      </c>
      <c r="O2561" s="5" t="s">
        <v>51</v>
      </c>
      <c r="P2561" s="13">
        <v>448.76711999999998</v>
      </c>
      <c r="Q2561" s="12" t="e">
        <f>IF(O2561="Guaraníes",P2561,P2561*#REF!)</f>
        <v>#REF!</v>
      </c>
      <c r="R2561" s="12">
        <f>IF(O2561="Guaraníes",P2561/#REF!,P2561)</f>
        <v>448.76711999999998</v>
      </c>
      <c r="S2561" s="5" t="s">
        <v>42</v>
      </c>
      <c r="T2561" s="5">
        <v>593</v>
      </c>
      <c r="W2561" s="5" t="s">
        <v>65</v>
      </c>
      <c r="X2561" s="5">
        <v>0</v>
      </c>
      <c r="Y2561" s="5">
        <v>0</v>
      </c>
      <c r="Z2561" s="5">
        <v>11.219177999999999</v>
      </c>
      <c r="AA2561" s="5">
        <v>40</v>
      </c>
      <c r="AB2561" s="5">
        <v>448.76711999999998</v>
      </c>
      <c r="AC2561" s="5" t="str">
        <f t="shared" si="124"/>
        <v>Bonos</v>
      </c>
      <c r="AD2561" s="5" t="s">
        <v>43</v>
      </c>
      <c r="AE2561" s="5">
        <f t="shared" si="122"/>
        <v>3</v>
      </c>
      <c r="AF2561" s="5">
        <f t="shared" si="123"/>
        <v>2027</v>
      </c>
    </row>
    <row r="2562" s="5" customFormat="1" ht="13">
      <c r="A2562" s="5">
        <v>12316</v>
      </c>
      <c r="B2562" s="5" t="s">
        <v>78</v>
      </c>
      <c r="C2562" s="5" t="s">
        <v>54</v>
      </c>
      <c r="D2562" s="5" t="s">
        <v>21</v>
      </c>
      <c r="E2562" s="5" t="s">
        <v>34</v>
      </c>
      <c r="F2562" s="5" t="s">
        <v>46</v>
      </c>
      <c r="G2562" s="5" t="s">
        <v>86</v>
      </c>
      <c r="H2562" s="9" t="s">
        <v>147</v>
      </c>
      <c r="I2562" s="10"/>
      <c r="J2562" s="10">
        <v>46468</v>
      </c>
      <c r="K2562" s="5" t="s">
        <v>57</v>
      </c>
      <c r="L2562" s="5" t="s">
        <v>58</v>
      </c>
      <c r="M2562" s="11">
        <v>0.12</v>
      </c>
      <c r="N2562" s="5" t="e">
        <f>IF(AND(M2562&gt;#REF!,Cartera!O2562="Guaraníes"),"Rendimiento significativo",IF(AND(M2562&gt;#REF!,Cartera!O2562="Dólares americanos"),"Rendimiento significativo","Rendimiento no significativo"))</f>
        <v>#REF!</v>
      </c>
      <c r="O2562" s="5" t="s">
        <v>41</v>
      </c>
      <c r="P2562" s="12">
        <v>2991780.8218999999</v>
      </c>
      <c r="Q2562" s="12">
        <f>IF(O2562="Guaraníes",P2562,P2562*#REF!)</f>
        <v>2991780.8218999999</v>
      </c>
      <c r="R2562" s="12" t="e">
        <f>IF(O2562="Guaraníes",P2562/#REF!,P2562)</f>
        <v>#REF!</v>
      </c>
      <c r="S2562" s="5" t="s">
        <v>42</v>
      </c>
      <c r="T2562" s="5">
        <v>10834</v>
      </c>
      <c r="W2562" s="5" t="s">
        <v>65</v>
      </c>
      <c r="X2562" s="5">
        <v>0</v>
      </c>
      <c r="Y2562" s="5">
        <v>0</v>
      </c>
      <c r="Z2562" s="5">
        <v>29917.808218999999</v>
      </c>
      <c r="AA2562" s="5">
        <v>100</v>
      </c>
      <c r="AB2562" s="5">
        <v>2991780.8218999999</v>
      </c>
      <c r="AC2562" s="5" t="str">
        <f t="shared" si="124"/>
        <v>Bonos</v>
      </c>
      <c r="AD2562" s="5" t="s">
        <v>43</v>
      </c>
      <c r="AE2562" s="5">
        <f t="shared" si="122"/>
        <v>3</v>
      </c>
      <c r="AF2562" s="5">
        <f t="shared" si="123"/>
        <v>2027</v>
      </c>
    </row>
    <row r="2563" s="5" customFormat="1" ht="13">
      <c r="A2563" s="5">
        <v>12316</v>
      </c>
      <c r="B2563" s="5" t="s">
        <v>78</v>
      </c>
      <c r="C2563" s="5" t="s">
        <v>54</v>
      </c>
      <c r="D2563" s="5" t="s">
        <v>21</v>
      </c>
      <c r="E2563" s="5" t="s">
        <v>34</v>
      </c>
      <c r="F2563" s="5" t="s">
        <v>46</v>
      </c>
      <c r="G2563" s="5" t="s">
        <v>86</v>
      </c>
      <c r="H2563" s="9" t="s">
        <v>148</v>
      </c>
      <c r="I2563" s="10"/>
      <c r="J2563" s="10">
        <v>46468</v>
      </c>
      <c r="K2563" s="5" t="s">
        <v>57</v>
      </c>
      <c r="L2563" s="5" t="s">
        <v>58</v>
      </c>
      <c r="M2563" s="11">
        <v>0.097500000000000003</v>
      </c>
      <c r="N2563" s="5" t="e">
        <f>IF(AND(M2563&gt;#REF!,Cartera!O2563="Guaraníes"),"Rendimiento significativo",IF(AND(M2563&gt;#REF!,Cartera!O2563="Dólares americanos"),"Rendimiento significativo","Rendimiento no significativo"))</f>
        <v>#REF!</v>
      </c>
      <c r="O2563" s="5" t="s">
        <v>41</v>
      </c>
      <c r="P2563" s="12">
        <v>12154109.589</v>
      </c>
      <c r="Q2563" s="12">
        <f>IF(O2563="Guaraníes",P2563,P2563*#REF!)</f>
        <v>12154109.589</v>
      </c>
      <c r="R2563" s="12" t="e">
        <f>IF(O2563="Guaraníes",P2563/#REF!,P2563)</f>
        <v>#REF!</v>
      </c>
      <c r="S2563" s="5" t="s">
        <v>42</v>
      </c>
      <c r="T2563" s="5">
        <v>10834</v>
      </c>
      <c r="W2563" s="5" t="s">
        <v>65</v>
      </c>
      <c r="X2563" s="5">
        <v>0</v>
      </c>
      <c r="Y2563" s="5">
        <v>0</v>
      </c>
      <c r="Z2563" s="5">
        <v>24308.219177999999</v>
      </c>
      <c r="AA2563" s="5">
        <v>500</v>
      </c>
      <c r="AB2563" s="5">
        <v>12154109.589</v>
      </c>
      <c r="AC2563" s="5" t="str">
        <f t="shared" si="124"/>
        <v>Bonos</v>
      </c>
      <c r="AD2563" s="5" t="s">
        <v>43</v>
      </c>
      <c r="AE2563" s="5">
        <f t="shared" si="122"/>
        <v>3</v>
      </c>
      <c r="AF2563" s="5">
        <f t="shared" si="123"/>
        <v>2027</v>
      </c>
    </row>
    <row r="2564" s="5" customFormat="1" ht="13">
      <c r="A2564" s="5">
        <v>12316</v>
      </c>
      <c r="B2564" s="5" t="s">
        <v>78</v>
      </c>
      <c r="C2564" s="5" t="s">
        <v>54</v>
      </c>
      <c r="D2564" s="5" t="s">
        <v>21</v>
      </c>
      <c r="E2564" s="5" t="s">
        <v>34</v>
      </c>
      <c r="F2564" s="5" t="s">
        <v>46</v>
      </c>
      <c r="G2564" s="5" t="s">
        <v>75</v>
      </c>
      <c r="H2564" s="9" t="s">
        <v>147</v>
      </c>
      <c r="I2564" s="10"/>
      <c r="J2564" s="10">
        <v>46468</v>
      </c>
      <c r="K2564" s="5" t="s">
        <v>57</v>
      </c>
      <c r="L2564" s="5" t="s">
        <v>58</v>
      </c>
      <c r="M2564" s="11">
        <v>0.12</v>
      </c>
      <c r="N2564" s="5" t="e">
        <f>IF(AND(M2564&gt;#REF!,Cartera!O2564="Guaraníes"),"Rendimiento significativo",IF(AND(M2564&gt;#REF!,Cartera!O2564="Dólares americanos"),"Rendimiento significativo","Rendimiento no significativo"))</f>
        <v>#REF!</v>
      </c>
      <c r="O2564" s="5" t="s">
        <v>41</v>
      </c>
      <c r="P2564" s="12">
        <v>4487671.2328500003</v>
      </c>
      <c r="Q2564" s="12">
        <f>IF(O2564="Guaraníes",P2564,P2564*#REF!)</f>
        <v>4487671.2328500003</v>
      </c>
      <c r="R2564" s="12" t="e">
        <f>IF(O2564="Guaraníes",P2564/#REF!,P2564)</f>
        <v>#REF!</v>
      </c>
      <c r="S2564" s="5" t="s">
        <v>42</v>
      </c>
      <c r="T2564" s="5">
        <v>25</v>
      </c>
      <c r="W2564" s="5" t="s">
        <v>192</v>
      </c>
      <c r="X2564" s="5">
        <v>0</v>
      </c>
      <c r="Y2564" s="5">
        <v>0</v>
      </c>
      <c r="Z2564" s="5">
        <v>29917.808218999999</v>
      </c>
      <c r="AA2564" s="5">
        <v>150</v>
      </c>
      <c r="AB2564" s="5">
        <v>4487671.2328500003</v>
      </c>
      <c r="AC2564" s="5" t="str">
        <f t="shared" si="124"/>
        <v>Bonos</v>
      </c>
      <c r="AD2564" s="5" t="s">
        <v>43</v>
      </c>
      <c r="AE2564" s="5">
        <f t="shared" si="122"/>
        <v>3</v>
      </c>
      <c r="AF2564" s="5">
        <f t="shared" si="123"/>
        <v>2027</v>
      </c>
    </row>
    <row r="2565" s="5" customFormat="1" ht="13">
      <c r="A2565" s="5">
        <v>12316</v>
      </c>
      <c r="B2565" s="5" t="s">
        <v>78</v>
      </c>
      <c r="C2565" s="5" t="s">
        <v>138</v>
      </c>
      <c r="D2565" s="5" t="s">
        <v>21</v>
      </c>
      <c r="E2565" s="5" t="s">
        <v>34</v>
      </c>
      <c r="F2565" s="5" t="s">
        <v>68</v>
      </c>
      <c r="G2565" s="5" t="s">
        <v>86</v>
      </c>
      <c r="H2565" s="9" t="s">
        <v>193</v>
      </c>
      <c r="I2565" s="10">
        <v>44104</v>
      </c>
      <c r="J2565" s="10">
        <v>46469</v>
      </c>
      <c r="K2565" s="5" t="s">
        <v>140</v>
      </c>
      <c r="L2565" s="5" t="s">
        <v>58</v>
      </c>
      <c r="M2565" s="11">
        <v>0.10000000000000001</v>
      </c>
      <c r="N2565" s="5" t="e">
        <f>IF(AND(M2565&gt;#REF!,Cartera!O2565="Guaraníes"),"Rendimiento significativo",IF(AND(M2565&gt;#REF!,Cartera!O2565="Dólares americanos"),"Rendimiento significativo","Rendimiento no significativo"))</f>
        <v>#REF!</v>
      </c>
      <c r="O2565" s="5" t="s">
        <v>41</v>
      </c>
      <c r="P2565" s="12">
        <v>2493150.6849000002</v>
      </c>
      <c r="Q2565" s="12">
        <f>IF(O2565="Guaraníes",P2565,P2565*#REF!)</f>
        <v>2493150.6849000002</v>
      </c>
      <c r="R2565" s="12" t="e">
        <f>IF(O2565="Guaraníes",P2565/#REF!,P2565)</f>
        <v>#REF!</v>
      </c>
      <c r="S2565" s="5" t="s">
        <v>42</v>
      </c>
      <c r="AC2565" s="5" t="str">
        <f t="shared" si="124"/>
        <v>Bonos</v>
      </c>
      <c r="AD2565" s="5" t="s">
        <v>43</v>
      </c>
      <c r="AE2565" s="5">
        <f t="shared" si="122"/>
        <v>3</v>
      </c>
      <c r="AF2565" s="5">
        <f t="shared" si="123"/>
        <v>2027</v>
      </c>
    </row>
    <row r="2566" s="5" customFormat="1" ht="13">
      <c r="A2566" s="5">
        <v>12315</v>
      </c>
      <c r="B2566" s="5" t="s">
        <v>73</v>
      </c>
      <c r="C2566" s="5" t="s">
        <v>116</v>
      </c>
      <c r="D2566" s="5" t="s">
        <v>21</v>
      </c>
      <c r="E2566" s="5" t="s">
        <v>34</v>
      </c>
      <c r="F2566" s="5" t="s">
        <v>68</v>
      </c>
      <c r="G2566" s="5" t="s">
        <v>69</v>
      </c>
      <c r="H2566" s="9" t="s">
        <v>194</v>
      </c>
      <c r="I2566" s="10"/>
      <c r="J2566" s="10">
        <v>46470</v>
      </c>
      <c r="K2566" s="5" t="s">
        <v>118</v>
      </c>
      <c r="L2566" s="5" t="s">
        <v>50</v>
      </c>
      <c r="M2566" s="11">
        <v>0.065000000000000002</v>
      </c>
      <c r="N2566" s="5" t="e">
        <f>IF(AND(M2566&gt;#REF!,Cartera!O2566="Guaraníes"),"Rendimiento significativo",IF(AND(M2566&gt;#REF!,Cartera!O2566="Dólares americanos"),"Rendimiento significativo","Rendimiento no significativo"))</f>
        <v>#REF!</v>
      </c>
      <c r="O2566" s="5" t="s">
        <v>51</v>
      </c>
      <c r="P2566" s="13">
        <v>324.10958999999997</v>
      </c>
      <c r="Q2566" s="12" t="e">
        <f>IF(O2566="Guaraníes",P2566,P2566*#REF!)</f>
        <v>#REF!</v>
      </c>
      <c r="R2566" s="12">
        <f>IF(O2566="Guaraníes",P2566/#REF!,P2566)</f>
        <v>324.10958999999997</v>
      </c>
      <c r="S2566" s="5" t="s">
        <v>42</v>
      </c>
      <c r="T2566" s="5">
        <v>593</v>
      </c>
      <c r="W2566" s="5" t="s">
        <v>218</v>
      </c>
      <c r="X2566" s="5">
        <v>0</v>
      </c>
      <c r="Y2566" s="5">
        <v>0</v>
      </c>
      <c r="Z2566" s="5">
        <v>32.410958999999998</v>
      </c>
      <c r="AA2566" s="5">
        <v>10</v>
      </c>
      <c r="AB2566" s="5">
        <v>324.10959000000003</v>
      </c>
      <c r="AC2566" s="5" t="str">
        <f t="shared" si="124"/>
        <v>Bonos</v>
      </c>
      <c r="AD2566" s="5" t="s">
        <v>43</v>
      </c>
      <c r="AE2566" s="5">
        <f t="shared" si="122"/>
        <v>3</v>
      </c>
      <c r="AF2566" s="5">
        <f t="shared" si="123"/>
        <v>2027</v>
      </c>
    </row>
    <row r="2567" s="5" customFormat="1" ht="13">
      <c r="A2567" s="5">
        <v>12315</v>
      </c>
      <c r="B2567" s="5" t="s">
        <v>73</v>
      </c>
      <c r="C2567" s="5" t="s">
        <v>212</v>
      </c>
      <c r="D2567" s="5" t="s">
        <v>21</v>
      </c>
      <c r="E2567" s="5" t="s">
        <v>34</v>
      </c>
      <c r="F2567" s="5" t="s">
        <v>68</v>
      </c>
      <c r="G2567" s="5" t="s">
        <v>86</v>
      </c>
      <c r="H2567" s="9" t="s">
        <v>213</v>
      </c>
      <c r="I2567" s="10">
        <v>44651</v>
      </c>
      <c r="J2567" s="10">
        <v>46471</v>
      </c>
      <c r="K2567" s="5" t="s">
        <v>81</v>
      </c>
      <c r="L2567" s="5" t="s">
        <v>58</v>
      </c>
      <c r="M2567" s="11">
        <v>0.053499999999999999</v>
      </c>
      <c r="N2567" s="5" t="e">
        <f>IF(AND(M2567&gt;#REF!,Cartera!O2567="Guaraníes"),"Rendimiento significativo",IF(AND(M2567&gt;#REF!,Cartera!O2567="Dólares americanos"),"Rendimiento significativo","Rendimiento no significativo"))</f>
        <v>#REF!</v>
      </c>
      <c r="O2567" s="5" t="s">
        <v>51</v>
      </c>
      <c r="P2567" s="13">
        <v>2667.6712000000002</v>
      </c>
      <c r="Q2567" s="12" t="e">
        <f>IF(O2567="Guaraníes",P2567,P2567*#REF!)</f>
        <v>#REF!</v>
      </c>
      <c r="R2567" s="12">
        <f>IF(O2567="Guaraníes",P2567/#REF!,P2567)</f>
        <v>2667.6712000000002</v>
      </c>
      <c r="S2567" s="5" t="s">
        <v>42</v>
      </c>
      <c r="V2567" s="5">
        <v>26.676711999999998</v>
      </c>
      <c r="AA2567" s="5">
        <v>100</v>
      </c>
      <c r="AC2567" s="5" t="str">
        <f t="shared" si="124"/>
        <v>Bonos</v>
      </c>
      <c r="AD2567" s="5" t="s">
        <v>43</v>
      </c>
      <c r="AE2567" s="5">
        <f t="shared" si="122"/>
        <v>3</v>
      </c>
      <c r="AF2567" s="5">
        <f t="shared" si="123"/>
        <v>2027</v>
      </c>
    </row>
    <row r="2568" s="5" customFormat="1" ht="13">
      <c r="A2568" s="5">
        <v>12316</v>
      </c>
      <c r="B2568" s="5" t="s">
        <v>78</v>
      </c>
      <c r="C2568" s="5" t="s">
        <v>164</v>
      </c>
      <c r="D2568" s="5" t="s">
        <v>21</v>
      </c>
      <c r="E2568" s="5" t="s">
        <v>34</v>
      </c>
      <c r="F2568" s="5" t="s">
        <v>68</v>
      </c>
      <c r="G2568" s="5" t="s">
        <v>145</v>
      </c>
      <c r="H2568" s="9" t="s">
        <v>165</v>
      </c>
      <c r="I2568" s="10"/>
      <c r="J2568" s="10">
        <v>46477</v>
      </c>
      <c r="K2568" s="5" t="s">
        <v>124</v>
      </c>
      <c r="L2568" s="5" t="s">
        <v>58</v>
      </c>
      <c r="M2568" s="11">
        <v>0.10000000000000001</v>
      </c>
      <c r="N2568" s="5" t="e">
        <f>IF(AND(M2568&gt;#REF!,Cartera!O2568="Guaraníes"),"Rendimiento significativo",IF(AND(M2568&gt;#REF!,Cartera!O2568="Dólares americanos"),"Rendimiento significativo","Rendimiento no significativo"))</f>
        <v>#REF!</v>
      </c>
      <c r="O2568" s="5" t="s">
        <v>41</v>
      </c>
      <c r="P2568" s="12">
        <v>3616438.3560000001</v>
      </c>
      <c r="Q2568" s="12">
        <f>IF(O2568="Guaraníes",P2568,P2568*#REF!)</f>
        <v>3616438.3560000001</v>
      </c>
      <c r="R2568" s="12" t="e">
        <f>IF(O2568="Guaraníes",P2568/#REF!,P2568)</f>
        <v>#REF!</v>
      </c>
      <c r="S2568" s="5" t="s">
        <v>42</v>
      </c>
      <c r="T2568" s="5">
        <v>1057</v>
      </c>
      <c r="W2568" s="5" t="s">
        <v>65</v>
      </c>
      <c r="X2568" s="5">
        <v>0</v>
      </c>
      <c r="Y2568" s="5">
        <v>0</v>
      </c>
      <c r="Z2568" s="5">
        <v>9041.0958900000005</v>
      </c>
      <c r="AA2568" s="5">
        <v>400</v>
      </c>
      <c r="AB2568" s="5">
        <v>3616438.3560000001</v>
      </c>
      <c r="AC2568" s="5" t="str">
        <f t="shared" si="124"/>
        <v>Bonos</v>
      </c>
      <c r="AD2568" s="5" t="s">
        <v>43</v>
      </c>
      <c r="AE2568" s="5">
        <f t="shared" si="122"/>
        <v>3</v>
      </c>
      <c r="AF2568" s="5">
        <f t="shared" si="123"/>
        <v>2027</v>
      </c>
    </row>
    <row r="2569" s="5" customFormat="1" ht="13">
      <c r="A2569" s="5">
        <v>12316</v>
      </c>
      <c r="B2569" s="5" t="s">
        <v>78</v>
      </c>
      <c r="C2569" s="5" t="s">
        <v>164</v>
      </c>
      <c r="D2569" s="5" t="s">
        <v>21</v>
      </c>
      <c r="E2569" s="5" t="s">
        <v>34</v>
      </c>
      <c r="F2569" s="5" t="s">
        <v>68</v>
      </c>
      <c r="G2569" s="5" t="s">
        <v>141</v>
      </c>
      <c r="H2569" s="9" t="s">
        <v>165</v>
      </c>
      <c r="I2569" s="10"/>
      <c r="J2569" s="10">
        <v>46477</v>
      </c>
      <c r="K2569" s="5" t="s">
        <v>124</v>
      </c>
      <c r="L2569" s="5" t="s">
        <v>58</v>
      </c>
      <c r="M2569" s="11">
        <v>0.10000000000000001</v>
      </c>
      <c r="N2569" s="5" t="e">
        <f>IF(AND(M2569&gt;#REF!,Cartera!O2569="Guaraníes"),"Rendimiento significativo",IF(AND(M2569&gt;#REF!,Cartera!O2569="Dólares americanos"),"Rendimiento significativo","Rendimiento no significativo"))</f>
        <v>#REF!</v>
      </c>
      <c r="O2569" s="5" t="s">
        <v>41</v>
      </c>
      <c r="P2569" s="12">
        <v>904109.58900000004</v>
      </c>
      <c r="Q2569" s="12">
        <f>IF(O2569="Guaraníes",P2569,P2569*#REF!)</f>
        <v>904109.58900000004</v>
      </c>
      <c r="R2569" s="12" t="e">
        <f>IF(O2569="Guaraníes",P2569/#REF!,P2569)</f>
        <v>#REF!</v>
      </c>
      <c r="S2569" s="5" t="s">
        <v>42</v>
      </c>
      <c r="T2569" s="5">
        <v>9243</v>
      </c>
      <c r="W2569" s="5" t="s">
        <v>65</v>
      </c>
      <c r="X2569" s="5">
        <v>0</v>
      </c>
      <c r="Y2569" s="5">
        <v>0</v>
      </c>
      <c r="Z2569" s="5">
        <v>9041.0958900000005</v>
      </c>
      <c r="AA2569" s="5">
        <v>100</v>
      </c>
      <c r="AB2569" s="5">
        <v>904109.58900000004</v>
      </c>
      <c r="AC2569" s="5" t="str">
        <f t="shared" si="124"/>
        <v>Bonos</v>
      </c>
      <c r="AD2569" s="5" t="s">
        <v>43</v>
      </c>
      <c r="AE2569" s="5">
        <f t="shared" si="122"/>
        <v>3</v>
      </c>
      <c r="AF2569" s="5">
        <f t="shared" si="123"/>
        <v>2027</v>
      </c>
    </row>
    <row r="2570" s="5" customFormat="1" ht="13">
      <c r="A2570" s="5">
        <v>12315</v>
      </c>
      <c r="B2570" s="5" t="s">
        <v>73</v>
      </c>
      <c r="C2570" s="5" t="s">
        <v>74</v>
      </c>
      <c r="D2570" s="5" t="s">
        <v>21</v>
      </c>
      <c r="E2570" s="5" t="s">
        <v>34</v>
      </c>
      <c r="F2570" s="5" t="s">
        <v>68</v>
      </c>
      <c r="G2570" s="5" t="s">
        <v>75</v>
      </c>
      <c r="H2570" s="9" t="s">
        <v>76</v>
      </c>
      <c r="I2570" s="10"/>
      <c r="J2570" s="10">
        <v>46478</v>
      </c>
      <c r="K2570" s="5" t="s">
        <v>77</v>
      </c>
      <c r="L2570" s="5" t="s">
        <v>50</v>
      </c>
      <c r="M2570" s="11">
        <v>0.055</v>
      </c>
      <c r="N2570" s="5" t="e">
        <f>IF(AND(M2570&gt;#REF!,Cartera!O2570="Guaraníes"),"Rendimiento significativo",IF(AND(M2570&gt;#REF!,Cartera!O2570="Dólares americanos"),"Rendimiento significativo","Rendimiento no significativo"))</f>
        <v>#REF!</v>
      </c>
      <c r="O2570" s="5" t="s">
        <v>51</v>
      </c>
      <c r="P2570" s="13">
        <v>393.28766999999999</v>
      </c>
      <c r="Q2570" s="12" t="e">
        <f>IF(O2570="Guaraníes",P2570,P2570*#REF!)</f>
        <v>#REF!</v>
      </c>
      <c r="R2570" s="12">
        <f>IF(O2570="Guaraníes",P2570/#REF!,P2570)</f>
        <v>393.28766999999999</v>
      </c>
      <c r="S2570" s="5" t="s">
        <v>42</v>
      </c>
      <c r="T2570" s="5">
        <v>25</v>
      </c>
      <c r="W2570" s="5" t="s">
        <v>65</v>
      </c>
      <c r="X2570" s="5">
        <v>0</v>
      </c>
      <c r="Y2570" s="5">
        <v>0</v>
      </c>
      <c r="Z2570" s="5">
        <v>13.109589</v>
      </c>
      <c r="AA2570" s="5">
        <v>30</v>
      </c>
      <c r="AB2570" s="5">
        <v>393.29000000000002</v>
      </c>
      <c r="AC2570" s="5" t="str">
        <f t="shared" si="124"/>
        <v>Bonos</v>
      </c>
      <c r="AD2570" s="5" t="s">
        <v>43</v>
      </c>
      <c r="AE2570" s="5">
        <f t="shared" si="122"/>
        <v>4</v>
      </c>
      <c r="AF2570" s="5">
        <f t="shared" si="123"/>
        <v>2027</v>
      </c>
    </row>
    <row r="2571" s="5" customFormat="1" ht="13">
      <c r="A2571" s="5">
        <v>12316</v>
      </c>
      <c r="B2571" s="5" t="s">
        <v>78</v>
      </c>
      <c r="C2571" s="5" t="s">
        <v>138</v>
      </c>
      <c r="D2571" s="5" t="s">
        <v>21</v>
      </c>
      <c r="E2571" s="5" t="s">
        <v>34</v>
      </c>
      <c r="F2571" s="5" t="s">
        <v>68</v>
      </c>
      <c r="G2571" s="5" t="s">
        <v>86</v>
      </c>
      <c r="H2571" s="9" t="s">
        <v>139</v>
      </c>
      <c r="I2571" s="10">
        <v>43948</v>
      </c>
      <c r="J2571" s="10">
        <v>46482</v>
      </c>
      <c r="K2571" s="5" t="s">
        <v>140</v>
      </c>
      <c r="L2571" s="5" t="s">
        <v>58</v>
      </c>
      <c r="M2571" s="11">
        <v>0.11</v>
      </c>
      <c r="N2571" s="5" t="e">
        <f>IF(AND(M2571&gt;#REF!,Cartera!O2571="Guaraníes"),"Rendimiento significativo",IF(AND(M2571&gt;#REF!,Cartera!O2571="Dólares americanos"),"Rendimiento significativo","Rendimiento no significativo"))</f>
        <v>#REF!</v>
      </c>
      <c r="O2571" s="5" t="s">
        <v>41</v>
      </c>
      <c r="P2571" s="12">
        <v>848171.10219999996</v>
      </c>
      <c r="Q2571" s="12">
        <f>IF(O2571="Guaraníes",P2571,P2571*#REF!)</f>
        <v>848171.10219999996</v>
      </c>
      <c r="R2571" s="12" t="e">
        <f>IF(O2571="Guaraníes",P2571/#REF!,P2571)</f>
        <v>#REF!</v>
      </c>
      <c r="S2571" s="5" t="s">
        <v>42</v>
      </c>
      <c r="AC2571" s="5" t="str">
        <f t="shared" si="124"/>
        <v>Bonos</v>
      </c>
      <c r="AD2571" s="5" t="s">
        <v>43</v>
      </c>
      <c r="AE2571" s="5">
        <f t="shared" si="122"/>
        <v>4</v>
      </c>
      <c r="AF2571" s="5">
        <f t="shared" si="123"/>
        <v>2027</v>
      </c>
    </row>
    <row r="2572" s="5" customFormat="1" ht="13">
      <c r="A2572" s="5">
        <v>12315</v>
      </c>
      <c r="B2572" s="5" t="s">
        <v>73</v>
      </c>
      <c r="C2572" s="5" t="s">
        <v>85</v>
      </c>
      <c r="D2572" s="5" t="s">
        <v>21</v>
      </c>
      <c r="E2572" s="5" t="s">
        <v>34</v>
      </c>
      <c r="F2572" s="5" t="s">
        <v>68</v>
      </c>
      <c r="G2572" s="5" t="s">
        <v>86</v>
      </c>
      <c r="H2572" s="9" t="s">
        <v>87</v>
      </c>
      <c r="I2572" s="10"/>
      <c r="J2572" s="10">
        <v>46492</v>
      </c>
      <c r="K2572" s="5" t="s">
        <v>39</v>
      </c>
      <c r="L2572" s="5" t="s">
        <v>58</v>
      </c>
      <c r="M2572" s="11">
        <v>0.059999999999999998</v>
      </c>
      <c r="N2572" s="5" t="e">
        <f>IF(AND(M2572&gt;#REF!,Cartera!O2572="Guaraníes"),"Rendimiento significativo",IF(AND(M2572&gt;#REF!,Cartera!O2572="Dólares americanos"),"Rendimiento significativo","Rendimiento no significativo"))</f>
        <v>#REF!</v>
      </c>
      <c r="O2572" s="5" t="s">
        <v>51</v>
      </c>
      <c r="P2572" s="13">
        <v>747.9452</v>
      </c>
      <c r="Q2572" s="12" t="e">
        <f>IF(O2572="Guaraníes",P2572,P2572*#REF!)</f>
        <v>#REF!</v>
      </c>
      <c r="R2572" s="12">
        <f>IF(O2572="Guaraníes",P2572/#REF!,P2572)</f>
        <v>747.9452</v>
      </c>
      <c r="S2572" s="5" t="s">
        <v>42</v>
      </c>
      <c r="T2572" s="5">
        <v>10834</v>
      </c>
      <c r="W2572" s="5" t="s">
        <v>542</v>
      </c>
      <c r="X2572" s="5">
        <v>0</v>
      </c>
      <c r="Y2572" s="5">
        <v>0</v>
      </c>
      <c r="Z2572" s="5">
        <v>14.958904</v>
      </c>
      <c r="AA2572" s="5">
        <v>50</v>
      </c>
      <c r="AB2572" s="5">
        <v>747.9452</v>
      </c>
      <c r="AC2572" s="5" t="str">
        <f t="shared" si="124"/>
        <v>Bonos</v>
      </c>
      <c r="AD2572" s="5" t="s">
        <v>43</v>
      </c>
      <c r="AE2572" s="5">
        <f t="shared" si="122"/>
        <v>4</v>
      </c>
      <c r="AF2572" s="5">
        <f t="shared" si="123"/>
        <v>2027</v>
      </c>
    </row>
    <row r="2573" s="5" customFormat="1" ht="13">
      <c r="A2573" s="5">
        <v>12315</v>
      </c>
      <c r="B2573" s="5" t="s">
        <v>73</v>
      </c>
      <c r="C2573" s="5" t="s">
        <v>122</v>
      </c>
      <c r="D2573" s="5" t="s">
        <v>21</v>
      </c>
      <c r="E2573" s="5" t="s">
        <v>34</v>
      </c>
      <c r="F2573" s="5" t="s">
        <v>61</v>
      </c>
      <c r="G2573" s="5" t="s">
        <v>91</v>
      </c>
      <c r="H2573" s="9" t="s">
        <v>132</v>
      </c>
      <c r="I2573" s="10"/>
      <c r="J2573" s="10">
        <v>46498</v>
      </c>
      <c r="K2573" s="5" t="s">
        <v>124</v>
      </c>
      <c r="L2573" s="5" t="s">
        <v>50</v>
      </c>
      <c r="M2573" s="11">
        <v>0.059999999999999998</v>
      </c>
      <c r="N2573" s="5" t="e">
        <f>IF(AND(M2573&gt;#REF!,Cartera!O2573="Guaraníes"),"Rendimiento significativo",IF(AND(M2573&gt;#REF!,Cartera!O2573="Dólares americanos"),"Rendimiento significativo","Rendimiento no significativo"))</f>
        <v>#REF!</v>
      </c>
      <c r="O2573" s="5" t="s">
        <v>51</v>
      </c>
      <c r="P2573" s="13">
        <v>299.17808000000002</v>
      </c>
      <c r="Q2573" s="12" t="e">
        <f>IF(O2573="Guaraníes",P2573,P2573*#REF!)</f>
        <v>#REF!</v>
      </c>
      <c r="R2573" s="12">
        <f>IF(O2573="Guaraníes",P2573/#REF!,P2573)</f>
        <v>299.17808000000002</v>
      </c>
      <c r="S2573" s="5" t="s">
        <v>42</v>
      </c>
      <c r="T2573" s="5">
        <v>3253</v>
      </c>
      <c r="W2573" s="5" t="s">
        <v>65</v>
      </c>
      <c r="X2573" s="5">
        <v>0</v>
      </c>
      <c r="Y2573" s="5">
        <v>0</v>
      </c>
      <c r="Z2573" s="5">
        <v>29.917808000000001</v>
      </c>
      <c r="AA2573" s="5">
        <v>10</v>
      </c>
      <c r="AB2573" s="5">
        <v>299.17808000000002</v>
      </c>
      <c r="AC2573" s="5" t="str">
        <f t="shared" si="124"/>
        <v>Bonos</v>
      </c>
      <c r="AD2573" s="5" t="s">
        <v>43</v>
      </c>
      <c r="AE2573" s="5">
        <f t="shared" si="122"/>
        <v>4</v>
      </c>
      <c r="AF2573" s="5">
        <f t="shared" si="123"/>
        <v>2027</v>
      </c>
    </row>
    <row r="2574" s="5" customFormat="1" ht="13">
      <c r="A2574" s="5">
        <v>12315</v>
      </c>
      <c r="B2574" s="5" t="s">
        <v>73</v>
      </c>
      <c r="C2574" s="5" t="s">
        <v>54</v>
      </c>
      <c r="D2574" s="5" t="s">
        <v>21</v>
      </c>
      <c r="E2574" s="5" t="s">
        <v>34</v>
      </c>
      <c r="F2574" s="5" t="s">
        <v>46</v>
      </c>
      <c r="G2574" s="5" t="s">
        <v>55</v>
      </c>
      <c r="H2574" s="9" t="s">
        <v>56</v>
      </c>
      <c r="I2574" s="10">
        <v>44680</v>
      </c>
      <c r="J2574" s="10">
        <v>46500</v>
      </c>
      <c r="K2574" s="5" t="s">
        <v>57</v>
      </c>
      <c r="L2574" s="5" t="s">
        <v>58</v>
      </c>
      <c r="M2574" s="11">
        <v>0.059999999999999998</v>
      </c>
      <c r="N2574" s="5" t="e">
        <f>IF(AND(M2574&gt;#REF!,Cartera!O2574="Guaraníes"),"Rendimiento significativo",IF(AND(M2574&gt;#REF!,Cartera!O2574="Dólares americanos"),"Rendimiento significativo","Rendimiento no significativo"))</f>
        <v>#REF!</v>
      </c>
      <c r="O2574" s="5" t="s">
        <v>51</v>
      </c>
      <c r="P2574" s="13">
        <v>747.9452</v>
      </c>
      <c r="Q2574" s="12" t="e">
        <f>IF(O2574="Guaraníes",P2574,P2574*#REF!)</f>
        <v>#REF!</v>
      </c>
      <c r="R2574" s="12">
        <f>IF(O2574="Guaraníes",P2574/#REF!,P2574)</f>
        <v>747.9452</v>
      </c>
      <c r="S2574" s="5" t="s">
        <v>42</v>
      </c>
      <c r="T2574" s="5">
        <v>17035</v>
      </c>
      <c r="V2574" s="5">
        <v>14.960000000000001</v>
      </c>
      <c r="AA2574" s="5">
        <v>50</v>
      </c>
      <c r="AC2574" s="5" t="str">
        <f t="shared" si="124"/>
        <v>Bonos</v>
      </c>
      <c r="AD2574" s="5" t="s">
        <v>43</v>
      </c>
      <c r="AE2574" s="5">
        <f t="shared" si="122"/>
        <v>4</v>
      </c>
      <c r="AF2574" s="5">
        <f t="shared" si="123"/>
        <v>2027</v>
      </c>
    </row>
    <row r="2575" s="5" customFormat="1" ht="13">
      <c r="A2575" s="5">
        <v>12316</v>
      </c>
      <c r="B2575" s="5" t="s">
        <v>78</v>
      </c>
      <c r="C2575" s="5" t="s">
        <v>99</v>
      </c>
      <c r="D2575" s="5" t="s">
        <v>21</v>
      </c>
      <c r="E2575" s="5" t="s">
        <v>34</v>
      </c>
      <c r="F2575" s="5" t="s">
        <v>100</v>
      </c>
      <c r="G2575" s="5" t="s">
        <v>75</v>
      </c>
      <c r="H2575" s="9" t="s">
        <v>217</v>
      </c>
      <c r="I2575" s="10"/>
      <c r="J2575" s="10">
        <v>46501</v>
      </c>
      <c r="K2575" s="5" t="s">
        <v>102</v>
      </c>
      <c r="L2575" s="5" t="s">
        <v>102</v>
      </c>
      <c r="M2575" s="11">
        <v>0.080000000000000002</v>
      </c>
      <c r="N2575" s="5" t="e">
        <f>IF(AND(M2575&gt;#REF!,Cartera!O2575="Guaraníes"),"Rendimiento significativo",IF(AND(M2575&gt;#REF!,Cartera!O2575="Dólares americanos"),"Rendimiento significativo","Rendimiento no significativo"))</f>
        <v>#REF!</v>
      </c>
      <c r="O2575" s="5" t="s">
        <v>41</v>
      </c>
      <c r="P2575" s="12">
        <v>5767000</v>
      </c>
      <c r="Q2575" s="12">
        <f>IF(O2575="Guaraníes",P2575,P2575*#REF!)</f>
        <v>5767000</v>
      </c>
      <c r="R2575" s="12" t="e">
        <f>IF(O2575="Guaraníes",P2575/#REF!,P2575)</f>
        <v>#REF!</v>
      </c>
      <c r="S2575" s="5" t="s">
        <v>42</v>
      </c>
      <c r="T2575" s="5">
        <v>25</v>
      </c>
      <c r="W2575" s="5" t="s">
        <v>218</v>
      </c>
      <c r="X2575" s="5">
        <v>0</v>
      </c>
      <c r="Y2575" s="5">
        <v>0</v>
      </c>
      <c r="Z2575" s="5">
        <v>39500</v>
      </c>
      <c r="AA2575" s="5">
        <v>146</v>
      </c>
      <c r="AB2575" s="5">
        <v>5767000</v>
      </c>
      <c r="AC2575" s="5" t="str">
        <f t="shared" si="124"/>
        <v>Bonos</v>
      </c>
      <c r="AD2575" s="5" t="s">
        <v>43</v>
      </c>
      <c r="AE2575" s="5">
        <f t="shared" si="122"/>
        <v>4</v>
      </c>
      <c r="AF2575" s="5">
        <f t="shared" si="123"/>
        <v>2027</v>
      </c>
    </row>
    <row r="2576" s="5" customFormat="1" ht="13">
      <c r="A2576" s="5">
        <v>12315</v>
      </c>
      <c r="B2576" s="5" t="s">
        <v>73</v>
      </c>
      <c r="C2576" s="5" t="s">
        <v>33</v>
      </c>
      <c r="D2576" s="5" t="s">
        <v>21</v>
      </c>
      <c r="E2576" s="5" t="s">
        <v>34</v>
      </c>
      <c r="F2576" s="5" t="s">
        <v>35</v>
      </c>
      <c r="G2576" s="5" t="s">
        <v>141</v>
      </c>
      <c r="H2576" s="9" t="s">
        <v>142</v>
      </c>
      <c r="I2576" s="10">
        <v>44956</v>
      </c>
      <c r="J2576" s="10">
        <v>46504</v>
      </c>
      <c r="K2576" s="5" t="s">
        <v>39</v>
      </c>
      <c r="L2576" s="5" t="s">
        <v>50</v>
      </c>
      <c r="M2576" s="11">
        <v>0.065000000000000002</v>
      </c>
      <c r="N2576" s="5" t="e">
        <f>IF(AND(M2576&gt;#REF!,Cartera!O2576="Guaraníes"),"Rendimiento significativo",IF(AND(M2576&gt;#REF!,Cartera!O2576="Dólares americanos"),"Rendimiento significativo","Rendimiento no significativo"))</f>
        <v>#REF!</v>
      </c>
      <c r="O2576" s="5" t="s">
        <v>51</v>
      </c>
      <c r="P2576" s="13">
        <v>1296.43832</v>
      </c>
      <c r="Q2576" s="12" t="e">
        <f>IF(O2576="Guaraníes",P2576,P2576*#REF!)</f>
        <v>#REF!</v>
      </c>
      <c r="R2576" s="12">
        <f>IF(O2576="Guaraníes",P2576/#REF!,P2576)</f>
        <v>1296.43832</v>
      </c>
      <c r="S2576" s="5" t="s">
        <v>42</v>
      </c>
      <c r="AC2576" s="5" t="str">
        <f t="shared" si="124"/>
        <v>Bonos</v>
      </c>
      <c r="AD2576" s="5" t="s">
        <v>43</v>
      </c>
      <c r="AE2576" s="5">
        <f t="shared" si="122"/>
        <v>4</v>
      </c>
      <c r="AF2576" s="5">
        <f t="shared" si="123"/>
        <v>2027</v>
      </c>
    </row>
    <row r="2577" s="5" customFormat="1" ht="13">
      <c r="A2577" s="5">
        <v>12316</v>
      </c>
      <c r="B2577" s="5" t="s">
        <v>78</v>
      </c>
      <c r="C2577" s="5" t="s">
        <v>164</v>
      </c>
      <c r="D2577" s="5" t="s">
        <v>21</v>
      </c>
      <c r="E2577" s="5" t="s">
        <v>34</v>
      </c>
      <c r="F2577" s="5" t="s">
        <v>68</v>
      </c>
      <c r="G2577" s="5" t="s">
        <v>145</v>
      </c>
      <c r="H2577" s="9" t="s">
        <v>165</v>
      </c>
      <c r="I2577" s="10"/>
      <c r="J2577" s="10">
        <v>46507</v>
      </c>
      <c r="K2577" s="5" t="s">
        <v>124</v>
      </c>
      <c r="L2577" s="5" t="s">
        <v>58</v>
      </c>
      <c r="M2577" s="11">
        <v>0.10000000000000001</v>
      </c>
      <c r="N2577" s="5" t="e">
        <f>IF(AND(M2577&gt;#REF!,Cartera!O2577="Guaraníes"),"Rendimiento significativo",IF(AND(M2577&gt;#REF!,Cartera!O2577="Dólares americanos"),"Rendimiento significativo","Rendimiento no significativo"))</f>
        <v>#REF!</v>
      </c>
      <c r="O2577" s="5" t="s">
        <v>41</v>
      </c>
      <c r="P2577" s="12">
        <v>3287671.2328000003</v>
      </c>
      <c r="Q2577" s="12">
        <f>IF(O2577="Guaraníes",P2577,P2577*#REF!)</f>
        <v>3287671.2328000003</v>
      </c>
      <c r="R2577" s="12" t="e">
        <f>IF(O2577="Guaraníes",P2577/#REF!,P2577)</f>
        <v>#REF!</v>
      </c>
      <c r="S2577" s="5" t="s">
        <v>42</v>
      </c>
      <c r="T2577" s="5">
        <v>1057</v>
      </c>
      <c r="W2577" s="5" t="s">
        <v>65</v>
      </c>
      <c r="X2577" s="5">
        <v>0</v>
      </c>
      <c r="Y2577" s="5">
        <v>0</v>
      </c>
      <c r="Z2577" s="5">
        <v>8219.1780820000004</v>
      </c>
      <c r="AA2577" s="5">
        <v>400</v>
      </c>
      <c r="AB2577" s="5">
        <v>3287671.2327999999</v>
      </c>
      <c r="AC2577" s="5" t="str">
        <f t="shared" si="124"/>
        <v>Bonos</v>
      </c>
      <c r="AD2577" s="5" t="s">
        <v>43</v>
      </c>
      <c r="AE2577" s="5">
        <f t="shared" si="122"/>
        <v>4</v>
      </c>
      <c r="AF2577" s="5">
        <f t="shared" si="123"/>
        <v>2027</v>
      </c>
    </row>
    <row r="2578" s="5" customFormat="1" ht="13">
      <c r="A2578" s="5">
        <v>12302</v>
      </c>
      <c r="B2578" s="5" t="s">
        <v>98</v>
      </c>
      <c r="C2578" s="5" t="s">
        <v>116</v>
      </c>
      <c r="D2578" s="5" t="s">
        <v>20</v>
      </c>
      <c r="E2578" s="5" t="s">
        <v>34</v>
      </c>
      <c r="F2578" s="5" t="s">
        <v>68</v>
      </c>
      <c r="G2578" s="5" t="s">
        <v>69</v>
      </c>
      <c r="H2578" s="9" t="s">
        <v>194</v>
      </c>
      <c r="I2578" s="10">
        <v>44104</v>
      </c>
      <c r="J2578" s="10">
        <v>47753</v>
      </c>
      <c r="K2578" s="5" t="s">
        <v>118</v>
      </c>
      <c r="L2578" s="5" t="s">
        <v>50</v>
      </c>
      <c r="M2578" s="11">
        <v>0.065000000000000002</v>
      </c>
      <c r="N2578" s="5" t="e">
        <f>IF(AND(M2578&gt;#REF!,Cartera!O2578="Guaraníes"),"Rendimiento significativo",IF(AND(M2578&gt;#REF!,Cartera!O2578="Dólares americanos"),"Rendimiento significativo","Rendimiento no significativo"))</f>
        <v>#REF!</v>
      </c>
      <c r="O2578" s="5" t="s">
        <v>51</v>
      </c>
      <c r="P2578" s="13">
        <v>10000</v>
      </c>
      <c r="Q2578" s="12" t="e">
        <f>IF(O2578="Guaraníes",P2578,P2578*#REF!)</f>
        <v>#REF!</v>
      </c>
      <c r="R2578" s="12">
        <f>IF(O2578="Guaraníes",P2578/#REF!,P2578)</f>
        <v>10000</v>
      </c>
      <c r="S2578" s="5" t="s">
        <v>42</v>
      </c>
      <c r="AC2578" s="5" t="str">
        <f t="shared" si="124"/>
        <v>Bonos</v>
      </c>
      <c r="AD2578" s="5" t="s">
        <v>43</v>
      </c>
      <c r="AE2578" s="5">
        <f t="shared" ref="AE2578:AE2641" si="125">IFERROR((MONTH(J2578)),0)</f>
        <v>9</v>
      </c>
      <c r="AF2578" s="5">
        <f t="shared" ref="AF2578:AF2641" si="126">IFERROR((YEAR(J2578)),0)</f>
        <v>2030</v>
      </c>
    </row>
    <row r="2579" s="5" customFormat="1" ht="13">
      <c r="A2579" s="5">
        <v>12316</v>
      </c>
      <c r="B2579" s="5" t="s">
        <v>78</v>
      </c>
      <c r="C2579" s="5" t="s">
        <v>164</v>
      </c>
      <c r="D2579" s="5" t="s">
        <v>21</v>
      </c>
      <c r="E2579" s="5" t="s">
        <v>34</v>
      </c>
      <c r="F2579" s="5" t="s">
        <v>68</v>
      </c>
      <c r="G2579" s="5" t="s">
        <v>141</v>
      </c>
      <c r="H2579" s="9" t="s">
        <v>165</v>
      </c>
      <c r="I2579" s="10"/>
      <c r="J2579" s="10">
        <v>46507</v>
      </c>
      <c r="K2579" s="5" t="s">
        <v>124</v>
      </c>
      <c r="L2579" s="5" t="s">
        <v>58</v>
      </c>
      <c r="M2579" s="11">
        <v>0.10000000000000001</v>
      </c>
      <c r="N2579" s="5" t="e">
        <f>IF(AND(M2579&gt;#REF!,Cartera!O2579="Guaraníes"),"Rendimiento significativo",IF(AND(M2579&gt;#REF!,Cartera!O2579="Dólares americanos"),"Rendimiento significativo","Rendimiento no significativo"))</f>
        <v>#REF!</v>
      </c>
      <c r="O2579" s="5" t="s">
        <v>41</v>
      </c>
      <c r="P2579" s="12">
        <v>821917.80820000009</v>
      </c>
      <c r="Q2579" s="12">
        <f>IF(O2579="Guaraníes",P2579,P2579*#REF!)</f>
        <v>821917.80820000009</v>
      </c>
      <c r="R2579" s="12" t="e">
        <f>IF(O2579="Guaraníes",P2579/#REF!,P2579)</f>
        <v>#REF!</v>
      </c>
      <c r="S2579" s="5" t="s">
        <v>42</v>
      </c>
      <c r="T2579" s="5">
        <v>9243</v>
      </c>
      <c r="W2579" s="5" t="s">
        <v>65</v>
      </c>
      <c r="X2579" s="5">
        <v>0</v>
      </c>
      <c r="Y2579" s="5">
        <v>0</v>
      </c>
      <c r="Z2579" s="5">
        <v>8219.1780820000004</v>
      </c>
      <c r="AA2579" s="5">
        <v>100</v>
      </c>
      <c r="AB2579" s="5">
        <v>821917.80819999997</v>
      </c>
      <c r="AC2579" s="5" t="str">
        <f t="shared" si="124"/>
        <v>Bonos</v>
      </c>
      <c r="AD2579" s="5" t="s">
        <v>43</v>
      </c>
      <c r="AE2579" s="5">
        <f t="shared" si="125"/>
        <v>4</v>
      </c>
      <c r="AF2579" s="5">
        <f t="shared" si="126"/>
        <v>2027</v>
      </c>
    </row>
    <row r="2580" s="5" customFormat="1" ht="13">
      <c r="A2580" s="5">
        <v>12316</v>
      </c>
      <c r="B2580" s="5" t="s">
        <v>78</v>
      </c>
      <c r="C2580" s="5" t="s">
        <v>138</v>
      </c>
      <c r="D2580" s="5" t="s">
        <v>21</v>
      </c>
      <c r="E2580" s="5" t="s">
        <v>34</v>
      </c>
      <c r="F2580" s="5" t="s">
        <v>68</v>
      </c>
      <c r="G2580" s="5" t="s">
        <v>86</v>
      </c>
      <c r="H2580" s="9" t="s">
        <v>139</v>
      </c>
      <c r="I2580" s="10">
        <v>43948</v>
      </c>
      <c r="J2580" s="10">
        <v>46512</v>
      </c>
      <c r="K2580" s="5" t="s">
        <v>140</v>
      </c>
      <c r="L2580" s="5" t="s">
        <v>58</v>
      </c>
      <c r="M2580" s="11">
        <v>0.11</v>
      </c>
      <c r="N2580" s="5" t="e">
        <f>IF(AND(M2580&gt;#REF!,Cartera!O2580="Guaraníes"),"Rendimiento significativo",IF(AND(M2580&gt;#REF!,Cartera!O2580="Dólares americanos"),"Rendimiento significativo","Rendimiento no significativo"))</f>
        <v>#REF!</v>
      </c>
      <c r="O2580" s="5" t="s">
        <v>41</v>
      </c>
      <c r="P2580" s="12">
        <v>811125.94920000003</v>
      </c>
      <c r="Q2580" s="12">
        <f>IF(O2580="Guaraníes",P2580,P2580*#REF!)</f>
        <v>811125.94920000003</v>
      </c>
      <c r="R2580" s="12" t="e">
        <f>IF(O2580="Guaraníes",P2580/#REF!,P2580)</f>
        <v>#REF!</v>
      </c>
      <c r="S2580" s="5" t="s">
        <v>42</v>
      </c>
      <c r="AC2580" s="5" t="str">
        <f t="shared" si="124"/>
        <v>Bonos</v>
      </c>
      <c r="AD2580" s="5" t="s">
        <v>43</v>
      </c>
      <c r="AE2580" s="5">
        <f t="shared" si="125"/>
        <v>5</v>
      </c>
      <c r="AF2580" s="5">
        <f t="shared" si="126"/>
        <v>2027</v>
      </c>
    </row>
    <row r="2581" s="5" customFormat="1" ht="13">
      <c r="A2581" s="5">
        <v>12306</v>
      </c>
      <c r="B2581" s="5" t="s">
        <v>373</v>
      </c>
      <c r="C2581" s="5" t="s">
        <v>183</v>
      </c>
      <c r="D2581" s="5" t="s">
        <v>20</v>
      </c>
      <c r="E2581" s="5" t="s">
        <v>34</v>
      </c>
      <c r="F2581" s="5" t="s">
        <v>184</v>
      </c>
      <c r="G2581" s="5" t="s">
        <v>69</v>
      </c>
      <c r="H2581" s="9">
        <v>6217</v>
      </c>
      <c r="I2581" s="10">
        <v>44383</v>
      </c>
      <c r="J2581" s="10">
        <v>47917</v>
      </c>
      <c r="K2581" s="5" t="s">
        <v>124</v>
      </c>
      <c r="L2581" s="5" t="s">
        <v>82</v>
      </c>
      <c r="M2581" s="11">
        <v>0.072499999999999995</v>
      </c>
      <c r="N2581" s="5" t="e">
        <f>IF(AND(M2581&gt;#REF!,Cartera!O2581="Guaraníes"),"Rendimiento significativo",IF(AND(M2581&gt;#REF!,Cartera!O2581="Dólares americanos"),"Rendimiento significativo","Rendimiento no significativo"))</f>
        <v>#REF!</v>
      </c>
      <c r="O2581" s="5" t="s">
        <v>41</v>
      </c>
      <c r="P2581" s="12">
        <v>500000000</v>
      </c>
      <c r="Q2581" s="12">
        <f>IF(O2581="Guaraníes",P2581,P2581*#REF!)</f>
        <v>500000000</v>
      </c>
      <c r="R2581" s="12" t="e">
        <f>IF(O2581="Guaraníes",P2581/#REF!,P2581)</f>
        <v>#REF!</v>
      </c>
      <c r="S2581" s="5" t="s">
        <v>42</v>
      </c>
      <c r="AC2581" s="5" t="str">
        <f t="shared" si="124"/>
        <v>CDA</v>
      </c>
      <c r="AD2581" s="5" t="s">
        <v>43</v>
      </c>
      <c r="AE2581" s="5">
        <f t="shared" si="125"/>
        <v>3</v>
      </c>
      <c r="AF2581" s="5">
        <f t="shared" si="126"/>
        <v>2031</v>
      </c>
    </row>
    <row r="2582" s="5" customFormat="1" ht="13">
      <c r="A2582" s="5">
        <v>12316</v>
      </c>
      <c r="B2582" s="5" t="s">
        <v>78</v>
      </c>
      <c r="C2582" s="5" t="s">
        <v>183</v>
      </c>
      <c r="D2582" s="5" t="s">
        <v>21</v>
      </c>
      <c r="E2582" s="5" t="s">
        <v>34</v>
      </c>
      <c r="F2582" s="5" t="s">
        <v>184</v>
      </c>
      <c r="H2582" s="9">
        <v>6389</v>
      </c>
      <c r="I2582" s="10"/>
      <c r="J2582" s="10">
        <v>46517</v>
      </c>
      <c r="K2582" s="5" t="s">
        <v>124</v>
      </c>
      <c r="L2582" s="5" t="s">
        <v>82</v>
      </c>
      <c r="M2582" s="11">
        <v>0.079000000000000001</v>
      </c>
      <c r="N2582" s="5" t="e">
        <f>IF(AND(M2582&gt;#REF!,Cartera!O2582="Guaraníes"),"Rendimiento significativo",IF(AND(M2582&gt;#REF!,Cartera!O2582="Dólares americanos"),"Rendimiento significativo","Rendimiento no significativo"))</f>
        <v>#REF!</v>
      </c>
      <c r="O2582" s="5" t="s">
        <v>41</v>
      </c>
      <c r="P2582" s="12">
        <v>9848020</v>
      </c>
      <c r="Q2582" s="12">
        <f>IF(O2582="Guaraníes",P2582,P2582*#REF!)</f>
        <v>9848020</v>
      </c>
      <c r="R2582" s="12" t="e">
        <f>IF(O2582="Guaraníes",P2582/#REF!,P2582)</f>
        <v>#REF!</v>
      </c>
      <c r="S2582" s="5" t="s">
        <v>42</v>
      </c>
      <c r="V2582" s="5">
        <v>9848020</v>
      </c>
      <c r="W2582" s="5" t="s">
        <v>369</v>
      </c>
      <c r="AC2582" s="5" t="str">
        <f t="shared" si="124"/>
        <v>CDA</v>
      </c>
      <c r="AD2582" s="5" t="s">
        <v>43</v>
      </c>
      <c r="AE2582" s="5">
        <f t="shared" si="125"/>
        <v>5</v>
      </c>
      <c r="AF2582" s="5">
        <f t="shared" si="126"/>
        <v>2027</v>
      </c>
    </row>
    <row r="2583" s="5" customFormat="1" ht="13">
      <c r="A2583" s="5">
        <v>12302</v>
      </c>
      <c r="B2583" s="5" t="s">
        <v>98</v>
      </c>
      <c r="C2583" s="5" t="s">
        <v>33</v>
      </c>
      <c r="D2583" s="5" t="s">
        <v>20</v>
      </c>
      <c r="E2583" s="5" t="s">
        <v>34</v>
      </c>
      <c r="F2583" s="5" t="s">
        <v>35</v>
      </c>
      <c r="G2583" s="5" t="s">
        <v>69</v>
      </c>
      <c r="H2583" s="9" t="s">
        <v>186</v>
      </c>
      <c r="I2583" s="10"/>
      <c r="J2583" s="10">
        <v>48094</v>
      </c>
      <c r="K2583" s="5" t="s">
        <v>39</v>
      </c>
      <c r="L2583" s="5" t="s">
        <v>50</v>
      </c>
      <c r="M2583" s="11">
        <v>0.044999999999999998</v>
      </c>
      <c r="N2583" s="5" t="e">
        <f>IF(AND(M2583&gt;#REF!,Cartera!O2583="Guaraníes"),"Rendimiento significativo",IF(AND(M2583&gt;#REF!,Cartera!O2583="Dólares americanos"),"Rendimiento significativo","Rendimiento no significativo"))</f>
        <v>#REF!</v>
      </c>
      <c r="O2583" s="5" t="s">
        <v>51</v>
      </c>
      <c r="P2583" s="13">
        <v>40000</v>
      </c>
      <c r="Q2583" s="12" t="e">
        <f>IF(O2583="Guaraníes",P2583,P2583*#REF!)</f>
        <v>#REF!</v>
      </c>
      <c r="R2583" s="12">
        <f>IF(O2583="Guaraníes",P2583/#REF!,P2583)</f>
        <v>40000</v>
      </c>
      <c r="S2583" s="5" t="s">
        <v>42</v>
      </c>
      <c r="T2583" s="5">
        <v>593</v>
      </c>
      <c r="X2583" s="5">
        <v>100</v>
      </c>
      <c r="Y2583" s="5">
        <v>1000</v>
      </c>
      <c r="Z2583" s="5">
        <v>1011.2191780000001</v>
      </c>
      <c r="AA2583" s="5">
        <v>40</v>
      </c>
      <c r="AB2583" s="5">
        <v>40448.767119999997</v>
      </c>
      <c r="AC2583" s="5" t="str">
        <f t="shared" si="124"/>
        <v>Bonos</v>
      </c>
      <c r="AD2583" s="5" t="s">
        <v>43</v>
      </c>
      <c r="AE2583" s="5">
        <f t="shared" si="125"/>
        <v>9</v>
      </c>
      <c r="AF2583" s="5">
        <f t="shared" si="126"/>
        <v>2031</v>
      </c>
    </row>
    <row r="2584" s="5" customFormat="1" ht="13">
      <c r="A2584" s="5" t="s">
        <v>44</v>
      </c>
      <c r="B2584" s="5" t="s">
        <v>44</v>
      </c>
      <c r="C2584" s="5" t="s">
        <v>517</v>
      </c>
      <c r="D2584" s="5" t="s">
        <v>21</v>
      </c>
      <c r="E2584" s="5" t="s">
        <v>44</v>
      </c>
      <c r="F2584" s="5" t="s">
        <v>68</v>
      </c>
      <c r="G2584" s="5" t="s">
        <v>69</v>
      </c>
      <c r="H2584" s="9" t="s">
        <v>535</v>
      </c>
      <c r="I2584" s="10"/>
      <c r="J2584" s="10">
        <v>44382</v>
      </c>
      <c r="K2584" s="5" t="s">
        <v>509</v>
      </c>
      <c r="L2584" s="5" t="s">
        <v>58</v>
      </c>
      <c r="M2584" s="11">
        <v>0.17000000000000001</v>
      </c>
      <c r="N2584" s="5" t="e">
        <f>IF(AND(M2584&gt;#REF!,Cartera!O2584="Guaraníes"),"Rendimiento significativo",IF(AND(M2584&gt;#REF!,Cartera!O2584="Dólares americanos"),"Rendimiento significativo","Rendimiento no significativo"))</f>
        <v>#REF!</v>
      </c>
      <c r="O2584" s="5" t="s">
        <v>41</v>
      </c>
      <c r="P2584" s="12">
        <v>1844375.3424657534</v>
      </c>
      <c r="Q2584" s="12">
        <f>IF(O2584="Guaraníes",P2584,P2584*#REF!)</f>
        <v>1844375.3424657534</v>
      </c>
      <c r="R2584" s="12" t="e">
        <f>IF(O2584="Guaraníes",P2584/#REF!,P2584)</f>
        <v>#REF!</v>
      </c>
      <c r="S2584" s="5" t="s">
        <v>52</v>
      </c>
      <c r="W2584" s="5" t="s">
        <v>65</v>
      </c>
      <c r="AB2584" s="5">
        <v>1844375.3424657534</v>
      </c>
      <c r="AC2584" s="5" t="str">
        <f t="shared" si="124"/>
        <v>Bonos</v>
      </c>
      <c r="AD2584" s="5" t="s">
        <v>43</v>
      </c>
      <c r="AE2584" s="5">
        <f t="shared" si="125"/>
        <v>7</v>
      </c>
      <c r="AF2584" s="5">
        <f t="shared" si="126"/>
        <v>2021</v>
      </c>
    </row>
    <row r="2585" s="5" customFormat="1" ht="13">
      <c r="A2585" s="5" t="s">
        <v>44</v>
      </c>
      <c r="B2585" s="5" t="s">
        <v>44</v>
      </c>
      <c r="C2585" s="5" t="s">
        <v>517</v>
      </c>
      <c r="D2585" s="5" t="s">
        <v>21</v>
      </c>
      <c r="E2585" s="5" t="s">
        <v>44</v>
      </c>
      <c r="F2585" s="5" t="s">
        <v>68</v>
      </c>
      <c r="G2585" s="5" t="s">
        <v>69</v>
      </c>
      <c r="H2585" s="9" t="s">
        <v>535</v>
      </c>
      <c r="I2585" s="10"/>
      <c r="J2585" s="10">
        <v>44412</v>
      </c>
      <c r="K2585" s="5" t="s">
        <v>509</v>
      </c>
      <c r="L2585" s="5" t="s">
        <v>58</v>
      </c>
      <c r="M2585" s="11">
        <v>0.17000000000000001</v>
      </c>
      <c r="N2585" s="5" t="e">
        <f>IF(AND(M2585&gt;#REF!,Cartera!O2585="Guaraníes"),"Rendimiento significativo",IF(AND(M2585&gt;#REF!,Cartera!O2585="Dólares americanos"),"Rendimiento significativo","Rendimiento no significativo"))</f>
        <v>#REF!</v>
      </c>
      <c r="O2585" s="5" t="s">
        <v>41</v>
      </c>
      <c r="P2585" s="12">
        <v>1840136.98630137</v>
      </c>
      <c r="Q2585" s="12">
        <f>IF(O2585="Guaraníes",P2585,P2585*#REF!)</f>
        <v>1840136.98630137</v>
      </c>
      <c r="R2585" s="12" t="e">
        <f>IF(O2585="Guaraníes",P2585/#REF!,P2585)</f>
        <v>#REF!</v>
      </c>
      <c r="S2585" s="5" t="s">
        <v>52</v>
      </c>
      <c r="W2585" s="5" t="s">
        <v>65</v>
      </c>
      <c r="AB2585" s="5">
        <v>1840136.98630137</v>
      </c>
      <c r="AC2585" s="5" t="str">
        <f t="shared" si="124"/>
        <v>Bonos</v>
      </c>
      <c r="AD2585" s="5" t="s">
        <v>43</v>
      </c>
      <c r="AE2585" s="5">
        <f t="shared" si="125"/>
        <v>8</v>
      </c>
      <c r="AF2585" s="5">
        <f t="shared" si="126"/>
        <v>2021</v>
      </c>
    </row>
    <row r="2586" s="5" customFormat="1" ht="13">
      <c r="A2586" s="5" t="s">
        <v>44</v>
      </c>
      <c r="B2586" s="5" t="s">
        <v>44</v>
      </c>
      <c r="C2586" s="5" t="s">
        <v>517</v>
      </c>
      <c r="D2586" s="5" t="s">
        <v>21</v>
      </c>
      <c r="E2586" s="5" t="s">
        <v>44</v>
      </c>
      <c r="F2586" s="5" t="s">
        <v>68</v>
      </c>
      <c r="G2586" s="5" t="s">
        <v>69</v>
      </c>
      <c r="H2586" s="9" t="s">
        <v>535</v>
      </c>
      <c r="I2586" s="10"/>
      <c r="J2586" s="10">
        <v>44442</v>
      </c>
      <c r="K2586" s="5" t="s">
        <v>509</v>
      </c>
      <c r="L2586" s="5" t="s">
        <v>58</v>
      </c>
      <c r="M2586" s="11">
        <v>0.17000000000000001</v>
      </c>
      <c r="N2586" s="5" t="e">
        <f>IF(AND(M2586&gt;#REF!,Cartera!O2586="Guaraníes"),"Rendimiento significativo",IF(AND(M2586&gt;#REF!,Cartera!O2586="Dólares americanos"),"Rendimiento significativo","Rendimiento no significativo"))</f>
        <v>#REF!</v>
      </c>
      <c r="O2586" s="5" t="s">
        <v>41</v>
      </c>
      <c r="P2586" s="12">
        <v>1848613.6986301369</v>
      </c>
      <c r="Q2586" s="12">
        <f>IF(O2586="Guaraníes",P2586,P2586*#REF!)</f>
        <v>1848613.6986301369</v>
      </c>
      <c r="R2586" s="12" t="e">
        <f>IF(O2586="Guaraníes",P2586/#REF!,P2586)</f>
        <v>#REF!</v>
      </c>
      <c r="S2586" s="5" t="s">
        <v>52</v>
      </c>
      <c r="W2586" s="5" t="s">
        <v>65</v>
      </c>
      <c r="AB2586" s="5">
        <v>1848613.6986301369</v>
      </c>
      <c r="AC2586" s="5" t="str">
        <f t="shared" si="124"/>
        <v>Bonos</v>
      </c>
      <c r="AD2586" s="5" t="s">
        <v>43</v>
      </c>
      <c r="AE2586" s="5">
        <f t="shared" si="125"/>
        <v>9</v>
      </c>
      <c r="AF2586" s="5">
        <f t="shared" si="126"/>
        <v>2021</v>
      </c>
    </row>
    <row r="2587" s="5" customFormat="1" ht="13">
      <c r="A2587" s="5" t="s">
        <v>44</v>
      </c>
      <c r="B2587" s="5" t="s">
        <v>44</v>
      </c>
      <c r="C2587" s="5" t="s">
        <v>517</v>
      </c>
      <c r="D2587" s="5" t="s">
        <v>21</v>
      </c>
      <c r="E2587" s="5" t="s">
        <v>44</v>
      </c>
      <c r="F2587" s="5" t="s">
        <v>68</v>
      </c>
      <c r="G2587" s="5" t="s">
        <v>69</v>
      </c>
      <c r="H2587" s="9" t="s">
        <v>535</v>
      </c>
      <c r="I2587" s="10"/>
      <c r="J2587" s="10">
        <v>44473</v>
      </c>
      <c r="K2587" s="5" t="s">
        <v>509</v>
      </c>
      <c r="L2587" s="5" t="s">
        <v>58</v>
      </c>
      <c r="M2587" s="11">
        <v>0.17000000000000001</v>
      </c>
      <c r="N2587" s="5" t="e">
        <f>IF(AND(M2587&gt;#REF!,Cartera!O2587="Guaraníes"),"Rendimiento significativo",IF(AND(M2587&gt;#REF!,Cartera!O2587="Dólares americanos"),"Rendimiento significativo","Rendimiento no significativo"))</f>
        <v>#REF!</v>
      </c>
      <c r="O2587" s="5" t="s">
        <v>41</v>
      </c>
      <c r="P2587" s="12">
        <v>1801013.6986301369</v>
      </c>
      <c r="Q2587" s="12">
        <f>IF(O2587="Guaraníes",P2587,P2587*#REF!)</f>
        <v>1801013.6986301369</v>
      </c>
      <c r="R2587" s="12" t="e">
        <f>IF(O2587="Guaraníes",P2587/#REF!,P2587)</f>
        <v>#REF!</v>
      </c>
      <c r="S2587" s="5" t="s">
        <v>52</v>
      </c>
      <c r="W2587" s="5" t="s">
        <v>65</v>
      </c>
      <c r="AB2587" s="5">
        <v>1801013.6986301369</v>
      </c>
      <c r="AC2587" s="5" t="str">
        <f t="shared" si="124"/>
        <v>Bonos</v>
      </c>
      <c r="AD2587" s="5" t="s">
        <v>43</v>
      </c>
      <c r="AE2587" s="5">
        <f t="shared" si="125"/>
        <v>10</v>
      </c>
      <c r="AF2587" s="5">
        <f t="shared" si="126"/>
        <v>2021</v>
      </c>
    </row>
    <row r="2588" s="5" customFormat="1" ht="13">
      <c r="A2588" s="5" t="s">
        <v>44</v>
      </c>
      <c r="B2588" s="5" t="s">
        <v>44</v>
      </c>
      <c r="C2588" s="5" t="s">
        <v>517</v>
      </c>
      <c r="D2588" s="5" t="s">
        <v>21</v>
      </c>
      <c r="E2588" s="5" t="s">
        <v>44</v>
      </c>
      <c r="F2588" s="5" t="s">
        <v>68</v>
      </c>
      <c r="G2588" s="5" t="s">
        <v>69</v>
      </c>
      <c r="H2588" s="9" t="s">
        <v>535</v>
      </c>
      <c r="I2588" s="10"/>
      <c r="J2588" s="10">
        <v>44504</v>
      </c>
      <c r="K2588" s="5" t="s">
        <v>509</v>
      </c>
      <c r="L2588" s="5" t="s">
        <v>58</v>
      </c>
      <c r="M2588" s="11">
        <v>0.17000000000000001</v>
      </c>
      <c r="N2588" s="5" t="e">
        <f>IF(AND(M2588&gt;#REF!,Cartera!O2588="Guaraníes"),"Rendimiento significativo",IF(AND(M2588&gt;#REF!,Cartera!O2588="Dólares americanos"),"Rendimiento significativo","Rendimiento no significativo"))</f>
        <v>#REF!</v>
      </c>
      <c r="O2588" s="5" t="s">
        <v>41</v>
      </c>
      <c r="P2588" s="12">
        <v>1781452.0547945204</v>
      </c>
      <c r="Q2588" s="12">
        <f>IF(O2588="Guaraníes",P2588,P2588*#REF!)</f>
        <v>1781452.0547945204</v>
      </c>
      <c r="R2588" s="12" t="e">
        <f>IF(O2588="Guaraníes",P2588/#REF!,P2588)</f>
        <v>#REF!</v>
      </c>
      <c r="S2588" s="5" t="s">
        <v>52</v>
      </c>
      <c r="T2588" s="5">
        <v>44442</v>
      </c>
      <c r="W2588" s="5" t="s">
        <v>65</v>
      </c>
      <c r="AB2588" s="5">
        <v>1781452.0547945204</v>
      </c>
      <c r="AC2588" s="5" t="str">
        <f t="shared" si="124"/>
        <v>Bonos</v>
      </c>
      <c r="AD2588" s="5" t="s">
        <v>43</v>
      </c>
      <c r="AE2588" s="5">
        <f t="shared" si="125"/>
        <v>11</v>
      </c>
      <c r="AF2588" s="5">
        <f t="shared" si="126"/>
        <v>2021</v>
      </c>
    </row>
    <row r="2589" s="5" customFormat="1" ht="13">
      <c r="A2589" s="5" t="s">
        <v>44</v>
      </c>
      <c r="B2589" s="5" t="s">
        <v>44</v>
      </c>
      <c r="C2589" s="5" t="s">
        <v>517</v>
      </c>
      <c r="D2589" s="5" t="s">
        <v>21</v>
      </c>
      <c r="E2589" s="5" t="s">
        <v>44</v>
      </c>
      <c r="F2589" s="5" t="s">
        <v>68</v>
      </c>
      <c r="G2589" s="5" t="s">
        <v>69</v>
      </c>
      <c r="H2589" s="9" t="s">
        <v>535</v>
      </c>
      <c r="I2589" s="10"/>
      <c r="J2589" s="10">
        <v>44536</v>
      </c>
      <c r="K2589" s="5" t="s">
        <v>509</v>
      </c>
      <c r="L2589" s="5" t="s">
        <v>58</v>
      </c>
      <c r="M2589" s="11">
        <v>0.17000000000000001</v>
      </c>
      <c r="N2589" s="5" t="e">
        <f>IF(AND(M2589&gt;#REF!,Cartera!O2589="Guaraníes"),"Rendimiento significativo",IF(AND(M2589&gt;#REF!,Cartera!O2589="Dólares americanos"),"Rendimiento significativo","Rendimiento no significativo"))</f>
        <v>#REF!</v>
      </c>
      <c r="O2589" s="5" t="s">
        <v>41</v>
      </c>
      <c r="P2589" s="12">
        <v>1773953.4246575343</v>
      </c>
      <c r="Q2589" s="12">
        <f>IF(O2589="Guaraníes",P2589,P2589*#REF!)</f>
        <v>1773953.4246575343</v>
      </c>
      <c r="R2589" s="12" t="e">
        <f>IF(O2589="Guaraníes",P2589/#REF!,P2589)</f>
        <v>#REF!</v>
      </c>
      <c r="S2589" s="5" t="s">
        <v>52</v>
      </c>
      <c r="T2589" s="5">
        <v>44473</v>
      </c>
      <c r="W2589" s="5" t="s">
        <v>65</v>
      </c>
      <c r="AB2589" s="5">
        <v>1773953.4246575343</v>
      </c>
      <c r="AC2589" s="5" t="str">
        <f t="shared" si="124"/>
        <v>Bonos</v>
      </c>
      <c r="AD2589" s="5" t="s">
        <v>43</v>
      </c>
      <c r="AE2589" s="5">
        <f t="shared" si="125"/>
        <v>12</v>
      </c>
      <c r="AF2589" s="5">
        <f t="shared" si="126"/>
        <v>2021</v>
      </c>
    </row>
    <row r="2590" s="5" customFormat="1" ht="13">
      <c r="A2590" s="5" t="s">
        <v>44</v>
      </c>
      <c r="B2590" s="5" t="s">
        <v>44</v>
      </c>
      <c r="C2590" s="5" t="s">
        <v>517</v>
      </c>
      <c r="D2590" s="5" t="s">
        <v>21</v>
      </c>
      <c r="E2590" s="5" t="s">
        <v>44</v>
      </c>
      <c r="F2590" s="5" t="s">
        <v>68</v>
      </c>
      <c r="G2590" s="5" t="s">
        <v>69</v>
      </c>
      <c r="H2590" s="9" t="s">
        <v>535</v>
      </c>
      <c r="I2590" s="10"/>
      <c r="J2590" s="10">
        <v>44565</v>
      </c>
      <c r="K2590" s="5" t="s">
        <v>509</v>
      </c>
      <c r="L2590" s="5" t="s">
        <v>58</v>
      </c>
      <c r="M2590" s="11">
        <v>0.17000000000000001</v>
      </c>
      <c r="N2590" s="5" t="e">
        <f>IF(AND(M2590&gt;#REF!,Cartera!O2590="Guaraníes"),"Rendimiento significativo",IF(AND(M2590&gt;#REF!,Cartera!O2590="Dólares americanos"),"Rendimiento significativo","Rendimiento no significativo"))</f>
        <v>#REF!</v>
      </c>
      <c r="O2590" s="5" t="s">
        <v>41</v>
      </c>
      <c r="P2590" s="12">
        <v>2092328.7671232878</v>
      </c>
      <c r="Q2590" s="12">
        <f>IF(O2590="Guaraníes",P2590,P2590*#REF!)</f>
        <v>2092328.7671232878</v>
      </c>
      <c r="R2590" s="12" t="e">
        <f>IF(O2590="Guaraníes",P2590/#REF!,P2590)</f>
        <v>#REF!</v>
      </c>
      <c r="S2590" s="5" t="s">
        <v>52</v>
      </c>
      <c r="T2590" s="5">
        <v>44504</v>
      </c>
      <c r="W2590" s="5" t="s">
        <v>65</v>
      </c>
      <c r="AB2590" s="5">
        <v>2092328.7671232878</v>
      </c>
      <c r="AC2590" s="5" t="str">
        <f t="shared" si="124"/>
        <v>Bonos</v>
      </c>
      <c r="AD2590" s="5" t="s">
        <v>43</v>
      </c>
      <c r="AE2590" s="5">
        <f t="shared" si="125"/>
        <v>1</v>
      </c>
      <c r="AF2590" s="5">
        <f t="shared" si="126"/>
        <v>2022</v>
      </c>
    </row>
    <row r="2591" s="5" customFormat="1" ht="13">
      <c r="A2591" s="5" t="s">
        <v>44</v>
      </c>
      <c r="B2591" s="5" t="s">
        <v>44</v>
      </c>
      <c r="C2591" s="5" t="s">
        <v>517</v>
      </c>
      <c r="D2591" s="5" t="s">
        <v>21</v>
      </c>
      <c r="E2591" s="5" t="s">
        <v>44</v>
      </c>
      <c r="F2591" s="5" t="s">
        <v>68</v>
      </c>
      <c r="G2591" s="5" t="s">
        <v>69</v>
      </c>
      <c r="H2591" s="9" t="s">
        <v>535</v>
      </c>
      <c r="I2591" s="10"/>
      <c r="J2591" s="10">
        <v>44596</v>
      </c>
      <c r="K2591" s="5" t="s">
        <v>509</v>
      </c>
      <c r="L2591" s="5" t="s">
        <v>58</v>
      </c>
      <c r="M2591" s="11">
        <v>0.17000000000000001</v>
      </c>
      <c r="N2591" s="5" t="e">
        <f>IF(AND(M2591&gt;#REF!,Cartera!O2591="Guaraníes"),"Rendimiento significativo",IF(AND(M2591&gt;#REF!,Cartera!O2591="Dólares americanos"),"Rendimiento significativo","Rendimiento no significativo"))</f>
        <v>#REF!</v>
      </c>
      <c r="O2591" s="5" t="s">
        <v>41</v>
      </c>
      <c r="P2591" s="12">
        <v>2099664.3835616438</v>
      </c>
      <c r="Q2591" s="12">
        <f>IF(O2591="Guaraníes",P2591,P2591*#REF!)</f>
        <v>2099664.3835616438</v>
      </c>
      <c r="R2591" s="12" t="e">
        <f>IF(O2591="Guaraníes",P2591/#REF!,P2591)</f>
        <v>#REF!</v>
      </c>
      <c r="S2591" s="5" t="s">
        <v>52</v>
      </c>
      <c r="T2591" s="5">
        <v>44536</v>
      </c>
      <c r="W2591" s="5" t="s">
        <v>65</v>
      </c>
      <c r="AB2591" s="5">
        <v>2099664.3835616438</v>
      </c>
      <c r="AC2591" s="5" t="str">
        <f t="shared" si="124"/>
        <v>Bonos</v>
      </c>
      <c r="AD2591" s="5" t="s">
        <v>43</v>
      </c>
      <c r="AE2591" s="5">
        <f t="shared" si="125"/>
        <v>2</v>
      </c>
      <c r="AF2591" s="5">
        <f t="shared" si="126"/>
        <v>2022</v>
      </c>
    </row>
    <row r="2592" s="5" customFormat="1" ht="13">
      <c r="A2592" s="5" t="s">
        <v>44</v>
      </c>
      <c r="B2592" s="5" t="s">
        <v>44</v>
      </c>
      <c r="C2592" s="5" t="s">
        <v>517</v>
      </c>
      <c r="D2592" s="5" t="s">
        <v>21</v>
      </c>
      <c r="E2592" s="5" t="s">
        <v>44</v>
      </c>
      <c r="F2592" s="5" t="s">
        <v>68</v>
      </c>
      <c r="G2592" s="5" t="s">
        <v>69</v>
      </c>
      <c r="H2592" s="9" t="s">
        <v>535</v>
      </c>
      <c r="I2592" s="10"/>
      <c r="J2592" s="10">
        <v>44624</v>
      </c>
      <c r="K2592" s="5" t="s">
        <v>509</v>
      </c>
      <c r="L2592" s="5" t="s">
        <v>58</v>
      </c>
      <c r="M2592" s="11">
        <v>0.17000000000000001</v>
      </c>
      <c r="N2592" s="5" t="e">
        <f>IF(AND(M2592&gt;#REF!,Cartera!O2592="Guaraníes"),"Rendimiento significativo",IF(AND(M2592&gt;#REF!,Cartera!O2592="Dólares americanos"),"Rendimiento significativo","Rendimiento no significativo"))</f>
        <v>#REF!</v>
      </c>
      <c r="O2592" s="5" t="s">
        <v>41</v>
      </c>
      <c r="P2592" s="12">
        <v>2273695</v>
      </c>
      <c r="Q2592" s="12">
        <f>IF(O2592="Guaraníes",P2592,P2592*#REF!)</f>
        <v>2273695</v>
      </c>
      <c r="R2592" s="12" t="e">
        <f>IF(O2592="Guaraníes",P2592/#REF!,P2592)</f>
        <v>#REF!</v>
      </c>
      <c r="S2592" s="5" t="s">
        <v>52</v>
      </c>
      <c r="T2592" s="5">
        <v>44565</v>
      </c>
      <c r="W2592" s="5" t="s">
        <v>65</v>
      </c>
      <c r="AB2592" s="5">
        <v>2033643.8356164382</v>
      </c>
      <c r="AC2592" s="5" t="str">
        <f t="shared" si="124"/>
        <v>Bonos</v>
      </c>
      <c r="AD2592" s="5" t="s">
        <v>43</v>
      </c>
      <c r="AE2592" s="5">
        <f t="shared" si="125"/>
        <v>3</v>
      </c>
      <c r="AF2592" s="5">
        <f t="shared" si="126"/>
        <v>2022</v>
      </c>
    </row>
    <row r="2593" s="5" customFormat="1" ht="13">
      <c r="A2593" s="5" t="s">
        <v>543</v>
      </c>
      <c r="C2593" s="5" t="s">
        <v>517</v>
      </c>
      <c r="D2593" s="5" t="s">
        <v>21</v>
      </c>
      <c r="E2593" s="5" t="s">
        <v>534</v>
      </c>
      <c r="F2593" s="5" t="s">
        <v>68</v>
      </c>
      <c r="G2593" s="5" t="s">
        <v>69</v>
      </c>
      <c r="H2593" s="9" t="s">
        <v>535</v>
      </c>
      <c r="I2593" s="10"/>
      <c r="J2593" s="10">
        <v>44655</v>
      </c>
      <c r="K2593" s="5" t="s">
        <v>509</v>
      </c>
      <c r="L2593" s="5" t="s">
        <v>58</v>
      </c>
      <c r="M2593" s="11">
        <v>0.17000000000000001</v>
      </c>
      <c r="N2593" s="5" t="e">
        <f>IF(AND(M2593&gt;#REF!,Cartera!O2593="Guaraníes"),"Rendimiento significativo",IF(AND(M2593&gt;#REF!,Cartera!O2593="Dólares americanos"),"Rendimiento significativo","Rendimiento no significativo"))</f>
        <v>#REF!</v>
      </c>
      <c r="O2593" s="5" t="s">
        <v>41</v>
      </c>
      <c r="P2593" s="12">
        <v>2010006.8493150687</v>
      </c>
      <c r="Q2593" s="12">
        <f>IF(O2593="Guaraníes",P2593,P2593*#REF!)</f>
        <v>2010006.8493150687</v>
      </c>
      <c r="R2593" s="12" t="e">
        <f>IF(O2593="Guaraníes",P2593/#REF!,P2593)</f>
        <v>#REF!</v>
      </c>
      <c r="S2593" s="5" t="s">
        <v>52</v>
      </c>
      <c r="T2593" s="5">
        <v>44596</v>
      </c>
      <c r="W2593" s="5" t="s">
        <v>65</v>
      </c>
      <c r="AB2593" s="5">
        <v>2010006.8493150687</v>
      </c>
      <c r="AC2593" s="5" t="str">
        <f t="shared" si="124"/>
        <v>Bonos</v>
      </c>
      <c r="AD2593" s="5" t="s">
        <v>43</v>
      </c>
      <c r="AE2593" s="5">
        <f t="shared" si="125"/>
        <v>4</v>
      </c>
      <c r="AF2593" s="5">
        <f t="shared" si="126"/>
        <v>2022</v>
      </c>
    </row>
    <row r="2594" s="5" customFormat="1" ht="13">
      <c r="A2594" s="5" t="s">
        <v>543</v>
      </c>
      <c r="C2594" s="5" t="s">
        <v>517</v>
      </c>
      <c r="D2594" s="5" t="s">
        <v>21</v>
      </c>
      <c r="E2594" s="5" t="s">
        <v>534</v>
      </c>
      <c r="F2594" s="5" t="s">
        <v>68</v>
      </c>
      <c r="G2594" s="5" t="s">
        <v>69</v>
      </c>
      <c r="H2594" s="9" t="s">
        <v>535</v>
      </c>
      <c r="I2594" s="10"/>
      <c r="J2594" s="10">
        <v>44685</v>
      </c>
      <c r="K2594" s="5" t="s">
        <v>509</v>
      </c>
      <c r="L2594" s="5" t="s">
        <v>58</v>
      </c>
      <c r="M2594" s="11">
        <v>0.17000000000000001</v>
      </c>
      <c r="N2594" s="5" t="e">
        <f>IF(AND(M2594&gt;#REF!,Cartera!O2594="Guaraníes"),"Rendimiento significativo",IF(AND(M2594&gt;#REF!,Cartera!O2594="Dólares americanos"),"Rendimiento significativo","Rendimiento no significativo"))</f>
        <v>#REF!</v>
      </c>
      <c r="O2594" s="5" t="s">
        <v>41</v>
      </c>
      <c r="P2594" s="12">
        <v>2018972.602739726</v>
      </c>
      <c r="Q2594" s="12">
        <f>IF(O2594="Guaraníes",P2594,P2594*#REF!)</f>
        <v>2018972.602739726</v>
      </c>
      <c r="R2594" s="12" t="e">
        <f>IF(O2594="Guaraníes",P2594/#REF!,P2594)</f>
        <v>#REF!</v>
      </c>
      <c r="S2594" s="5" t="s">
        <v>52</v>
      </c>
      <c r="T2594" s="5">
        <v>44624</v>
      </c>
      <c r="W2594" s="5" t="s">
        <v>65</v>
      </c>
      <c r="AB2594" s="5">
        <v>2018972.602739726</v>
      </c>
      <c r="AC2594" s="5" t="str">
        <f t="shared" si="124"/>
        <v>Bonos</v>
      </c>
      <c r="AD2594" s="5" t="s">
        <v>43</v>
      </c>
      <c r="AE2594" s="5">
        <f t="shared" si="125"/>
        <v>5</v>
      </c>
      <c r="AF2594" s="5">
        <f t="shared" si="126"/>
        <v>2022</v>
      </c>
    </row>
    <row r="2595" s="5" customFormat="1" ht="13">
      <c r="A2595" s="5" t="s">
        <v>543</v>
      </c>
      <c r="C2595" s="5" t="s">
        <v>517</v>
      </c>
      <c r="D2595" s="5" t="s">
        <v>21</v>
      </c>
      <c r="E2595" s="5" t="s">
        <v>534</v>
      </c>
      <c r="F2595" s="5" t="s">
        <v>68</v>
      </c>
      <c r="G2595" s="5" t="s">
        <v>69</v>
      </c>
      <c r="H2595" s="9" t="s">
        <v>535</v>
      </c>
      <c r="I2595" s="10"/>
      <c r="J2595" s="10">
        <v>44716</v>
      </c>
      <c r="K2595" s="5" t="s">
        <v>509</v>
      </c>
      <c r="L2595" s="5" t="s">
        <v>58</v>
      </c>
      <c r="M2595" s="11">
        <v>0.17000000000000001</v>
      </c>
      <c r="N2595" s="5" t="e">
        <f>IF(AND(M2595&gt;#REF!,Cartera!O2595="Guaraníes"),"Rendimiento significativo",IF(AND(M2595&gt;#REF!,Cartera!O2595="Dólares americanos"),"Rendimiento significativo","Rendimiento no significativo"))</f>
        <v>#REF!</v>
      </c>
      <c r="O2595" s="5" t="s">
        <v>41</v>
      </c>
      <c r="P2595" s="12">
        <v>1955397.2602739725</v>
      </c>
      <c r="Q2595" s="12">
        <f>IF(O2595="Guaraníes",P2595,P2595*#REF!)</f>
        <v>1955397.2602739725</v>
      </c>
      <c r="R2595" s="12" t="e">
        <f>IF(O2595="Guaraníes",P2595/#REF!,P2595)</f>
        <v>#REF!</v>
      </c>
      <c r="S2595" s="5" t="s">
        <v>52</v>
      </c>
      <c r="T2595" s="5">
        <v>44655</v>
      </c>
      <c r="W2595" s="5" t="s">
        <v>65</v>
      </c>
      <c r="AB2595" s="5">
        <v>1955397.2602739725</v>
      </c>
      <c r="AC2595" s="5" t="str">
        <f t="shared" si="124"/>
        <v>Bonos</v>
      </c>
      <c r="AD2595" s="5" t="s">
        <v>43</v>
      </c>
      <c r="AE2595" s="5">
        <f t="shared" si="125"/>
        <v>6</v>
      </c>
      <c r="AF2595" s="5">
        <f t="shared" si="126"/>
        <v>2022</v>
      </c>
    </row>
    <row r="2596" s="5" customFormat="1" ht="13">
      <c r="A2596" s="5" t="s">
        <v>543</v>
      </c>
      <c r="C2596" s="5" t="s">
        <v>517</v>
      </c>
      <c r="D2596" s="5" t="s">
        <v>21</v>
      </c>
      <c r="E2596" s="5" t="s">
        <v>534</v>
      </c>
      <c r="F2596" s="5" t="s">
        <v>68</v>
      </c>
      <c r="G2596" s="5" t="s">
        <v>69</v>
      </c>
      <c r="H2596" s="9" t="s">
        <v>535</v>
      </c>
      <c r="I2596" s="10"/>
      <c r="J2596" s="10">
        <v>44777</v>
      </c>
      <c r="K2596" s="5" t="s">
        <v>509</v>
      </c>
      <c r="L2596" s="5" t="s">
        <v>58</v>
      </c>
      <c r="M2596" s="11">
        <v>0.17000000000000001</v>
      </c>
      <c r="N2596" s="5" t="e">
        <f>IF(AND(M2596&gt;#REF!,Cartera!O2596="Guaraníes"),"Rendimiento significativo",IF(AND(M2596&gt;#REF!,Cartera!O2596="Dólares americanos"),"Rendimiento significativo","Rendimiento no significativo"))</f>
        <v>#REF!</v>
      </c>
      <c r="O2596" s="5" t="s">
        <v>41</v>
      </c>
      <c r="P2596" s="12">
        <v>1932575.3424657534</v>
      </c>
      <c r="Q2596" s="12">
        <f>IF(O2596="Guaraníes",P2596,P2596*#REF!)</f>
        <v>1932575.3424657534</v>
      </c>
      <c r="R2596" s="12" t="e">
        <f>IF(O2596="Guaraníes",P2596/#REF!,P2596)</f>
        <v>#REF!</v>
      </c>
      <c r="S2596" s="5" t="s">
        <v>52</v>
      </c>
      <c r="T2596" s="5">
        <v>44716</v>
      </c>
      <c r="W2596" s="5" t="s">
        <v>65</v>
      </c>
      <c r="AB2596" s="5">
        <v>1932575.3424657534</v>
      </c>
      <c r="AC2596" s="5" t="str">
        <f t="shared" si="124"/>
        <v>Bonos</v>
      </c>
      <c r="AD2596" s="5" t="s">
        <v>43</v>
      </c>
      <c r="AE2596" s="5">
        <f t="shared" si="125"/>
        <v>8</v>
      </c>
      <c r="AF2596" s="5">
        <f t="shared" si="126"/>
        <v>2022</v>
      </c>
    </row>
    <row r="2597" s="5" customFormat="1" ht="13">
      <c r="A2597" s="5" t="s">
        <v>543</v>
      </c>
      <c r="C2597" s="5" t="s">
        <v>517</v>
      </c>
      <c r="D2597" s="5" t="s">
        <v>21</v>
      </c>
      <c r="E2597" s="5" t="s">
        <v>534</v>
      </c>
      <c r="F2597" s="5" t="s">
        <v>68</v>
      </c>
      <c r="G2597" s="5" t="s">
        <v>69</v>
      </c>
      <c r="H2597" s="9" t="s">
        <v>535</v>
      </c>
      <c r="I2597" s="10"/>
      <c r="J2597" s="10">
        <v>44809</v>
      </c>
      <c r="K2597" s="5" t="s">
        <v>509</v>
      </c>
      <c r="L2597" s="5" t="s">
        <v>58</v>
      </c>
      <c r="M2597" s="11">
        <v>0.17000000000000001</v>
      </c>
      <c r="N2597" s="5" t="e">
        <f>IF(AND(M2597&gt;#REF!,Cartera!O2597="Guaraníes"),"Rendimiento significativo",IF(AND(M2597&gt;#REF!,Cartera!O2597="Dólares americanos"),"Rendimiento significativo","Rendimiento no significativo"))</f>
        <v>#REF!</v>
      </c>
      <c r="O2597" s="5" t="s">
        <v>41</v>
      </c>
      <c r="P2597" s="12">
        <v>1891821.9178082191</v>
      </c>
      <c r="Q2597" s="12">
        <f>IF(O2597="Guaraníes",P2597,P2597*#REF!)</f>
        <v>1891821.9178082191</v>
      </c>
      <c r="R2597" s="12" t="e">
        <f>IF(O2597="Guaraníes",P2597/#REF!,P2597)</f>
        <v>#REF!</v>
      </c>
      <c r="S2597" s="5" t="s">
        <v>52</v>
      </c>
      <c r="T2597" s="5">
        <v>44746</v>
      </c>
      <c r="W2597" s="5" t="s">
        <v>65</v>
      </c>
      <c r="AB2597" s="5">
        <v>1891821.9178082191</v>
      </c>
      <c r="AC2597" s="5" t="str">
        <f t="shared" si="124"/>
        <v>Bonos</v>
      </c>
      <c r="AD2597" s="5" t="s">
        <v>43</v>
      </c>
      <c r="AE2597" s="5">
        <f t="shared" si="125"/>
        <v>9</v>
      </c>
      <c r="AF2597" s="5">
        <f t="shared" si="126"/>
        <v>2022</v>
      </c>
    </row>
    <row r="2598" s="5" customFormat="1" ht="13">
      <c r="A2598" s="5" t="s">
        <v>543</v>
      </c>
      <c r="C2598" s="5" t="s">
        <v>517</v>
      </c>
      <c r="D2598" s="5" t="s">
        <v>21</v>
      </c>
      <c r="E2598" s="5" t="s">
        <v>534</v>
      </c>
      <c r="F2598" s="5" t="s">
        <v>68</v>
      </c>
      <c r="G2598" s="5" t="s">
        <v>69</v>
      </c>
      <c r="H2598" s="9" t="s">
        <v>535</v>
      </c>
      <c r="I2598" s="10"/>
      <c r="J2598" s="10">
        <v>44838</v>
      </c>
      <c r="K2598" s="5" t="s">
        <v>509</v>
      </c>
      <c r="L2598" s="5" t="s">
        <v>58</v>
      </c>
      <c r="M2598" s="11">
        <v>0.17000000000000001</v>
      </c>
      <c r="N2598" s="5" t="e">
        <f>IF(AND(M2598&gt;#REF!,Cartera!O2598="Guaraníes"),"Rendimiento significativo",IF(AND(M2598&gt;#REF!,Cartera!O2598="Dólares americanos"),"Rendimiento significativo","Rendimiento no significativo"))</f>
        <v>#REF!</v>
      </c>
      <c r="O2598" s="5" t="s">
        <v>41</v>
      </c>
      <c r="P2598" s="12">
        <v>1876335.6164383562</v>
      </c>
      <c r="Q2598" s="12">
        <f>IF(O2598="Guaraníes",P2598,P2598*#REF!)</f>
        <v>1876335.6164383562</v>
      </c>
      <c r="R2598" s="12" t="e">
        <f>IF(O2598="Guaraníes",P2598/#REF!,P2598)</f>
        <v>#REF!</v>
      </c>
      <c r="S2598" s="5" t="s">
        <v>52</v>
      </c>
      <c r="T2598" s="5">
        <v>44777</v>
      </c>
      <c r="W2598" s="5" t="s">
        <v>65</v>
      </c>
      <c r="AB2598" s="5">
        <v>1876335.6164383562</v>
      </c>
      <c r="AC2598" s="5" t="str">
        <f t="shared" si="124"/>
        <v>Bonos</v>
      </c>
      <c r="AD2598" s="5" t="s">
        <v>43</v>
      </c>
      <c r="AE2598" s="5">
        <f t="shared" si="125"/>
        <v>10</v>
      </c>
      <c r="AF2598" s="5">
        <f t="shared" si="126"/>
        <v>2022</v>
      </c>
    </row>
    <row r="2599" s="5" customFormat="1" ht="13">
      <c r="A2599" s="5" t="s">
        <v>543</v>
      </c>
      <c r="C2599" s="5" t="s">
        <v>517</v>
      </c>
      <c r="D2599" s="5" t="s">
        <v>21</v>
      </c>
      <c r="E2599" s="5" t="s">
        <v>534</v>
      </c>
      <c r="F2599" s="5" t="s">
        <v>68</v>
      </c>
      <c r="G2599" s="5" t="s">
        <v>69</v>
      </c>
      <c r="H2599" s="9" t="s">
        <v>535</v>
      </c>
      <c r="I2599" s="10"/>
      <c r="J2599" s="10">
        <v>44869</v>
      </c>
      <c r="K2599" s="5" t="s">
        <v>509</v>
      </c>
      <c r="L2599" s="5" t="s">
        <v>58</v>
      </c>
      <c r="M2599" s="11">
        <v>0.17000000000000001</v>
      </c>
      <c r="N2599" s="5" t="e">
        <f>IF(AND(M2599&gt;#REF!,Cartera!O2599="Guaraníes"),"Rendimiento significativo",IF(AND(M2599&gt;#REF!,Cartera!O2599="Dólares americanos"),"Rendimiento significativo","Rendimiento no significativo"))</f>
        <v>#REF!</v>
      </c>
      <c r="O2599" s="5" t="s">
        <v>41</v>
      </c>
      <c r="P2599" s="12">
        <v>1851068.4931506847</v>
      </c>
      <c r="Q2599" s="12">
        <f>IF(O2599="Guaraníes",P2599,P2599*#REF!)</f>
        <v>1851068.4931506847</v>
      </c>
      <c r="R2599" s="12" t="e">
        <f>IF(O2599="Guaraníes",P2599/#REF!,P2599)</f>
        <v>#REF!</v>
      </c>
      <c r="S2599" s="5" t="s">
        <v>52</v>
      </c>
      <c r="T2599" s="5">
        <v>44809</v>
      </c>
      <c r="W2599" s="5" t="s">
        <v>65</v>
      </c>
      <c r="AB2599" s="5">
        <v>1851068.4931506847</v>
      </c>
      <c r="AC2599" s="5" t="str">
        <f t="shared" si="124"/>
        <v>Bonos</v>
      </c>
      <c r="AD2599" s="5" t="s">
        <v>43</v>
      </c>
      <c r="AE2599" s="5">
        <f t="shared" si="125"/>
        <v>11</v>
      </c>
      <c r="AF2599" s="5">
        <f t="shared" si="126"/>
        <v>2022</v>
      </c>
    </row>
    <row r="2600" s="5" customFormat="1" ht="13">
      <c r="A2600" s="5" t="s">
        <v>543</v>
      </c>
      <c r="C2600" s="5" t="s">
        <v>517</v>
      </c>
      <c r="D2600" s="5" t="s">
        <v>21</v>
      </c>
      <c r="E2600" s="5" t="s">
        <v>534</v>
      </c>
      <c r="F2600" s="5" t="s">
        <v>68</v>
      </c>
      <c r="G2600" s="5" t="s">
        <v>69</v>
      </c>
      <c r="H2600" s="9" t="s">
        <v>535</v>
      </c>
      <c r="I2600" s="10"/>
      <c r="J2600" s="10">
        <v>44897</v>
      </c>
      <c r="K2600" s="5" t="s">
        <v>509</v>
      </c>
      <c r="L2600" s="5" t="s">
        <v>58</v>
      </c>
      <c r="M2600" s="11">
        <v>0.17000000000000001</v>
      </c>
      <c r="N2600" s="5" t="e">
        <f>IF(AND(M2600&gt;#REF!,Cartera!O2600="Guaraníes"),"Rendimiento significativo",IF(AND(M2600&gt;#REF!,Cartera!O2600="Dólares americanos"),"Rendimiento significativo","Rendimiento no significativo"))</f>
        <v>#REF!</v>
      </c>
      <c r="O2600" s="5" t="s">
        <v>41</v>
      </c>
      <c r="P2600" s="12">
        <v>1825801.3698630137</v>
      </c>
      <c r="Q2600" s="12">
        <f>IF(O2600="Guaraníes",P2600,P2600*#REF!)</f>
        <v>1825801.3698630137</v>
      </c>
      <c r="R2600" s="12" t="e">
        <f>IF(O2600="Guaraníes",P2600/#REF!,P2600)</f>
        <v>#REF!</v>
      </c>
      <c r="S2600" s="5" t="s">
        <v>52</v>
      </c>
      <c r="T2600" s="5">
        <v>44838</v>
      </c>
      <c r="W2600" s="5" t="s">
        <v>65</v>
      </c>
      <c r="AB2600" s="5">
        <v>1825801.3698630137</v>
      </c>
      <c r="AC2600" s="5" t="str">
        <f t="shared" si="124"/>
        <v>Bonos</v>
      </c>
      <c r="AD2600" s="5" t="s">
        <v>43</v>
      </c>
      <c r="AE2600" s="5">
        <f t="shared" si="125"/>
        <v>12</v>
      </c>
      <c r="AF2600" s="5">
        <f t="shared" si="126"/>
        <v>2022</v>
      </c>
    </row>
    <row r="2601" s="5" customFormat="1" ht="13">
      <c r="A2601" s="5" t="s">
        <v>543</v>
      </c>
      <c r="C2601" s="5" t="s">
        <v>517</v>
      </c>
      <c r="D2601" s="5" t="s">
        <v>21</v>
      </c>
      <c r="E2601" s="5" t="s">
        <v>534</v>
      </c>
      <c r="F2601" s="5" t="s">
        <v>68</v>
      </c>
      <c r="G2601" s="5" t="s">
        <v>69</v>
      </c>
      <c r="H2601" s="9" t="s">
        <v>535</v>
      </c>
      <c r="I2601" s="10"/>
      <c r="J2601" s="10">
        <v>44869</v>
      </c>
      <c r="K2601" s="5" t="s">
        <v>509</v>
      </c>
      <c r="L2601" s="5" t="s">
        <v>58</v>
      </c>
      <c r="M2601" s="11">
        <v>0.17000000000000001</v>
      </c>
      <c r="N2601" s="5" t="e">
        <f>IF(AND(M2601&gt;#REF!,Cartera!O2601="Guaraníes"),"Rendimiento significativo",IF(AND(M2601&gt;#REF!,Cartera!O2601="Dólares americanos"),"Rendimiento significativo","Rendimiento no significativo"))</f>
        <v>#REF!</v>
      </c>
      <c r="O2601" s="5" t="s">
        <v>41</v>
      </c>
      <c r="P2601" s="12">
        <v>1797273.9726027397</v>
      </c>
      <c r="Q2601" s="12">
        <f>IF(O2601="Guaraníes",P2601,P2601*#REF!)</f>
        <v>1797273.9726027397</v>
      </c>
      <c r="R2601" s="12" t="e">
        <f>IF(O2601="Guaraníes",P2601/#REF!,P2601)</f>
        <v>#REF!</v>
      </c>
      <c r="S2601" s="5" t="s">
        <v>42</v>
      </c>
      <c r="T2601" s="5">
        <v>44869</v>
      </c>
      <c r="W2601" s="5" t="s">
        <v>65</v>
      </c>
      <c r="AB2601" s="5">
        <v>1797273.9726027397</v>
      </c>
      <c r="AC2601" s="5" t="str">
        <f t="shared" si="124"/>
        <v>Bonos</v>
      </c>
      <c r="AD2601" s="5" t="s">
        <v>43</v>
      </c>
      <c r="AE2601" s="5">
        <f t="shared" si="125"/>
        <v>11</v>
      </c>
      <c r="AF2601" s="5">
        <f t="shared" si="126"/>
        <v>2022</v>
      </c>
    </row>
    <row r="2602" s="5" customFormat="1" ht="13">
      <c r="A2602" s="5" t="s">
        <v>543</v>
      </c>
      <c r="C2602" s="5" t="s">
        <v>517</v>
      </c>
      <c r="D2602" s="5" t="s">
        <v>21</v>
      </c>
      <c r="E2602" s="5" t="s">
        <v>534</v>
      </c>
      <c r="F2602" s="5" t="s">
        <v>68</v>
      </c>
      <c r="G2602" s="5" t="s">
        <v>69</v>
      </c>
      <c r="H2602" s="9" t="s">
        <v>535</v>
      </c>
      <c r="I2602" s="10"/>
      <c r="J2602" s="10">
        <v>44897</v>
      </c>
      <c r="K2602" s="5" t="s">
        <v>509</v>
      </c>
      <c r="L2602" s="5" t="s">
        <v>58</v>
      </c>
      <c r="M2602" s="11">
        <v>0.17000000000000001</v>
      </c>
      <c r="N2602" s="5" t="e">
        <f>IF(AND(M2602&gt;#REF!,Cartera!O2602="Guaraníes"),"Rendimiento significativo",IF(AND(M2602&gt;#REF!,Cartera!O2602="Dólares americanos"),"Rendimiento significativo","Rendimiento no significativo"))</f>
        <v>#REF!</v>
      </c>
      <c r="O2602" s="5" t="s">
        <v>41</v>
      </c>
      <c r="P2602" s="12">
        <v>1775267.1232876712</v>
      </c>
      <c r="Q2602" s="12">
        <f>IF(O2602="Guaraníes",P2602,P2602*#REF!)</f>
        <v>1775267.1232876712</v>
      </c>
      <c r="R2602" s="12" t="e">
        <f>IF(O2602="Guaraníes",P2602/#REF!,P2602)</f>
        <v>#REF!</v>
      </c>
      <c r="S2602" s="5" t="s">
        <v>42</v>
      </c>
      <c r="T2602" s="5">
        <v>44897</v>
      </c>
      <c r="U2602" s="5">
        <v>32900000</v>
      </c>
      <c r="V2602" s="5">
        <v>3149702.7397260293</v>
      </c>
      <c r="W2602" s="5" t="s">
        <v>65</v>
      </c>
      <c r="AB2602" s="5">
        <v>1775267.1232876712</v>
      </c>
      <c r="AC2602" s="5" t="str">
        <f t="shared" si="124"/>
        <v>Bonos</v>
      </c>
      <c r="AD2602" s="5" t="s">
        <v>43</v>
      </c>
      <c r="AE2602" s="5">
        <f t="shared" si="125"/>
        <v>12</v>
      </c>
      <c r="AF2602" s="5">
        <f t="shared" si="126"/>
        <v>2022</v>
      </c>
    </row>
    <row r="2603" s="5" customFormat="1" ht="13">
      <c r="A2603" s="5" t="s">
        <v>44</v>
      </c>
      <c r="B2603" s="5" t="s">
        <v>44</v>
      </c>
      <c r="C2603" s="5" t="s">
        <v>517</v>
      </c>
      <c r="D2603" s="5" t="s">
        <v>21</v>
      </c>
      <c r="E2603" s="5" t="s">
        <v>44</v>
      </c>
      <c r="F2603" s="5" t="s">
        <v>68</v>
      </c>
      <c r="G2603" s="5" t="s">
        <v>69</v>
      </c>
      <c r="H2603" s="9" t="s">
        <v>518</v>
      </c>
      <c r="I2603" s="10"/>
      <c r="J2603" s="10"/>
      <c r="K2603" s="5" t="s">
        <v>509</v>
      </c>
      <c r="L2603" s="5" t="s">
        <v>58</v>
      </c>
      <c r="M2603" s="11">
        <v>0.17999999999999999</v>
      </c>
      <c r="N2603" s="5" t="e">
        <f>IF(AND(M2603&gt;#REF!,Cartera!O2603="Guaraníes"),"Rendimiento significativo",IF(AND(M2603&gt;#REF!,Cartera!O2603="Dólares americanos"),"Rendimiento significativo","Rendimiento no significativo"))</f>
        <v>#REF!</v>
      </c>
      <c r="O2603" s="5" t="s">
        <v>41</v>
      </c>
      <c r="P2603" s="12">
        <v>957946.72783693019</v>
      </c>
      <c r="Q2603" s="12">
        <f>IF(O2603="Guaraníes",P2603,P2603*#REF!)</f>
        <v>957946.72783693019</v>
      </c>
      <c r="R2603" s="12" t="e">
        <f>IF(O2603="Guaraníes",P2603/#REF!,P2603)</f>
        <v>#REF!</v>
      </c>
      <c r="S2603" s="5" t="s">
        <v>52</v>
      </c>
      <c r="W2603" s="5" t="s">
        <v>65</v>
      </c>
      <c r="AB2603" s="5">
        <v>957946.72783693019</v>
      </c>
      <c r="AC2603" s="5" t="str">
        <f t="shared" si="124"/>
        <v>Bonos</v>
      </c>
      <c r="AD2603" s="5" t="s">
        <v>43</v>
      </c>
      <c r="AE2603" s="5">
        <f t="shared" si="125"/>
        <v>1</v>
      </c>
      <c r="AF2603" s="5">
        <f t="shared" si="126"/>
        <v>1900</v>
      </c>
    </row>
    <row r="2604" s="5" customFormat="1" ht="13">
      <c r="A2604" s="5" t="s">
        <v>44</v>
      </c>
      <c r="B2604" s="5" t="s">
        <v>44</v>
      </c>
      <c r="C2604" s="5" t="s">
        <v>517</v>
      </c>
      <c r="D2604" s="5" t="s">
        <v>21</v>
      </c>
      <c r="E2604" s="5" t="s">
        <v>44</v>
      </c>
      <c r="F2604" s="5" t="s">
        <v>68</v>
      </c>
      <c r="G2604" s="5" t="s">
        <v>69</v>
      </c>
      <c r="H2604" s="9" t="s">
        <v>518</v>
      </c>
      <c r="I2604" s="10"/>
      <c r="J2604" s="10"/>
      <c r="K2604" s="5" t="s">
        <v>509</v>
      </c>
      <c r="L2604" s="5" t="s">
        <v>58</v>
      </c>
      <c r="M2604" s="11">
        <v>0.17999999999999999</v>
      </c>
      <c r="N2604" s="5" t="e">
        <f>IF(AND(M2604&gt;#REF!,Cartera!O2604="Guaraníes"),"Rendimiento significativo",IF(AND(M2604&gt;#REF!,Cartera!O2604="Dólares americanos"),"Rendimiento significativo","Rendimiento no significativo"))</f>
        <v>#REF!</v>
      </c>
      <c r="O2604" s="5" t="s">
        <v>41</v>
      </c>
      <c r="P2604" s="12">
        <v>957946.72783693008</v>
      </c>
      <c r="Q2604" s="12">
        <f>IF(O2604="Guaraníes",P2604,P2604*#REF!)</f>
        <v>957946.72783693008</v>
      </c>
      <c r="R2604" s="12" t="e">
        <f>IF(O2604="Guaraníes",P2604/#REF!,P2604)</f>
        <v>#REF!</v>
      </c>
      <c r="S2604" s="5" t="s">
        <v>52</v>
      </c>
      <c r="W2604" s="5" t="s">
        <v>65</v>
      </c>
      <c r="AB2604" s="5">
        <v>957946.72783693008</v>
      </c>
      <c r="AC2604" s="5" t="str">
        <f t="shared" si="124"/>
        <v>Bonos</v>
      </c>
      <c r="AD2604" s="5" t="s">
        <v>43</v>
      </c>
      <c r="AE2604" s="5">
        <f t="shared" si="125"/>
        <v>1</v>
      </c>
      <c r="AF2604" s="5">
        <f t="shared" si="126"/>
        <v>1900</v>
      </c>
    </row>
    <row r="2605" s="5" customFormat="1" ht="13">
      <c r="A2605" s="5" t="s">
        <v>44</v>
      </c>
      <c r="B2605" s="5" t="s">
        <v>44</v>
      </c>
      <c r="C2605" s="5" t="s">
        <v>517</v>
      </c>
      <c r="D2605" s="5" t="s">
        <v>21</v>
      </c>
      <c r="E2605" s="5" t="s">
        <v>44</v>
      </c>
      <c r="F2605" s="5" t="s">
        <v>68</v>
      </c>
      <c r="G2605" s="5" t="s">
        <v>69</v>
      </c>
      <c r="H2605" s="9" t="s">
        <v>518</v>
      </c>
      <c r="I2605" s="10"/>
      <c r="J2605" s="10"/>
      <c r="K2605" s="5" t="s">
        <v>509</v>
      </c>
      <c r="L2605" s="5" t="s">
        <v>58</v>
      </c>
      <c r="M2605" s="11">
        <v>0.17999999999999999</v>
      </c>
      <c r="N2605" s="5" t="e">
        <f>IF(AND(M2605&gt;#REF!,Cartera!O2605="Guaraníes"),"Rendimiento significativo",IF(AND(M2605&gt;#REF!,Cartera!O2605="Dólares americanos"),"Rendimiento significativo","Rendimiento no significativo"))</f>
        <v>#REF!</v>
      </c>
      <c r="O2605" s="5" t="s">
        <v>41</v>
      </c>
      <c r="P2605" s="12">
        <v>957946.72783693008</v>
      </c>
      <c r="Q2605" s="12">
        <f>IF(O2605="Guaraníes",P2605,P2605*#REF!)</f>
        <v>957946.72783693008</v>
      </c>
      <c r="R2605" s="12" t="e">
        <f>IF(O2605="Guaraníes",P2605/#REF!,P2605)</f>
        <v>#REF!</v>
      </c>
      <c r="S2605" s="5" t="s">
        <v>52</v>
      </c>
      <c r="W2605" s="5" t="s">
        <v>65</v>
      </c>
      <c r="AB2605" s="5">
        <v>957946.72783693008</v>
      </c>
      <c r="AC2605" s="5" t="str">
        <f t="shared" si="124"/>
        <v>Bonos</v>
      </c>
      <c r="AD2605" s="5" t="s">
        <v>43</v>
      </c>
      <c r="AE2605" s="5">
        <f t="shared" si="125"/>
        <v>1</v>
      </c>
      <c r="AF2605" s="5">
        <f t="shared" si="126"/>
        <v>1900</v>
      </c>
    </row>
    <row r="2606" s="5" customFormat="1" ht="13">
      <c r="A2606" s="5" t="s">
        <v>44</v>
      </c>
      <c r="B2606" s="5" t="s">
        <v>44</v>
      </c>
      <c r="C2606" s="5" t="s">
        <v>517</v>
      </c>
      <c r="D2606" s="5" t="s">
        <v>21</v>
      </c>
      <c r="E2606" s="5" t="s">
        <v>44</v>
      </c>
      <c r="F2606" s="5" t="s">
        <v>68</v>
      </c>
      <c r="G2606" s="5" t="s">
        <v>69</v>
      </c>
      <c r="H2606" s="9" t="s">
        <v>518</v>
      </c>
      <c r="I2606" s="10"/>
      <c r="J2606" s="10"/>
      <c r="K2606" s="5" t="s">
        <v>509</v>
      </c>
      <c r="L2606" s="5" t="s">
        <v>58</v>
      </c>
      <c r="M2606" s="11">
        <v>0.17999999999999999</v>
      </c>
      <c r="N2606" s="5" t="e">
        <f>IF(AND(M2606&gt;#REF!,Cartera!O2606="Guaraníes"),"Rendimiento significativo",IF(AND(M2606&gt;#REF!,Cartera!O2606="Dólares americanos"),"Rendimiento significativo","Rendimiento no significativo"))</f>
        <v>#REF!</v>
      </c>
      <c r="O2606" s="5" t="s">
        <v>41</v>
      </c>
      <c r="P2606" s="12">
        <v>957946.72783692996</v>
      </c>
      <c r="Q2606" s="12">
        <f>IF(O2606="Guaraníes",P2606,P2606*#REF!)</f>
        <v>957946.72783692996</v>
      </c>
      <c r="R2606" s="12" t="e">
        <f>IF(O2606="Guaraníes",P2606/#REF!,P2606)</f>
        <v>#REF!</v>
      </c>
      <c r="S2606" s="5" t="s">
        <v>52</v>
      </c>
      <c r="W2606" s="5" t="s">
        <v>65</v>
      </c>
      <c r="AB2606" s="5">
        <v>957946.72783692996</v>
      </c>
      <c r="AC2606" s="5" t="str">
        <f t="shared" si="124"/>
        <v>Bonos</v>
      </c>
      <c r="AD2606" s="5" t="s">
        <v>43</v>
      </c>
      <c r="AE2606" s="5">
        <f t="shared" si="125"/>
        <v>1</v>
      </c>
      <c r="AF2606" s="5">
        <f t="shared" si="126"/>
        <v>1900</v>
      </c>
    </row>
    <row r="2607" s="5" customFormat="1" ht="13">
      <c r="A2607" s="5" t="s">
        <v>44</v>
      </c>
      <c r="B2607" s="5" t="s">
        <v>44</v>
      </c>
      <c r="C2607" s="5" t="s">
        <v>517</v>
      </c>
      <c r="D2607" s="5" t="s">
        <v>21</v>
      </c>
      <c r="E2607" s="5" t="s">
        <v>44</v>
      </c>
      <c r="F2607" s="5" t="s">
        <v>68</v>
      </c>
      <c r="G2607" s="5" t="s">
        <v>69</v>
      </c>
      <c r="H2607" s="9" t="s">
        <v>518</v>
      </c>
      <c r="I2607" s="10"/>
      <c r="J2607" s="10"/>
      <c r="K2607" s="5" t="s">
        <v>509</v>
      </c>
      <c r="L2607" s="5" t="s">
        <v>58</v>
      </c>
      <c r="M2607" s="11">
        <v>0.17999999999999999</v>
      </c>
      <c r="N2607" s="5" t="e">
        <f>IF(AND(M2607&gt;#REF!,Cartera!O2607="Guaraníes"),"Rendimiento significativo",IF(AND(M2607&gt;#REF!,Cartera!O2607="Dólares americanos"),"Rendimiento significativo","Rendimiento no significativo"))</f>
        <v>#REF!</v>
      </c>
      <c r="O2607" s="5" t="s">
        <v>41</v>
      </c>
      <c r="P2607" s="12">
        <v>957946.72783693019</v>
      </c>
      <c r="Q2607" s="12">
        <f>IF(O2607="Guaraníes",P2607,P2607*#REF!)</f>
        <v>957946.72783693019</v>
      </c>
      <c r="R2607" s="12" t="e">
        <f>IF(O2607="Guaraníes",P2607/#REF!,P2607)</f>
        <v>#REF!</v>
      </c>
      <c r="S2607" s="5" t="s">
        <v>52</v>
      </c>
      <c r="W2607" s="5" t="s">
        <v>65</v>
      </c>
      <c r="AB2607" s="5">
        <v>957946.72783693019</v>
      </c>
      <c r="AC2607" s="5" t="str">
        <f t="shared" si="124"/>
        <v>Bonos</v>
      </c>
      <c r="AD2607" s="5" t="s">
        <v>43</v>
      </c>
      <c r="AE2607" s="5">
        <f t="shared" si="125"/>
        <v>1</v>
      </c>
      <c r="AF2607" s="5">
        <f t="shared" si="126"/>
        <v>1900</v>
      </c>
    </row>
    <row r="2608" s="5" customFormat="1" ht="13">
      <c r="A2608" s="5" t="s">
        <v>44</v>
      </c>
      <c r="B2608" s="5" t="s">
        <v>44</v>
      </c>
      <c r="C2608" s="5" t="s">
        <v>517</v>
      </c>
      <c r="D2608" s="5" t="s">
        <v>21</v>
      </c>
      <c r="E2608" s="5" t="s">
        <v>44</v>
      </c>
      <c r="F2608" s="5" t="s">
        <v>68</v>
      </c>
      <c r="G2608" s="5" t="s">
        <v>69</v>
      </c>
      <c r="H2608" s="9" t="s">
        <v>518</v>
      </c>
      <c r="I2608" s="10"/>
      <c r="J2608" s="10"/>
      <c r="K2608" s="5" t="s">
        <v>509</v>
      </c>
      <c r="L2608" s="5" t="s">
        <v>58</v>
      </c>
      <c r="M2608" s="11">
        <v>0.17999999999999999</v>
      </c>
      <c r="N2608" s="5" t="e">
        <f>IF(AND(M2608&gt;#REF!,Cartera!O2608="Guaraníes"),"Rendimiento significativo",IF(AND(M2608&gt;#REF!,Cartera!O2608="Dólares americanos"),"Rendimiento significativo","Rendimiento no significativo"))</f>
        <v>#REF!</v>
      </c>
      <c r="O2608" s="5" t="s">
        <v>41</v>
      </c>
      <c r="P2608" s="12">
        <v>957946.72783693019</v>
      </c>
      <c r="Q2608" s="12">
        <f>IF(O2608="Guaraníes",P2608,P2608*#REF!)</f>
        <v>957946.72783693019</v>
      </c>
      <c r="R2608" s="12" t="e">
        <f>IF(O2608="Guaraníes",P2608/#REF!,P2608)</f>
        <v>#REF!</v>
      </c>
      <c r="S2608" s="5" t="s">
        <v>52</v>
      </c>
      <c r="W2608" s="5" t="s">
        <v>65</v>
      </c>
      <c r="AB2608" s="5">
        <v>957946.72783693019</v>
      </c>
      <c r="AC2608" s="5" t="str">
        <f t="shared" si="124"/>
        <v>Bonos</v>
      </c>
      <c r="AD2608" s="5" t="s">
        <v>43</v>
      </c>
      <c r="AE2608" s="5">
        <f t="shared" si="125"/>
        <v>1</v>
      </c>
      <c r="AF2608" s="5">
        <f t="shared" si="126"/>
        <v>1900</v>
      </c>
    </row>
    <row r="2609" s="5" customFormat="1" ht="13">
      <c r="A2609" s="5" t="s">
        <v>44</v>
      </c>
      <c r="B2609" s="5" t="s">
        <v>44</v>
      </c>
      <c r="C2609" s="5" t="s">
        <v>517</v>
      </c>
      <c r="D2609" s="5" t="s">
        <v>21</v>
      </c>
      <c r="E2609" s="5" t="s">
        <v>44</v>
      </c>
      <c r="F2609" s="5" t="s">
        <v>68</v>
      </c>
      <c r="G2609" s="5" t="s">
        <v>69</v>
      </c>
      <c r="H2609" s="9" t="s">
        <v>518</v>
      </c>
      <c r="I2609" s="10"/>
      <c r="J2609" s="10"/>
      <c r="K2609" s="5" t="s">
        <v>509</v>
      </c>
      <c r="L2609" s="5" t="s">
        <v>58</v>
      </c>
      <c r="M2609" s="11">
        <v>0.17999999999999999</v>
      </c>
      <c r="N2609" s="5" t="e">
        <f>IF(AND(M2609&gt;#REF!,Cartera!O2609="Guaraníes"),"Rendimiento significativo",IF(AND(M2609&gt;#REF!,Cartera!O2609="Dólares americanos"),"Rendimiento significativo","Rendimiento no significativo"))</f>
        <v>#REF!</v>
      </c>
      <c r="O2609" s="5" t="s">
        <v>41</v>
      </c>
      <c r="P2609" s="12">
        <v>957946.72783693008</v>
      </c>
      <c r="Q2609" s="12">
        <f>IF(O2609="Guaraníes",P2609,P2609*#REF!)</f>
        <v>957946.72783693008</v>
      </c>
      <c r="R2609" s="12" t="e">
        <f>IF(O2609="Guaraníes",P2609/#REF!,P2609)</f>
        <v>#REF!</v>
      </c>
      <c r="S2609" s="5" t="s">
        <v>52</v>
      </c>
      <c r="W2609" s="5" t="s">
        <v>65</v>
      </c>
      <c r="AB2609" s="5">
        <v>957946.72783693008</v>
      </c>
      <c r="AC2609" s="5" t="str">
        <f t="shared" si="124"/>
        <v>Bonos</v>
      </c>
      <c r="AD2609" s="5" t="s">
        <v>43</v>
      </c>
      <c r="AE2609" s="5">
        <f t="shared" si="125"/>
        <v>1</v>
      </c>
      <c r="AF2609" s="5">
        <f t="shared" si="126"/>
        <v>1900</v>
      </c>
    </row>
    <row r="2610" s="5" customFormat="1" ht="13">
      <c r="A2610" s="5" t="s">
        <v>44</v>
      </c>
      <c r="B2610" s="5" t="s">
        <v>44</v>
      </c>
      <c r="C2610" s="5" t="s">
        <v>517</v>
      </c>
      <c r="D2610" s="5" t="s">
        <v>21</v>
      </c>
      <c r="E2610" s="5" t="s">
        <v>44</v>
      </c>
      <c r="F2610" s="5" t="s">
        <v>68</v>
      </c>
      <c r="G2610" s="5" t="s">
        <v>69</v>
      </c>
      <c r="H2610" s="9" t="s">
        <v>518</v>
      </c>
      <c r="I2610" s="10"/>
      <c r="J2610" s="10"/>
      <c r="K2610" s="5" t="s">
        <v>509</v>
      </c>
      <c r="L2610" s="5" t="s">
        <v>58</v>
      </c>
      <c r="M2610" s="11">
        <v>0.17999999999999999</v>
      </c>
      <c r="N2610" s="5" t="e">
        <f>IF(AND(M2610&gt;#REF!,Cartera!O2610="Guaraníes"),"Rendimiento significativo",IF(AND(M2610&gt;#REF!,Cartera!O2610="Dólares americanos"),"Rendimiento significativo","Rendimiento no significativo"))</f>
        <v>#REF!</v>
      </c>
      <c r="O2610" s="5" t="s">
        <v>41</v>
      </c>
      <c r="P2610" s="12">
        <v>957946.72783692996</v>
      </c>
      <c r="Q2610" s="12">
        <f>IF(O2610="Guaraníes",P2610,P2610*#REF!)</f>
        <v>957946.72783692996</v>
      </c>
      <c r="R2610" s="12" t="e">
        <f>IF(O2610="Guaraníes",P2610/#REF!,P2610)</f>
        <v>#REF!</v>
      </c>
      <c r="S2610" s="5" t="s">
        <v>52</v>
      </c>
      <c r="W2610" s="5" t="s">
        <v>65</v>
      </c>
      <c r="AB2610" s="5">
        <v>957946.72783692996</v>
      </c>
      <c r="AC2610" s="5" t="str">
        <f t="shared" si="124"/>
        <v>Bonos</v>
      </c>
      <c r="AD2610" s="5" t="s">
        <v>43</v>
      </c>
      <c r="AE2610" s="5">
        <f t="shared" si="125"/>
        <v>1</v>
      </c>
      <c r="AF2610" s="5">
        <f t="shared" si="126"/>
        <v>1900</v>
      </c>
    </row>
    <row r="2611" s="5" customFormat="1" ht="13">
      <c r="A2611" s="5" t="s">
        <v>44</v>
      </c>
      <c r="B2611" s="5" t="s">
        <v>44</v>
      </c>
      <c r="C2611" s="5" t="s">
        <v>517</v>
      </c>
      <c r="D2611" s="5" t="s">
        <v>21</v>
      </c>
      <c r="E2611" s="5" t="s">
        <v>44</v>
      </c>
      <c r="F2611" s="5" t="s">
        <v>68</v>
      </c>
      <c r="G2611" s="5" t="s">
        <v>69</v>
      </c>
      <c r="H2611" s="9" t="s">
        <v>518</v>
      </c>
      <c r="I2611" s="10"/>
      <c r="J2611" s="10"/>
      <c r="K2611" s="5" t="s">
        <v>509</v>
      </c>
      <c r="L2611" s="5" t="s">
        <v>58</v>
      </c>
      <c r="M2611" s="11">
        <v>0.17999999999999999</v>
      </c>
      <c r="N2611" s="5" t="e">
        <f>IF(AND(M2611&gt;#REF!,Cartera!O2611="Guaraníes"),"Rendimiento significativo",IF(AND(M2611&gt;#REF!,Cartera!O2611="Dólares americanos"),"Rendimiento significativo","Rendimiento no significativo"))</f>
        <v>#REF!</v>
      </c>
      <c r="O2611" s="5" t="s">
        <v>41</v>
      </c>
      <c r="P2611" s="12">
        <v>957946.72783693008</v>
      </c>
      <c r="Q2611" s="12">
        <f>IF(O2611="Guaraníes",P2611,P2611*#REF!)</f>
        <v>957946.72783693008</v>
      </c>
      <c r="R2611" s="12" t="e">
        <f>IF(O2611="Guaraníes",P2611/#REF!,P2611)</f>
        <v>#REF!</v>
      </c>
      <c r="S2611" s="5" t="s">
        <v>52</v>
      </c>
      <c r="W2611" s="5" t="s">
        <v>65</v>
      </c>
      <c r="AB2611" s="5">
        <v>957946.72783693008</v>
      </c>
      <c r="AC2611" s="5" t="str">
        <f t="shared" si="124"/>
        <v>Bonos</v>
      </c>
      <c r="AD2611" s="5" t="s">
        <v>43</v>
      </c>
      <c r="AE2611" s="5">
        <f t="shared" si="125"/>
        <v>1</v>
      </c>
      <c r="AF2611" s="5">
        <f t="shared" si="126"/>
        <v>1900</v>
      </c>
    </row>
    <row r="2612" s="5" customFormat="1" ht="13">
      <c r="A2612" s="5" t="s">
        <v>44</v>
      </c>
      <c r="B2612" s="5" t="s">
        <v>44</v>
      </c>
      <c r="C2612" s="5" t="s">
        <v>517</v>
      </c>
      <c r="D2612" s="5" t="s">
        <v>21</v>
      </c>
      <c r="E2612" s="5" t="s">
        <v>44</v>
      </c>
      <c r="F2612" s="5" t="s">
        <v>68</v>
      </c>
      <c r="G2612" s="5" t="s">
        <v>69</v>
      </c>
      <c r="H2612" s="9" t="s">
        <v>518</v>
      </c>
      <c r="I2612" s="10"/>
      <c r="J2612" s="10"/>
      <c r="K2612" s="5" t="s">
        <v>509</v>
      </c>
      <c r="L2612" s="5" t="s">
        <v>58</v>
      </c>
      <c r="M2612" s="11">
        <v>0.17999999999999999</v>
      </c>
      <c r="N2612" s="5" t="e">
        <f>IF(AND(M2612&gt;#REF!,Cartera!O2612="Guaraníes"),"Rendimiento significativo",IF(AND(M2612&gt;#REF!,Cartera!O2612="Dólares americanos"),"Rendimiento significativo","Rendimiento no significativo"))</f>
        <v>#REF!</v>
      </c>
      <c r="O2612" s="5" t="s">
        <v>41</v>
      </c>
      <c r="P2612" s="12">
        <v>957946.72783693019</v>
      </c>
      <c r="Q2612" s="12">
        <f>IF(O2612="Guaraníes",P2612,P2612*#REF!)</f>
        <v>957946.72783693019</v>
      </c>
      <c r="R2612" s="12" t="e">
        <f>IF(O2612="Guaraníes",P2612/#REF!,P2612)</f>
        <v>#REF!</v>
      </c>
      <c r="S2612" s="5" t="s">
        <v>52</v>
      </c>
      <c r="W2612" s="5" t="s">
        <v>65</v>
      </c>
      <c r="AB2612" s="5">
        <v>957946.72783693019</v>
      </c>
      <c r="AC2612" s="5" t="str">
        <f t="shared" si="124"/>
        <v>Bonos</v>
      </c>
      <c r="AD2612" s="5" t="s">
        <v>43</v>
      </c>
      <c r="AE2612" s="5">
        <f t="shared" si="125"/>
        <v>1</v>
      </c>
      <c r="AF2612" s="5">
        <f t="shared" si="126"/>
        <v>1900</v>
      </c>
    </row>
    <row r="2613" s="5" customFormat="1" ht="13">
      <c r="A2613" s="5" t="s">
        <v>44</v>
      </c>
      <c r="B2613" s="5" t="s">
        <v>44</v>
      </c>
      <c r="C2613" s="5" t="s">
        <v>517</v>
      </c>
      <c r="D2613" s="5" t="s">
        <v>21</v>
      </c>
      <c r="E2613" s="5" t="s">
        <v>44</v>
      </c>
      <c r="F2613" s="5" t="s">
        <v>68</v>
      </c>
      <c r="G2613" s="5" t="s">
        <v>69</v>
      </c>
      <c r="H2613" s="9" t="s">
        <v>518</v>
      </c>
      <c r="I2613" s="10"/>
      <c r="J2613" s="10"/>
      <c r="K2613" s="5" t="s">
        <v>509</v>
      </c>
      <c r="L2613" s="5" t="s">
        <v>58</v>
      </c>
      <c r="M2613" s="11">
        <v>0.17999999999999999</v>
      </c>
      <c r="N2613" s="5" t="e">
        <f>IF(AND(M2613&gt;#REF!,Cartera!O2613="Guaraníes"),"Rendimiento significativo",IF(AND(M2613&gt;#REF!,Cartera!O2613="Dólares americanos"),"Rendimiento significativo","Rendimiento no significativo"))</f>
        <v>#REF!</v>
      </c>
      <c r="O2613" s="5" t="s">
        <v>41</v>
      </c>
      <c r="P2613" s="12">
        <v>957946.72783693019</v>
      </c>
      <c r="Q2613" s="12">
        <f>IF(O2613="Guaraníes",P2613,P2613*#REF!)</f>
        <v>957946.72783693019</v>
      </c>
      <c r="R2613" s="12" t="e">
        <f>IF(O2613="Guaraníes",P2613/#REF!,P2613)</f>
        <v>#REF!</v>
      </c>
      <c r="S2613" s="5" t="s">
        <v>52</v>
      </c>
      <c r="W2613" s="5" t="s">
        <v>65</v>
      </c>
      <c r="AB2613" s="5">
        <v>957946.72783693019</v>
      </c>
      <c r="AC2613" s="5" t="str">
        <f t="shared" si="124"/>
        <v>Bonos</v>
      </c>
      <c r="AD2613" s="5" t="s">
        <v>43</v>
      </c>
      <c r="AE2613" s="5">
        <f t="shared" si="125"/>
        <v>1</v>
      </c>
      <c r="AF2613" s="5">
        <f t="shared" si="126"/>
        <v>1900</v>
      </c>
    </row>
    <row r="2614" s="5" customFormat="1" ht="13">
      <c r="A2614" s="5" t="s">
        <v>44</v>
      </c>
      <c r="B2614" s="5" t="s">
        <v>44</v>
      </c>
      <c r="C2614" s="5" t="s">
        <v>517</v>
      </c>
      <c r="D2614" s="5" t="s">
        <v>21</v>
      </c>
      <c r="E2614" s="5" t="s">
        <v>44</v>
      </c>
      <c r="F2614" s="5" t="s">
        <v>68</v>
      </c>
      <c r="G2614" s="5" t="s">
        <v>69</v>
      </c>
      <c r="H2614" s="9" t="s">
        <v>518</v>
      </c>
      <c r="I2614" s="10"/>
      <c r="J2614" s="10"/>
      <c r="K2614" s="5" t="s">
        <v>509</v>
      </c>
      <c r="L2614" s="5" t="s">
        <v>58</v>
      </c>
      <c r="M2614" s="11">
        <v>0.17999999999999999</v>
      </c>
      <c r="N2614" s="5" t="e">
        <f>IF(AND(M2614&gt;#REF!,Cartera!O2614="Guaraníes"),"Rendimiento significativo",IF(AND(M2614&gt;#REF!,Cartera!O2614="Dólares americanos"),"Rendimiento significativo","Rendimiento no significativo"))</f>
        <v>#REF!</v>
      </c>
      <c r="O2614" s="5" t="s">
        <v>41</v>
      </c>
      <c r="P2614" s="12">
        <v>957946.72783693008</v>
      </c>
      <c r="Q2614" s="12">
        <f>IF(O2614="Guaraníes",P2614,P2614*#REF!)</f>
        <v>957946.72783693008</v>
      </c>
      <c r="R2614" s="12" t="e">
        <f>IF(O2614="Guaraníes",P2614/#REF!,P2614)</f>
        <v>#REF!</v>
      </c>
      <c r="S2614" s="5" t="s">
        <v>52</v>
      </c>
      <c r="W2614" s="5" t="s">
        <v>65</v>
      </c>
      <c r="AB2614" s="5">
        <v>957946.72783693008</v>
      </c>
      <c r="AC2614" s="5" t="str">
        <f t="shared" si="124"/>
        <v>Bonos</v>
      </c>
      <c r="AD2614" s="5" t="s">
        <v>43</v>
      </c>
      <c r="AE2614" s="5">
        <f t="shared" si="125"/>
        <v>1</v>
      </c>
      <c r="AF2614" s="5">
        <f t="shared" si="126"/>
        <v>1900</v>
      </c>
    </row>
    <row r="2615" s="5" customFormat="1" ht="13">
      <c r="A2615" s="5" t="s">
        <v>44</v>
      </c>
      <c r="B2615" s="5" t="s">
        <v>44</v>
      </c>
      <c r="C2615" s="5" t="s">
        <v>517</v>
      </c>
      <c r="D2615" s="5" t="s">
        <v>21</v>
      </c>
      <c r="E2615" s="5" t="s">
        <v>44</v>
      </c>
      <c r="F2615" s="5" t="s">
        <v>68</v>
      </c>
      <c r="G2615" s="5" t="s">
        <v>69</v>
      </c>
      <c r="H2615" s="9" t="s">
        <v>518</v>
      </c>
      <c r="I2615" s="10"/>
      <c r="J2615" s="10"/>
      <c r="K2615" s="5" t="s">
        <v>509</v>
      </c>
      <c r="L2615" s="5" t="s">
        <v>58</v>
      </c>
      <c r="M2615" s="11">
        <v>0.17999999999999999</v>
      </c>
      <c r="N2615" s="5" t="e">
        <f>IF(AND(M2615&gt;#REF!,Cartera!O2615="Guaraníes"),"Rendimiento significativo",IF(AND(M2615&gt;#REF!,Cartera!O2615="Dólares americanos"),"Rendimiento significativo","Rendimiento no significativo"))</f>
        <v>#REF!</v>
      </c>
      <c r="O2615" s="5" t="s">
        <v>41</v>
      </c>
      <c r="P2615" s="12">
        <v>957946.72783693008</v>
      </c>
      <c r="Q2615" s="12">
        <f>IF(O2615="Guaraníes",P2615,P2615*#REF!)</f>
        <v>957946.72783693008</v>
      </c>
      <c r="R2615" s="12" t="e">
        <f>IF(O2615="Guaraníes",P2615/#REF!,P2615)</f>
        <v>#REF!</v>
      </c>
      <c r="S2615" s="5" t="s">
        <v>52</v>
      </c>
      <c r="W2615" s="5" t="s">
        <v>65</v>
      </c>
      <c r="AB2615" s="5">
        <v>957946.72783693008</v>
      </c>
      <c r="AC2615" s="5" t="str">
        <f t="shared" ref="AC2615:AC2678" si="127">IF(ISNUMBER(SEARCH("Acciones",L2615)),"Acciones",IF(ISNUMBER(SEARCH("Bono",L2615)),"Bonos",IF(ISNUMBER(SEARCH("CDA",L2615)),"CDA",IF(ISNUMBER(SEARCH("Fondo",L2615)),"Fondo",0))))</f>
        <v>Bonos</v>
      </c>
      <c r="AD2615" s="5" t="s">
        <v>43</v>
      </c>
      <c r="AE2615" s="5">
        <f t="shared" si="125"/>
        <v>1</v>
      </c>
      <c r="AF2615" s="5">
        <f t="shared" si="126"/>
        <v>1900</v>
      </c>
    </row>
    <row r="2616" s="5" customFormat="1" ht="13">
      <c r="A2616" s="5" t="s">
        <v>44</v>
      </c>
      <c r="B2616" s="5" t="s">
        <v>44</v>
      </c>
      <c r="C2616" s="5" t="s">
        <v>517</v>
      </c>
      <c r="D2616" s="5" t="s">
        <v>21</v>
      </c>
      <c r="E2616" s="5" t="s">
        <v>44</v>
      </c>
      <c r="F2616" s="5" t="s">
        <v>68</v>
      </c>
      <c r="G2616" s="5" t="s">
        <v>69</v>
      </c>
      <c r="H2616" s="9" t="s">
        <v>518</v>
      </c>
      <c r="I2616" s="10"/>
      <c r="J2616" s="10"/>
      <c r="K2616" s="5" t="s">
        <v>509</v>
      </c>
      <c r="L2616" s="5" t="s">
        <v>58</v>
      </c>
      <c r="M2616" s="11">
        <v>0.17999999999999999</v>
      </c>
      <c r="N2616" s="5" t="e">
        <f>IF(AND(M2616&gt;#REF!,Cartera!O2616="Guaraníes"),"Rendimiento significativo",IF(AND(M2616&gt;#REF!,Cartera!O2616="Dólares americanos"),"Rendimiento significativo","Rendimiento no significativo"))</f>
        <v>#REF!</v>
      </c>
      <c r="O2616" s="5" t="s">
        <v>41</v>
      </c>
      <c r="P2616" s="12">
        <v>957946.72783693008</v>
      </c>
      <c r="Q2616" s="12">
        <f>IF(O2616="Guaraníes",P2616,P2616*#REF!)</f>
        <v>957946.72783693008</v>
      </c>
      <c r="R2616" s="12" t="e">
        <f>IF(O2616="Guaraníes",P2616/#REF!,P2616)</f>
        <v>#REF!</v>
      </c>
      <c r="S2616" s="5" t="s">
        <v>52</v>
      </c>
      <c r="W2616" s="5" t="s">
        <v>65</v>
      </c>
      <c r="AB2616" s="5">
        <v>957946.72783693008</v>
      </c>
      <c r="AC2616" s="5" t="str">
        <f t="shared" si="127"/>
        <v>Bonos</v>
      </c>
      <c r="AD2616" s="5" t="s">
        <v>43</v>
      </c>
      <c r="AE2616" s="5">
        <f t="shared" si="125"/>
        <v>1</v>
      </c>
      <c r="AF2616" s="5">
        <f t="shared" si="126"/>
        <v>1900</v>
      </c>
    </row>
    <row r="2617" s="5" customFormat="1" ht="13">
      <c r="A2617" s="5" t="s">
        <v>44</v>
      </c>
      <c r="B2617" s="5" t="s">
        <v>44</v>
      </c>
      <c r="C2617" s="5" t="s">
        <v>517</v>
      </c>
      <c r="D2617" s="5" t="s">
        <v>21</v>
      </c>
      <c r="E2617" s="5" t="s">
        <v>44</v>
      </c>
      <c r="F2617" s="5" t="s">
        <v>68</v>
      </c>
      <c r="G2617" s="5" t="s">
        <v>69</v>
      </c>
      <c r="H2617" s="9" t="s">
        <v>518</v>
      </c>
      <c r="I2617" s="10"/>
      <c r="J2617" s="10"/>
      <c r="K2617" s="5" t="s">
        <v>509</v>
      </c>
      <c r="L2617" s="5" t="s">
        <v>58</v>
      </c>
      <c r="M2617" s="11">
        <v>0.17999999999999999</v>
      </c>
      <c r="N2617" s="5" t="e">
        <f>IF(AND(M2617&gt;#REF!,Cartera!O2617="Guaraníes"),"Rendimiento significativo",IF(AND(M2617&gt;#REF!,Cartera!O2617="Dólares americanos"),"Rendimiento significativo","Rendimiento no significativo"))</f>
        <v>#REF!</v>
      </c>
      <c r="O2617" s="5" t="s">
        <v>41</v>
      </c>
      <c r="P2617" s="12">
        <v>957946.72783693019</v>
      </c>
      <c r="Q2617" s="12">
        <f>IF(O2617="Guaraníes",P2617,P2617*#REF!)</f>
        <v>957946.72783693019</v>
      </c>
      <c r="R2617" s="12" t="e">
        <f>IF(O2617="Guaraníes",P2617/#REF!,P2617)</f>
        <v>#REF!</v>
      </c>
      <c r="S2617" s="5" t="s">
        <v>52</v>
      </c>
      <c r="W2617" s="5" t="s">
        <v>65</v>
      </c>
      <c r="AB2617" s="5">
        <v>957946.72783693019</v>
      </c>
      <c r="AC2617" s="5" t="str">
        <f t="shared" si="127"/>
        <v>Bonos</v>
      </c>
      <c r="AD2617" s="5" t="s">
        <v>43</v>
      </c>
      <c r="AE2617" s="5">
        <f t="shared" si="125"/>
        <v>1</v>
      </c>
      <c r="AF2617" s="5">
        <f t="shared" si="126"/>
        <v>1900</v>
      </c>
    </row>
    <row r="2618" s="5" customFormat="1" ht="13">
      <c r="A2618" s="5" t="s">
        <v>44</v>
      </c>
      <c r="B2618" s="5" t="s">
        <v>44</v>
      </c>
      <c r="C2618" s="5" t="s">
        <v>517</v>
      </c>
      <c r="D2618" s="5" t="s">
        <v>21</v>
      </c>
      <c r="E2618" s="5" t="s">
        <v>44</v>
      </c>
      <c r="F2618" s="5" t="s">
        <v>68</v>
      </c>
      <c r="G2618" s="5" t="s">
        <v>69</v>
      </c>
      <c r="H2618" s="9" t="s">
        <v>518</v>
      </c>
      <c r="I2618" s="10"/>
      <c r="J2618" s="10"/>
      <c r="K2618" s="5" t="s">
        <v>509</v>
      </c>
      <c r="L2618" s="5" t="s">
        <v>58</v>
      </c>
      <c r="M2618" s="11">
        <v>0.17999999999999999</v>
      </c>
      <c r="N2618" s="5" t="e">
        <f>IF(AND(M2618&gt;#REF!,Cartera!O2618="Guaraníes"),"Rendimiento significativo",IF(AND(M2618&gt;#REF!,Cartera!O2618="Dólares americanos"),"Rendimiento significativo","Rendimiento no significativo"))</f>
        <v>#REF!</v>
      </c>
      <c r="O2618" s="5" t="s">
        <v>41</v>
      </c>
      <c r="P2618" s="12">
        <v>957946.72783693019</v>
      </c>
      <c r="Q2618" s="12">
        <f>IF(O2618="Guaraníes",P2618,P2618*#REF!)</f>
        <v>957946.72783693019</v>
      </c>
      <c r="R2618" s="12" t="e">
        <f>IF(O2618="Guaraníes",P2618/#REF!,P2618)</f>
        <v>#REF!</v>
      </c>
      <c r="S2618" s="5" t="s">
        <v>52</v>
      </c>
      <c r="W2618" s="5" t="s">
        <v>65</v>
      </c>
      <c r="AB2618" s="5">
        <v>957946.72783693019</v>
      </c>
      <c r="AC2618" s="5" t="str">
        <f t="shared" si="127"/>
        <v>Bonos</v>
      </c>
      <c r="AD2618" s="5" t="s">
        <v>43</v>
      </c>
      <c r="AE2618" s="5">
        <f t="shared" si="125"/>
        <v>1</v>
      </c>
      <c r="AF2618" s="5">
        <f t="shared" si="126"/>
        <v>1900</v>
      </c>
    </row>
    <row r="2619" s="5" customFormat="1" ht="13">
      <c r="A2619" s="5" t="s">
        <v>44</v>
      </c>
      <c r="B2619" s="5" t="s">
        <v>44</v>
      </c>
      <c r="C2619" s="5" t="s">
        <v>517</v>
      </c>
      <c r="D2619" s="5" t="s">
        <v>21</v>
      </c>
      <c r="E2619" s="5" t="s">
        <v>44</v>
      </c>
      <c r="F2619" s="5" t="s">
        <v>68</v>
      </c>
      <c r="G2619" s="5" t="s">
        <v>69</v>
      </c>
      <c r="H2619" s="9" t="s">
        <v>518</v>
      </c>
      <c r="I2619" s="10"/>
      <c r="J2619" s="10"/>
      <c r="K2619" s="5" t="s">
        <v>509</v>
      </c>
      <c r="L2619" s="5" t="s">
        <v>58</v>
      </c>
      <c r="M2619" s="11">
        <v>0.17999999999999999</v>
      </c>
      <c r="N2619" s="5" t="e">
        <f>IF(AND(M2619&gt;#REF!,Cartera!O2619="Guaraníes"),"Rendimiento significativo",IF(AND(M2619&gt;#REF!,Cartera!O2619="Dólares americanos"),"Rendimiento significativo","Rendimiento no significativo"))</f>
        <v>#REF!</v>
      </c>
      <c r="O2619" s="5" t="s">
        <v>41</v>
      </c>
      <c r="P2619" s="12">
        <v>957946.72783693008</v>
      </c>
      <c r="Q2619" s="12">
        <f>IF(O2619="Guaraníes",P2619,P2619*#REF!)</f>
        <v>957946.72783693008</v>
      </c>
      <c r="R2619" s="12" t="e">
        <f>IF(O2619="Guaraníes",P2619/#REF!,P2619)</f>
        <v>#REF!</v>
      </c>
      <c r="S2619" s="5" t="s">
        <v>52</v>
      </c>
      <c r="W2619" s="5" t="s">
        <v>65</v>
      </c>
      <c r="AB2619" s="5">
        <v>957946.72783693008</v>
      </c>
      <c r="AC2619" s="5" t="str">
        <f t="shared" si="127"/>
        <v>Bonos</v>
      </c>
      <c r="AD2619" s="5" t="s">
        <v>43</v>
      </c>
      <c r="AE2619" s="5">
        <f t="shared" si="125"/>
        <v>1</v>
      </c>
      <c r="AF2619" s="5">
        <f t="shared" si="126"/>
        <v>1900</v>
      </c>
    </row>
    <row r="2620" s="5" customFormat="1" ht="13">
      <c r="A2620" s="5" t="s">
        <v>44</v>
      </c>
      <c r="B2620" s="5" t="s">
        <v>44</v>
      </c>
      <c r="C2620" s="5" t="s">
        <v>517</v>
      </c>
      <c r="D2620" s="5" t="s">
        <v>21</v>
      </c>
      <c r="E2620" s="5" t="s">
        <v>44</v>
      </c>
      <c r="F2620" s="5" t="s">
        <v>68</v>
      </c>
      <c r="G2620" s="5" t="s">
        <v>69</v>
      </c>
      <c r="H2620" s="9" t="s">
        <v>518</v>
      </c>
      <c r="I2620" s="10"/>
      <c r="J2620" s="10"/>
      <c r="K2620" s="5" t="s">
        <v>509</v>
      </c>
      <c r="L2620" s="5" t="s">
        <v>58</v>
      </c>
      <c r="M2620" s="11">
        <v>0.17999999999999999</v>
      </c>
      <c r="N2620" s="5" t="e">
        <f>IF(AND(M2620&gt;#REF!,Cartera!O2620="Guaraníes"),"Rendimiento significativo",IF(AND(M2620&gt;#REF!,Cartera!O2620="Dólares americanos"),"Rendimiento significativo","Rendimiento no significativo"))</f>
        <v>#REF!</v>
      </c>
      <c r="O2620" s="5" t="s">
        <v>41</v>
      </c>
      <c r="P2620" s="12">
        <v>957946.72783693008</v>
      </c>
      <c r="Q2620" s="12">
        <f>IF(O2620="Guaraníes",P2620,P2620*#REF!)</f>
        <v>957946.72783693008</v>
      </c>
      <c r="R2620" s="12" t="e">
        <f>IF(O2620="Guaraníes",P2620/#REF!,P2620)</f>
        <v>#REF!</v>
      </c>
      <c r="S2620" s="5" t="s">
        <v>52</v>
      </c>
      <c r="U2620" s="5">
        <v>15013478</v>
      </c>
      <c r="V2620" s="5">
        <v>2229563.1010647342</v>
      </c>
      <c r="W2620" s="5" t="s">
        <v>65</v>
      </c>
      <c r="AB2620" s="5">
        <v>957946.72783693008</v>
      </c>
      <c r="AC2620" s="5" t="str">
        <f t="shared" si="127"/>
        <v>Bonos</v>
      </c>
      <c r="AD2620" s="5" t="s">
        <v>43</v>
      </c>
      <c r="AE2620" s="5">
        <f t="shared" si="125"/>
        <v>1</v>
      </c>
      <c r="AF2620" s="5">
        <f t="shared" si="126"/>
        <v>1900</v>
      </c>
    </row>
    <row r="2621" s="5" customFormat="1" ht="13">
      <c r="A2621" s="5" t="s">
        <v>544</v>
      </c>
      <c r="B2621" s="5" t="s">
        <v>544</v>
      </c>
      <c r="C2621" s="5" t="s">
        <v>60</v>
      </c>
      <c r="D2621" s="5" t="s">
        <v>21</v>
      </c>
      <c r="E2621" s="5" t="s">
        <v>544</v>
      </c>
      <c r="F2621" s="5" t="s">
        <v>61</v>
      </c>
      <c r="H2621" s="9">
        <v>4067</v>
      </c>
      <c r="I2621" s="10"/>
      <c r="J2621" s="10">
        <v>42735</v>
      </c>
      <c r="K2621" s="5" t="s">
        <v>64</v>
      </c>
      <c r="L2621" s="5" t="s">
        <v>82</v>
      </c>
      <c r="M2621" s="11">
        <v>0.070000000000000007</v>
      </c>
      <c r="N2621" s="5" t="e">
        <f>IF(AND(M2621&gt;#REF!,Cartera!O2621="Guaraníes"),"Rendimiento significativo",IF(AND(M2621&gt;#REF!,Cartera!O2621="Dólares americanos"),"Rendimiento significativo","Rendimiento no significativo"))</f>
        <v>#REF!</v>
      </c>
      <c r="O2621" s="5" t="s">
        <v>41</v>
      </c>
      <c r="P2621" s="12">
        <v>2772603</v>
      </c>
      <c r="Q2621" s="12">
        <f>IF(O2621="Guaraníes",P2621,P2621*#REF!)</f>
        <v>2772603</v>
      </c>
      <c r="R2621" s="12" t="e">
        <f>IF(O2621="Guaraníes",P2621/#REF!,P2621)</f>
        <v>#REF!</v>
      </c>
      <c r="S2621" s="5" t="s">
        <v>52</v>
      </c>
      <c r="V2621" s="5">
        <v>2772603</v>
      </c>
      <c r="W2621" s="5" t="s">
        <v>545</v>
      </c>
      <c r="AC2621" s="5" t="str">
        <f t="shared" si="127"/>
        <v>CDA</v>
      </c>
      <c r="AD2621" s="5" t="s">
        <v>43</v>
      </c>
      <c r="AE2621" s="5">
        <f t="shared" si="125"/>
        <v>12</v>
      </c>
      <c r="AF2621" s="5">
        <f t="shared" si="126"/>
        <v>2016</v>
      </c>
    </row>
    <row r="2622" s="5" customFormat="1" ht="13">
      <c r="A2622" s="5" t="s">
        <v>544</v>
      </c>
      <c r="B2622" s="5" t="s">
        <v>544</v>
      </c>
      <c r="C2622" s="5" t="s">
        <v>114</v>
      </c>
      <c r="D2622" s="5" t="s">
        <v>21</v>
      </c>
      <c r="E2622" s="5" t="s">
        <v>544</v>
      </c>
      <c r="F2622" s="5" t="s">
        <v>68</v>
      </c>
      <c r="H2622" s="9">
        <v>820</v>
      </c>
      <c r="I2622" s="10"/>
      <c r="J2622" s="10">
        <v>42802</v>
      </c>
      <c r="K2622" s="5" t="s">
        <v>77</v>
      </c>
      <c r="L2622" s="5" t="s">
        <v>82</v>
      </c>
      <c r="M2622" s="11">
        <v>0.14999999999999999</v>
      </c>
      <c r="N2622" s="5" t="e">
        <f>IF(AND(M2622&gt;#REF!,Cartera!O2622="Guaraníes"),"Rendimiento significativo",IF(AND(M2622&gt;#REF!,Cartera!O2622="Dólares americanos"),"Rendimiento significativo","Rendimiento no significativo"))</f>
        <v>#REF!</v>
      </c>
      <c r="O2622" s="5" t="s">
        <v>41</v>
      </c>
      <c r="P2622" s="12">
        <v>1541096</v>
      </c>
      <c r="Q2622" s="12">
        <f>IF(O2622="Guaraníes",P2622,P2622*#REF!)</f>
        <v>1541096</v>
      </c>
      <c r="R2622" s="12" t="e">
        <f>IF(O2622="Guaraníes",P2622/#REF!,P2622)</f>
        <v>#REF!</v>
      </c>
      <c r="S2622" s="5" t="s">
        <v>52</v>
      </c>
      <c r="V2622" s="5">
        <v>1541096</v>
      </c>
      <c r="W2622" s="5" t="s">
        <v>546</v>
      </c>
      <c r="AC2622" s="5" t="str">
        <f t="shared" si="127"/>
        <v>CDA</v>
      </c>
      <c r="AD2622" s="5" t="s">
        <v>43</v>
      </c>
      <c r="AE2622" s="5">
        <f t="shared" si="125"/>
        <v>3</v>
      </c>
      <c r="AF2622" s="5">
        <f t="shared" si="126"/>
        <v>2017</v>
      </c>
    </row>
    <row r="2623" s="5" customFormat="1" ht="13">
      <c r="A2623" s="5" t="s">
        <v>544</v>
      </c>
      <c r="B2623" s="5" t="s">
        <v>544</v>
      </c>
      <c r="C2623" s="5" t="s">
        <v>60</v>
      </c>
      <c r="D2623" s="5" t="s">
        <v>21</v>
      </c>
      <c r="E2623" s="5" t="s">
        <v>544</v>
      </c>
      <c r="F2623" s="5" t="s">
        <v>61</v>
      </c>
      <c r="H2623" s="9">
        <v>4067</v>
      </c>
      <c r="I2623" s="10"/>
      <c r="J2623" s="10">
        <v>42823</v>
      </c>
      <c r="K2623" s="5" t="s">
        <v>64</v>
      </c>
      <c r="L2623" s="5" t="s">
        <v>82</v>
      </c>
      <c r="M2623" s="11">
        <v>0.070000000000000007</v>
      </c>
      <c r="N2623" s="5" t="e">
        <f>IF(AND(M2623&gt;#REF!,Cartera!O2623="Guaraníes"),"Rendimiento significativo",IF(AND(M2623&gt;#REF!,Cartera!O2623="Dólares americanos"),"Rendimiento significativo","Rendimiento no significativo"))</f>
        <v>#REF!</v>
      </c>
      <c r="O2623" s="5" t="s">
        <v>41</v>
      </c>
      <c r="P2623" s="12">
        <v>2772603</v>
      </c>
      <c r="Q2623" s="12">
        <f>IF(O2623="Guaraníes",P2623,P2623*#REF!)</f>
        <v>2772603</v>
      </c>
      <c r="R2623" s="12" t="e">
        <f>IF(O2623="Guaraníes",P2623/#REF!,P2623)</f>
        <v>#REF!</v>
      </c>
      <c r="S2623" s="5" t="s">
        <v>52</v>
      </c>
      <c r="V2623" s="5">
        <v>2772603</v>
      </c>
      <c r="W2623" s="5" t="s">
        <v>547</v>
      </c>
      <c r="AC2623" s="5" t="str">
        <f t="shared" si="127"/>
        <v>CDA</v>
      </c>
      <c r="AD2623" s="5" t="s">
        <v>43</v>
      </c>
      <c r="AE2623" s="5">
        <f t="shared" si="125"/>
        <v>3</v>
      </c>
      <c r="AF2623" s="5">
        <f t="shared" si="126"/>
        <v>2017</v>
      </c>
    </row>
    <row r="2624" s="5" customFormat="1" ht="13">
      <c r="A2624" s="5" t="s">
        <v>544</v>
      </c>
      <c r="B2624" s="5" t="s">
        <v>544</v>
      </c>
      <c r="C2624" s="5" t="s">
        <v>114</v>
      </c>
      <c r="D2624" s="5" t="s">
        <v>21</v>
      </c>
      <c r="E2624" s="5" t="s">
        <v>544</v>
      </c>
      <c r="F2624" s="5" t="s">
        <v>68</v>
      </c>
      <c r="H2624" s="9">
        <v>820</v>
      </c>
      <c r="I2624" s="10"/>
      <c r="J2624" s="10">
        <v>42832</v>
      </c>
      <c r="K2624" s="5" t="s">
        <v>77</v>
      </c>
      <c r="L2624" s="5" t="s">
        <v>82</v>
      </c>
      <c r="M2624" s="11">
        <v>0.14999999999999999</v>
      </c>
      <c r="N2624" s="5" t="e">
        <f>IF(AND(M2624&gt;#REF!,Cartera!O2624="Guaraníes"),"Rendimiento significativo",IF(AND(M2624&gt;#REF!,Cartera!O2624="Dólares americanos"),"Rendimiento significativo","Rendimiento no significativo"))</f>
        <v>#REF!</v>
      </c>
      <c r="O2624" s="5" t="s">
        <v>41</v>
      </c>
      <c r="P2624" s="12">
        <v>1541096</v>
      </c>
      <c r="Q2624" s="12">
        <f>IF(O2624="Guaraníes",P2624,P2624*#REF!)</f>
        <v>1541096</v>
      </c>
      <c r="R2624" s="12" t="e">
        <f>IF(O2624="Guaraníes",P2624/#REF!,P2624)</f>
        <v>#REF!</v>
      </c>
      <c r="S2624" s="5" t="s">
        <v>52</v>
      </c>
      <c r="V2624" s="5">
        <v>1541096</v>
      </c>
      <c r="W2624" s="5" t="s">
        <v>548</v>
      </c>
      <c r="AC2624" s="5" t="str">
        <f t="shared" si="127"/>
        <v>CDA</v>
      </c>
      <c r="AD2624" s="5" t="s">
        <v>43</v>
      </c>
      <c r="AE2624" s="5">
        <f t="shared" si="125"/>
        <v>4</v>
      </c>
      <c r="AF2624" s="5">
        <f t="shared" si="126"/>
        <v>2017</v>
      </c>
    </row>
    <row r="2625" s="5" customFormat="1" ht="13">
      <c r="A2625" s="5" t="s">
        <v>544</v>
      </c>
      <c r="B2625" s="5" t="s">
        <v>544</v>
      </c>
      <c r="C2625" s="5" t="s">
        <v>114</v>
      </c>
      <c r="D2625" s="5" t="s">
        <v>21</v>
      </c>
      <c r="E2625" s="5" t="s">
        <v>544</v>
      </c>
      <c r="F2625" s="5" t="s">
        <v>68</v>
      </c>
      <c r="H2625" s="9">
        <v>820</v>
      </c>
      <c r="I2625" s="10"/>
      <c r="J2625" s="10">
        <v>42863</v>
      </c>
      <c r="K2625" s="5" t="s">
        <v>77</v>
      </c>
      <c r="L2625" s="5" t="s">
        <v>82</v>
      </c>
      <c r="M2625" s="11">
        <v>0.14999999999999999</v>
      </c>
      <c r="N2625" s="5" t="e">
        <f>IF(AND(M2625&gt;#REF!,Cartera!O2625="Guaraníes"),"Rendimiento significativo",IF(AND(M2625&gt;#REF!,Cartera!O2625="Dólares americanos"),"Rendimiento significativo","Rendimiento no significativo"))</f>
        <v>#REF!</v>
      </c>
      <c r="O2625" s="5" t="s">
        <v>41</v>
      </c>
      <c r="P2625" s="12">
        <v>1592466</v>
      </c>
      <c r="Q2625" s="12">
        <f>IF(O2625="Guaraníes",P2625,P2625*#REF!)</f>
        <v>1592466</v>
      </c>
      <c r="R2625" s="12" t="e">
        <f>IF(O2625="Guaraníes",P2625/#REF!,P2625)</f>
        <v>#REF!</v>
      </c>
      <c r="S2625" s="5" t="s">
        <v>52</v>
      </c>
      <c r="V2625" s="5">
        <v>1592466</v>
      </c>
      <c r="W2625" s="5" t="s">
        <v>549</v>
      </c>
      <c r="AC2625" s="5" t="str">
        <f t="shared" si="127"/>
        <v>CDA</v>
      </c>
      <c r="AD2625" s="5" t="s">
        <v>43</v>
      </c>
      <c r="AE2625" s="5">
        <f t="shared" si="125"/>
        <v>5</v>
      </c>
      <c r="AF2625" s="5">
        <f t="shared" si="126"/>
        <v>2017</v>
      </c>
    </row>
    <row r="2626" s="5" customFormat="1" ht="13">
      <c r="A2626" s="5" t="s">
        <v>544</v>
      </c>
      <c r="B2626" s="5" t="s">
        <v>544</v>
      </c>
      <c r="C2626" s="5" t="s">
        <v>60</v>
      </c>
      <c r="D2626" s="5" t="s">
        <v>21</v>
      </c>
      <c r="E2626" s="5" t="s">
        <v>544</v>
      </c>
      <c r="F2626" s="5" t="s">
        <v>61</v>
      </c>
      <c r="H2626" s="9">
        <v>4705</v>
      </c>
      <c r="I2626" s="10"/>
      <c r="J2626" s="10">
        <v>42878</v>
      </c>
      <c r="K2626" s="5" t="s">
        <v>64</v>
      </c>
      <c r="L2626" s="5" t="s">
        <v>82</v>
      </c>
      <c r="M2626" s="11">
        <v>0.115</v>
      </c>
      <c r="N2626" s="5" t="e">
        <f>IF(AND(M2626&gt;#REF!,Cartera!O2626="Guaraníes"),"Rendimiento significativo",IF(AND(M2626&gt;#REF!,Cartera!O2626="Dólares americanos"),"Rendimiento significativo","Rendimiento no significativo"))</f>
        <v>#REF!</v>
      </c>
      <c r="O2626" s="5" t="s">
        <v>41</v>
      </c>
      <c r="P2626" s="12">
        <v>2893151</v>
      </c>
      <c r="Q2626" s="12">
        <f>IF(O2626="Guaraníes",P2626,P2626*#REF!)</f>
        <v>2893151</v>
      </c>
      <c r="R2626" s="12" t="e">
        <f>IF(O2626="Guaraníes",P2626/#REF!,P2626)</f>
        <v>#REF!</v>
      </c>
      <c r="S2626" s="5" t="s">
        <v>52</v>
      </c>
      <c r="V2626" s="5">
        <v>2893151</v>
      </c>
      <c r="W2626" s="5" t="s">
        <v>545</v>
      </c>
      <c r="AC2626" s="5" t="str">
        <f t="shared" si="127"/>
        <v>CDA</v>
      </c>
      <c r="AD2626" s="5" t="s">
        <v>43</v>
      </c>
      <c r="AE2626" s="5">
        <f t="shared" si="125"/>
        <v>5</v>
      </c>
      <c r="AF2626" s="5">
        <f t="shared" si="126"/>
        <v>2017</v>
      </c>
    </row>
    <row r="2627" s="5" customFormat="1" ht="13">
      <c r="A2627" s="5" t="s">
        <v>544</v>
      </c>
      <c r="B2627" s="5" t="s">
        <v>544</v>
      </c>
      <c r="C2627" s="5" t="s">
        <v>114</v>
      </c>
      <c r="D2627" s="5" t="s">
        <v>21</v>
      </c>
      <c r="E2627" s="5" t="s">
        <v>544</v>
      </c>
      <c r="F2627" s="5" t="s">
        <v>68</v>
      </c>
      <c r="H2627" s="9">
        <v>820</v>
      </c>
      <c r="I2627" s="10"/>
      <c r="J2627" s="10">
        <v>42893</v>
      </c>
      <c r="K2627" s="5" t="s">
        <v>77</v>
      </c>
      <c r="L2627" s="5" t="s">
        <v>82</v>
      </c>
      <c r="M2627" s="11">
        <v>0.14999999999999999</v>
      </c>
      <c r="N2627" s="5" t="e">
        <f>IF(AND(M2627&gt;#REF!,Cartera!O2627="Guaraníes"),"Rendimiento significativo",IF(AND(M2627&gt;#REF!,Cartera!O2627="Dólares americanos"),"Rendimiento significativo","Rendimiento no significativo"))</f>
        <v>#REF!</v>
      </c>
      <c r="O2627" s="5" t="s">
        <v>41</v>
      </c>
      <c r="P2627" s="12">
        <v>1541096</v>
      </c>
      <c r="Q2627" s="12">
        <f>IF(O2627="Guaraníes",P2627,P2627*#REF!)</f>
        <v>1541096</v>
      </c>
      <c r="R2627" s="12" t="e">
        <f>IF(O2627="Guaraníes",P2627/#REF!,P2627)</f>
        <v>#REF!</v>
      </c>
      <c r="S2627" s="5" t="s">
        <v>52</v>
      </c>
      <c r="V2627" s="5">
        <v>1541096</v>
      </c>
      <c r="W2627" s="5" t="s">
        <v>550</v>
      </c>
      <c r="AC2627" s="5" t="str">
        <f t="shared" si="127"/>
        <v>CDA</v>
      </c>
      <c r="AD2627" s="5" t="s">
        <v>43</v>
      </c>
      <c r="AE2627" s="5">
        <f t="shared" si="125"/>
        <v>6</v>
      </c>
      <c r="AF2627" s="5">
        <f t="shared" si="126"/>
        <v>2017</v>
      </c>
    </row>
    <row r="2628" s="5" customFormat="1" ht="13">
      <c r="A2628" s="5" t="s">
        <v>544</v>
      </c>
      <c r="B2628" s="5" t="s">
        <v>544</v>
      </c>
      <c r="C2628" s="5" t="s">
        <v>60</v>
      </c>
      <c r="D2628" s="5" t="s">
        <v>21</v>
      </c>
      <c r="E2628" s="5" t="s">
        <v>544</v>
      </c>
      <c r="F2628" s="5" t="s">
        <v>61</v>
      </c>
      <c r="H2628" s="9">
        <v>4067</v>
      </c>
      <c r="I2628" s="10"/>
      <c r="J2628" s="10">
        <v>42911</v>
      </c>
      <c r="K2628" s="5" t="s">
        <v>64</v>
      </c>
      <c r="L2628" s="5" t="s">
        <v>82</v>
      </c>
      <c r="M2628" s="11">
        <v>0.070000000000000007</v>
      </c>
      <c r="N2628" s="5" t="e">
        <f>IF(AND(M2628&gt;#REF!,Cartera!O2628="Guaraníes"),"Rendimiento significativo",IF(AND(M2628&gt;#REF!,Cartera!O2628="Dólares americanos"),"Rendimiento significativo","Rendimiento no significativo"))</f>
        <v>#REF!</v>
      </c>
      <c r="O2628" s="5" t="s">
        <v>41</v>
      </c>
      <c r="P2628" s="12">
        <v>2772603</v>
      </c>
      <c r="Q2628" s="12">
        <f>IF(O2628="Guaraníes",P2628,P2628*#REF!)</f>
        <v>2772603</v>
      </c>
      <c r="R2628" s="12" t="e">
        <f>IF(O2628="Guaraníes",P2628/#REF!,P2628)</f>
        <v>#REF!</v>
      </c>
      <c r="S2628" s="5" t="s">
        <v>52</v>
      </c>
      <c r="V2628" s="5">
        <v>2772603</v>
      </c>
      <c r="W2628" s="5" t="s">
        <v>551</v>
      </c>
      <c r="AC2628" s="5" t="str">
        <f t="shared" si="127"/>
        <v>CDA</v>
      </c>
      <c r="AD2628" s="5" t="s">
        <v>43</v>
      </c>
      <c r="AE2628" s="5">
        <f t="shared" si="125"/>
        <v>6</v>
      </c>
      <c r="AF2628" s="5">
        <f t="shared" si="126"/>
        <v>2017</v>
      </c>
    </row>
    <row r="2629" s="5" customFormat="1" ht="13">
      <c r="A2629" s="5" t="s">
        <v>544</v>
      </c>
      <c r="B2629" s="5" t="s">
        <v>544</v>
      </c>
      <c r="C2629" s="5" t="s">
        <v>114</v>
      </c>
      <c r="D2629" s="5" t="s">
        <v>21</v>
      </c>
      <c r="E2629" s="5" t="s">
        <v>544</v>
      </c>
      <c r="F2629" s="5" t="s">
        <v>68</v>
      </c>
      <c r="H2629" s="9">
        <v>820</v>
      </c>
      <c r="I2629" s="10"/>
      <c r="J2629" s="10">
        <v>42923</v>
      </c>
      <c r="K2629" s="5" t="s">
        <v>77</v>
      </c>
      <c r="L2629" s="5" t="s">
        <v>82</v>
      </c>
      <c r="M2629" s="11">
        <v>0.14999999999999999</v>
      </c>
      <c r="N2629" s="5" t="e">
        <f>IF(AND(M2629&gt;#REF!,Cartera!O2629="Guaraníes"),"Rendimiento significativo",IF(AND(M2629&gt;#REF!,Cartera!O2629="Dólares americanos"),"Rendimiento significativo","Rendimiento no significativo"))</f>
        <v>#REF!</v>
      </c>
      <c r="O2629" s="5" t="s">
        <v>41</v>
      </c>
      <c r="P2629" s="12">
        <v>1541096</v>
      </c>
      <c r="Q2629" s="12">
        <f>IF(O2629="Guaraníes",P2629,P2629*#REF!)</f>
        <v>1541096</v>
      </c>
      <c r="R2629" s="12" t="e">
        <f>IF(O2629="Guaraníes",P2629/#REF!,P2629)</f>
        <v>#REF!</v>
      </c>
      <c r="S2629" s="5" t="s">
        <v>52</v>
      </c>
      <c r="V2629" s="5">
        <v>1541096</v>
      </c>
      <c r="W2629" s="5" t="s">
        <v>552</v>
      </c>
      <c r="AC2629" s="5" t="str">
        <f t="shared" si="127"/>
        <v>CDA</v>
      </c>
      <c r="AD2629" s="5" t="s">
        <v>43</v>
      </c>
      <c r="AE2629" s="5">
        <f t="shared" si="125"/>
        <v>7</v>
      </c>
      <c r="AF2629" s="5">
        <f t="shared" si="126"/>
        <v>2017</v>
      </c>
    </row>
    <row r="2630" s="5" customFormat="1" ht="13">
      <c r="A2630" s="5" t="s">
        <v>544</v>
      </c>
      <c r="B2630" s="5" t="s">
        <v>544</v>
      </c>
      <c r="C2630" s="5" t="s">
        <v>114</v>
      </c>
      <c r="D2630" s="5" t="s">
        <v>21</v>
      </c>
      <c r="E2630" s="5" t="s">
        <v>544</v>
      </c>
      <c r="F2630" s="5" t="s">
        <v>68</v>
      </c>
      <c r="H2630" s="9">
        <v>820</v>
      </c>
      <c r="I2630" s="10"/>
      <c r="J2630" s="10">
        <v>42954</v>
      </c>
      <c r="K2630" s="5" t="s">
        <v>77</v>
      </c>
      <c r="L2630" s="5" t="s">
        <v>82</v>
      </c>
      <c r="M2630" s="11">
        <v>0.14999999999999999</v>
      </c>
      <c r="N2630" s="5" t="e">
        <f>IF(AND(M2630&gt;#REF!,Cartera!O2630="Guaraníes"),"Rendimiento significativo",IF(AND(M2630&gt;#REF!,Cartera!O2630="Dólares americanos"),"Rendimiento significativo","Rendimiento no significativo"))</f>
        <v>#REF!</v>
      </c>
      <c r="O2630" s="5" t="s">
        <v>41</v>
      </c>
      <c r="P2630" s="12">
        <v>1592466</v>
      </c>
      <c r="Q2630" s="12">
        <f>IF(O2630="Guaraníes",P2630,P2630*#REF!)</f>
        <v>1592466</v>
      </c>
      <c r="R2630" s="12" t="e">
        <f>IF(O2630="Guaraníes",P2630/#REF!,P2630)</f>
        <v>#REF!</v>
      </c>
      <c r="S2630" s="5" t="s">
        <v>52</v>
      </c>
      <c r="V2630" s="5">
        <v>1592466</v>
      </c>
      <c r="W2630" s="5" t="s">
        <v>553</v>
      </c>
      <c r="AC2630" s="5" t="str">
        <f t="shared" si="127"/>
        <v>CDA</v>
      </c>
      <c r="AD2630" s="5" t="s">
        <v>43</v>
      </c>
      <c r="AE2630" s="5">
        <f t="shared" si="125"/>
        <v>8</v>
      </c>
      <c r="AF2630" s="5">
        <f t="shared" si="126"/>
        <v>2017</v>
      </c>
    </row>
    <row r="2631" s="5" customFormat="1" ht="13">
      <c r="A2631" s="5" t="s">
        <v>544</v>
      </c>
      <c r="B2631" s="5" t="s">
        <v>544</v>
      </c>
      <c r="C2631" s="5" t="s">
        <v>60</v>
      </c>
      <c r="D2631" s="5" t="s">
        <v>21</v>
      </c>
      <c r="E2631" s="5" t="s">
        <v>544</v>
      </c>
      <c r="F2631" s="5" t="s">
        <v>61</v>
      </c>
      <c r="H2631" s="9">
        <v>4705</v>
      </c>
      <c r="I2631" s="10"/>
      <c r="J2631" s="10">
        <v>42966</v>
      </c>
      <c r="K2631" s="5" t="s">
        <v>64</v>
      </c>
      <c r="L2631" s="5" t="s">
        <v>82</v>
      </c>
      <c r="M2631" s="11">
        <v>0.115</v>
      </c>
      <c r="N2631" s="5" t="e">
        <f>IF(AND(M2631&gt;#REF!,Cartera!O2631="Guaraníes"),"Rendimiento significativo",IF(AND(M2631&gt;#REF!,Cartera!O2631="Dólares americanos"),"Rendimiento significativo","Rendimiento no significativo"))</f>
        <v>#REF!</v>
      </c>
      <c r="O2631" s="5" t="s">
        <v>41</v>
      </c>
      <c r="P2631" s="12">
        <v>2893151</v>
      </c>
      <c r="Q2631" s="12">
        <f>IF(O2631="Guaraníes",P2631,P2631*#REF!)</f>
        <v>2893151</v>
      </c>
      <c r="R2631" s="12" t="e">
        <f>IF(O2631="Guaraníes",P2631/#REF!,P2631)</f>
        <v>#REF!</v>
      </c>
      <c r="S2631" s="5" t="s">
        <v>52</v>
      </c>
      <c r="V2631" s="5">
        <v>2893151</v>
      </c>
      <c r="W2631" s="5" t="s">
        <v>547</v>
      </c>
      <c r="AC2631" s="5" t="str">
        <f t="shared" si="127"/>
        <v>CDA</v>
      </c>
      <c r="AD2631" s="5" t="s">
        <v>43</v>
      </c>
      <c r="AE2631" s="5">
        <f t="shared" si="125"/>
        <v>8</v>
      </c>
      <c r="AF2631" s="5">
        <f t="shared" si="126"/>
        <v>2017</v>
      </c>
    </row>
    <row r="2632" s="5" customFormat="1" ht="13">
      <c r="A2632" s="5" t="s">
        <v>544</v>
      </c>
      <c r="B2632" s="5" t="s">
        <v>544</v>
      </c>
      <c r="C2632" s="5" t="s">
        <v>114</v>
      </c>
      <c r="D2632" s="5" t="s">
        <v>21</v>
      </c>
      <c r="E2632" s="5" t="s">
        <v>544</v>
      </c>
      <c r="F2632" s="5" t="s">
        <v>68</v>
      </c>
      <c r="H2632" s="9">
        <v>820</v>
      </c>
      <c r="I2632" s="10"/>
      <c r="J2632" s="10">
        <v>42984</v>
      </c>
      <c r="K2632" s="5" t="s">
        <v>77</v>
      </c>
      <c r="L2632" s="5" t="s">
        <v>82</v>
      </c>
      <c r="M2632" s="11">
        <v>0.14999999999999999</v>
      </c>
      <c r="N2632" s="5" t="e">
        <f>IF(AND(M2632&gt;#REF!,Cartera!O2632="Guaraníes"),"Rendimiento significativo",IF(AND(M2632&gt;#REF!,Cartera!O2632="Dólares americanos"),"Rendimiento significativo","Rendimiento no significativo"))</f>
        <v>#REF!</v>
      </c>
      <c r="O2632" s="5" t="s">
        <v>41</v>
      </c>
      <c r="P2632" s="12">
        <v>1541096</v>
      </c>
      <c r="Q2632" s="12">
        <f>IF(O2632="Guaraníes",P2632,P2632*#REF!)</f>
        <v>1541096</v>
      </c>
      <c r="R2632" s="12" t="e">
        <f>IF(O2632="Guaraníes",P2632/#REF!,P2632)</f>
        <v>#REF!</v>
      </c>
      <c r="S2632" s="5" t="s">
        <v>52</v>
      </c>
      <c r="V2632" s="5">
        <v>1541096</v>
      </c>
      <c r="W2632" s="5" t="s">
        <v>554</v>
      </c>
      <c r="AC2632" s="5" t="str">
        <f t="shared" si="127"/>
        <v>CDA</v>
      </c>
      <c r="AD2632" s="5" t="s">
        <v>43</v>
      </c>
      <c r="AE2632" s="5">
        <f t="shared" si="125"/>
        <v>9</v>
      </c>
      <c r="AF2632" s="5">
        <f t="shared" si="126"/>
        <v>2017</v>
      </c>
    </row>
    <row r="2633" s="5" customFormat="1" ht="13">
      <c r="A2633" s="5" t="s">
        <v>544</v>
      </c>
      <c r="B2633" s="5" t="s">
        <v>544</v>
      </c>
      <c r="C2633" s="5" t="s">
        <v>60</v>
      </c>
      <c r="D2633" s="5" t="s">
        <v>21</v>
      </c>
      <c r="E2633" s="5" t="s">
        <v>544</v>
      </c>
      <c r="F2633" s="5" t="s">
        <v>61</v>
      </c>
      <c r="H2633" s="9">
        <v>4067</v>
      </c>
      <c r="I2633" s="10"/>
      <c r="J2633" s="10">
        <v>42999</v>
      </c>
      <c r="K2633" s="5" t="s">
        <v>64</v>
      </c>
      <c r="L2633" s="5" t="s">
        <v>82</v>
      </c>
      <c r="M2633" s="11">
        <v>0.070000000000000007</v>
      </c>
      <c r="N2633" s="5" t="e">
        <f>IF(AND(M2633&gt;#REF!,Cartera!O2633="Guaraníes"),"Rendimiento significativo",IF(AND(M2633&gt;#REF!,Cartera!O2633="Dólares americanos"),"Rendimiento significativo","Rendimiento no significativo"))</f>
        <v>#REF!</v>
      </c>
      <c r="O2633" s="5" t="s">
        <v>41</v>
      </c>
      <c r="P2633" s="12">
        <v>2772603</v>
      </c>
      <c r="Q2633" s="12">
        <f>IF(O2633="Guaraníes",P2633,P2633*#REF!)</f>
        <v>2772603</v>
      </c>
      <c r="R2633" s="12" t="e">
        <f>IF(O2633="Guaraníes",P2633/#REF!,P2633)</f>
        <v>#REF!</v>
      </c>
      <c r="S2633" s="5" t="s">
        <v>52</v>
      </c>
      <c r="V2633" s="5">
        <v>2772603</v>
      </c>
      <c r="W2633" s="5" t="s">
        <v>555</v>
      </c>
      <c r="AC2633" s="5" t="str">
        <f t="shared" si="127"/>
        <v>CDA</v>
      </c>
      <c r="AD2633" s="5" t="s">
        <v>43</v>
      </c>
      <c r="AE2633" s="5">
        <f t="shared" si="125"/>
        <v>9</v>
      </c>
      <c r="AF2633" s="5">
        <f t="shared" si="126"/>
        <v>2017</v>
      </c>
    </row>
    <row r="2634" s="5" customFormat="1" ht="13">
      <c r="A2634" s="5" t="s">
        <v>544</v>
      </c>
      <c r="B2634" s="5" t="s">
        <v>544</v>
      </c>
      <c r="C2634" s="5" t="s">
        <v>114</v>
      </c>
      <c r="D2634" s="5" t="s">
        <v>21</v>
      </c>
      <c r="E2634" s="5" t="s">
        <v>544</v>
      </c>
      <c r="F2634" s="5" t="s">
        <v>68</v>
      </c>
      <c r="H2634" s="9">
        <v>820</v>
      </c>
      <c r="I2634" s="10"/>
      <c r="J2634" s="10">
        <v>43014</v>
      </c>
      <c r="K2634" s="5" t="s">
        <v>77</v>
      </c>
      <c r="L2634" s="5" t="s">
        <v>82</v>
      </c>
      <c r="M2634" s="11">
        <v>0.14999999999999999</v>
      </c>
      <c r="N2634" s="5" t="e">
        <f>IF(AND(M2634&gt;#REF!,Cartera!O2634="Guaraníes"),"Rendimiento significativo",IF(AND(M2634&gt;#REF!,Cartera!O2634="Dólares americanos"),"Rendimiento significativo","Rendimiento no significativo"))</f>
        <v>#REF!</v>
      </c>
      <c r="O2634" s="5" t="s">
        <v>41</v>
      </c>
      <c r="P2634" s="12">
        <v>1541096</v>
      </c>
      <c r="Q2634" s="12">
        <f>IF(O2634="Guaraníes",P2634,P2634*#REF!)</f>
        <v>1541096</v>
      </c>
      <c r="R2634" s="12" t="e">
        <f>IF(O2634="Guaraníes",P2634/#REF!,P2634)</f>
        <v>#REF!</v>
      </c>
      <c r="S2634" s="5" t="s">
        <v>52</v>
      </c>
      <c r="V2634" s="5">
        <v>1541096</v>
      </c>
      <c r="W2634" s="5" t="s">
        <v>556</v>
      </c>
      <c r="AC2634" s="5" t="str">
        <f t="shared" si="127"/>
        <v>CDA</v>
      </c>
      <c r="AD2634" s="5" t="s">
        <v>43</v>
      </c>
      <c r="AE2634" s="5">
        <f t="shared" si="125"/>
        <v>10</v>
      </c>
      <c r="AF2634" s="5">
        <f t="shared" si="126"/>
        <v>2017</v>
      </c>
    </row>
    <row r="2635" s="5" customFormat="1" ht="13">
      <c r="A2635" s="5" t="s">
        <v>544</v>
      </c>
      <c r="B2635" s="5" t="s">
        <v>544</v>
      </c>
      <c r="C2635" s="5" t="s">
        <v>227</v>
      </c>
      <c r="D2635" s="5" t="s">
        <v>21</v>
      </c>
      <c r="E2635" s="5" t="s">
        <v>544</v>
      </c>
      <c r="F2635" s="5" t="s">
        <v>68</v>
      </c>
      <c r="H2635" s="9">
        <v>122</v>
      </c>
      <c r="I2635" s="10"/>
      <c r="J2635" s="10">
        <v>43015</v>
      </c>
      <c r="K2635" s="5" t="s">
        <v>77</v>
      </c>
      <c r="L2635" s="5" t="s">
        <v>82</v>
      </c>
      <c r="M2635" s="11">
        <v>0</v>
      </c>
      <c r="N2635" s="5" t="e">
        <f>IF(AND(M2635&gt;#REF!,Cartera!O2635="Guaraníes"),"Rendimiento significativo",IF(AND(M2635&gt;#REF!,Cartera!O2635="Dólares americanos"),"Rendimiento significativo","Rendimiento no significativo"))</f>
        <v>#REF!</v>
      </c>
      <c r="O2635" s="5" t="s">
        <v>41</v>
      </c>
      <c r="P2635" s="12">
        <v>3564941</v>
      </c>
      <c r="Q2635" s="12">
        <f>IF(O2635="Guaraníes",P2635,P2635*#REF!)</f>
        <v>3564941</v>
      </c>
      <c r="R2635" s="12" t="e">
        <f>IF(O2635="Guaraníes",P2635/#REF!,P2635)</f>
        <v>#REF!</v>
      </c>
      <c r="S2635" s="5" t="s">
        <v>52</v>
      </c>
      <c r="V2635" s="5">
        <v>3564941</v>
      </c>
      <c r="W2635" s="5" t="s">
        <v>241</v>
      </c>
      <c r="AC2635" s="5" t="str">
        <f t="shared" si="127"/>
        <v>CDA</v>
      </c>
      <c r="AD2635" s="5" t="s">
        <v>43</v>
      </c>
      <c r="AE2635" s="5">
        <f t="shared" si="125"/>
        <v>10</v>
      </c>
      <c r="AF2635" s="5">
        <f t="shared" si="126"/>
        <v>2017</v>
      </c>
    </row>
    <row r="2636" s="5" customFormat="1" ht="13">
      <c r="A2636" s="5" t="s">
        <v>544</v>
      </c>
      <c r="B2636" s="5" t="s">
        <v>544</v>
      </c>
      <c r="C2636" s="5" t="s">
        <v>114</v>
      </c>
      <c r="D2636" s="5" t="s">
        <v>21</v>
      </c>
      <c r="E2636" s="5" t="s">
        <v>544</v>
      </c>
      <c r="F2636" s="5" t="s">
        <v>68</v>
      </c>
      <c r="H2636" s="9">
        <v>820</v>
      </c>
      <c r="I2636" s="10"/>
      <c r="J2636" s="10">
        <v>43045</v>
      </c>
      <c r="K2636" s="5" t="s">
        <v>77</v>
      </c>
      <c r="L2636" s="5" t="s">
        <v>82</v>
      </c>
      <c r="M2636" s="11">
        <v>0.14999999999999999</v>
      </c>
      <c r="N2636" s="5" t="e">
        <f>IF(AND(M2636&gt;#REF!,Cartera!O2636="Guaraníes"),"Rendimiento significativo",IF(AND(M2636&gt;#REF!,Cartera!O2636="Dólares americanos"),"Rendimiento significativo","Rendimiento no significativo"))</f>
        <v>#REF!</v>
      </c>
      <c r="O2636" s="5" t="s">
        <v>41</v>
      </c>
      <c r="P2636" s="12">
        <v>1592466</v>
      </c>
      <c r="Q2636" s="12">
        <f>IF(O2636="Guaraníes",P2636,P2636*#REF!)</f>
        <v>1592466</v>
      </c>
      <c r="R2636" s="12" t="e">
        <f>IF(O2636="Guaraníes",P2636/#REF!,P2636)</f>
        <v>#REF!</v>
      </c>
      <c r="S2636" s="5" t="s">
        <v>52</v>
      </c>
      <c r="V2636" s="5">
        <v>1592466</v>
      </c>
      <c r="W2636" s="5" t="s">
        <v>557</v>
      </c>
      <c r="AC2636" s="5" t="str">
        <f t="shared" si="127"/>
        <v>CDA</v>
      </c>
      <c r="AD2636" s="5" t="s">
        <v>43</v>
      </c>
      <c r="AE2636" s="5">
        <f t="shared" si="125"/>
        <v>11</v>
      </c>
      <c r="AF2636" s="5">
        <f t="shared" si="126"/>
        <v>2017</v>
      </c>
    </row>
    <row r="2637" s="5" customFormat="1" ht="13">
      <c r="A2637" s="5" t="s">
        <v>544</v>
      </c>
      <c r="B2637" s="5" t="s">
        <v>544</v>
      </c>
      <c r="C2637" s="5" t="s">
        <v>60</v>
      </c>
      <c r="D2637" s="5" t="s">
        <v>21</v>
      </c>
      <c r="E2637" s="5" t="s">
        <v>544</v>
      </c>
      <c r="F2637" s="5" t="s">
        <v>61</v>
      </c>
      <c r="H2637" s="9">
        <v>4705</v>
      </c>
      <c r="I2637" s="10"/>
      <c r="J2637" s="10">
        <v>43054</v>
      </c>
      <c r="K2637" s="5" t="s">
        <v>64</v>
      </c>
      <c r="L2637" s="5" t="s">
        <v>82</v>
      </c>
      <c r="M2637" s="11">
        <v>0.115</v>
      </c>
      <c r="N2637" s="5" t="e">
        <f>IF(AND(M2637&gt;#REF!,Cartera!O2637="Guaraníes"),"Rendimiento significativo",IF(AND(M2637&gt;#REF!,Cartera!O2637="Dólares americanos"),"Rendimiento significativo","Rendimiento no significativo"))</f>
        <v>#REF!</v>
      </c>
      <c r="O2637" s="5" t="s">
        <v>41</v>
      </c>
      <c r="P2637" s="12">
        <v>2893151</v>
      </c>
      <c r="Q2637" s="12">
        <f>IF(O2637="Guaraníes",P2637,P2637*#REF!)</f>
        <v>2893151</v>
      </c>
      <c r="R2637" s="12" t="e">
        <f>IF(O2637="Guaraníes",P2637/#REF!,P2637)</f>
        <v>#REF!</v>
      </c>
      <c r="S2637" s="5" t="s">
        <v>52</v>
      </c>
      <c r="V2637" s="5">
        <v>2893151</v>
      </c>
      <c r="W2637" s="5" t="s">
        <v>551</v>
      </c>
      <c r="AC2637" s="5" t="str">
        <f t="shared" si="127"/>
        <v>CDA</v>
      </c>
      <c r="AD2637" s="5" t="s">
        <v>43</v>
      </c>
      <c r="AE2637" s="5">
        <f t="shared" si="125"/>
        <v>11</v>
      </c>
      <c r="AF2637" s="5">
        <f t="shared" si="126"/>
        <v>2017</v>
      </c>
    </row>
    <row r="2638" s="5" customFormat="1" ht="13">
      <c r="A2638" s="5" t="s">
        <v>544</v>
      </c>
      <c r="B2638" s="5" t="s">
        <v>544</v>
      </c>
      <c r="C2638" s="5" t="s">
        <v>114</v>
      </c>
      <c r="D2638" s="5" t="s">
        <v>21</v>
      </c>
      <c r="E2638" s="5" t="s">
        <v>544</v>
      </c>
      <c r="F2638" s="5" t="s">
        <v>68</v>
      </c>
      <c r="H2638" s="9">
        <v>820</v>
      </c>
      <c r="I2638" s="10"/>
      <c r="J2638" s="10">
        <v>43075</v>
      </c>
      <c r="K2638" s="5" t="s">
        <v>77</v>
      </c>
      <c r="L2638" s="5" t="s">
        <v>82</v>
      </c>
      <c r="M2638" s="11">
        <v>0.14999999999999999</v>
      </c>
      <c r="N2638" s="5" t="e">
        <f>IF(AND(M2638&gt;#REF!,Cartera!O2638="Guaraníes"),"Rendimiento significativo",IF(AND(M2638&gt;#REF!,Cartera!O2638="Dólares americanos"),"Rendimiento significativo","Rendimiento no significativo"))</f>
        <v>#REF!</v>
      </c>
      <c r="O2638" s="5" t="s">
        <v>41</v>
      </c>
      <c r="P2638" s="12">
        <v>1541096</v>
      </c>
      <c r="Q2638" s="12">
        <f>IF(O2638="Guaraníes",P2638,P2638*#REF!)</f>
        <v>1541096</v>
      </c>
      <c r="R2638" s="12" t="e">
        <f>IF(O2638="Guaraníes",P2638/#REF!,P2638)</f>
        <v>#REF!</v>
      </c>
      <c r="S2638" s="5" t="s">
        <v>52</v>
      </c>
      <c r="V2638" s="5">
        <v>1541096</v>
      </c>
      <c r="W2638" s="5" t="s">
        <v>558</v>
      </c>
      <c r="AC2638" s="5" t="str">
        <f t="shared" si="127"/>
        <v>CDA</v>
      </c>
      <c r="AD2638" s="5" t="s">
        <v>43</v>
      </c>
      <c r="AE2638" s="5">
        <f t="shared" si="125"/>
        <v>12</v>
      </c>
      <c r="AF2638" s="5">
        <f t="shared" si="126"/>
        <v>2017</v>
      </c>
    </row>
    <row r="2639" s="5" customFormat="1" ht="13">
      <c r="A2639" s="5" t="s">
        <v>544</v>
      </c>
      <c r="B2639" s="5" t="s">
        <v>544</v>
      </c>
      <c r="C2639" s="5" t="s">
        <v>60</v>
      </c>
      <c r="D2639" s="5" t="s">
        <v>21</v>
      </c>
      <c r="E2639" s="5" t="s">
        <v>544</v>
      </c>
      <c r="F2639" s="5" t="s">
        <v>61</v>
      </c>
      <c r="H2639" s="9">
        <v>4067</v>
      </c>
      <c r="I2639" s="10"/>
      <c r="J2639" s="10">
        <v>43087</v>
      </c>
      <c r="K2639" s="5" t="s">
        <v>64</v>
      </c>
      <c r="L2639" s="5" t="s">
        <v>82</v>
      </c>
      <c r="M2639" s="11">
        <v>0.070000000000000007</v>
      </c>
      <c r="N2639" s="5" t="e">
        <f>IF(AND(M2639&gt;#REF!,Cartera!O2639="Guaraníes"),"Rendimiento significativo",IF(AND(M2639&gt;#REF!,Cartera!O2639="Dólares americanos"),"Rendimiento significativo","Rendimiento no significativo"))</f>
        <v>#REF!</v>
      </c>
      <c r="O2639" s="5" t="s">
        <v>41</v>
      </c>
      <c r="P2639" s="12">
        <v>2772603</v>
      </c>
      <c r="Q2639" s="12">
        <f>IF(O2639="Guaraníes",P2639,P2639*#REF!)</f>
        <v>2772603</v>
      </c>
      <c r="R2639" s="12" t="e">
        <f>IF(O2639="Guaraníes",P2639/#REF!,P2639)</f>
        <v>#REF!</v>
      </c>
      <c r="S2639" s="5" t="s">
        <v>52</v>
      </c>
      <c r="V2639" s="5">
        <v>2772603</v>
      </c>
      <c r="W2639" s="5" t="s">
        <v>559</v>
      </c>
      <c r="AC2639" s="5" t="str">
        <f t="shared" si="127"/>
        <v>CDA</v>
      </c>
      <c r="AD2639" s="5" t="s">
        <v>43</v>
      </c>
      <c r="AE2639" s="5">
        <f t="shared" si="125"/>
        <v>12</v>
      </c>
      <c r="AF2639" s="5">
        <f t="shared" si="126"/>
        <v>2017</v>
      </c>
    </row>
    <row r="2640" s="5" customFormat="1" ht="13">
      <c r="A2640" s="5" t="s">
        <v>544</v>
      </c>
      <c r="B2640" s="5" t="s">
        <v>544</v>
      </c>
      <c r="C2640" s="5" t="s">
        <v>114</v>
      </c>
      <c r="D2640" s="5" t="s">
        <v>21</v>
      </c>
      <c r="E2640" s="5" t="s">
        <v>544</v>
      </c>
      <c r="F2640" s="5" t="s">
        <v>68</v>
      </c>
      <c r="H2640" s="9">
        <v>820</v>
      </c>
      <c r="I2640" s="10"/>
      <c r="J2640" s="10">
        <v>43105</v>
      </c>
      <c r="K2640" s="5" t="s">
        <v>77</v>
      </c>
      <c r="L2640" s="5" t="s">
        <v>82</v>
      </c>
      <c r="M2640" s="11">
        <v>0.14999999999999999</v>
      </c>
      <c r="N2640" s="5" t="e">
        <f>IF(AND(M2640&gt;#REF!,Cartera!O2640="Guaraníes"),"Rendimiento significativo",IF(AND(M2640&gt;#REF!,Cartera!O2640="Dólares americanos"),"Rendimiento significativo","Rendimiento no significativo"))</f>
        <v>#REF!</v>
      </c>
      <c r="O2640" s="5" t="s">
        <v>41</v>
      </c>
      <c r="P2640" s="12">
        <v>1541096</v>
      </c>
      <c r="Q2640" s="12">
        <f>IF(O2640="Guaraníes",P2640,P2640*#REF!)</f>
        <v>1541096</v>
      </c>
      <c r="R2640" s="12" t="e">
        <f>IF(O2640="Guaraníes",P2640/#REF!,P2640)</f>
        <v>#REF!</v>
      </c>
      <c r="S2640" s="5" t="s">
        <v>52</v>
      </c>
      <c r="V2640" s="5">
        <v>1541096</v>
      </c>
      <c r="W2640" s="5" t="s">
        <v>560</v>
      </c>
      <c r="AC2640" s="5" t="str">
        <f t="shared" si="127"/>
        <v>CDA</v>
      </c>
      <c r="AD2640" s="5" t="s">
        <v>43</v>
      </c>
      <c r="AE2640" s="5">
        <f t="shared" si="125"/>
        <v>1</v>
      </c>
      <c r="AF2640" s="5">
        <f t="shared" si="126"/>
        <v>2018</v>
      </c>
    </row>
    <row r="2641" s="5" customFormat="1" ht="13">
      <c r="A2641" s="5" t="s">
        <v>544</v>
      </c>
      <c r="B2641" s="5" t="s">
        <v>544</v>
      </c>
      <c r="C2641" s="5" t="s">
        <v>227</v>
      </c>
      <c r="D2641" s="5" t="s">
        <v>21</v>
      </c>
      <c r="E2641" s="5" t="s">
        <v>544</v>
      </c>
      <c r="F2641" s="5" t="s">
        <v>68</v>
      </c>
      <c r="H2641" s="9">
        <v>122</v>
      </c>
      <c r="I2641" s="10"/>
      <c r="J2641" s="10">
        <v>43108</v>
      </c>
      <c r="K2641" s="5" t="s">
        <v>77</v>
      </c>
      <c r="L2641" s="5" t="s">
        <v>82</v>
      </c>
      <c r="M2641" s="11">
        <v>0</v>
      </c>
      <c r="N2641" s="5" t="e">
        <f>IF(AND(M2641&gt;#REF!,Cartera!O2641="Guaraníes"),"Rendimiento significativo",IF(AND(M2641&gt;#REF!,Cartera!O2641="Dólares americanos"),"Rendimiento significativo","Rendimiento no significativo"))</f>
        <v>#REF!</v>
      </c>
      <c r="O2641" s="5" t="s">
        <v>41</v>
      </c>
      <c r="P2641" s="12">
        <v>3564941</v>
      </c>
      <c r="Q2641" s="12">
        <f>IF(O2641="Guaraníes",P2641,P2641*#REF!)</f>
        <v>3564941</v>
      </c>
      <c r="R2641" s="12" t="e">
        <f>IF(O2641="Guaraníes",P2641/#REF!,P2641)</f>
        <v>#REF!</v>
      </c>
      <c r="S2641" s="5" t="s">
        <v>52</v>
      </c>
      <c r="V2641" s="5">
        <v>3564941</v>
      </c>
      <c r="W2641" s="5" t="s">
        <v>245</v>
      </c>
      <c r="AC2641" s="5" t="str">
        <f t="shared" si="127"/>
        <v>CDA</v>
      </c>
      <c r="AD2641" s="5" t="s">
        <v>43</v>
      </c>
      <c r="AE2641" s="5">
        <f t="shared" si="125"/>
        <v>1</v>
      </c>
      <c r="AF2641" s="5">
        <f t="shared" si="126"/>
        <v>2018</v>
      </c>
    </row>
    <row r="2642" s="5" customFormat="1" ht="13">
      <c r="A2642" s="5" t="s">
        <v>544</v>
      </c>
      <c r="B2642" s="5" t="s">
        <v>544</v>
      </c>
      <c r="C2642" s="5" t="s">
        <v>114</v>
      </c>
      <c r="D2642" s="5" t="s">
        <v>21</v>
      </c>
      <c r="E2642" s="5" t="s">
        <v>544</v>
      </c>
      <c r="F2642" s="5" t="s">
        <v>68</v>
      </c>
      <c r="H2642" s="9">
        <v>820</v>
      </c>
      <c r="I2642" s="10"/>
      <c r="J2642" s="10">
        <v>43136</v>
      </c>
      <c r="K2642" s="5" t="s">
        <v>77</v>
      </c>
      <c r="L2642" s="5" t="s">
        <v>82</v>
      </c>
      <c r="M2642" s="11">
        <v>0.14999999999999999</v>
      </c>
      <c r="N2642" s="5" t="e">
        <f>IF(AND(M2642&gt;#REF!,Cartera!O2642="Guaraníes"),"Rendimiento significativo",IF(AND(M2642&gt;#REF!,Cartera!O2642="Dólares americanos"),"Rendimiento significativo","Rendimiento no significativo"))</f>
        <v>#REF!</v>
      </c>
      <c r="O2642" s="5" t="s">
        <v>41</v>
      </c>
      <c r="P2642" s="12">
        <v>1592466</v>
      </c>
      <c r="Q2642" s="12">
        <f>IF(O2642="Guaraníes",P2642,P2642*#REF!)</f>
        <v>1592466</v>
      </c>
      <c r="R2642" s="12" t="e">
        <f>IF(O2642="Guaraníes",P2642/#REF!,P2642)</f>
        <v>#REF!</v>
      </c>
      <c r="S2642" s="5" t="s">
        <v>52</v>
      </c>
      <c r="V2642" s="5">
        <v>1592466</v>
      </c>
      <c r="W2642" s="5" t="s">
        <v>561</v>
      </c>
      <c r="AC2642" s="5" t="str">
        <f t="shared" si="127"/>
        <v>CDA</v>
      </c>
      <c r="AD2642" s="5" t="s">
        <v>43</v>
      </c>
      <c r="AE2642" s="5">
        <f t="shared" ref="AE2642:AE2705" si="128">IFERROR((MONTH(J2642)),0)</f>
        <v>2</v>
      </c>
      <c r="AF2642" s="5">
        <f t="shared" ref="AF2642:AF2705" si="129">IFERROR((YEAR(J2642)),0)</f>
        <v>2018</v>
      </c>
    </row>
    <row r="2643" s="5" customFormat="1" ht="13">
      <c r="A2643" s="5" t="s">
        <v>544</v>
      </c>
      <c r="B2643" s="5" t="s">
        <v>544</v>
      </c>
      <c r="C2643" s="5" t="s">
        <v>60</v>
      </c>
      <c r="D2643" s="5" t="s">
        <v>21</v>
      </c>
      <c r="E2643" s="5" t="s">
        <v>544</v>
      </c>
      <c r="F2643" s="5" t="s">
        <v>61</v>
      </c>
      <c r="H2643" s="9">
        <v>4705</v>
      </c>
      <c r="I2643" s="10"/>
      <c r="J2643" s="10">
        <v>43142</v>
      </c>
      <c r="K2643" s="5" t="s">
        <v>64</v>
      </c>
      <c r="L2643" s="5" t="s">
        <v>82</v>
      </c>
      <c r="M2643" s="11">
        <v>0.115</v>
      </c>
      <c r="N2643" s="5" t="e">
        <f>IF(AND(M2643&gt;#REF!,Cartera!O2643="Guaraníes"),"Rendimiento significativo",IF(AND(M2643&gt;#REF!,Cartera!O2643="Dólares americanos"),"Rendimiento significativo","Rendimiento no significativo"))</f>
        <v>#REF!</v>
      </c>
      <c r="O2643" s="5" t="s">
        <v>41</v>
      </c>
      <c r="P2643" s="12">
        <v>2893151</v>
      </c>
      <c r="Q2643" s="12">
        <f>IF(O2643="Guaraníes",P2643,P2643*#REF!)</f>
        <v>2893151</v>
      </c>
      <c r="R2643" s="12" t="e">
        <f>IF(O2643="Guaraníes",P2643/#REF!,P2643)</f>
        <v>#REF!</v>
      </c>
      <c r="S2643" s="5" t="s">
        <v>52</v>
      </c>
      <c r="V2643" s="5">
        <v>2893151</v>
      </c>
      <c r="W2643" s="5" t="s">
        <v>555</v>
      </c>
      <c r="AC2643" s="5" t="str">
        <f t="shared" si="127"/>
        <v>CDA</v>
      </c>
      <c r="AD2643" s="5" t="s">
        <v>43</v>
      </c>
      <c r="AE2643" s="5">
        <f t="shared" si="128"/>
        <v>2</v>
      </c>
      <c r="AF2643" s="5">
        <f t="shared" si="129"/>
        <v>2018</v>
      </c>
    </row>
    <row r="2644" s="5" customFormat="1" ht="13">
      <c r="A2644" s="5" t="s">
        <v>544</v>
      </c>
      <c r="B2644" s="5" t="s">
        <v>544</v>
      </c>
      <c r="C2644" s="5" t="s">
        <v>116</v>
      </c>
      <c r="D2644" s="5" t="s">
        <v>21</v>
      </c>
      <c r="E2644" s="5" t="s">
        <v>544</v>
      </c>
      <c r="F2644" s="5" t="s">
        <v>68</v>
      </c>
      <c r="H2644" s="9">
        <v>3009</v>
      </c>
      <c r="I2644" s="10"/>
      <c r="J2644" s="10">
        <v>43150</v>
      </c>
      <c r="K2644" s="5" t="s">
        <v>118</v>
      </c>
      <c r="L2644" s="5" t="s">
        <v>82</v>
      </c>
      <c r="M2644" s="11">
        <v>0.074999999999999997</v>
      </c>
      <c r="N2644" s="5" t="e">
        <f>IF(AND(M2644&gt;#REF!,Cartera!O2644="Guaraníes"),"Rendimiento significativo",IF(AND(M2644&gt;#REF!,Cartera!O2644="Dólares americanos"),"Rendimiento significativo","Rendimiento no significativo"))</f>
        <v>#REF!</v>
      </c>
      <c r="O2644" s="5" t="s">
        <v>41</v>
      </c>
      <c r="P2644" s="12">
        <v>2614932</v>
      </c>
      <c r="Q2644" s="12">
        <f>IF(O2644="Guaraníes",P2644,P2644*#REF!)</f>
        <v>2614932</v>
      </c>
      <c r="R2644" s="12" t="e">
        <f>IF(O2644="Guaraníes",P2644/#REF!,P2644)</f>
        <v>#REF!</v>
      </c>
      <c r="S2644" s="5" t="s">
        <v>52</v>
      </c>
      <c r="V2644" s="5">
        <v>2614932</v>
      </c>
      <c r="W2644" s="5" t="s">
        <v>241</v>
      </c>
      <c r="AC2644" s="5" t="str">
        <f t="shared" si="127"/>
        <v>CDA</v>
      </c>
      <c r="AD2644" s="5" t="s">
        <v>43</v>
      </c>
      <c r="AE2644" s="5">
        <f t="shared" si="128"/>
        <v>2</v>
      </c>
      <c r="AF2644" s="5">
        <f t="shared" si="129"/>
        <v>2018</v>
      </c>
    </row>
    <row r="2645" s="5" customFormat="1" ht="13">
      <c r="A2645" s="5" t="s">
        <v>544</v>
      </c>
      <c r="B2645" s="5" t="s">
        <v>544</v>
      </c>
      <c r="C2645" s="5" t="s">
        <v>114</v>
      </c>
      <c r="D2645" s="5" t="s">
        <v>21</v>
      </c>
      <c r="E2645" s="5" t="s">
        <v>544</v>
      </c>
      <c r="F2645" s="5" t="s">
        <v>68</v>
      </c>
      <c r="H2645" s="9">
        <v>820</v>
      </c>
      <c r="I2645" s="10"/>
      <c r="J2645" s="10">
        <v>43166</v>
      </c>
      <c r="K2645" s="5" t="s">
        <v>77</v>
      </c>
      <c r="L2645" s="5" t="s">
        <v>82</v>
      </c>
      <c r="M2645" s="11">
        <v>0.14999999999999999</v>
      </c>
      <c r="N2645" s="5" t="e">
        <f>IF(AND(M2645&gt;#REF!,Cartera!O2645="Guaraníes"),"Rendimiento significativo",IF(AND(M2645&gt;#REF!,Cartera!O2645="Dólares americanos"),"Rendimiento significativo","Rendimiento no significativo"))</f>
        <v>#REF!</v>
      </c>
      <c r="O2645" s="5" t="s">
        <v>41</v>
      </c>
      <c r="P2645" s="12">
        <v>1541096</v>
      </c>
      <c r="Q2645" s="12">
        <f>IF(O2645="Guaraníes",P2645,P2645*#REF!)</f>
        <v>1541096</v>
      </c>
      <c r="R2645" s="12" t="e">
        <f>IF(O2645="Guaraníes",P2645/#REF!,P2645)</f>
        <v>#REF!</v>
      </c>
      <c r="S2645" s="5" t="s">
        <v>52</v>
      </c>
      <c r="V2645" s="5">
        <v>1541096</v>
      </c>
      <c r="W2645" s="5" t="s">
        <v>562</v>
      </c>
      <c r="AC2645" s="5" t="str">
        <f t="shared" si="127"/>
        <v>CDA</v>
      </c>
      <c r="AD2645" s="5" t="s">
        <v>43</v>
      </c>
      <c r="AE2645" s="5">
        <f t="shared" si="128"/>
        <v>3</v>
      </c>
      <c r="AF2645" s="5">
        <f t="shared" si="129"/>
        <v>2018</v>
      </c>
    </row>
    <row r="2646" s="5" customFormat="1" ht="13">
      <c r="A2646" s="5" t="s">
        <v>544</v>
      </c>
      <c r="B2646" s="5" t="s">
        <v>544</v>
      </c>
      <c r="C2646" s="5" t="s">
        <v>60</v>
      </c>
      <c r="D2646" s="5" t="s">
        <v>21</v>
      </c>
      <c r="E2646" s="5" t="s">
        <v>544</v>
      </c>
      <c r="F2646" s="5" t="s">
        <v>61</v>
      </c>
      <c r="H2646" s="9">
        <v>4067</v>
      </c>
      <c r="I2646" s="10"/>
      <c r="J2646" s="10">
        <v>43175</v>
      </c>
      <c r="K2646" s="5" t="s">
        <v>64</v>
      </c>
      <c r="L2646" s="5" t="s">
        <v>82</v>
      </c>
      <c r="M2646" s="11">
        <v>0.070000000000000007</v>
      </c>
      <c r="N2646" s="5" t="e">
        <f>IF(AND(M2646&gt;#REF!,Cartera!O2646="Guaraníes"),"Rendimiento significativo",IF(AND(M2646&gt;#REF!,Cartera!O2646="Dólares americanos"),"Rendimiento significativo","Rendimiento no significativo"))</f>
        <v>#REF!</v>
      </c>
      <c r="O2646" s="5" t="s">
        <v>41</v>
      </c>
      <c r="P2646" s="12">
        <v>2772603</v>
      </c>
      <c r="Q2646" s="12">
        <f>IF(O2646="Guaraníes",P2646,P2646*#REF!)</f>
        <v>2772603</v>
      </c>
      <c r="R2646" s="12" t="e">
        <f>IF(O2646="Guaraníes",P2646/#REF!,P2646)</f>
        <v>#REF!</v>
      </c>
      <c r="S2646" s="5" t="s">
        <v>52</v>
      </c>
      <c r="V2646" s="5">
        <v>2772603</v>
      </c>
      <c r="W2646" s="5" t="s">
        <v>563</v>
      </c>
      <c r="AC2646" s="5" t="str">
        <f t="shared" si="127"/>
        <v>CDA</v>
      </c>
      <c r="AD2646" s="5" t="s">
        <v>43</v>
      </c>
      <c r="AE2646" s="5">
        <f t="shared" si="128"/>
        <v>3</v>
      </c>
      <c r="AF2646" s="5">
        <f t="shared" si="129"/>
        <v>2018</v>
      </c>
    </row>
    <row r="2647" s="5" customFormat="1" ht="13">
      <c r="A2647" s="5" t="s">
        <v>544</v>
      </c>
      <c r="B2647" s="5" t="s">
        <v>544</v>
      </c>
      <c r="C2647" s="5" t="s">
        <v>114</v>
      </c>
      <c r="D2647" s="5" t="s">
        <v>21</v>
      </c>
      <c r="E2647" s="5" t="s">
        <v>544</v>
      </c>
      <c r="F2647" s="5" t="s">
        <v>68</v>
      </c>
      <c r="H2647" s="9">
        <v>820</v>
      </c>
      <c r="I2647" s="10"/>
      <c r="J2647" s="10">
        <v>43196</v>
      </c>
      <c r="K2647" s="5" t="s">
        <v>77</v>
      </c>
      <c r="L2647" s="5" t="s">
        <v>82</v>
      </c>
      <c r="M2647" s="11">
        <v>0.14999999999999999</v>
      </c>
      <c r="N2647" s="5" t="e">
        <f>IF(AND(M2647&gt;#REF!,Cartera!O2647="Guaraníes"),"Rendimiento significativo",IF(AND(M2647&gt;#REF!,Cartera!O2647="Dólares americanos"),"Rendimiento significativo","Rendimiento no significativo"))</f>
        <v>#REF!</v>
      </c>
      <c r="O2647" s="5" t="s">
        <v>41</v>
      </c>
      <c r="P2647" s="12">
        <v>1541096</v>
      </c>
      <c r="Q2647" s="12">
        <f>IF(O2647="Guaraníes",P2647,P2647*#REF!)</f>
        <v>1541096</v>
      </c>
      <c r="R2647" s="12" t="e">
        <f>IF(O2647="Guaraníes",P2647/#REF!,P2647)</f>
        <v>#REF!</v>
      </c>
      <c r="S2647" s="5" t="s">
        <v>52</v>
      </c>
      <c r="V2647" s="5">
        <v>1541096</v>
      </c>
      <c r="W2647" s="5" t="s">
        <v>564</v>
      </c>
      <c r="AC2647" s="5" t="str">
        <f t="shared" si="127"/>
        <v>CDA</v>
      </c>
      <c r="AD2647" s="5" t="s">
        <v>43</v>
      </c>
      <c r="AE2647" s="5">
        <f t="shared" si="128"/>
        <v>4</v>
      </c>
      <c r="AF2647" s="5">
        <f t="shared" si="129"/>
        <v>2018</v>
      </c>
    </row>
    <row r="2648" s="5" customFormat="1" ht="13">
      <c r="A2648" s="5" t="s">
        <v>544</v>
      </c>
      <c r="B2648" s="5" t="s">
        <v>544</v>
      </c>
      <c r="C2648" s="5" t="s">
        <v>227</v>
      </c>
      <c r="D2648" s="5" t="s">
        <v>21</v>
      </c>
      <c r="E2648" s="5" t="s">
        <v>544</v>
      </c>
      <c r="F2648" s="5" t="s">
        <v>68</v>
      </c>
      <c r="H2648" s="9">
        <v>122</v>
      </c>
      <c r="I2648" s="10"/>
      <c r="J2648" s="10">
        <v>43197</v>
      </c>
      <c r="K2648" s="5" t="s">
        <v>77</v>
      </c>
      <c r="L2648" s="5" t="s">
        <v>82</v>
      </c>
      <c r="M2648" s="11">
        <v>0</v>
      </c>
      <c r="N2648" s="5" t="e">
        <f>IF(AND(M2648&gt;#REF!,Cartera!O2648="Guaraníes"),"Rendimiento significativo",IF(AND(M2648&gt;#REF!,Cartera!O2648="Dólares americanos"),"Rendimiento significativo","Rendimiento no significativo"))</f>
        <v>#REF!</v>
      </c>
      <c r="O2648" s="5" t="s">
        <v>41</v>
      </c>
      <c r="P2648" s="12">
        <v>3564941</v>
      </c>
      <c r="Q2648" s="12">
        <f>IF(O2648="Guaraníes",P2648,P2648*#REF!)</f>
        <v>3564941</v>
      </c>
      <c r="R2648" s="12" t="e">
        <f>IF(O2648="Guaraníes",P2648/#REF!,P2648)</f>
        <v>#REF!</v>
      </c>
      <c r="S2648" s="5" t="s">
        <v>52</v>
      </c>
      <c r="V2648" s="5">
        <v>3564941</v>
      </c>
      <c r="W2648" s="5" t="s">
        <v>253</v>
      </c>
      <c r="AC2648" s="5" t="str">
        <f t="shared" si="127"/>
        <v>CDA</v>
      </c>
      <c r="AD2648" s="5" t="s">
        <v>43</v>
      </c>
      <c r="AE2648" s="5">
        <f t="shared" si="128"/>
        <v>4</v>
      </c>
      <c r="AF2648" s="5">
        <f t="shared" si="129"/>
        <v>2018</v>
      </c>
    </row>
    <row r="2649" s="5" customFormat="1" ht="13">
      <c r="A2649" s="5" t="s">
        <v>544</v>
      </c>
      <c r="B2649" s="5" t="s">
        <v>544</v>
      </c>
      <c r="C2649" s="5" t="s">
        <v>114</v>
      </c>
      <c r="D2649" s="5" t="s">
        <v>21</v>
      </c>
      <c r="E2649" s="5" t="s">
        <v>544</v>
      </c>
      <c r="F2649" s="5" t="s">
        <v>68</v>
      </c>
      <c r="H2649" s="9">
        <v>820</v>
      </c>
      <c r="I2649" s="10"/>
      <c r="J2649" s="10">
        <v>43227</v>
      </c>
      <c r="K2649" s="5" t="s">
        <v>77</v>
      </c>
      <c r="L2649" s="5" t="s">
        <v>82</v>
      </c>
      <c r="M2649" s="11">
        <v>0.14999999999999999</v>
      </c>
      <c r="N2649" s="5" t="e">
        <f>IF(AND(M2649&gt;#REF!,Cartera!O2649="Guaraníes"),"Rendimiento significativo",IF(AND(M2649&gt;#REF!,Cartera!O2649="Dólares americanos"),"Rendimiento significativo","Rendimiento no significativo"))</f>
        <v>#REF!</v>
      </c>
      <c r="O2649" s="5" t="s">
        <v>41</v>
      </c>
      <c r="P2649" s="12">
        <v>1592466</v>
      </c>
      <c r="Q2649" s="12">
        <f>IF(O2649="Guaraníes",P2649,P2649*#REF!)</f>
        <v>1592466</v>
      </c>
      <c r="R2649" s="12" t="e">
        <f>IF(O2649="Guaraníes",P2649/#REF!,P2649)</f>
        <v>#REF!</v>
      </c>
      <c r="S2649" s="5" t="s">
        <v>52</v>
      </c>
      <c r="V2649" s="5">
        <v>1592466</v>
      </c>
      <c r="W2649" s="5" t="s">
        <v>565</v>
      </c>
      <c r="AC2649" s="5" t="str">
        <f t="shared" si="127"/>
        <v>CDA</v>
      </c>
      <c r="AD2649" s="5" t="s">
        <v>43</v>
      </c>
      <c r="AE2649" s="5">
        <f t="shared" si="128"/>
        <v>5</v>
      </c>
      <c r="AF2649" s="5">
        <f t="shared" si="129"/>
        <v>2018</v>
      </c>
    </row>
    <row r="2650" s="5" customFormat="1" ht="13">
      <c r="A2650" s="5" t="s">
        <v>544</v>
      </c>
      <c r="B2650" s="5" t="s">
        <v>544</v>
      </c>
      <c r="C2650" s="5" t="s">
        <v>60</v>
      </c>
      <c r="D2650" s="5" t="s">
        <v>21</v>
      </c>
      <c r="E2650" s="5" t="s">
        <v>544</v>
      </c>
      <c r="F2650" s="5" t="s">
        <v>61</v>
      </c>
      <c r="H2650" s="9">
        <v>4705</v>
      </c>
      <c r="I2650" s="10"/>
      <c r="J2650" s="10">
        <v>43230</v>
      </c>
      <c r="K2650" s="5" t="s">
        <v>64</v>
      </c>
      <c r="L2650" s="5" t="s">
        <v>82</v>
      </c>
      <c r="M2650" s="11">
        <v>0.115</v>
      </c>
      <c r="N2650" s="5" t="e">
        <f>IF(AND(M2650&gt;#REF!,Cartera!O2650="Guaraníes"),"Rendimiento significativo",IF(AND(M2650&gt;#REF!,Cartera!O2650="Dólares americanos"),"Rendimiento significativo","Rendimiento no significativo"))</f>
        <v>#REF!</v>
      </c>
      <c r="O2650" s="5" t="s">
        <v>41</v>
      </c>
      <c r="P2650" s="12">
        <v>2893151</v>
      </c>
      <c r="Q2650" s="12">
        <f>IF(O2650="Guaraníes",P2650,P2650*#REF!)</f>
        <v>2893151</v>
      </c>
      <c r="R2650" s="12" t="e">
        <f>IF(O2650="Guaraníes",P2650/#REF!,P2650)</f>
        <v>#REF!</v>
      </c>
      <c r="S2650" s="5" t="s">
        <v>52</v>
      </c>
      <c r="V2650" s="5">
        <v>2893151</v>
      </c>
      <c r="W2650" s="5" t="s">
        <v>559</v>
      </c>
      <c r="AC2650" s="5" t="str">
        <f t="shared" si="127"/>
        <v>CDA</v>
      </c>
      <c r="AD2650" s="5" t="s">
        <v>43</v>
      </c>
      <c r="AE2650" s="5">
        <f t="shared" si="128"/>
        <v>5</v>
      </c>
      <c r="AF2650" s="5">
        <f t="shared" si="129"/>
        <v>2018</v>
      </c>
    </row>
    <row r="2651" s="5" customFormat="1" ht="13">
      <c r="A2651" s="5" t="s">
        <v>544</v>
      </c>
      <c r="B2651" s="5" t="s">
        <v>544</v>
      </c>
      <c r="C2651" s="5" t="s">
        <v>116</v>
      </c>
      <c r="D2651" s="5" t="s">
        <v>21</v>
      </c>
      <c r="E2651" s="5" t="s">
        <v>544</v>
      </c>
      <c r="F2651" s="5" t="s">
        <v>68</v>
      </c>
      <c r="H2651" s="9">
        <v>3009</v>
      </c>
      <c r="I2651" s="10"/>
      <c r="J2651" s="10">
        <v>43241</v>
      </c>
      <c r="K2651" s="5" t="s">
        <v>118</v>
      </c>
      <c r="L2651" s="5" t="s">
        <v>82</v>
      </c>
      <c r="M2651" s="11">
        <v>0.074999999999999997</v>
      </c>
      <c r="N2651" s="5" t="e">
        <f>IF(AND(M2651&gt;#REF!,Cartera!O2651="Guaraníes"),"Rendimiento significativo",IF(AND(M2651&gt;#REF!,Cartera!O2651="Dólares americanos"),"Rendimiento significativo","Rendimiento no significativo"))</f>
        <v>#REF!</v>
      </c>
      <c r="O2651" s="5" t="s">
        <v>41</v>
      </c>
      <c r="P2651" s="12">
        <v>2643986</v>
      </c>
      <c r="Q2651" s="12">
        <f>IF(O2651="Guaraníes",P2651,P2651*#REF!)</f>
        <v>2643986</v>
      </c>
      <c r="R2651" s="12" t="e">
        <f>IF(O2651="Guaraníes",P2651/#REF!,P2651)</f>
        <v>#REF!</v>
      </c>
      <c r="S2651" s="5" t="s">
        <v>52</v>
      </c>
      <c r="V2651" s="5">
        <v>2643986</v>
      </c>
      <c r="W2651" s="5" t="s">
        <v>245</v>
      </c>
      <c r="AC2651" s="5" t="str">
        <f t="shared" si="127"/>
        <v>CDA</v>
      </c>
      <c r="AD2651" s="5" t="s">
        <v>43</v>
      </c>
      <c r="AE2651" s="5">
        <f t="shared" si="128"/>
        <v>5</v>
      </c>
      <c r="AF2651" s="5">
        <f t="shared" si="129"/>
        <v>2018</v>
      </c>
    </row>
    <row r="2652" s="5" customFormat="1" ht="13">
      <c r="A2652" s="5" t="s">
        <v>544</v>
      </c>
      <c r="B2652" s="5" t="s">
        <v>544</v>
      </c>
      <c r="C2652" s="5" t="s">
        <v>114</v>
      </c>
      <c r="D2652" s="5" t="s">
        <v>21</v>
      </c>
      <c r="E2652" s="5" t="s">
        <v>544</v>
      </c>
      <c r="F2652" s="5" t="s">
        <v>68</v>
      </c>
      <c r="H2652" s="9">
        <v>820</v>
      </c>
      <c r="I2652" s="10"/>
      <c r="J2652" s="10">
        <v>43257</v>
      </c>
      <c r="K2652" s="5" t="s">
        <v>77</v>
      </c>
      <c r="L2652" s="5" t="s">
        <v>82</v>
      </c>
      <c r="M2652" s="11">
        <v>0.14999999999999999</v>
      </c>
      <c r="N2652" s="5" t="e">
        <f>IF(AND(M2652&gt;#REF!,Cartera!O2652="Guaraníes"),"Rendimiento significativo",IF(AND(M2652&gt;#REF!,Cartera!O2652="Dólares americanos"),"Rendimiento significativo","Rendimiento no significativo"))</f>
        <v>#REF!</v>
      </c>
      <c r="O2652" s="5" t="s">
        <v>41</v>
      </c>
      <c r="P2652" s="12">
        <v>1541096</v>
      </c>
      <c r="Q2652" s="12">
        <f>IF(O2652="Guaraníes",P2652,P2652*#REF!)</f>
        <v>1541096</v>
      </c>
      <c r="R2652" s="12" t="e">
        <f>IF(O2652="Guaraníes",P2652/#REF!,P2652)</f>
        <v>#REF!</v>
      </c>
      <c r="S2652" s="5" t="s">
        <v>52</v>
      </c>
      <c r="V2652" s="5">
        <v>1541096</v>
      </c>
      <c r="W2652" s="5" t="s">
        <v>566</v>
      </c>
      <c r="AC2652" s="5" t="str">
        <f t="shared" si="127"/>
        <v>CDA</v>
      </c>
      <c r="AD2652" s="5" t="s">
        <v>43</v>
      </c>
      <c r="AE2652" s="5">
        <f t="shared" si="128"/>
        <v>6</v>
      </c>
      <c r="AF2652" s="5">
        <f t="shared" si="129"/>
        <v>2018</v>
      </c>
    </row>
    <row r="2653" s="5" customFormat="1" ht="13">
      <c r="A2653" s="5" t="s">
        <v>544</v>
      </c>
      <c r="B2653" s="5" t="s">
        <v>544</v>
      </c>
      <c r="C2653" s="5" t="s">
        <v>60</v>
      </c>
      <c r="D2653" s="5" t="s">
        <v>21</v>
      </c>
      <c r="E2653" s="5" t="s">
        <v>544</v>
      </c>
      <c r="F2653" s="5" t="s">
        <v>61</v>
      </c>
      <c r="H2653" s="9">
        <v>4067</v>
      </c>
      <c r="I2653" s="10"/>
      <c r="J2653" s="10">
        <v>43263</v>
      </c>
      <c r="K2653" s="5" t="s">
        <v>64</v>
      </c>
      <c r="L2653" s="5" t="s">
        <v>82</v>
      </c>
      <c r="M2653" s="11">
        <v>0.070000000000000007</v>
      </c>
      <c r="N2653" s="5" t="e">
        <f>IF(AND(M2653&gt;#REF!,Cartera!O2653="Guaraníes"),"Rendimiento significativo",IF(AND(M2653&gt;#REF!,Cartera!O2653="Dólares americanos"),"Rendimiento significativo","Rendimiento no significativo"))</f>
        <v>#REF!</v>
      </c>
      <c r="O2653" s="5" t="s">
        <v>41</v>
      </c>
      <c r="P2653" s="12">
        <v>2772603</v>
      </c>
      <c r="Q2653" s="12">
        <f>IF(O2653="Guaraníes",P2653,P2653*#REF!)</f>
        <v>2772603</v>
      </c>
      <c r="R2653" s="12" t="e">
        <f>IF(O2653="Guaraníes",P2653/#REF!,P2653)</f>
        <v>#REF!</v>
      </c>
      <c r="S2653" s="5" t="s">
        <v>52</v>
      </c>
      <c r="V2653" s="5">
        <v>2772603</v>
      </c>
      <c r="W2653" s="5" t="s">
        <v>567</v>
      </c>
      <c r="AC2653" s="5" t="str">
        <f t="shared" si="127"/>
        <v>CDA</v>
      </c>
      <c r="AD2653" s="5" t="s">
        <v>43</v>
      </c>
      <c r="AE2653" s="5">
        <f t="shared" si="128"/>
        <v>6</v>
      </c>
      <c r="AF2653" s="5">
        <f t="shared" si="129"/>
        <v>2018</v>
      </c>
    </row>
    <row r="2654" s="5" customFormat="1" ht="13">
      <c r="A2654" s="5" t="s">
        <v>544</v>
      </c>
      <c r="B2654" s="5" t="s">
        <v>544</v>
      </c>
      <c r="C2654" s="5" t="s">
        <v>114</v>
      </c>
      <c r="D2654" s="5" t="s">
        <v>21</v>
      </c>
      <c r="E2654" s="5" t="s">
        <v>544</v>
      </c>
      <c r="F2654" s="5" t="s">
        <v>68</v>
      </c>
      <c r="H2654" s="9">
        <v>820</v>
      </c>
      <c r="I2654" s="10"/>
      <c r="J2654" s="10">
        <v>43287</v>
      </c>
      <c r="K2654" s="5" t="s">
        <v>77</v>
      </c>
      <c r="L2654" s="5" t="s">
        <v>82</v>
      </c>
      <c r="M2654" s="11">
        <v>0.14999999999999999</v>
      </c>
      <c r="N2654" s="5" t="e">
        <f>IF(AND(M2654&gt;#REF!,Cartera!O2654="Guaraníes"),"Rendimiento significativo",IF(AND(M2654&gt;#REF!,Cartera!O2654="Dólares americanos"),"Rendimiento significativo","Rendimiento no significativo"))</f>
        <v>#REF!</v>
      </c>
      <c r="O2654" s="5" t="s">
        <v>41</v>
      </c>
      <c r="P2654" s="12">
        <v>1541096</v>
      </c>
      <c r="Q2654" s="12">
        <f>IF(O2654="Guaraníes",P2654,P2654*#REF!)</f>
        <v>1541096</v>
      </c>
      <c r="R2654" s="12" t="e">
        <f>IF(O2654="Guaraníes",P2654/#REF!,P2654)</f>
        <v>#REF!</v>
      </c>
      <c r="S2654" s="5" t="s">
        <v>52</v>
      </c>
      <c r="V2654" s="5">
        <v>1541096</v>
      </c>
      <c r="W2654" s="5" t="s">
        <v>568</v>
      </c>
      <c r="AC2654" s="5" t="str">
        <f t="shared" si="127"/>
        <v>CDA</v>
      </c>
      <c r="AD2654" s="5" t="s">
        <v>43</v>
      </c>
      <c r="AE2654" s="5">
        <f t="shared" si="128"/>
        <v>7</v>
      </c>
      <c r="AF2654" s="5">
        <f t="shared" si="129"/>
        <v>2018</v>
      </c>
    </row>
    <row r="2655" s="5" customFormat="1" ht="13">
      <c r="A2655" s="5" t="s">
        <v>544</v>
      </c>
      <c r="B2655" s="5" t="s">
        <v>544</v>
      </c>
      <c r="C2655" s="5" t="s">
        <v>227</v>
      </c>
      <c r="D2655" s="5" t="s">
        <v>21</v>
      </c>
      <c r="E2655" s="5" t="s">
        <v>544</v>
      </c>
      <c r="F2655" s="5" t="s">
        <v>68</v>
      </c>
      <c r="H2655" s="9">
        <v>122</v>
      </c>
      <c r="I2655" s="10"/>
      <c r="J2655" s="10">
        <v>43288</v>
      </c>
      <c r="K2655" s="5" t="s">
        <v>77</v>
      </c>
      <c r="L2655" s="5" t="s">
        <v>82</v>
      </c>
      <c r="M2655" s="11">
        <v>0</v>
      </c>
      <c r="N2655" s="5" t="e">
        <f>IF(AND(M2655&gt;#REF!,Cartera!O2655="Guaraníes"),"Rendimiento significativo",IF(AND(M2655&gt;#REF!,Cartera!O2655="Dólares americanos"),"Rendimiento significativo","Rendimiento no significativo"))</f>
        <v>#REF!</v>
      </c>
      <c r="O2655" s="5" t="s">
        <v>41</v>
      </c>
      <c r="P2655" s="12">
        <v>3564941</v>
      </c>
      <c r="Q2655" s="12">
        <f>IF(O2655="Guaraníes",P2655,P2655*#REF!)</f>
        <v>3564941</v>
      </c>
      <c r="R2655" s="12" t="e">
        <f>IF(O2655="Guaraníes",P2655/#REF!,P2655)</f>
        <v>#REF!</v>
      </c>
      <c r="S2655" s="5" t="s">
        <v>52</v>
      </c>
      <c r="V2655" s="5">
        <v>3564941</v>
      </c>
      <c r="W2655" s="5" t="s">
        <v>260</v>
      </c>
      <c r="AC2655" s="5" t="str">
        <f t="shared" si="127"/>
        <v>CDA</v>
      </c>
      <c r="AD2655" s="5" t="s">
        <v>43</v>
      </c>
      <c r="AE2655" s="5">
        <f t="shared" si="128"/>
        <v>7</v>
      </c>
      <c r="AF2655" s="5">
        <f t="shared" si="129"/>
        <v>2018</v>
      </c>
    </row>
    <row r="2656" s="5" customFormat="1" ht="13">
      <c r="A2656" s="5" t="s">
        <v>544</v>
      </c>
      <c r="B2656" s="5" t="s">
        <v>544</v>
      </c>
      <c r="C2656" s="5" t="s">
        <v>79</v>
      </c>
      <c r="D2656" s="5" t="s">
        <v>21</v>
      </c>
      <c r="E2656" s="5" t="s">
        <v>544</v>
      </c>
      <c r="F2656" s="5" t="s">
        <v>68</v>
      </c>
      <c r="H2656" s="9">
        <v>2716</v>
      </c>
      <c r="I2656" s="10"/>
      <c r="J2656" s="10">
        <v>43290</v>
      </c>
      <c r="K2656" s="5" t="s">
        <v>81</v>
      </c>
      <c r="L2656" s="5" t="s">
        <v>82</v>
      </c>
      <c r="M2656" s="11">
        <v>0</v>
      </c>
      <c r="N2656" s="5" t="e">
        <f>IF(AND(M2656&gt;#REF!,Cartera!O2656="Guaraníes"),"Rendimiento significativo",IF(AND(M2656&gt;#REF!,Cartera!O2656="Dólares americanos"),"Rendimiento significativo","Rendimiento no significativo"))</f>
        <v>#REF!</v>
      </c>
      <c r="O2656" s="5" t="s">
        <v>41</v>
      </c>
      <c r="P2656" s="12">
        <v>4763014</v>
      </c>
      <c r="Q2656" s="12">
        <f>IF(O2656="Guaraníes",P2656,P2656*#REF!)</f>
        <v>4763014</v>
      </c>
      <c r="R2656" s="12" t="e">
        <f>IF(O2656="Guaraníes",P2656/#REF!,P2656)</f>
        <v>#REF!</v>
      </c>
      <c r="S2656" s="5" t="s">
        <v>52</v>
      </c>
      <c r="V2656" s="5">
        <v>4763014</v>
      </c>
      <c r="W2656" s="5" t="s">
        <v>252</v>
      </c>
      <c r="AC2656" s="5" t="str">
        <f t="shared" si="127"/>
        <v>CDA</v>
      </c>
      <c r="AD2656" s="5" t="s">
        <v>43</v>
      </c>
      <c r="AE2656" s="5">
        <f t="shared" si="128"/>
        <v>7</v>
      </c>
      <c r="AF2656" s="5">
        <f t="shared" si="129"/>
        <v>2018</v>
      </c>
    </row>
    <row r="2657" s="5" customFormat="1" ht="13">
      <c r="A2657" s="5" t="s">
        <v>544</v>
      </c>
      <c r="B2657" s="5" t="s">
        <v>544</v>
      </c>
      <c r="C2657" s="5" t="s">
        <v>60</v>
      </c>
      <c r="D2657" s="5" t="s">
        <v>21</v>
      </c>
      <c r="E2657" s="5" t="s">
        <v>544</v>
      </c>
      <c r="F2657" s="5" t="s">
        <v>61</v>
      </c>
      <c r="H2657" s="9">
        <v>4705</v>
      </c>
      <c r="I2657" s="10"/>
      <c r="J2657" s="10">
        <v>43318</v>
      </c>
      <c r="K2657" s="5" t="s">
        <v>64</v>
      </c>
      <c r="L2657" s="5" t="s">
        <v>82</v>
      </c>
      <c r="M2657" s="11">
        <v>0.115</v>
      </c>
      <c r="N2657" s="5" t="e">
        <f>IF(AND(M2657&gt;#REF!,Cartera!O2657="Guaraníes"),"Rendimiento significativo",IF(AND(M2657&gt;#REF!,Cartera!O2657="Dólares americanos"),"Rendimiento significativo","Rendimiento no significativo"))</f>
        <v>#REF!</v>
      </c>
      <c r="O2657" s="5" t="s">
        <v>41</v>
      </c>
      <c r="P2657" s="12">
        <v>2893151</v>
      </c>
      <c r="Q2657" s="12">
        <f>IF(O2657="Guaraníes",P2657,P2657*#REF!)</f>
        <v>2893151</v>
      </c>
      <c r="R2657" s="12" t="e">
        <f>IF(O2657="Guaraníes",P2657/#REF!,P2657)</f>
        <v>#REF!</v>
      </c>
      <c r="S2657" s="5" t="s">
        <v>52</v>
      </c>
      <c r="V2657" s="5">
        <v>2893151</v>
      </c>
      <c r="W2657" s="5" t="s">
        <v>563</v>
      </c>
      <c r="AC2657" s="5" t="str">
        <f t="shared" si="127"/>
        <v>CDA</v>
      </c>
      <c r="AD2657" s="5" t="s">
        <v>43</v>
      </c>
      <c r="AE2657" s="5">
        <f t="shared" si="128"/>
        <v>8</v>
      </c>
      <c r="AF2657" s="5">
        <f t="shared" si="129"/>
        <v>2018</v>
      </c>
    </row>
    <row r="2658" s="5" customFormat="1" ht="13">
      <c r="A2658" s="5" t="s">
        <v>544</v>
      </c>
      <c r="B2658" s="5" t="s">
        <v>544</v>
      </c>
      <c r="C2658" s="5" t="s">
        <v>114</v>
      </c>
      <c r="D2658" s="5" t="s">
        <v>21</v>
      </c>
      <c r="E2658" s="5" t="s">
        <v>544</v>
      </c>
      <c r="F2658" s="5" t="s">
        <v>68</v>
      </c>
      <c r="H2658" s="9">
        <v>820</v>
      </c>
      <c r="I2658" s="10"/>
      <c r="J2658" s="10">
        <v>43318</v>
      </c>
      <c r="K2658" s="5" t="s">
        <v>77</v>
      </c>
      <c r="L2658" s="5" t="s">
        <v>82</v>
      </c>
      <c r="M2658" s="11">
        <v>0.14999999999999999</v>
      </c>
      <c r="N2658" s="5" t="e">
        <f>IF(AND(M2658&gt;#REF!,Cartera!O2658="Guaraníes"),"Rendimiento significativo",IF(AND(M2658&gt;#REF!,Cartera!O2658="Dólares americanos"),"Rendimiento significativo","Rendimiento no significativo"))</f>
        <v>#REF!</v>
      </c>
      <c r="O2658" s="5" t="s">
        <v>41</v>
      </c>
      <c r="P2658" s="12">
        <v>1592466</v>
      </c>
      <c r="Q2658" s="12">
        <f>IF(O2658="Guaraníes",P2658,P2658*#REF!)</f>
        <v>1592466</v>
      </c>
      <c r="R2658" s="12" t="e">
        <f>IF(O2658="Guaraníes",P2658/#REF!,P2658)</f>
        <v>#REF!</v>
      </c>
      <c r="S2658" s="5" t="s">
        <v>52</v>
      </c>
      <c r="V2658" s="5">
        <v>1592466</v>
      </c>
      <c r="W2658" s="5" t="s">
        <v>569</v>
      </c>
      <c r="AC2658" s="5" t="str">
        <f t="shared" si="127"/>
        <v>CDA</v>
      </c>
      <c r="AD2658" s="5" t="s">
        <v>43</v>
      </c>
      <c r="AE2658" s="5">
        <f t="shared" si="128"/>
        <v>8</v>
      </c>
      <c r="AF2658" s="5">
        <f t="shared" si="129"/>
        <v>2018</v>
      </c>
    </row>
    <row r="2659" s="5" customFormat="1" ht="13">
      <c r="A2659" s="5" t="s">
        <v>544</v>
      </c>
      <c r="B2659" s="5" t="s">
        <v>544</v>
      </c>
      <c r="C2659" s="5" t="s">
        <v>116</v>
      </c>
      <c r="D2659" s="5" t="s">
        <v>21</v>
      </c>
      <c r="E2659" s="5" t="s">
        <v>544</v>
      </c>
      <c r="F2659" s="5" t="s">
        <v>68</v>
      </c>
      <c r="H2659" s="9">
        <v>3009</v>
      </c>
      <c r="I2659" s="10"/>
      <c r="J2659" s="10">
        <v>43332</v>
      </c>
      <c r="K2659" s="5" t="s">
        <v>118</v>
      </c>
      <c r="L2659" s="5" t="s">
        <v>82</v>
      </c>
      <c r="M2659" s="11">
        <v>0.074999999999999997</v>
      </c>
      <c r="N2659" s="5" t="e">
        <f>IF(AND(M2659&gt;#REF!,Cartera!O2659="Guaraníes"),"Rendimiento significativo",IF(AND(M2659&gt;#REF!,Cartera!O2659="Dólares americanos"),"Rendimiento significativo","Rendimiento no significativo"))</f>
        <v>#REF!</v>
      </c>
      <c r="O2659" s="5" t="s">
        <v>41</v>
      </c>
      <c r="P2659" s="12">
        <v>2643986</v>
      </c>
      <c r="Q2659" s="12">
        <f>IF(O2659="Guaraníes",P2659,P2659*#REF!)</f>
        <v>2643986</v>
      </c>
      <c r="R2659" s="12" t="e">
        <f>IF(O2659="Guaraníes",P2659/#REF!,P2659)</f>
        <v>#REF!</v>
      </c>
      <c r="S2659" s="5" t="s">
        <v>52</v>
      </c>
      <c r="V2659" s="5">
        <v>2643986</v>
      </c>
      <c r="W2659" s="5" t="s">
        <v>253</v>
      </c>
      <c r="AC2659" s="5" t="str">
        <f t="shared" si="127"/>
        <v>CDA</v>
      </c>
      <c r="AD2659" s="5" t="s">
        <v>43</v>
      </c>
      <c r="AE2659" s="5">
        <f t="shared" si="128"/>
        <v>8</v>
      </c>
      <c r="AF2659" s="5">
        <f t="shared" si="129"/>
        <v>2018</v>
      </c>
    </row>
    <row r="2660" s="5" customFormat="1" ht="13">
      <c r="A2660" s="5" t="s">
        <v>544</v>
      </c>
      <c r="B2660" s="5" t="s">
        <v>544</v>
      </c>
      <c r="C2660" s="5" t="s">
        <v>114</v>
      </c>
      <c r="D2660" s="5" t="s">
        <v>21</v>
      </c>
      <c r="E2660" s="5" t="s">
        <v>544</v>
      </c>
      <c r="F2660" s="5" t="s">
        <v>68</v>
      </c>
      <c r="H2660" s="9">
        <v>820</v>
      </c>
      <c r="I2660" s="10"/>
      <c r="J2660" s="10">
        <v>43348</v>
      </c>
      <c r="K2660" s="5" t="s">
        <v>77</v>
      </c>
      <c r="L2660" s="5" t="s">
        <v>82</v>
      </c>
      <c r="M2660" s="11">
        <v>0.14999999999999999</v>
      </c>
      <c r="N2660" s="5" t="e">
        <f>IF(AND(M2660&gt;#REF!,Cartera!O2660="Guaraníes"),"Rendimiento significativo",IF(AND(M2660&gt;#REF!,Cartera!O2660="Dólares americanos"),"Rendimiento significativo","Rendimiento no significativo"))</f>
        <v>#REF!</v>
      </c>
      <c r="O2660" s="5" t="s">
        <v>41</v>
      </c>
      <c r="P2660" s="12">
        <v>1541096</v>
      </c>
      <c r="Q2660" s="12">
        <f>IF(O2660="Guaraníes",P2660,P2660*#REF!)</f>
        <v>1541096</v>
      </c>
      <c r="R2660" s="12" t="e">
        <f>IF(O2660="Guaraníes",P2660/#REF!,P2660)</f>
        <v>#REF!</v>
      </c>
      <c r="S2660" s="5" t="s">
        <v>52</v>
      </c>
      <c r="V2660" s="5">
        <v>1541096</v>
      </c>
      <c r="W2660" s="5" t="s">
        <v>570</v>
      </c>
      <c r="AC2660" s="5" t="str">
        <f t="shared" si="127"/>
        <v>CDA</v>
      </c>
      <c r="AD2660" s="5" t="s">
        <v>43</v>
      </c>
      <c r="AE2660" s="5">
        <f t="shared" si="128"/>
        <v>9</v>
      </c>
      <c r="AF2660" s="5">
        <f t="shared" si="129"/>
        <v>2018</v>
      </c>
    </row>
    <row r="2661" s="5" customFormat="1" ht="13">
      <c r="A2661" s="5" t="s">
        <v>544</v>
      </c>
      <c r="B2661" s="5" t="s">
        <v>544</v>
      </c>
      <c r="C2661" s="5" t="s">
        <v>60</v>
      </c>
      <c r="D2661" s="5" t="s">
        <v>21</v>
      </c>
      <c r="E2661" s="5" t="s">
        <v>544</v>
      </c>
      <c r="F2661" s="5" t="s">
        <v>61</v>
      </c>
      <c r="H2661" s="9">
        <v>4067</v>
      </c>
      <c r="I2661" s="10"/>
      <c r="J2661" s="10">
        <v>43351</v>
      </c>
      <c r="K2661" s="5" t="s">
        <v>64</v>
      </c>
      <c r="L2661" s="5" t="s">
        <v>82</v>
      </c>
      <c r="M2661" s="11">
        <v>0.070000000000000007</v>
      </c>
      <c r="N2661" s="5" t="e">
        <f>IF(AND(M2661&gt;#REF!,Cartera!O2661="Guaraníes"),"Rendimiento significativo",IF(AND(M2661&gt;#REF!,Cartera!O2661="Dólares americanos"),"Rendimiento significativo","Rendimiento no significativo"))</f>
        <v>#REF!</v>
      </c>
      <c r="O2661" s="5" t="s">
        <v>41</v>
      </c>
      <c r="P2661" s="12">
        <v>2772603</v>
      </c>
      <c r="Q2661" s="12">
        <f>IF(O2661="Guaraníes",P2661,P2661*#REF!)</f>
        <v>2772603</v>
      </c>
      <c r="R2661" s="12" t="e">
        <f>IF(O2661="Guaraníes",P2661/#REF!,P2661)</f>
        <v>#REF!</v>
      </c>
      <c r="S2661" s="5" t="s">
        <v>52</v>
      </c>
      <c r="V2661" s="5">
        <v>2772603</v>
      </c>
      <c r="W2661" s="5" t="s">
        <v>571</v>
      </c>
      <c r="AC2661" s="5" t="str">
        <f t="shared" si="127"/>
        <v>CDA</v>
      </c>
      <c r="AD2661" s="5" t="s">
        <v>43</v>
      </c>
      <c r="AE2661" s="5">
        <f t="shared" si="128"/>
        <v>9</v>
      </c>
      <c r="AF2661" s="5">
        <f t="shared" si="129"/>
        <v>2018</v>
      </c>
    </row>
    <row r="2662" s="5" customFormat="1" ht="13">
      <c r="A2662" s="5" t="s">
        <v>544</v>
      </c>
      <c r="B2662" s="5" t="s">
        <v>544</v>
      </c>
      <c r="C2662" s="5" t="s">
        <v>114</v>
      </c>
      <c r="D2662" s="5" t="s">
        <v>21</v>
      </c>
      <c r="E2662" s="5" t="s">
        <v>544</v>
      </c>
      <c r="F2662" s="5" t="s">
        <v>68</v>
      </c>
      <c r="H2662" s="9">
        <v>820</v>
      </c>
      <c r="I2662" s="10"/>
      <c r="J2662" s="10">
        <v>43378</v>
      </c>
      <c r="K2662" s="5" t="s">
        <v>77</v>
      </c>
      <c r="L2662" s="5" t="s">
        <v>82</v>
      </c>
      <c r="M2662" s="11">
        <v>0.14999999999999999</v>
      </c>
      <c r="N2662" s="5" t="e">
        <f>IF(AND(M2662&gt;#REF!,Cartera!O2662="Guaraníes"),"Rendimiento significativo",IF(AND(M2662&gt;#REF!,Cartera!O2662="Dólares americanos"),"Rendimiento significativo","Rendimiento no significativo"))</f>
        <v>#REF!</v>
      </c>
      <c r="O2662" s="5" t="s">
        <v>41</v>
      </c>
      <c r="P2662" s="12">
        <v>1541096</v>
      </c>
      <c r="Q2662" s="12">
        <f>IF(O2662="Guaraníes",P2662,P2662*#REF!)</f>
        <v>1541096</v>
      </c>
      <c r="R2662" s="12" t="e">
        <f>IF(O2662="Guaraníes",P2662/#REF!,P2662)</f>
        <v>#REF!</v>
      </c>
      <c r="S2662" s="5" t="s">
        <v>52</v>
      </c>
      <c r="V2662" s="5">
        <v>1541096</v>
      </c>
      <c r="W2662" s="5" t="s">
        <v>572</v>
      </c>
      <c r="AC2662" s="5" t="str">
        <f t="shared" si="127"/>
        <v>CDA</v>
      </c>
      <c r="AD2662" s="5" t="s">
        <v>43</v>
      </c>
      <c r="AE2662" s="5">
        <f t="shared" si="128"/>
        <v>10</v>
      </c>
      <c r="AF2662" s="5">
        <f t="shared" si="129"/>
        <v>2018</v>
      </c>
    </row>
    <row r="2663" s="5" customFormat="1" ht="13">
      <c r="A2663" s="5" t="s">
        <v>544</v>
      </c>
      <c r="B2663" s="5" t="s">
        <v>544</v>
      </c>
      <c r="C2663" s="5" t="s">
        <v>227</v>
      </c>
      <c r="D2663" s="5" t="s">
        <v>21</v>
      </c>
      <c r="E2663" s="5" t="s">
        <v>544</v>
      </c>
      <c r="F2663" s="5" t="s">
        <v>68</v>
      </c>
      <c r="H2663" s="9">
        <v>122</v>
      </c>
      <c r="I2663" s="10"/>
      <c r="J2663" s="10">
        <v>43381</v>
      </c>
      <c r="K2663" s="5" t="s">
        <v>77</v>
      </c>
      <c r="L2663" s="5" t="s">
        <v>82</v>
      </c>
      <c r="M2663" s="11">
        <v>0</v>
      </c>
      <c r="N2663" s="5" t="e">
        <f>IF(AND(M2663&gt;#REF!,Cartera!O2663="Guaraníes"),"Rendimiento significativo",IF(AND(M2663&gt;#REF!,Cartera!O2663="Dólares americanos"),"Rendimiento significativo","Rendimiento no significativo"))</f>
        <v>#REF!</v>
      </c>
      <c r="O2663" s="5" t="s">
        <v>41</v>
      </c>
      <c r="P2663" s="12">
        <v>3564941</v>
      </c>
      <c r="Q2663" s="12">
        <f>IF(O2663="Guaraníes",P2663,P2663*#REF!)</f>
        <v>3564941</v>
      </c>
      <c r="R2663" s="12" t="e">
        <f>IF(O2663="Guaraníes",P2663/#REF!,P2663)</f>
        <v>#REF!</v>
      </c>
      <c r="S2663" s="5" t="s">
        <v>52</v>
      </c>
      <c r="V2663" s="5">
        <v>3564941</v>
      </c>
      <c r="W2663" s="5" t="s">
        <v>268</v>
      </c>
      <c r="AC2663" s="5" t="str">
        <f t="shared" si="127"/>
        <v>CDA</v>
      </c>
      <c r="AD2663" s="5" t="s">
        <v>43</v>
      </c>
      <c r="AE2663" s="5">
        <f t="shared" si="128"/>
        <v>10</v>
      </c>
      <c r="AF2663" s="5">
        <f t="shared" si="129"/>
        <v>2018</v>
      </c>
    </row>
    <row r="2664" s="5" customFormat="1" ht="13">
      <c r="A2664" s="5" t="s">
        <v>544</v>
      </c>
      <c r="B2664" s="5" t="s">
        <v>544</v>
      </c>
      <c r="C2664" s="5" t="s">
        <v>60</v>
      </c>
      <c r="D2664" s="5" t="s">
        <v>21</v>
      </c>
      <c r="E2664" s="5" t="s">
        <v>544</v>
      </c>
      <c r="F2664" s="5" t="s">
        <v>61</v>
      </c>
      <c r="H2664" s="9">
        <v>4705</v>
      </c>
      <c r="I2664" s="10"/>
      <c r="J2664" s="10">
        <v>43406</v>
      </c>
      <c r="K2664" s="5" t="s">
        <v>64</v>
      </c>
      <c r="L2664" s="5" t="s">
        <v>82</v>
      </c>
      <c r="M2664" s="11">
        <v>0.115</v>
      </c>
      <c r="N2664" s="5" t="e">
        <f>IF(AND(M2664&gt;#REF!,Cartera!O2664="Guaraníes"),"Rendimiento significativo",IF(AND(M2664&gt;#REF!,Cartera!O2664="Dólares americanos"),"Rendimiento significativo","Rendimiento no significativo"))</f>
        <v>#REF!</v>
      </c>
      <c r="O2664" s="5" t="s">
        <v>41</v>
      </c>
      <c r="P2664" s="12">
        <v>2893151</v>
      </c>
      <c r="Q2664" s="12">
        <f>IF(O2664="Guaraníes",P2664,P2664*#REF!)</f>
        <v>2893151</v>
      </c>
      <c r="R2664" s="12" t="e">
        <f>IF(O2664="Guaraníes",P2664/#REF!,P2664)</f>
        <v>#REF!</v>
      </c>
      <c r="S2664" s="5" t="s">
        <v>52</v>
      </c>
      <c r="V2664" s="5">
        <v>2893151</v>
      </c>
      <c r="W2664" s="5" t="s">
        <v>567</v>
      </c>
      <c r="AC2664" s="5" t="str">
        <f t="shared" si="127"/>
        <v>CDA</v>
      </c>
      <c r="AD2664" s="5" t="s">
        <v>43</v>
      </c>
      <c r="AE2664" s="5">
        <f t="shared" si="128"/>
        <v>11</v>
      </c>
      <c r="AF2664" s="5">
        <f t="shared" si="129"/>
        <v>2018</v>
      </c>
    </row>
    <row r="2665" s="5" customFormat="1" ht="13">
      <c r="A2665" s="5" t="s">
        <v>544</v>
      </c>
      <c r="B2665" s="5" t="s">
        <v>544</v>
      </c>
      <c r="C2665" s="5" t="s">
        <v>114</v>
      </c>
      <c r="D2665" s="5" t="s">
        <v>21</v>
      </c>
      <c r="E2665" s="5" t="s">
        <v>544</v>
      </c>
      <c r="F2665" s="5" t="s">
        <v>68</v>
      </c>
      <c r="H2665" s="9">
        <v>820</v>
      </c>
      <c r="I2665" s="10"/>
      <c r="J2665" s="10">
        <v>43409</v>
      </c>
      <c r="K2665" s="5" t="s">
        <v>77</v>
      </c>
      <c r="L2665" s="5" t="s">
        <v>82</v>
      </c>
      <c r="M2665" s="11">
        <v>0.14999999999999999</v>
      </c>
      <c r="N2665" s="5" t="e">
        <f>IF(AND(M2665&gt;#REF!,Cartera!O2665="Guaraníes"),"Rendimiento significativo",IF(AND(M2665&gt;#REF!,Cartera!O2665="Dólares americanos"),"Rendimiento significativo","Rendimiento no significativo"))</f>
        <v>#REF!</v>
      </c>
      <c r="O2665" s="5" t="s">
        <v>41</v>
      </c>
      <c r="P2665" s="12">
        <v>1592466</v>
      </c>
      <c r="Q2665" s="12">
        <f>IF(O2665="Guaraníes",P2665,P2665*#REF!)</f>
        <v>1592466</v>
      </c>
      <c r="R2665" s="12" t="e">
        <f>IF(O2665="Guaraníes",P2665/#REF!,P2665)</f>
        <v>#REF!</v>
      </c>
      <c r="S2665" s="5" t="s">
        <v>52</v>
      </c>
      <c r="V2665" s="5">
        <v>1592466</v>
      </c>
      <c r="W2665" s="5" t="s">
        <v>573</v>
      </c>
      <c r="AC2665" s="5" t="str">
        <f t="shared" si="127"/>
        <v>CDA</v>
      </c>
      <c r="AD2665" s="5" t="s">
        <v>43</v>
      </c>
      <c r="AE2665" s="5">
        <f t="shared" si="128"/>
        <v>11</v>
      </c>
      <c r="AF2665" s="5">
        <f t="shared" si="129"/>
        <v>2018</v>
      </c>
    </row>
    <row r="2666" s="5" customFormat="1" ht="13">
      <c r="A2666" s="5" t="s">
        <v>544</v>
      </c>
      <c r="B2666" s="5" t="s">
        <v>544</v>
      </c>
      <c r="C2666" s="5" t="s">
        <v>116</v>
      </c>
      <c r="D2666" s="5" t="s">
        <v>21</v>
      </c>
      <c r="E2666" s="5" t="s">
        <v>544</v>
      </c>
      <c r="F2666" s="5" t="s">
        <v>68</v>
      </c>
      <c r="H2666" s="9">
        <v>3009</v>
      </c>
      <c r="I2666" s="10"/>
      <c r="J2666" s="10">
        <v>43423</v>
      </c>
      <c r="K2666" s="5" t="s">
        <v>118</v>
      </c>
      <c r="L2666" s="5" t="s">
        <v>82</v>
      </c>
      <c r="M2666" s="11">
        <v>0.074999999999999997</v>
      </c>
      <c r="N2666" s="5" t="e">
        <f>IF(AND(M2666&gt;#REF!,Cartera!O2666="Guaraníes"),"Rendimiento significativo",IF(AND(M2666&gt;#REF!,Cartera!O2666="Dólares americanos"),"Rendimiento significativo","Rendimiento no significativo"))</f>
        <v>#REF!</v>
      </c>
      <c r="O2666" s="5" t="s">
        <v>41</v>
      </c>
      <c r="P2666" s="12">
        <v>2643986</v>
      </c>
      <c r="Q2666" s="12">
        <f>IF(O2666="Guaraníes",P2666,P2666*#REF!)</f>
        <v>2643986</v>
      </c>
      <c r="R2666" s="12" t="e">
        <f>IF(O2666="Guaraníes",P2666/#REF!,P2666)</f>
        <v>#REF!</v>
      </c>
      <c r="S2666" s="5" t="s">
        <v>52</v>
      </c>
      <c r="V2666" s="5">
        <v>2643986</v>
      </c>
      <c r="W2666" s="5" t="s">
        <v>260</v>
      </c>
      <c r="AC2666" s="5" t="str">
        <f t="shared" si="127"/>
        <v>CDA</v>
      </c>
      <c r="AD2666" s="5" t="s">
        <v>43</v>
      </c>
      <c r="AE2666" s="5">
        <f t="shared" si="128"/>
        <v>11</v>
      </c>
      <c r="AF2666" s="5">
        <f t="shared" si="129"/>
        <v>2018</v>
      </c>
    </row>
    <row r="2667" s="5" customFormat="1" ht="13">
      <c r="A2667" s="5" t="s">
        <v>544</v>
      </c>
      <c r="B2667" s="5" t="s">
        <v>544</v>
      </c>
      <c r="C2667" s="5" t="s">
        <v>60</v>
      </c>
      <c r="D2667" s="5" t="s">
        <v>21</v>
      </c>
      <c r="E2667" s="5" t="s">
        <v>544</v>
      </c>
      <c r="F2667" s="5" t="s">
        <v>61</v>
      </c>
      <c r="H2667" s="9">
        <v>4067</v>
      </c>
      <c r="I2667" s="10"/>
      <c r="J2667" s="10">
        <v>43439</v>
      </c>
      <c r="K2667" s="5" t="s">
        <v>64</v>
      </c>
      <c r="L2667" s="5" t="s">
        <v>82</v>
      </c>
      <c r="M2667" s="11">
        <v>0.070000000000000007</v>
      </c>
      <c r="N2667" s="5" t="e">
        <f>IF(AND(M2667&gt;#REF!,Cartera!O2667="Guaraníes"),"Rendimiento significativo",IF(AND(M2667&gt;#REF!,Cartera!O2667="Dólares americanos"),"Rendimiento significativo","Rendimiento no significativo"))</f>
        <v>#REF!</v>
      </c>
      <c r="O2667" s="5" t="s">
        <v>41</v>
      </c>
      <c r="P2667" s="12">
        <v>2772603</v>
      </c>
      <c r="Q2667" s="12">
        <f>IF(O2667="Guaraníes",P2667,P2667*#REF!)</f>
        <v>2772603</v>
      </c>
      <c r="R2667" s="12" t="e">
        <f>IF(O2667="Guaraníes",P2667/#REF!,P2667)</f>
        <v>#REF!</v>
      </c>
      <c r="S2667" s="5" t="s">
        <v>52</v>
      </c>
      <c r="V2667" s="5">
        <v>2772603</v>
      </c>
      <c r="W2667" s="5" t="s">
        <v>574</v>
      </c>
      <c r="AC2667" s="5" t="str">
        <f t="shared" si="127"/>
        <v>CDA</v>
      </c>
      <c r="AD2667" s="5" t="s">
        <v>43</v>
      </c>
      <c r="AE2667" s="5">
        <f t="shared" si="128"/>
        <v>12</v>
      </c>
      <c r="AF2667" s="5">
        <f t="shared" si="129"/>
        <v>2018</v>
      </c>
    </row>
    <row r="2668" s="5" customFormat="1" ht="13">
      <c r="A2668" s="5" t="s">
        <v>544</v>
      </c>
      <c r="B2668" s="5" t="s">
        <v>544</v>
      </c>
      <c r="C2668" s="5" t="s">
        <v>114</v>
      </c>
      <c r="D2668" s="5" t="s">
        <v>21</v>
      </c>
      <c r="E2668" s="5" t="s">
        <v>544</v>
      </c>
      <c r="F2668" s="5" t="s">
        <v>68</v>
      </c>
      <c r="H2668" s="9">
        <v>820</v>
      </c>
      <c r="I2668" s="10"/>
      <c r="J2668" s="10">
        <v>43439</v>
      </c>
      <c r="K2668" s="5" t="s">
        <v>77</v>
      </c>
      <c r="L2668" s="5" t="s">
        <v>82</v>
      </c>
      <c r="M2668" s="11">
        <v>0.14999999999999999</v>
      </c>
      <c r="N2668" s="5" t="e">
        <f>IF(AND(M2668&gt;#REF!,Cartera!O2668="Guaraníes"),"Rendimiento significativo",IF(AND(M2668&gt;#REF!,Cartera!O2668="Dólares americanos"),"Rendimiento significativo","Rendimiento no significativo"))</f>
        <v>#REF!</v>
      </c>
      <c r="O2668" s="5" t="s">
        <v>41</v>
      </c>
      <c r="P2668" s="12">
        <v>1541096</v>
      </c>
      <c r="Q2668" s="12">
        <f>IF(O2668="Guaraníes",P2668,P2668*#REF!)</f>
        <v>1541096</v>
      </c>
      <c r="R2668" s="12" t="e">
        <f>IF(O2668="Guaraníes",P2668/#REF!,P2668)</f>
        <v>#REF!</v>
      </c>
      <c r="S2668" s="5" t="s">
        <v>52</v>
      </c>
      <c r="V2668" s="5">
        <v>1541096</v>
      </c>
      <c r="W2668" s="5" t="s">
        <v>575</v>
      </c>
      <c r="AC2668" s="5" t="str">
        <f t="shared" si="127"/>
        <v>CDA</v>
      </c>
      <c r="AD2668" s="5" t="s">
        <v>43</v>
      </c>
      <c r="AE2668" s="5">
        <f t="shared" si="128"/>
        <v>12</v>
      </c>
      <c r="AF2668" s="5">
        <f t="shared" si="129"/>
        <v>2018</v>
      </c>
    </row>
    <row r="2669" s="5" customFormat="1" ht="13">
      <c r="A2669" s="5" t="s">
        <v>544</v>
      </c>
      <c r="B2669" s="5" t="s">
        <v>544</v>
      </c>
      <c r="C2669" s="5" t="s">
        <v>114</v>
      </c>
      <c r="D2669" s="5" t="s">
        <v>21</v>
      </c>
      <c r="E2669" s="5" t="s">
        <v>544</v>
      </c>
      <c r="F2669" s="5" t="s">
        <v>68</v>
      </c>
      <c r="H2669" s="9">
        <v>820</v>
      </c>
      <c r="I2669" s="10"/>
      <c r="J2669" s="10">
        <v>43469</v>
      </c>
      <c r="K2669" s="5" t="s">
        <v>77</v>
      </c>
      <c r="L2669" s="5" t="s">
        <v>82</v>
      </c>
      <c r="M2669" s="11">
        <v>0.14999999999999999</v>
      </c>
      <c r="N2669" s="5" t="e">
        <f>IF(AND(M2669&gt;#REF!,Cartera!O2669="Guaraníes"),"Rendimiento significativo",IF(AND(M2669&gt;#REF!,Cartera!O2669="Dólares americanos"),"Rendimiento significativo","Rendimiento no significativo"))</f>
        <v>#REF!</v>
      </c>
      <c r="O2669" s="5" t="s">
        <v>41</v>
      </c>
      <c r="P2669" s="12">
        <v>1541096</v>
      </c>
      <c r="Q2669" s="12">
        <f>IF(O2669="Guaraníes",P2669,P2669*#REF!)</f>
        <v>1541096</v>
      </c>
      <c r="R2669" s="12" t="e">
        <f>IF(O2669="Guaraníes",P2669/#REF!,P2669)</f>
        <v>#REF!</v>
      </c>
      <c r="S2669" s="5" t="s">
        <v>52</v>
      </c>
      <c r="V2669" s="5">
        <v>1541096</v>
      </c>
      <c r="W2669" s="5" t="s">
        <v>576</v>
      </c>
      <c r="AC2669" s="5" t="str">
        <f t="shared" si="127"/>
        <v>CDA</v>
      </c>
      <c r="AD2669" s="5" t="s">
        <v>43</v>
      </c>
      <c r="AE2669" s="5">
        <f t="shared" si="128"/>
        <v>1</v>
      </c>
      <c r="AF2669" s="5">
        <f t="shared" si="129"/>
        <v>2019</v>
      </c>
    </row>
    <row r="2670" s="5" customFormat="1" ht="13">
      <c r="A2670" s="5" t="s">
        <v>544</v>
      </c>
      <c r="B2670" s="5" t="s">
        <v>544</v>
      </c>
      <c r="C2670" s="5" t="s">
        <v>227</v>
      </c>
      <c r="D2670" s="5" t="s">
        <v>21</v>
      </c>
      <c r="E2670" s="5" t="s">
        <v>544</v>
      </c>
      <c r="F2670" s="5" t="s">
        <v>68</v>
      </c>
      <c r="H2670" s="9">
        <v>122</v>
      </c>
      <c r="I2670" s="10"/>
      <c r="J2670" s="10">
        <v>43472</v>
      </c>
      <c r="K2670" s="5" t="s">
        <v>77</v>
      </c>
      <c r="L2670" s="5" t="s">
        <v>82</v>
      </c>
      <c r="M2670" s="11">
        <v>0</v>
      </c>
      <c r="N2670" s="5" t="e">
        <f>IF(AND(M2670&gt;#REF!,Cartera!O2670="Guaraníes"),"Rendimiento significativo",IF(AND(M2670&gt;#REF!,Cartera!O2670="Dólares americanos"),"Rendimiento significativo","Rendimiento no significativo"))</f>
        <v>#REF!</v>
      </c>
      <c r="O2670" s="5" t="s">
        <v>41</v>
      </c>
      <c r="P2670" s="12">
        <v>3564941</v>
      </c>
      <c r="Q2670" s="12">
        <f>IF(O2670="Guaraníes",P2670,P2670*#REF!)</f>
        <v>3564941</v>
      </c>
      <c r="R2670" s="12" t="e">
        <f>IF(O2670="Guaraníes",P2670/#REF!,P2670)</f>
        <v>#REF!</v>
      </c>
      <c r="S2670" s="5" t="s">
        <v>52</v>
      </c>
      <c r="V2670" s="5">
        <v>3564941</v>
      </c>
      <c r="W2670" s="5" t="s">
        <v>577</v>
      </c>
      <c r="AC2670" s="5" t="str">
        <f t="shared" si="127"/>
        <v>CDA</v>
      </c>
      <c r="AD2670" s="5" t="s">
        <v>43</v>
      </c>
      <c r="AE2670" s="5">
        <f t="shared" si="128"/>
        <v>1</v>
      </c>
      <c r="AF2670" s="5">
        <f t="shared" si="129"/>
        <v>2019</v>
      </c>
    </row>
    <row r="2671" s="5" customFormat="1" ht="13">
      <c r="A2671" s="5" t="s">
        <v>544</v>
      </c>
      <c r="B2671" s="5" t="s">
        <v>544</v>
      </c>
      <c r="C2671" s="5" t="s">
        <v>79</v>
      </c>
      <c r="D2671" s="5" t="s">
        <v>21</v>
      </c>
      <c r="E2671" s="5" t="s">
        <v>544</v>
      </c>
      <c r="F2671" s="5" t="s">
        <v>68</v>
      </c>
      <c r="H2671" s="9">
        <v>2716</v>
      </c>
      <c r="I2671" s="10"/>
      <c r="J2671" s="10">
        <v>43474</v>
      </c>
      <c r="K2671" s="5" t="s">
        <v>81</v>
      </c>
      <c r="L2671" s="5" t="s">
        <v>82</v>
      </c>
      <c r="M2671" s="11">
        <v>0</v>
      </c>
      <c r="N2671" s="5" t="e">
        <f>IF(AND(M2671&gt;#REF!,Cartera!O2671="Guaraníes"),"Rendimiento significativo",IF(AND(M2671&gt;#REF!,Cartera!O2671="Dólares americanos"),"Rendimiento significativo","Rendimiento no significativo"))</f>
        <v>#REF!</v>
      </c>
      <c r="O2671" s="5" t="s">
        <v>41</v>
      </c>
      <c r="P2671" s="12">
        <v>4763014</v>
      </c>
      <c r="Q2671" s="12">
        <f>IF(O2671="Guaraníes",P2671,P2671*#REF!)</f>
        <v>4763014</v>
      </c>
      <c r="R2671" s="12" t="e">
        <f>IF(O2671="Guaraníes",P2671/#REF!,P2671)</f>
        <v>#REF!</v>
      </c>
      <c r="S2671" s="5" t="s">
        <v>52</v>
      </c>
      <c r="V2671" s="5">
        <v>4763014</v>
      </c>
      <c r="W2671" s="5" t="s">
        <v>258</v>
      </c>
      <c r="AC2671" s="5" t="str">
        <f t="shared" si="127"/>
        <v>CDA</v>
      </c>
      <c r="AD2671" s="5" t="s">
        <v>43</v>
      </c>
      <c r="AE2671" s="5">
        <f t="shared" si="128"/>
        <v>1</v>
      </c>
      <c r="AF2671" s="5">
        <f t="shared" si="129"/>
        <v>2019</v>
      </c>
    </row>
    <row r="2672" s="5" customFormat="1" ht="13">
      <c r="A2672" s="5" t="s">
        <v>544</v>
      </c>
      <c r="B2672" s="5" t="s">
        <v>544</v>
      </c>
      <c r="C2672" s="5" t="s">
        <v>60</v>
      </c>
      <c r="D2672" s="5" t="s">
        <v>21</v>
      </c>
      <c r="E2672" s="5" t="s">
        <v>544</v>
      </c>
      <c r="F2672" s="5" t="s">
        <v>61</v>
      </c>
      <c r="H2672" s="9">
        <v>4705</v>
      </c>
      <c r="I2672" s="10"/>
      <c r="J2672" s="10">
        <v>43494</v>
      </c>
      <c r="K2672" s="5" t="s">
        <v>64</v>
      </c>
      <c r="L2672" s="5" t="s">
        <v>82</v>
      </c>
      <c r="M2672" s="11">
        <v>0.115</v>
      </c>
      <c r="N2672" s="5" t="e">
        <f>IF(AND(M2672&gt;#REF!,Cartera!O2672="Guaraníes"),"Rendimiento significativo",IF(AND(M2672&gt;#REF!,Cartera!O2672="Dólares americanos"),"Rendimiento significativo","Rendimiento no significativo"))</f>
        <v>#REF!</v>
      </c>
      <c r="O2672" s="5" t="s">
        <v>41</v>
      </c>
      <c r="P2672" s="12">
        <v>2893151</v>
      </c>
      <c r="Q2672" s="12">
        <f>IF(O2672="Guaraníes",P2672,P2672*#REF!)</f>
        <v>2893151</v>
      </c>
      <c r="R2672" s="12" t="e">
        <f>IF(O2672="Guaraníes",P2672/#REF!,P2672)</f>
        <v>#REF!</v>
      </c>
      <c r="S2672" s="5" t="s">
        <v>52</v>
      </c>
      <c r="V2672" s="5">
        <v>2893151</v>
      </c>
      <c r="W2672" s="5" t="s">
        <v>571</v>
      </c>
      <c r="AC2672" s="5" t="str">
        <f t="shared" si="127"/>
        <v>CDA</v>
      </c>
      <c r="AD2672" s="5" t="s">
        <v>43</v>
      </c>
      <c r="AE2672" s="5">
        <f t="shared" si="128"/>
        <v>1</v>
      </c>
      <c r="AF2672" s="5">
        <f t="shared" si="129"/>
        <v>2019</v>
      </c>
    </row>
    <row r="2673" s="5" customFormat="1" ht="13">
      <c r="A2673" s="5" t="s">
        <v>544</v>
      </c>
      <c r="B2673" s="5" t="s">
        <v>544</v>
      </c>
      <c r="C2673" s="5" t="s">
        <v>114</v>
      </c>
      <c r="D2673" s="5" t="s">
        <v>21</v>
      </c>
      <c r="E2673" s="5" t="s">
        <v>544</v>
      </c>
      <c r="F2673" s="5" t="s">
        <v>68</v>
      </c>
      <c r="H2673" s="9">
        <v>820</v>
      </c>
      <c r="I2673" s="10"/>
      <c r="J2673" s="10">
        <v>43500</v>
      </c>
      <c r="K2673" s="5" t="s">
        <v>77</v>
      </c>
      <c r="L2673" s="5" t="s">
        <v>82</v>
      </c>
      <c r="M2673" s="11">
        <v>0.14999999999999999</v>
      </c>
      <c r="N2673" s="5" t="e">
        <f>IF(AND(M2673&gt;#REF!,Cartera!O2673="Guaraníes"),"Rendimiento significativo",IF(AND(M2673&gt;#REF!,Cartera!O2673="Dólares americanos"),"Rendimiento significativo","Rendimiento no significativo"))</f>
        <v>#REF!</v>
      </c>
      <c r="O2673" s="5" t="s">
        <v>41</v>
      </c>
      <c r="P2673" s="12">
        <v>1592466</v>
      </c>
      <c r="Q2673" s="12">
        <f>IF(O2673="Guaraníes",P2673,P2673*#REF!)</f>
        <v>1592466</v>
      </c>
      <c r="R2673" s="12" t="e">
        <f>IF(O2673="Guaraníes",P2673/#REF!,P2673)</f>
        <v>#REF!</v>
      </c>
      <c r="S2673" s="5" t="s">
        <v>52</v>
      </c>
      <c r="V2673" s="5">
        <v>1592466</v>
      </c>
      <c r="W2673" s="5" t="s">
        <v>578</v>
      </c>
      <c r="AC2673" s="5" t="str">
        <f t="shared" si="127"/>
        <v>CDA</v>
      </c>
      <c r="AD2673" s="5" t="s">
        <v>43</v>
      </c>
      <c r="AE2673" s="5">
        <f t="shared" si="128"/>
        <v>2</v>
      </c>
      <c r="AF2673" s="5">
        <f t="shared" si="129"/>
        <v>2019</v>
      </c>
    </row>
    <row r="2674" s="5" customFormat="1" ht="13">
      <c r="A2674" s="5" t="s">
        <v>544</v>
      </c>
      <c r="B2674" s="5" t="s">
        <v>544</v>
      </c>
      <c r="C2674" s="5" t="s">
        <v>116</v>
      </c>
      <c r="D2674" s="5" t="s">
        <v>21</v>
      </c>
      <c r="E2674" s="5" t="s">
        <v>544</v>
      </c>
      <c r="F2674" s="5" t="s">
        <v>68</v>
      </c>
      <c r="H2674" s="9">
        <v>3009</v>
      </c>
      <c r="I2674" s="10"/>
      <c r="J2674" s="10">
        <v>43515</v>
      </c>
      <c r="K2674" s="5" t="s">
        <v>118</v>
      </c>
      <c r="L2674" s="5" t="s">
        <v>82</v>
      </c>
      <c r="M2674" s="11">
        <v>0.074999999999999997</v>
      </c>
      <c r="N2674" s="5" t="e">
        <f>IF(AND(M2674&gt;#REF!,Cartera!O2674="Guaraníes"),"Rendimiento significativo",IF(AND(M2674&gt;#REF!,Cartera!O2674="Dólares americanos"),"Rendimiento significativo","Rendimiento no significativo"))</f>
        <v>#REF!</v>
      </c>
      <c r="O2674" s="5" t="s">
        <v>41</v>
      </c>
      <c r="P2674" s="12">
        <v>2673041</v>
      </c>
      <c r="Q2674" s="12">
        <f>IF(O2674="Guaraníes",P2674,P2674*#REF!)</f>
        <v>2673041</v>
      </c>
      <c r="R2674" s="12" t="e">
        <f>IF(O2674="Guaraníes",P2674/#REF!,P2674)</f>
        <v>#REF!</v>
      </c>
      <c r="S2674" s="5" t="s">
        <v>52</v>
      </c>
      <c r="V2674" s="5">
        <v>2673041</v>
      </c>
      <c r="W2674" s="5" t="s">
        <v>268</v>
      </c>
      <c r="AC2674" s="5" t="str">
        <f t="shared" si="127"/>
        <v>CDA</v>
      </c>
      <c r="AD2674" s="5" t="s">
        <v>43</v>
      </c>
      <c r="AE2674" s="5">
        <f t="shared" si="128"/>
        <v>2</v>
      </c>
      <c r="AF2674" s="5">
        <f t="shared" si="129"/>
        <v>2019</v>
      </c>
    </row>
    <row r="2675" s="5" customFormat="1" ht="13">
      <c r="A2675" s="5" t="s">
        <v>544</v>
      </c>
      <c r="B2675" s="5" t="s">
        <v>544</v>
      </c>
      <c r="C2675" s="5" t="s">
        <v>60</v>
      </c>
      <c r="D2675" s="5" t="s">
        <v>21</v>
      </c>
      <c r="E2675" s="5" t="s">
        <v>544</v>
      </c>
      <c r="F2675" s="5" t="s">
        <v>61</v>
      </c>
      <c r="H2675" s="9">
        <v>4067</v>
      </c>
      <c r="I2675" s="10"/>
      <c r="J2675" s="10">
        <v>43527</v>
      </c>
      <c r="K2675" s="5" t="s">
        <v>64</v>
      </c>
      <c r="L2675" s="5" t="s">
        <v>82</v>
      </c>
      <c r="M2675" s="11">
        <v>0.070000000000000007</v>
      </c>
      <c r="N2675" s="5" t="e">
        <f>IF(AND(M2675&gt;#REF!,Cartera!O2675="Guaraníes"),"Rendimiento significativo",IF(AND(M2675&gt;#REF!,Cartera!O2675="Dólares americanos"),"Rendimiento significativo","Rendimiento no significativo"))</f>
        <v>#REF!</v>
      </c>
      <c r="O2675" s="5" t="s">
        <v>41</v>
      </c>
      <c r="P2675" s="12">
        <v>2772603</v>
      </c>
      <c r="Q2675" s="12">
        <f>IF(O2675="Guaraníes",P2675,P2675*#REF!)</f>
        <v>2772603</v>
      </c>
      <c r="R2675" s="12" t="e">
        <f>IF(O2675="Guaraníes",P2675/#REF!,P2675)</f>
        <v>#REF!</v>
      </c>
      <c r="S2675" s="5" t="s">
        <v>52</v>
      </c>
      <c r="V2675" s="5">
        <v>2772603</v>
      </c>
      <c r="W2675" s="5" t="s">
        <v>579</v>
      </c>
      <c r="AC2675" s="5" t="str">
        <f t="shared" si="127"/>
        <v>CDA</v>
      </c>
      <c r="AD2675" s="5" t="s">
        <v>43</v>
      </c>
      <c r="AE2675" s="5">
        <f t="shared" si="128"/>
        <v>3</v>
      </c>
      <c r="AF2675" s="5">
        <f t="shared" si="129"/>
        <v>2019</v>
      </c>
    </row>
    <row r="2676" s="5" customFormat="1" ht="13">
      <c r="A2676" s="5" t="s">
        <v>544</v>
      </c>
      <c r="B2676" s="5" t="s">
        <v>544</v>
      </c>
      <c r="C2676" s="5" t="s">
        <v>114</v>
      </c>
      <c r="D2676" s="5" t="s">
        <v>21</v>
      </c>
      <c r="E2676" s="5" t="s">
        <v>544</v>
      </c>
      <c r="F2676" s="5" t="s">
        <v>68</v>
      </c>
      <c r="H2676" s="9">
        <v>820</v>
      </c>
      <c r="I2676" s="10"/>
      <c r="J2676" s="10">
        <v>43530</v>
      </c>
      <c r="K2676" s="5" t="s">
        <v>77</v>
      </c>
      <c r="L2676" s="5" t="s">
        <v>82</v>
      </c>
      <c r="M2676" s="11">
        <v>0.14999999999999999</v>
      </c>
      <c r="N2676" s="5" t="e">
        <f>IF(AND(M2676&gt;#REF!,Cartera!O2676="Guaraníes"),"Rendimiento significativo",IF(AND(M2676&gt;#REF!,Cartera!O2676="Dólares americanos"),"Rendimiento significativo","Rendimiento no significativo"))</f>
        <v>#REF!</v>
      </c>
      <c r="O2676" s="5" t="s">
        <v>41</v>
      </c>
      <c r="P2676" s="12">
        <v>1541096</v>
      </c>
      <c r="Q2676" s="12">
        <f>IF(O2676="Guaraníes",P2676,P2676*#REF!)</f>
        <v>1541096</v>
      </c>
      <c r="R2676" s="12" t="e">
        <f>IF(O2676="Guaraníes",P2676/#REF!,P2676)</f>
        <v>#REF!</v>
      </c>
      <c r="S2676" s="5" t="s">
        <v>52</v>
      </c>
      <c r="V2676" s="5">
        <v>1541096</v>
      </c>
      <c r="W2676" s="5" t="s">
        <v>580</v>
      </c>
      <c r="AC2676" s="5" t="str">
        <f t="shared" si="127"/>
        <v>CDA</v>
      </c>
      <c r="AD2676" s="5" t="s">
        <v>43</v>
      </c>
      <c r="AE2676" s="5">
        <f t="shared" si="128"/>
        <v>3</v>
      </c>
      <c r="AF2676" s="5">
        <f t="shared" si="129"/>
        <v>2019</v>
      </c>
    </row>
    <row r="2677" s="5" customFormat="1" ht="13">
      <c r="A2677" s="5" t="s">
        <v>544</v>
      </c>
      <c r="B2677" s="5" t="s">
        <v>544</v>
      </c>
      <c r="C2677" s="5" t="s">
        <v>114</v>
      </c>
      <c r="D2677" s="5" t="s">
        <v>21</v>
      </c>
      <c r="E2677" s="5" t="s">
        <v>544</v>
      </c>
      <c r="F2677" s="5" t="s">
        <v>68</v>
      </c>
      <c r="H2677" s="9">
        <v>820</v>
      </c>
      <c r="I2677" s="10"/>
      <c r="J2677" s="10">
        <v>43560</v>
      </c>
      <c r="K2677" s="5" t="s">
        <v>77</v>
      </c>
      <c r="L2677" s="5" t="s">
        <v>82</v>
      </c>
      <c r="M2677" s="11">
        <v>0.14999999999999999</v>
      </c>
      <c r="N2677" s="5" t="e">
        <f>IF(AND(M2677&gt;#REF!,Cartera!O2677="Guaraníes"),"Rendimiento significativo",IF(AND(M2677&gt;#REF!,Cartera!O2677="Dólares americanos"),"Rendimiento significativo","Rendimiento no significativo"))</f>
        <v>#REF!</v>
      </c>
      <c r="O2677" s="5" t="s">
        <v>41</v>
      </c>
      <c r="P2677" s="12">
        <v>1541096</v>
      </c>
      <c r="Q2677" s="12">
        <f>IF(O2677="Guaraníes",P2677,P2677*#REF!)</f>
        <v>1541096</v>
      </c>
      <c r="R2677" s="12" t="e">
        <f>IF(O2677="Guaraníes",P2677/#REF!,P2677)</f>
        <v>#REF!</v>
      </c>
      <c r="S2677" s="5" t="s">
        <v>52</v>
      </c>
      <c r="V2677" s="5">
        <v>1541096</v>
      </c>
      <c r="W2677" s="5" t="s">
        <v>581</v>
      </c>
      <c r="AC2677" s="5" t="str">
        <f t="shared" si="127"/>
        <v>CDA</v>
      </c>
      <c r="AD2677" s="5" t="s">
        <v>43</v>
      </c>
      <c r="AE2677" s="5">
        <f t="shared" si="128"/>
        <v>4</v>
      </c>
      <c r="AF2677" s="5">
        <f t="shared" si="129"/>
        <v>2019</v>
      </c>
    </row>
    <row r="2678" s="5" customFormat="1" ht="13">
      <c r="A2678" s="5" t="s">
        <v>544</v>
      </c>
      <c r="B2678" s="5" t="s">
        <v>544</v>
      </c>
      <c r="C2678" s="5" t="s">
        <v>227</v>
      </c>
      <c r="D2678" s="5" t="s">
        <v>21</v>
      </c>
      <c r="E2678" s="5" t="s">
        <v>544</v>
      </c>
      <c r="F2678" s="5" t="s">
        <v>68</v>
      </c>
      <c r="H2678" s="9">
        <v>122</v>
      </c>
      <c r="I2678" s="10"/>
      <c r="J2678" s="10">
        <v>43563</v>
      </c>
      <c r="K2678" s="5" t="s">
        <v>77</v>
      </c>
      <c r="L2678" s="5" t="s">
        <v>82</v>
      </c>
      <c r="M2678" s="11">
        <v>0</v>
      </c>
      <c r="N2678" s="5" t="e">
        <f>IF(AND(M2678&gt;#REF!,Cartera!O2678="Guaraníes"),"Rendimiento significativo",IF(AND(M2678&gt;#REF!,Cartera!O2678="Dólares americanos"),"Rendimiento significativo","Rendimiento no significativo"))</f>
        <v>#REF!</v>
      </c>
      <c r="O2678" s="5" t="s">
        <v>41</v>
      </c>
      <c r="P2678" s="12">
        <v>3564941</v>
      </c>
      <c r="Q2678" s="12">
        <f>IF(O2678="Guaraníes",P2678,P2678*#REF!)</f>
        <v>3564941</v>
      </c>
      <c r="R2678" s="12" t="e">
        <f>IF(O2678="Guaraníes",P2678/#REF!,P2678)</f>
        <v>#REF!</v>
      </c>
      <c r="S2678" s="5" t="s">
        <v>52</v>
      </c>
      <c r="V2678" s="5">
        <v>3564941</v>
      </c>
      <c r="W2678" s="5" t="s">
        <v>582</v>
      </c>
      <c r="AC2678" s="5" t="str">
        <f t="shared" si="127"/>
        <v>CDA</v>
      </c>
      <c r="AD2678" s="5" t="s">
        <v>43</v>
      </c>
      <c r="AE2678" s="5">
        <f t="shared" si="128"/>
        <v>4</v>
      </c>
      <c r="AF2678" s="5">
        <f t="shared" si="129"/>
        <v>2019</v>
      </c>
    </row>
    <row r="2679" s="5" customFormat="1" ht="13">
      <c r="A2679" s="5" t="s">
        <v>544</v>
      </c>
      <c r="B2679" s="5" t="s">
        <v>544</v>
      </c>
      <c r="C2679" s="5" t="s">
        <v>60</v>
      </c>
      <c r="D2679" s="5" t="s">
        <v>21</v>
      </c>
      <c r="E2679" s="5" t="s">
        <v>544</v>
      </c>
      <c r="F2679" s="5" t="s">
        <v>61</v>
      </c>
      <c r="H2679" s="9">
        <v>4705</v>
      </c>
      <c r="I2679" s="10"/>
      <c r="J2679" s="10">
        <v>43582</v>
      </c>
      <c r="K2679" s="5" t="s">
        <v>64</v>
      </c>
      <c r="L2679" s="5" t="s">
        <v>82</v>
      </c>
      <c r="M2679" s="11">
        <v>0.115</v>
      </c>
      <c r="N2679" s="5" t="e">
        <f>IF(AND(M2679&gt;#REF!,Cartera!O2679="Guaraníes"),"Rendimiento significativo",IF(AND(M2679&gt;#REF!,Cartera!O2679="Dólares americanos"),"Rendimiento significativo","Rendimiento no significativo"))</f>
        <v>#REF!</v>
      </c>
      <c r="O2679" s="5" t="s">
        <v>41</v>
      </c>
      <c r="P2679" s="12">
        <v>2893151</v>
      </c>
      <c r="Q2679" s="12">
        <f>IF(O2679="Guaraníes",P2679,P2679*#REF!)</f>
        <v>2893151</v>
      </c>
      <c r="R2679" s="12" t="e">
        <f>IF(O2679="Guaraníes",P2679/#REF!,P2679)</f>
        <v>#REF!</v>
      </c>
      <c r="S2679" s="5" t="s">
        <v>52</v>
      </c>
      <c r="V2679" s="5">
        <v>2893151</v>
      </c>
      <c r="W2679" s="5" t="s">
        <v>574</v>
      </c>
      <c r="AC2679" s="5" t="str">
        <f t="shared" ref="AC2679:AC2742" si="130">IF(ISNUMBER(SEARCH("Acciones",L2679)),"Acciones",IF(ISNUMBER(SEARCH("Bono",L2679)),"Bonos",IF(ISNUMBER(SEARCH("CDA",L2679)),"CDA",IF(ISNUMBER(SEARCH("Fondo",L2679)),"Fondo",0))))</f>
        <v>CDA</v>
      </c>
      <c r="AD2679" s="5" t="s">
        <v>43</v>
      </c>
      <c r="AE2679" s="5">
        <f t="shared" si="128"/>
        <v>4</v>
      </c>
      <c r="AF2679" s="5">
        <f t="shared" si="129"/>
        <v>2019</v>
      </c>
    </row>
    <row r="2680" s="5" customFormat="1" ht="13">
      <c r="A2680" s="5" t="s">
        <v>544</v>
      </c>
      <c r="B2680" s="5" t="s">
        <v>544</v>
      </c>
      <c r="C2680" s="5" t="s">
        <v>114</v>
      </c>
      <c r="D2680" s="5" t="s">
        <v>21</v>
      </c>
      <c r="E2680" s="5" t="s">
        <v>544</v>
      </c>
      <c r="F2680" s="5" t="s">
        <v>68</v>
      </c>
      <c r="H2680" s="9">
        <v>820</v>
      </c>
      <c r="I2680" s="10"/>
      <c r="J2680" s="10">
        <v>43591</v>
      </c>
      <c r="K2680" s="5" t="s">
        <v>77</v>
      </c>
      <c r="L2680" s="5" t="s">
        <v>82</v>
      </c>
      <c r="M2680" s="11">
        <v>0.14999999999999999</v>
      </c>
      <c r="N2680" s="5" t="e">
        <f>IF(AND(M2680&gt;#REF!,Cartera!O2680="Guaraníes"),"Rendimiento significativo",IF(AND(M2680&gt;#REF!,Cartera!O2680="Dólares americanos"),"Rendimiento significativo","Rendimiento no significativo"))</f>
        <v>#REF!</v>
      </c>
      <c r="O2680" s="5" t="s">
        <v>41</v>
      </c>
      <c r="P2680" s="12">
        <v>1592466</v>
      </c>
      <c r="Q2680" s="12">
        <f>IF(O2680="Guaraníes",P2680,P2680*#REF!)</f>
        <v>1592466</v>
      </c>
      <c r="R2680" s="12" t="e">
        <f>IF(O2680="Guaraníes",P2680/#REF!,P2680)</f>
        <v>#REF!</v>
      </c>
      <c r="S2680" s="5" t="s">
        <v>52</v>
      </c>
      <c r="V2680" s="5">
        <v>1592466</v>
      </c>
      <c r="W2680" s="5" t="s">
        <v>583</v>
      </c>
      <c r="AC2680" s="5" t="str">
        <f t="shared" si="130"/>
        <v>CDA</v>
      </c>
      <c r="AD2680" s="5" t="s">
        <v>43</v>
      </c>
      <c r="AE2680" s="5">
        <f t="shared" si="128"/>
        <v>5</v>
      </c>
      <c r="AF2680" s="5">
        <f t="shared" si="129"/>
        <v>2019</v>
      </c>
    </row>
    <row r="2681" s="5" customFormat="1" ht="13">
      <c r="A2681" s="5" t="s">
        <v>544</v>
      </c>
      <c r="B2681" s="5" t="s">
        <v>544</v>
      </c>
      <c r="C2681" s="5" t="s">
        <v>116</v>
      </c>
      <c r="D2681" s="5" t="s">
        <v>21</v>
      </c>
      <c r="E2681" s="5" t="s">
        <v>544</v>
      </c>
      <c r="F2681" s="5" t="s">
        <v>68</v>
      </c>
      <c r="H2681" s="9">
        <v>3009</v>
      </c>
      <c r="I2681" s="10"/>
      <c r="J2681" s="10">
        <v>43605</v>
      </c>
      <c r="K2681" s="5" t="s">
        <v>118</v>
      </c>
      <c r="L2681" s="5" t="s">
        <v>82</v>
      </c>
      <c r="M2681" s="11">
        <v>0.074999999999999997</v>
      </c>
      <c r="N2681" s="5" t="e">
        <f>IF(AND(M2681&gt;#REF!,Cartera!O2681="Guaraníes"),"Rendimiento significativo",IF(AND(M2681&gt;#REF!,Cartera!O2681="Dólares americanos"),"Rendimiento significativo","Rendimiento no significativo"))</f>
        <v>#REF!</v>
      </c>
      <c r="O2681" s="5" t="s">
        <v>41</v>
      </c>
      <c r="P2681" s="12">
        <v>2614932</v>
      </c>
      <c r="Q2681" s="12">
        <f>IF(O2681="Guaraníes",P2681,P2681*#REF!)</f>
        <v>2614932</v>
      </c>
      <c r="R2681" s="12" t="e">
        <f>IF(O2681="Guaraníes",P2681/#REF!,P2681)</f>
        <v>#REF!</v>
      </c>
      <c r="S2681" s="5" t="s">
        <v>52</v>
      </c>
      <c r="V2681" s="5">
        <v>2614932</v>
      </c>
      <c r="W2681" s="5" t="s">
        <v>577</v>
      </c>
      <c r="AC2681" s="5" t="str">
        <f t="shared" si="130"/>
        <v>CDA</v>
      </c>
      <c r="AD2681" s="5" t="s">
        <v>43</v>
      </c>
      <c r="AE2681" s="5">
        <f t="shared" si="128"/>
        <v>5</v>
      </c>
      <c r="AF2681" s="5">
        <f t="shared" si="129"/>
        <v>2019</v>
      </c>
    </row>
    <row r="2682" s="5" customFormat="1" ht="13">
      <c r="A2682" s="5" t="s">
        <v>544</v>
      </c>
      <c r="B2682" s="5" t="s">
        <v>544</v>
      </c>
      <c r="C2682" s="5" t="s">
        <v>60</v>
      </c>
      <c r="D2682" s="5" t="s">
        <v>21</v>
      </c>
      <c r="E2682" s="5" t="s">
        <v>544</v>
      </c>
      <c r="F2682" s="5" t="s">
        <v>61</v>
      </c>
      <c r="H2682" s="9">
        <v>4067</v>
      </c>
      <c r="I2682" s="10"/>
      <c r="J2682" s="10">
        <v>43615</v>
      </c>
      <c r="K2682" s="5" t="s">
        <v>64</v>
      </c>
      <c r="L2682" s="5" t="s">
        <v>82</v>
      </c>
      <c r="M2682" s="11">
        <v>0.070000000000000007</v>
      </c>
      <c r="N2682" s="5" t="e">
        <f>IF(AND(M2682&gt;#REF!,Cartera!O2682="Guaraníes"),"Rendimiento significativo",IF(AND(M2682&gt;#REF!,Cartera!O2682="Dólares americanos"),"Rendimiento significativo","Rendimiento no significativo"))</f>
        <v>#REF!</v>
      </c>
      <c r="O2682" s="5" t="s">
        <v>41</v>
      </c>
      <c r="P2682" s="12">
        <v>2772603</v>
      </c>
      <c r="Q2682" s="12">
        <f>IF(O2682="Guaraníes",P2682,P2682*#REF!)</f>
        <v>2772603</v>
      </c>
      <c r="R2682" s="12" t="e">
        <f>IF(O2682="Guaraníes",P2682/#REF!,P2682)</f>
        <v>#REF!</v>
      </c>
      <c r="S2682" s="5" t="s">
        <v>52</v>
      </c>
      <c r="V2682" s="5">
        <v>2772603</v>
      </c>
      <c r="W2682" s="5" t="s">
        <v>584</v>
      </c>
      <c r="AC2682" s="5" t="str">
        <f t="shared" si="130"/>
        <v>CDA</v>
      </c>
      <c r="AD2682" s="5" t="s">
        <v>43</v>
      </c>
      <c r="AE2682" s="5">
        <f t="shared" si="128"/>
        <v>5</v>
      </c>
      <c r="AF2682" s="5">
        <f t="shared" si="129"/>
        <v>2019</v>
      </c>
    </row>
    <row r="2683" s="5" customFormat="1" ht="13">
      <c r="A2683" s="5" t="s">
        <v>544</v>
      </c>
      <c r="B2683" s="5" t="s">
        <v>544</v>
      </c>
      <c r="C2683" s="5" t="s">
        <v>114</v>
      </c>
      <c r="D2683" s="5" t="s">
        <v>21</v>
      </c>
      <c r="E2683" s="5" t="s">
        <v>544</v>
      </c>
      <c r="F2683" s="5" t="s">
        <v>68</v>
      </c>
      <c r="H2683" s="9">
        <v>820</v>
      </c>
      <c r="I2683" s="10"/>
      <c r="J2683" s="10">
        <v>43621</v>
      </c>
      <c r="K2683" s="5" t="s">
        <v>77</v>
      </c>
      <c r="L2683" s="5" t="s">
        <v>82</v>
      </c>
      <c r="M2683" s="11">
        <v>0.14999999999999999</v>
      </c>
      <c r="N2683" s="5" t="e">
        <f>IF(AND(M2683&gt;#REF!,Cartera!O2683="Guaraníes"),"Rendimiento significativo",IF(AND(M2683&gt;#REF!,Cartera!O2683="Dólares americanos"),"Rendimiento significativo","Rendimiento no significativo"))</f>
        <v>#REF!</v>
      </c>
      <c r="O2683" s="5" t="s">
        <v>41</v>
      </c>
      <c r="P2683" s="12">
        <v>1541096</v>
      </c>
      <c r="Q2683" s="12">
        <f>IF(O2683="Guaraníes",P2683,P2683*#REF!)</f>
        <v>1541096</v>
      </c>
      <c r="R2683" s="12" t="e">
        <f>IF(O2683="Guaraníes",P2683/#REF!,P2683)</f>
        <v>#REF!</v>
      </c>
      <c r="S2683" s="5" t="s">
        <v>52</v>
      </c>
      <c r="V2683" s="5">
        <v>1541096</v>
      </c>
      <c r="W2683" s="5" t="s">
        <v>585</v>
      </c>
      <c r="AC2683" s="5" t="str">
        <f t="shared" si="130"/>
        <v>CDA</v>
      </c>
      <c r="AD2683" s="5" t="s">
        <v>43</v>
      </c>
      <c r="AE2683" s="5">
        <f t="shared" si="128"/>
        <v>6</v>
      </c>
      <c r="AF2683" s="5">
        <f t="shared" si="129"/>
        <v>2019</v>
      </c>
    </row>
    <row r="2684" s="5" customFormat="1" ht="13">
      <c r="A2684" s="5" t="s">
        <v>544</v>
      </c>
      <c r="B2684" s="5" t="s">
        <v>544</v>
      </c>
      <c r="C2684" s="5" t="s">
        <v>227</v>
      </c>
      <c r="D2684" s="5" t="s">
        <v>21</v>
      </c>
      <c r="E2684" s="5" t="s">
        <v>544</v>
      </c>
      <c r="F2684" s="5" t="s">
        <v>68</v>
      </c>
      <c r="H2684" s="9">
        <v>163</v>
      </c>
      <c r="I2684" s="10"/>
      <c r="J2684" s="10">
        <v>43648</v>
      </c>
      <c r="K2684" s="5" t="s">
        <v>77</v>
      </c>
      <c r="L2684" s="5" t="s">
        <v>82</v>
      </c>
      <c r="M2684" s="11">
        <v>0</v>
      </c>
      <c r="N2684" s="5" t="e">
        <f>IF(AND(M2684&gt;#REF!,Cartera!O2684="Guaraníes"),"Rendimiento significativo",IF(AND(M2684&gt;#REF!,Cartera!O2684="Dólares americanos"),"Rendimiento significativo","Rendimiento no significativo"))</f>
        <v>#REF!</v>
      </c>
      <c r="O2684" s="5" t="s">
        <v>41</v>
      </c>
      <c r="P2684" s="12">
        <v>12080000</v>
      </c>
      <c r="Q2684" s="12">
        <f>IF(O2684="Guaraníes",P2684,P2684*#REF!)</f>
        <v>12080000</v>
      </c>
      <c r="R2684" s="12" t="e">
        <f>IF(O2684="Guaraníes",P2684/#REF!,P2684)</f>
        <v>#REF!</v>
      </c>
      <c r="S2684" s="5" t="s">
        <v>52</v>
      </c>
      <c r="V2684" s="5">
        <v>12080000</v>
      </c>
      <c r="W2684" s="5" t="s">
        <v>486</v>
      </c>
      <c r="AC2684" s="5" t="str">
        <f t="shared" si="130"/>
        <v>CDA</v>
      </c>
      <c r="AD2684" s="5" t="s">
        <v>43</v>
      </c>
      <c r="AE2684" s="5">
        <f t="shared" si="128"/>
        <v>7</v>
      </c>
      <c r="AF2684" s="5">
        <f t="shared" si="129"/>
        <v>2019</v>
      </c>
    </row>
    <row r="2685" s="5" customFormat="1" ht="13">
      <c r="A2685" s="5" t="s">
        <v>544</v>
      </c>
      <c r="B2685" s="5" t="s">
        <v>544</v>
      </c>
      <c r="C2685" s="5" t="s">
        <v>114</v>
      </c>
      <c r="D2685" s="5" t="s">
        <v>21</v>
      </c>
      <c r="E2685" s="5" t="s">
        <v>544</v>
      </c>
      <c r="F2685" s="5" t="s">
        <v>68</v>
      </c>
      <c r="H2685" s="9">
        <v>820</v>
      </c>
      <c r="I2685" s="10"/>
      <c r="J2685" s="10">
        <v>43651</v>
      </c>
      <c r="K2685" s="5" t="s">
        <v>77</v>
      </c>
      <c r="L2685" s="5" t="s">
        <v>82</v>
      </c>
      <c r="M2685" s="11">
        <v>0.14999999999999999</v>
      </c>
      <c r="N2685" s="5" t="e">
        <f>IF(AND(M2685&gt;#REF!,Cartera!O2685="Guaraníes"),"Rendimiento significativo",IF(AND(M2685&gt;#REF!,Cartera!O2685="Dólares americanos"),"Rendimiento significativo","Rendimiento no significativo"))</f>
        <v>#REF!</v>
      </c>
      <c r="O2685" s="5" t="s">
        <v>41</v>
      </c>
      <c r="P2685" s="12">
        <v>1541096</v>
      </c>
      <c r="Q2685" s="12">
        <f>IF(O2685="Guaraníes",P2685,P2685*#REF!)</f>
        <v>1541096</v>
      </c>
      <c r="R2685" s="12" t="e">
        <f>IF(O2685="Guaraníes",P2685/#REF!,P2685)</f>
        <v>#REF!</v>
      </c>
      <c r="S2685" s="5" t="s">
        <v>52</v>
      </c>
      <c r="V2685" s="5">
        <v>1541096</v>
      </c>
      <c r="W2685" s="5" t="s">
        <v>586</v>
      </c>
      <c r="AC2685" s="5" t="str">
        <f t="shared" si="130"/>
        <v>CDA</v>
      </c>
      <c r="AD2685" s="5" t="s">
        <v>43</v>
      </c>
      <c r="AE2685" s="5">
        <f t="shared" si="128"/>
        <v>7</v>
      </c>
      <c r="AF2685" s="5">
        <f t="shared" si="129"/>
        <v>2019</v>
      </c>
    </row>
    <row r="2686" s="5" customFormat="1" ht="13">
      <c r="A2686" s="5" t="s">
        <v>544</v>
      </c>
      <c r="B2686" s="5" t="s">
        <v>544</v>
      </c>
      <c r="C2686" s="5" t="s">
        <v>227</v>
      </c>
      <c r="D2686" s="5" t="s">
        <v>21</v>
      </c>
      <c r="E2686" s="5" t="s">
        <v>544</v>
      </c>
      <c r="F2686" s="5" t="s">
        <v>68</v>
      </c>
      <c r="H2686" s="9">
        <v>122</v>
      </c>
      <c r="I2686" s="10"/>
      <c r="J2686" s="10">
        <v>43654</v>
      </c>
      <c r="K2686" s="5" t="s">
        <v>77</v>
      </c>
      <c r="L2686" s="5" t="s">
        <v>82</v>
      </c>
      <c r="M2686" s="11">
        <v>0</v>
      </c>
      <c r="N2686" s="5" t="e">
        <f>IF(AND(M2686&gt;#REF!,Cartera!O2686="Guaraníes"),"Rendimiento significativo",IF(AND(M2686&gt;#REF!,Cartera!O2686="Dólares americanos"),"Rendimiento significativo","Rendimiento no significativo"))</f>
        <v>#REF!</v>
      </c>
      <c r="O2686" s="5" t="s">
        <v>41</v>
      </c>
      <c r="P2686" s="12">
        <v>3564941</v>
      </c>
      <c r="Q2686" s="12">
        <f>IF(O2686="Guaraníes",P2686,P2686*#REF!)</f>
        <v>3564941</v>
      </c>
      <c r="R2686" s="12" t="e">
        <f>IF(O2686="Guaraníes",P2686/#REF!,P2686)</f>
        <v>#REF!</v>
      </c>
      <c r="S2686" s="5" t="s">
        <v>52</v>
      </c>
      <c r="V2686" s="5">
        <v>3564941</v>
      </c>
      <c r="W2686" s="5" t="s">
        <v>587</v>
      </c>
      <c r="AC2686" s="5" t="str">
        <f t="shared" si="130"/>
        <v>CDA</v>
      </c>
      <c r="AD2686" s="5" t="s">
        <v>43</v>
      </c>
      <c r="AE2686" s="5">
        <f t="shared" si="128"/>
        <v>7</v>
      </c>
      <c r="AF2686" s="5">
        <f t="shared" si="129"/>
        <v>2019</v>
      </c>
    </row>
    <row r="2687" s="5" customFormat="1" ht="13">
      <c r="A2687" s="5" t="s">
        <v>544</v>
      </c>
      <c r="B2687" s="5" t="s">
        <v>544</v>
      </c>
      <c r="C2687" s="5" t="s">
        <v>79</v>
      </c>
      <c r="D2687" s="5" t="s">
        <v>21</v>
      </c>
      <c r="E2687" s="5" t="s">
        <v>544</v>
      </c>
      <c r="F2687" s="5" t="s">
        <v>68</v>
      </c>
      <c r="H2687" s="9">
        <v>2716</v>
      </c>
      <c r="I2687" s="10"/>
      <c r="J2687" s="10">
        <v>43655</v>
      </c>
      <c r="K2687" s="5" t="s">
        <v>81</v>
      </c>
      <c r="L2687" s="5" t="s">
        <v>82</v>
      </c>
      <c r="M2687" s="11">
        <v>0</v>
      </c>
      <c r="N2687" s="5" t="e">
        <f>IF(AND(M2687&gt;#REF!,Cartera!O2687="Guaraníes"),"Rendimiento significativo",IF(AND(M2687&gt;#REF!,Cartera!O2687="Dólares americanos"),"Rendimiento significativo","Rendimiento no significativo"))</f>
        <v>#REF!</v>
      </c>
      <c r="O2687" s="5" t="s">
        <v>41</v>
      </c>
      <c r="P2687" s="12">
        <v>4763014</v>
      </c>
      <c r="Q2687" s="12">
        <f>IF(O2687="Guaraníes",P2687,P2687*#REF!)</f>
        <v>4763014</v>
      </c>
      <c r="R2687" s="12" t="e">
        <f>IF(O2687="Guaraníes",P2687/#REF!,P2687)</f>
        <v>#REF!</v>
      </c>
      <c r="S2687" s="5" t="s">
        <v>52</v>
      </c>
      <c r="V2687" s="5">
        <v>4763014</v>
      </c>
      <c r="W2687" s="5" t="s">
        <v>588</v>
      </c>
      <c r="AC2687" s="5" t="str">
        <f t="shared" si="130"/>
        <v>CDA</v>
      </c>
      <c r="AD2687" s="5" t="s">
        <v>43</v>
      </c>
      <c r="AE2687" s="5">
        <f t="shared" si="128"/>
        <v>7</v>
      </c>
      <c r="AF2687" s="5">
        <f t="shared" si="129"/>
        <v>2019</v>
      </c>
    </row>
    <row r="2688" s="5" customFormat="1" ht="13">
      <c r="A2688" s="5" t="s">
        <v>544</v>
      </c>
      <c r="B2688" s="5" t="s">
        <v>544</v>
      </c>
      <c r="C2688" s="5" t="s">
        <v>60</v>
      </c>
      <c r="D2688" s="5" t="s">
        <v>21</v>
      </c>
      <c r="E2688" s="5" t="s">
        <v>544</v>
      </c>
      <c r="F2688" s="5" t="s">
        <v>61</v>
      </c>
      <c r="H2688" s="9">
        <v>4705</v>
      </c>
      <c r="I2688" s="10"/>
      <c r="J2688" s="10">
        <v>43670</v>
      </c>
      <c r="K2688" s="5" t="s">
        <v>64</v>
      </c>
      <c r="L2688" s="5" t="s">
        <v>82</v>
      </c>
      <c r="M2688" s="11">
        <v>0.115</v>
      </c>
      <c r="N2688" s="5" t="e">
        <f>IF(AND(M2688&gt;#REF!,Cartera!O2688="Guaraníes"),"Rendimiento significativo",IF(AND(M2688&gt;#REF!,Cartera!O2688="Dólares americanos"),"Rendimiento significativo","Rendimiento no significativo"))</f>
        <v>#REF!</v>
      </c>
      <c r="O2688" s="5" t="s">
        <v>41</v>
      </c>
      <c r="P2688" s="12">
        <v>2893151</v>
      </c>
      <c r="Q2688" s="12">
        <f>IF(O2688="Guaraníes",P2688,P2688*#REF!)</f>
        <v>2893151</v>
      </c>
      <c r="R2688" s="12" t="e">
        <f>IF(O2688="Guaraníes",P2688/#REF!,P2688)</f>
        <v>#REF!</v>
      </c>
      <c r="S2688" s="5" t="s">
        <v>52</v>
      </c>
      <c r="V2688" s="5">
        <v>2893151</v>
      </c>
      <c r="W2688" s="5" t="s">
        <v>579</v>
      </c>
      <c r="AC2688" s="5" t="str">
        <f t="shared" si="130"/>
        <v>CDA</v>
      </c>
      <c r="AD2688" s="5" t="s">
        <v>43</v>
      </c>
      <c r="AE2688" s="5">
        <f t="shared" si="128"/>
        <v>7</v>
      </c>
      <c r="AF2688" s="5">
        <f t="shared" si="129"/>
        <v>2019</v>
      </c>
    </row>
    <row r="2689" s="5" customFormat="1" ht="13">
      <c r="A2689" s="5" t="s">
        <v>544</v>
      </c>
      <c r="B2689" s="5" t="s">
        <v>544</v>
      </c>
      <c r="C2689" s="5" t="s">
        <v>114</v>
      </c>
      <c r="D2689" s="5" t="s">
        <v>21</v>
      </c>
      <c r="E2689" s="5" t="s">
        <v>544</v>
      </c>
      <c r="F2689" s="5" t="s">
        <v>68</v>
      </c>
      <c r="H2689" s="9">
        <v>820</v>
      </c>
      <c r="I2689" s="10"/>
      <c r="J2689" s="10">
        <v>43682</v>
      </c>
      <c r="K2689" s="5" t="s">
        <v>77</v>
      </c>
      <c r="L2689" s="5" t="s">
        <v>82</v>
      </c>
      <c r="M2689" s="11">
        <v>0.14999999999999999</v>
      </c>
      <c r="N2689" s="5" t="e">
        <f>IF(AND(M2689&gt;#REF!,Cartera!O2689="Guaraníes"),"Rendimiento significativo",IF(AND(M2689&gt;#REF!,Cartera!O2689="Dólares americanos"),"Rendimiento significativo","Rendimiento no significativo"))</f>
        <v>#REF!</v>
      </c>
      <c r="O2689" s="5" t="s">
        <v>41</v>
      </c>
      <c r="P2689" s="12">
        <v>1592466</v>
      </c>
      <c r="Q2689" s="12">
        <f>IF(O2689="Guaraníes",P2689,P2689*#REF!)</f>
        <v>1592466</v>
      </c>
      <c r="R2689" s="12" t="e">
        <f>IF(O2689="Guaraníes",P2689/#REF!,P2689)</f>
        <v>#REF!</v>
      </c>
      <c r="S2689" s="5" t="s">
        <v>52</v>
      </c>
      <c r="V2689" s="5">
        <v>1592466</v>
      </c>
      <c r="W2689" s="5" t="s">
        <v>589</v>
      </c>
      <c r="AC2689" s="5" t="str">
        <f t="shared" si="130"/>
        <v>CDA</v>
      </c>
      <c r="AD2689" s="5" t="s">
        <v>43</v>
      </c>
      <c r="AE2689" s="5">
        <f t="shared" si="128"/>
        <v>8</v>
      </c>
      <c r="AF2689" s="5">
        <f t="shared" si="129"/>
        <v>2019</v>
      </c>
    </row>
    <row r="2690" s="5" customFormat="1" ht="13">
      <c r="A2690" s="5" t="s">
        <v>544</v>
      </c>
      <c r="B2690" s="5" t="s">
        <v>544</v>
      </c>
      <c r="C2690" s="5" t="s">
        <v>116</v>
      </c>
      <c r="D2690" s="5" t="s">
        <v>21</v>
      </c>
      <c r="E2690" s="5" t="s">
        <v>544</v>
      </c>
      <c r="F2690" s="5" t="s">
        <v>68</v>
      </c>
      <c r="H2690" s="9">
        <v>3009</v>
      </c>
      <c r="I2690" s="10"/>
      <c r="J2690" s="10">
        <v>43696</v>
      </c>
      <c r="K2690" s="5" t="s">
        <v>118</v>
      </c>
      <c r="L2690" s="5" t="s">
        <v>82</v>
      </c>
      <c r="M2690" s="11">
        <v>0.074999999999999997</v>
      </c>
      <c r="N2690" s="5" t="e">
        <f>IF(AND(M2690&gt;#REF!,Cartera!O2690="Guaraníes"),"Rendimiento significativo",IF(AND(M2690&gt;#REF!,Cartera!O2690="Dólares americanos"),"Rendimiento significativo","Rendimiento no significativo"))</f>
        <v>#REF!</v>
      </c>
      <c r="O2690" s="5" t="s">
        <v>41</v>
      </c>
      <c r="P2690" s="12">
        <v>2643986</v>
      </c>
      <c r="Q2690" s="12">
        <f>IF(O2690="Guaraníes",P2690,P2690*#REF!)</f>
        <v>2643986</v>
      </c>
      <c r="R2690" s="12" t="e">
        <f>IF(O2690="Guaraníes",P2690/#REF!,P2690)</f>
        <v>#REF!</v>
      </c>
      <c r="S2690" s="5" t="s">
        <v>52</v>
      </c>
      <c r="V2690" s="5">
        <v>2643986</v>
      </c>
      <c r="W2690" s="5" t="s">
        <v>582</v>
      </c>
      <c r="AC2690" s="5" t="str">
        <f t="shared" si="130"/>
        <v>CDA</v>
      </c>
      <c r="AD2690" s="5" t="s">
        <v>43</v>
      </c>
      <c r="AE2690" s="5">
        <f t="shared" si="128"/>
        <v>8</v>
      </c>
      <c r="AF2690" s="5">
        <f t="shared" si="129"/>
        <v>2019</v>
      </c>
    </row>
    <row r="2691" s="5" customFormat="1" ht="13">
      <c r="A2691" s="5" t="s">
        <v>544</v>
      </c>
      <c r="B2691" s="5" t="s">
        <v>544</v>
      </c>
      <c r="C2691" s="5" t="s">
        <v>60</v>
      </c>
      <c r="D2691" s="5" t="s">
        <v>21</v>
      </c>
      <c r="E2691" s="5" t="s">
        <v>544</v>
      </c>
      <c r="F2691" s="5" t="s">
        <v>61</v>
      </c>
      <c r="H2691" s="9">
        <v>4067</v>
      </c>
      <c r="I2691" s="10"/>
      <c r="J2691" s="10">
        <v>43703</v>
      </c>
      <c r="K2691" s="5" t="s">
        <v>64</v>
      </c>
      <c r="L2691" s="5" t="s">
        <v>82</v>
      </c>
      <c r="M2691" s="11">
        <v>0.070000000000000007</v>
      </c>
      <c r="N2691" s="5" t="e">
        <f>IF(AND(M2691&gt;#REF!,Cartera!O2691="Guaraníes"),"Rendimiento significativo",IF(AND(M2691&gt;#REF!,Cartera!O2691="Dólares americanos"),"Rendimiento significativo","Rendimiento no significativo"))</f>
        <v>#REF!</v>
      </c>
      <c r="O2691" s="5" t="s">
        <v>41</v>
      </c>
      <c r="P2691" s="12">
        <v>2772603</v>
      </c>
      <c r="Q2691" s="12">
        <f>IF(O2691="Guaraníes",P2691,P2691*#REF!)</f>
        <v>2772603</v>
      </c>
      <c r="R2691" s="12" t="e">
        <f>IF(O2691="Guaraníes",P2691/#REF!,P2691)</f>
        <v>#REF!</v>
      </c>
      <c r="S2691" s="5" t="s">
        <v>52</v>
      </c>
      <c r="V2691" s="5">
        <v>2772603</v>
      </c>
      <c r="W2691" s="5" t="s">
        <v>590</v>
      </c>
      <c r="AC2691" s="5" t="str">
        <f t="shared" si="130"/>
        <v>CDA</v>
      </c>
      <c r="AD2691" s="5" t="s">
        <v>43</v>
      </c>
      <c r="AE2691" s="5">
        <f t="shared" si="128"/>
        <v>8</v>
      </c>
      <c r="AF2691" s="5">
        <f t="shared" si="129"/>
        <v>2019</v>
      </c>
    </row>
    <row r="2692" s="5" customFormat="1" ht="13">
      <c r="A2692" s="5" t="s">
        <v>544</v>
      </c>
      <c r="B2692" s="5" t="s">
        <v>544</v>
      </c>
      <c r="C2692" s="5" t="s">
        <v>114</v>
      </c>
      <c r="D2692" s="5" t="s">
        <v>21</v>
      </c>
      <c r="E2692" s="5" t="s">
        <v>544</v>
      </c>
      <c r="F2692" s="5" t="s">
        <v>68</v>
      </c>
      <c r="H2692" s="9">
        <v>820</v>
      </c>
      <c r="I2692" s="10"/>
      <c r="J2692" s="10">
        <v>43712</v>
      </c>
      <c r="K2692" s="5" t="s">
        <v>77</v>
      </c>
      <c r="L2692" s="5" t="s">
        <v>82</v>
      </c>
      <c r="M2692" s="11">
        <v>0.14999999999999999</v>
      </c>
      <c r="N2692" s="5" t="e">
        <f>IF(AND(M2692&gt;#REF!,Cartera!O2692="Guaraníes"),"Rendimiento significativo",IF(AND(M2692&gt;#REF!,Cartera!O2692="Dólares americanos"),"Rendimiento significativo","Rendimiento no significativo"))</f>
        <v>#REF!</v>
      </c>
      <c r="O2692" s="5" t="s">
        <v>41</v>
      </c>
      <c r="P2692" s="12">
        <v>1541096</v>
      </c>
      <c r="Q2692" s="12">
        <f>IF(O2692="Guaraníes",P2692,P2692*#REF!)</f>
        <v>1541096</v>
      </c>
      <c r="R2692" s="12" t="e">
        <f>IF(O2692="Guaraníes",P2692/#REF!,P2692)</f>
        <v>#REF!</v>
      </c>
      <c r="S2692" s="5" t="s">
        <v>52</v>
      </c>
      <c r="V2692" s="5">
        <v>1541096</v>
      </c>
      <c r="W2692" s="5" t="s">
        <v>591</v>
      </c>
      <c r="AC2692" s="5" t="str">
        <f t="shared" si="130"/>
        <v>CDA</v>
      </c>
      <c r="AD2692" s="5" t="s">
        <v>43</v>
      </c>
      <c r="AE2692" s="5">
        <f t="shared" si="128"/>
        <v>9</v>
      </c>
      <c r="AF2692" s="5">
        <f t="shared" si="129"/>
        <v>2019</v>
      </c>
    </row>
    <row r="2693" s="5" customFormat="1" ht="13">
      <c r="A2693" s="5" t="s">
        <v>544</v>
      </c>
      <c r="B2693" s="5" t="s">
        <v>544</v>
      </c>
      <c r="C2693" s="5" t="s">
        <v>114</v>
      </c>
      <c r="D2693" s="5" t="s">
        <v>21</v>
      </c>
      <c r="E2693" s="5" t="s">
        <v>544</v>
      </c>
      <c r="F2693" s="5" t="s">
        <v>68</v>
      </c>
      <c r="H2693" s="9">
        <v>820</v>
      </c>
      <c r="I2693" s="10"/>
      <c r="J2693" s="10">
        <v>43742</v>
      </c>
      <c r="K2693" s="5" t="s">
        <v>77</v>
      </c>
      <c r="L2693" s="5" t="s">
        <v>82</v>
      </c>
      <c r="M2693" s="11">
        <v>0.14999999999999999</v>
      </c>
      <c r="N2693" s="5" t="e">
        <f>IF(AND(M2693&gt;#REF!,Cartera!O2693="Guaraníes"),"Rendimiento significativo",IF(AND(M2693&gt;#REF!,Cartera!O2693="Dólares americanos"),"Rendimiento significativo","Rendimiento no significativo"))</f>
        <v>#REF!</v>
      </c>
      <c r="O2693" s="5" t="s">
        <v>41</v>
      </c>
      <c r="P2693" s="12">
        <v>1541096</v>
      </c>
      <c r="Q2693" s="12">
        <f>IF(O2693="Guaraníes",P2693,P2693*#REF!)</f>
        <v>1541096</v>
      </c>
      <c r="R2693" s="12" t="e">
        <f>IF(O2693="Guaraníes",P2693/#REF!,P2693)</f>
        <v>#REF!</v>
      </c>
      <c r="S2693" s="5" t="s">
        <v>52</v>
      </c>
      <c r="V2693" s="5">
        <v>1541096</v>
      </c>
      <c r="W2693" s="5" t="s">
        <v>592</v>
      </c>
      <c r="AC2693" s="5" t="str">
        <f t="shared" si="130"/>
        <v>CDA</v>
      </c>
      <c r="AD2693" s="5" t="s">
        <v>43</v>
      </c>
      <c r="AE2693" s="5">
        <f t="shared" si="128"/>
        <v>10</v>
      </c>
      <c r="AF2693" s="5">
        <f t="shared" si="129"/>
        <v>2019</v>
      </c>
    </row>
    <row r="2694" s="5" customFormat="1" ht="13">
      <c r="A2694" s="5" t="s">
        <v>544</v>
      </c>
      <c r="B2694" s="5" t="s">
        <v>544</v>
      </c>
      <c r="C2694" s="5" t="s">
        <v>227</v>
      </c>
      <c r="D2694" s="5" t="s">
        <v>21</v>
      </c>
      <c r="E2694" s="5" t="s">
        <v>544</v>
      </c>
      <c r="F2694" s="5" t="s">
        <v>68</v>
      </c>
      <c r="H2694" s="9">
        <v>122</v>
      </c>
      <c r="I2694" s="10"/>
      <c r="J2694" s="10">
        <v>43745</v>
      </c>
      <c r="K2694" s="5" t="s">
        <v>77</v>
      </c>
      <c r="L2694" s="5" t="s">
        <v>82</v>
      </c>
      <c r="M2694" s="11">
        <v>0</v>
      </c>
      <c r="N2694" s="5" t="e">
        <f>IF(AND(M2694&gt;#REF!,Cartera!O2694="Guaraníes"),"Rendimiento significativo",IF(AND(M2694&gt;#REF!,Cartera!O2694="Dólares americanos"),"Rendimiento significativo","Rendimiento no significativo"))</f>
        <v>#REF!</v>
      </c>
      <c r="O2694" s="5" t="s">
        <v>41</v>
      </c>
      <c r="P2694" s="12">
        <v>3564941</v>
      </c>
      <c r="Q2694" s="12">
        <f>IF(O2694="Guaraníes",P2694,P2694*#REF!)</f>
        <v>3564941</v>
      </c>
      <c r="R2694" s="12" t="e">
        <f>IF(O2694="Guaraníes",P2694/#REF!,P2694)</f>
        <v>#REF!</v>
      </c>
      <c r="S2694" s="5" t="s">
        <v>52</v>
      </c>
      <c r="V2694" s="5">
        <v>3564941</v>
      </c>
      <c r="W2694" s="5" t="s">
        <v>593</v>
      </c>
      <c r="AC2694" s="5" t="str">
        <f t="shared" si="130"/>
        <v>CDA</v>
      </c>
      <c r="AD2694" s="5" t="s">
        <v>43</v>
      </c>
      <c r="AE2694" s="5">
        <f t="shared" si="128"/>
        <v>10</v>
      </c>
      <c r="AF2694" s="5">
        <f t="shared" si="129"/>
        <v>2019</v>
      </c>
    </row>
    <row r="2695" s="5" customFormat="1" ht="13">
      <c r="A2695" s="5" t="s">
        <v>544</v>
      </c>
      <c r="B2695" s="5" t="s">
        <v>544</v>
      </c>
      <c r="C2695" s="5" t="s">
        <v>60</v>
      </c>
      <c r="D2695" s="5" t="s">
        <v>21</v>
      </c>
      <c r="E2695" s="5" t="s">
        <v>544</v>
      </c>
      <c r="F2695" s="5" t="s">
        <v>61</v>
      </c>
      <c r="H2695" s="9">
        <v>4705</v>
      </c>
      <c r="I2695" s="10"/>
      <c r="J2695" s="10">
        <v>43758</v>
      </c>
      <c r="K2695" s="5" t="s">
        <v>64</v>
      </c>
      <c r="L2695" s="5" t="s">
        <v>82</v>
      </c>
      <c r="M2695" s="11">
        <v>0.115</v>
      </c>
      <c r="N2695" s="5" t="e">
        <f>IF(AND(M2695&gt;#REF!,Cartera!O2695="Guaraníes"),"Rendimiento significativo",IF(AND(M2695&gt;#REF!,Cartera!O2695="Dólares americanos"),"Rendimiento significativo","Rendimiento no significativo"))</f>
        <v>#REF!</v>
      </c>
      <c r="O2695" s="5" t="s">
        <v>41</v>
      </c>
      <c r="P2695" s="12">
        <v>2893151</v>
      </c>
      <c r="Q2695" s="12">
        <f>IF(O2695="Guaraníes",P2695,P2695*#REF!)</f>
        <v>2893151</v>
      </c>
      <c r="R2695" s="12" t="e">
        <f>IF(O2695="Guaraníes",P2695/#REF!,P2695)</f>
        <v>#REF!</v>
      </c>
      <c r="S2695" s="5" t="s">
        <v>52</v>
      </c>
      <c r="V2695" s="5">
        <v>2893151</v>
      </c>
      <c r="W2695" s="5" t="s">
        <v>584</v>
      </c>
      <c r="AC2695" s="5" t="str">
        <f t="shared" si="130"/>
        <v>CDA</v>
      </c>
      <c r="AD2695" s="5" t="s">
        <v>43</v>
      </c>
      <c r="AE2695" s="5">
        <f t="shared" si="128"/>
        <v>10</v>
      </c>
      <c r="AF2695" s="5">
        <f t="shared" si="129"/>
        <v>2019</v>
      </c>
    </row>
    <row r="2696" s="5" customFormat="1" ht="13">
      <c r="A2696" s="5" t="s">
        <v>544</v>
      </c>
      <c r="B2696" s="5" t="s">
        <v>544</v>
      </c>
      <c r="C2696" s="5" t="s">
        <v>114</v>
      </c>
      <c r="D2696" s="5" t="s">
        <v>21</v>
      </c>
      <c r="E2696" s="5" t="s">
        <v>544</v>
      </c>
      <c r="F2696" s="5" t="s">
        <v>68</v>
      </c>
      <c r="H2696" s="9">
        <v>820</v>
      </c>
      <c r="I2696" s="10"/>
      <c r="J2696" s="10">
        <v>43773</v>
      </c>
      <c r="K2696" s="5" t="s">
        <v>77</v>
      </c>
      <c r="L2696" s="5" t="s">
        <v>82</v>
      </c>
      <c r="M2696" s="11">
        <v>0.14999999999999999</v>
      </c>
      <c r="N2696" s="5" t="e">
        <f>IF(AND(M2696&gt;#REF!,Cartera!O2696="Guaraníes"),"Rendimiento significativo",IF(AND(M2696&gt;#REF!,Cartera!O2696="Dólares americanos"),"Rendimiento significativo","Rendimiento no significativo"))</f>
        <v>#REF!</v>
      </c>
      <c r="O2696" s="5" t="s">
        <v>41</v>
      </c>
      <c r="P2696" s="12">
        <v>1592466</v>
      </c>
      <c r="Q2696" s="12">
        <f>IF(O2696="Guaraníes",P2696,P2696*#REF!)</f>
        <v>1592466</v>
      </c>
      <c r="R2696" s="12" t="e">
        <f>IF(O2696="Guaraníes",P2696/#REF!,P2696)</f>
        <v>#REF!</v>
      </c>
      <c r="S2696" s="5" t="s">
        <v>52</v>
      </c>
      <c r="V2696" s="5">
        <v>1592466</v>
      </c>
      <c r="W2696" s="5" t="s">
        <v>594</v>
      </c>
      <c r="AC2696" s="5" t="str">
        <f t="shared" si="130"/>
        <v>CDA</v>
      </c>
      <c r="AD2696" s="5" t="s">
        <v>43</v>
      </c>
      <c r="AE2696" s="5">
        <f t="shared" si="128"/>
        <v>11</v>
      </c>
      <c r="AF2696" s="5">
        <f t="shared" si="129"/>
        <v>2019</v>
      </c>
    </row>
    <row r="2697" s="5" customFormat="1" ht="13">
      <c r="A2697" s="5" t="s">
        <v>544</v>
      </c>
      <c r="B2697" s="5" t="s">
        <v>544</v>
      </c>
      <c r="C2697" s="5" t="s">
        <v>116</v>
      </c>
      <c r="D2697" s="5" t="s">
        <v>21</v>
      </c>
      <c r="E2697" s="5" t="s">
        <v>544</v>
      </c>
      <c r="F2697" s="5" t="s">
        <v>68</v>
      </c>
      <c r="H2697" s="9">
        <v>3009</v>
      </c>
      <c r="I2697" s="10"/>
      <c r="J2697" s="10">
        <v>43788</v>
      </c>
      <c r="K2697" s="5" t="s">
        <v>118</v>
      </c>
      <c r="L2697" s="5" t="s">
        <v>82</v>
      </c>
      <c r="M2697" s="11">
        <v>0.074999999999999997</v>
      </c>
      <c r="N2697" s="5" t="e">
        <f>IF(AND(M2697&gt;#REF!,Cartera!O2697="Guaraníes"),"Rendimiento significativo",IF(AND(M2697&gt;#REF!,Cartera!O2697="Dólares americanos"),"Rendimiento significativo","Rendimiento no significativo"))</f>
        <v>#REF!</v>
      </c>
      <c r="O2697" s="5" t="s">
        <v>41</v>
      </c>
      <c r="P2697" s="12">
        <v>2673041</v>
      </c>
      <c r="Q2697" s="12">
        <f>IF(O2697="Guaraníes",P2697,P2697*#REF!)</f>
        <v>2673041</v>
      </c>
      <c r="R2697" s="12" t="e">
        <f>IF(O2697="Guaraníes",P2697/#REF!,P2697)</f>
        <v>#REF!</v>
      </c>
      <c r="S2697" s="5" t="s">
        <v>52</v>
      </c>
      <c r="V2697" s="5">
        <v>2673041</v>
      </c>
      <c r="W2697" s="5" t="s">
        <v>587</v>
      </c>
      <c r="AC2697" s="5" t="str">
        <f t="shared" si="130"/>
        <v>CDA</v>
      </c>
      <c r="AD2697" s="5" t="s">
        <v>43</v>
      </c>
      <c r="AE2697" s="5">
        <f t="shared" si="128"/>
        <v>11</v>
      </c>
      <c r="AF2697" s="5">
        <f t="shared" si="129"/>
        <v>2019</v>
      </c>
    </row>
    <row r="2698" s="5" customFormat="1" ht="13">
      <c r="A2698" s="5" t="s">
        <v>544</v>
      </c>
      <c r="B2698" s="5" t="s">
        <v>544</v>
      </c>
      <c r="C2698" s="5" t="s">
        <v>60</v>
      </c>
      <c r="D2698" s="5" t="s">
        <v>21</v>
      </c>
      <c r="E2698" s="5" t="s">
        <v>544</v>
      </c>
      <c r="F2698" s="5" t="s">
        <v>61</v>
      </c>
      <c r="H2698" s="9">
        <v>4067</v>
      </c>
      <c r="I2698" s="10"/>
      <c r="J2698" s="10">
        <v>43791</v>
      </c>
      <c r="K2698" s="5" t="s">
        <v>64</v>
      </c>
      <c r="L2698" s="5" t="s">
        <v>82</v>
      </c>
      <c r="M2698" s="11">
        <v>0.070000000000000007</v>
      </c>
      <c r="N2698" s="5" t="e">
        <f>IF(AND(M2698&gt;#REF!,Cartera!O2698="Guaraníes"),"Rendimiento significativo",IF(AND(M2698&gt;#REF!,Cartera!O2698="Dólares americanos"),"Rendimiento significativo","Rendimiento no significativo"))</f>
        <v>#REF!</v>
      </c>
      <c r="O2698" s="5" t="s">
        <v>41</v>
      </c>
      <c r="P2698" s="12">
        <v>2772603</v>
      </c>
      <c r="Q2698" s="12">
        <f>IF(O2698="Guaraníes",P2698,P2698*#REF!)</f>
        <v>2772603</v>
      </c>
      <c r="R2698" s="12" t="e">
        <f>IF(O2698="Guaraníes",P2698/#REF!,P2698)</f>
        <v>#REF!</v>
      </c>
      <c r="S2698" s="5" t="s">
        <v>52</v>
      </c>
      <c r="V2698" s="5">
        <v>2772603</v>
      </c>
      <c r="W2698" s="5" t="s">
        <v>595</v>
      </c>
      <c r="AC2698" s="5" t="str">
        <f t="shared" si="130"/>
        <v>CDA</v>
      </c>
      <c r="AD2698" s="5" t="s">
        <v>43</v>
      </c>
      <c r="AE2698" s="5">
        <f t="shared" si="128"/>
        <v>11</v>
      </c>
      <c r="AF2698" s="5">
        <f t="shared" si="129"/>
        <v>2019</v>
      </c>
    </row>
    <row r="2699" s="5" customFormat="1" ht="13">
      <c r="A2699" s="5" t="s">
        <v>544</v>
      </c>
      <c r="B2699" s="5" t="s">
        <v>544</v>
      </c>
      <c r="C2699" s="5" t="s">
        <v>114</v>
      </c>
      <c r="D2699" s="5" t="s">
        <v>21</v>
      </c>
      <c r="E2699" s="5" t="s">
        <v>544</v>
      </c>
      <c r="F2699" s="5" t="s">
        <v>68</v>
      </c>
      <c r="H2699" s="9">
        <v>820</v>
      </c>
      <c r="I2699" s="10"/>
      <c r="J2699" s="10">
        <v>43803</v>
      </c>
      <c r="K2699" s="5" t="s">
        <v>77</v>
      </c>
      <c r="L2699" s="5" t="s">
        <v>82</v>
      </c>
      <c r="M2699" s="11">
        <v>0.14999999999999999</v>
      </c>
      <c r="N2699" s="5" t="e">
        <f>IF(AND(M2699&gt;#REF!,Cartera!O2699="Guaraníes"),"Rendimiento significativo",IF(AND(M2699&gt;#REF!,Cartera!O2699="Dólares americanos"),"Rendimiento significativo","Rendimiento no significativo"))</f>
        <v>#REF!</v>
      </c>
      <c r="O2699" s="5" t="s">
        <v>41</v>
      </c>
      <c r="P2699" s="12">
        <v>1541096</v>
      </c>
      <c r="Q2699" s="12">
        <f>IF(O2699="Guaraníes",P2699,P2699*#REF!)</f>
        <v>1541096</v>
      </c>
      <c r="R2699" s="12" t="e">
        <f>IF(O2699="Guaraníes",P2699/#REF!,P2699)</f>
        <v>#REF!</v>
      </c>
      <c r="S2699" s="5" t="s">
        <v>52</v>
      </c>
      <c r="V2699" s="5">
        <v>1541096</v>
      </c>
      <c r="W2699" s="5" t="s">
        <v>596</v>
      </c>
      <c r="AC2699" s="5" t="str">
        <f t="shared" si="130"/>
        <v>CDA</v>
      </c>
      <c r="AD2699" s="5" t="s">
        <v>43</v>
      </c>
      <c r="AE2699" s="5">
        <f t="shared" si="128"/>
        <v>12</v>
      </c>
      <c r="AF2699" s="5">
        <f t="shared" si="129"/>
        <v>2019</v>
      </c>
    </row>
    <row r="2700" s="5" customFormat="1" ht="13">
      <c r="A2700" s="5" t="s">
        <v>544</v>
      </c>
      <c r="B2700" s="5" t="s">
        <v>544</v>
      </c>
      <c r="C2700" s="5" t="s">
        <v>114</v>
      </c>
      <c r="D2700" s="5" t="s">
        <v>21</v>
      </c>
      <c r="E2700" s="5" t="s">
        <v>544</v>
      </c>
      <c r="F2700" s="5" t="s">
        <v>68</v>
      </c>
      <c r="H2700" s="9">
        <v>820</v>
      </c>
      <c r="I2700" s="10"/>
      <c r="J2700" s="10">
        <v>43833</v>
      </c>
      <c r="K2700" s="5" t="s">
        <v>77</v>
      </c>
      <c r="L2700" s="5" t="s">
        <v>82</v>
      </c>
      <c r="M2700" s="11">
        <v>0.14999999999999999</v>
      </c>
      <c r="N2700" s="5" t="e">
        <f>IF(AND(M2700&gt;#REF!,Cartera!O2700="Guaraníes"),"Rendimiento significativo",IF(AND(M2700&gt;#REF!,Cartera!O2700="Dólares americanos"),"Rendimiento significativo","Rendimiento no significativo"))</f>
        <v>#REF!</v>
      </c>
      <c r="O2700" s="5" t="s">
        <v>41</v>
      </c>
      <c r="P2700" s="12">
        <v>1541096</v>
      </c>
      <c r="Q2700" s="12">
        <f>IF(O2700="Guaraníes",P2700,P2700*#REF!)</f>
        <v>1541096</v>
      </c>
      <c r="R2700" s="12" t="e">
        <f>IF(O2700="Guaraníes",P2700/#REF!,P2700)</f>
        <v>#REF!</v>
      </c>
      <c r="S2700" s="5" t="s">
        <v>52</v>
      </c>
      <c r="V2700" s="5">
        <v>1541096</v>
      </c>
      <c r="W2700" s="5" t="s">
        <v>597</v>
      </c>
      <c r="AC2700" s="5" t="str">
        <f t="shared" si="130"/>
        <v>CDA</v>
      </c>
      <c r="AD2700" s="5" t="s">
        <v>43</v>
      </c>
      <c r="AE2700" s="5">
        <f t="shared" si="128"/>
        <v>1</v>
      </c>
      <c r="AF2700" s="5">
        <f t="shared" si="129"/>
        <v>2020</v>
      </c>
    </row>
    <row r="2701" s="5" customFormat="1" ht="13">
      <c r="A2701" s="5" t="s">
        <v>544</v>
      </c>
      <c r="B2701" s="5" t="s">
        <v>544</v>
      </c>
      <c r="C2701" s="5" t="s">
        <v>227</v>
      </c>
      <c r="D2701" s="5" t="s">
        <v>21</v>
      </c>
      <c r="E2701" s="5" t="s">
        <v>544</v>
      </c>
      <c r="F2701" s="5" t="s">
        <v>68</v>
      </c>
      <c r="H2701" s="9">
        <v>122</v>
      </c>
      <c r="I2701" s="10"/>
      <c r="J2701" s="10">
        <v>43837</v>
      </c>
      <c r="K2701" s="5" t="s">
        <v>77</v>
      </c>
      <c r="L2701" s="5" t="s">
        <v>82</v>
      </c>
      <c r="M2701" s="11">
        <v>0</v>
      </c>
      <c r="N2701" s="5" t="e">
        <f>IF(AND(M2701&gt;#REF!,Cartera!O2701="Guaraníes"),"Rendimiento significativo",IF(AND(M2701&gt;#REF!,Cartera!O2701="Dólares americanos"),"Rendimiento significativo","Rendimiento no significativo"))</f>
        <v>#REF!</v>
      </c>
      <c r="O2701" s="5" t="s">
        <v>41</v>
      </c>
      <c r="P2701" s="12">
        <v>3564941</v>
      </c>
      <c r="Q2701" s="12">
        <f>IF(O2701="Guaraníes",P2701,P2701*#REF!)</f>
        <v>3564941</v>
      </c>
      <c r="R2701" s="12" t="e">
        <f>IF(O2701="Guaraníes",P2701/#REF!,P2701)</f>
        <v>#REF!</v>
      </c>
      <c r="S2701" s="5" t="s">
        <v>52</v>
      </c>
      <c r="V2701" s="5">
        <v>3564941</v>
      </c>
      <c r="W2701" s="5" t="s">
        <v>598</v>
      </c>
      <c r="AC2701" s="5" t="str">
        <f t="shared" si="130"/>
        <v>CDA</v>
      </c>
      <c r="AD2701" s="5" t="s">
        <v>43</v>
      </c>
      <c r="AE2701" s="5">
        <f t="shared" si="128"/>
        <v>1</v>
      </c>
      <c r="AF2701" s="5">
        <f t="shared" si="129"/>
        <v>2020</v>
      </c>
    </row>
    <row r="2702" s="5" customFormat="1" ht="13">
      <c r="A2702" s="5" t="s">
        <v>544</v>
      </c>
      <c r="B2702" s="5" t="s">
        <v>544</v>
      </c>
      <c r="C2702" s="5" t="s">
        <v>79</v>
      </c>
      <c r="D2702" s="5" t="s">
        <v>21</v>
      </c>
      <c r="E2702" s="5" t="s">
        <v>544</v>
      </c>
      <c r="F2702" s="5" t="s">
        <v>68</v>
      </c>
      <c r="H2702" s="9">
        <v>2716</v>
      </c>
      <c r="I2702" s="10"/>
      <c r="J2702" s="10">
        <v>43839</v>
      </c>
      <c r="K2702" s="5" t="s">
        <v>81</v>
      </c>
      <c r="L2702" s="5" t="s">
        <v>82</v>
      </c>
      <c r="M2702" s="11">
        <v>0</v>
      </c>
      <c r="N2702" s="5" t="e">
        <f>IF(AND(M2702&gt;#REF!,Cartera!O2702="Guaraníes"),"Rendimiento significativo",IF(AND(M2702&gt;#REF!,Cartera!O2702="Dólares americanos"),"Rendimiento significativo","Rendimiento no significativo"))</f>
        <v>#REF!</v>
      </c>
      <c r="O2702" s="5" t="s">
        <v>41</v>
      </c>
      <c r="P2702" s="12">
        <v>4763014</v>
      </c>
      <c r="Q2702" s="12">
        <f>IF(O2702="Guaraníes",P2702,P2702*#REF!)</f>
        <v>4763014</v>
      </c>
      <c r="R2702" s="12" t="e">
        <f>IF(O2702="Guaraníes",P2702/#REF!,P2702)</f>
        <v>#REF!</v>
      </c>
      <c r="S2702" s="5" t="s">
        <v>52</v>
      </c>
      <c r="V2702" s="5">
        <v>4763014</v>
      </c>
      <c r="W2702" s="5" t="s">
        <v>599</v>
      </c>
      <c r="AC2702" s="5" t="str">
        <f t="shared" si="130"/>
        <v>CDA</v>
      </c>
      <c r="AD2702" s="5" t="s">
        <v>43</v>
      </c>
      <c r="AE2702" s="5">
        <f t="shared" si="128"/>
        <v>1</v>
      </c>
      <c r="AF2702" s="5">
        <f t="shared" si="129"/>
        <v>2020</v>
      </c>
    </row>
    <row r="2703" s="5" customFormat="1" ht="13">
      <c r="A2703" s="5" t="s">
        <v>544</v>
      </c>
      <c r="B2703" s="5" t="s">
        <v>544</v>
      </c>
      <c r="C2703" s="5" t="s">
        <v>60</v>
      </c>
      <c r="D2703" s="5" t="s">
        <v>21</v>
      </c>
      <c r="E2703" s="5" t="s">
        <v>544</v>
      </c>
      <c r="F2703" s="5" t="s">
        <v>61</v>
      </c>
      <c r="H2703" s="9">
        <v>4705</v>
      </c>
      <c r="I2703" s="10"/>
      <c r="J2703" s="10">
        <v>43846</v>
      </c>
      <c r="K2703" s="5" t="s">
        <v>64</v>
      </c>
      <c r="L2703" s="5" t="s">
        <v>82</v>
      </c>
      <c r="M2703" s="11">
        <v>0.115</v>
      </c>
      <c r="N2703" s="5" t="e">
        <f>IF(AND(M2703&gt;#REF!,Cartera!O2703="Guaraníes"),"Rendimiento significativo",IF(AND(M2703&gt;#REF!,Cartera!O2703="Dólares americanos"),"Rendimiento significativo","Rendimiento no significativo"))</f>
        <v>#REF!</v>
      </c>
      <c r="O2703" s="5" t="s">
        <v>41</v>
      </c>
      <c r="P2703" s="12">
        <v>2893151</v>
      </c>
      <c r="Q2703" s="12">
        <f>IF(O2703="Guaraníes",P2703,P2703*#REF!)</f>
        <v>2893151</v>
      </c>
      <c r="R2703" s="12" t="e">
        <f>IF(O2703="Guaraníes",P2703/#REF!,P2703)</f>
        <v>#REF!</v>
      </c>
      <c r="S2703" s="5" t="s">
        <v>52</v>
      </c>
      <c r="V2703" s="5">
        <v>2893151</v>
      </c>
      <c r="W2703" s="5" t="s">
        <v>590</v>
      </c>
      <c r="AC2703" s="5" t="str">
        <f t="shared" si="130"/>
        <v>CDA</v>
      </c>
      <c r="AD2703" s="5" t="s">
        <v>43</v>
      </c>
      <c r="AE2703" s="5">
        <f t="shared" si="128"/>
        <v>1</v>
      </c>
      <c r="AF2703" s="5">
        <f t="shared" si="129"/>
        <v>2020</v>
      </c>
    </row>
    <row r="2704" s="5" customFormat="1" ht="13">
      <c r="A2704" s="5" t="s">
        <v>544</v>
      </c>
      <c r="B2704" s="5" t="s">
        <v>544</v>
      </c>
      <c r="C2704" s="5" t="s">
        <v>114</v>
      </c>
      <c r="D2704" s="5" t="s">
        <v>21</v>
      </c>
      <c r="E2704" s="5" t="s">
        <v>544</v>
      </c>
      <c r="F2704" s="5" t="s">
        <v>68</v>
      </c>
      <c r="H2704" s="9">
        <v>820</v>
      </c>
      <c r="I2704" s="10"/>
      <c r="J2704" s="10">
        <v>43864</v>
      </c>
      <c r="K2704" s="5" t="s">
        <v>77</v>
      </c>
      <c r="L2704" s="5" t="s">
        <v>82</v>
      </c>
      <c r="M2704" s="11">
        <v>0.14999999999999999</v>
      </c>
      <c r="N2704" s="5" t="e">
        <f>IF(AND(M2704&gt;#REF!,Cartera!O2704="Guaraníes"),"Rendimiento significativo",IF(AND(M2704&gt;#REF!,Cartera!O2704="Dólares americanos"),"Rendimiento significativo","Rendimiento no significativo"))</f>
        <v>#REF!</v>
      </c>
      <c r="O2704" s="5" t="s">
        <v>41</v>
      </c>
      <c r="P2704" s="12">
        <v>1592466</v>
      </c>
      <c r="Q2704" s="12">
        <f>IF(O2704="Guaraníes",P2704,P2704*#REF!)</f>
        <v>1592466</v>
      </c>
      <c r="R2704" s="12" t="e">
        <f>IF(O2704="Guaraníes",P2704/#REF!,P2704)</f>
        <v>#REF!</v>
      </c>
      <c r="S2704" s="5" t="s">
        <v>52</v>
      </c>
      <c r="V2704" s="5">
        <v>1592466</v>
      </c>
      <c r="W2704" s="5" t="s">
        <v>600</v>
      </c>
      <c r="AC2704" s="5" t="str">
        <f t="shared" si="130"/>
        <v>CDA</v>
      </c>
      <c r="AD2704" s="5" t="s">
        <v>43</v>
      </c>
      <c r="AE2704" s="5">
        <f t="shared" si="128"/>
        <v>2</v>
      </c>
      <c r="AF2704" s="5">
        <f t="shared" si="129"/>
        <v>2020</v>
      </c>
    </row>
    <row r="2705" s="5" customFormat="1" ht="13">
      <c r="A2705" s="5" t="s">
        <v>544</v>
      </c>
      <c r="B2705" s="5" t="s">
        <v>544</v>
      </c>
      <c r="C2705" s="5" t="s">
        <v>60</v>
      </c>
      <c r="D2705" s="5" t="s">
        <v>21</v>
      </c>
      <c r="E2705" s="5" t="s">
        <v>544</v>
      </c>
      <c r="F2705" s="5" t="s">
        <v>61</v>
      </c>
      <c r="H2705" s="9">
        <v>4067</v>
      </c>
      <c r="I2705" s="10"/>
      <c r="J2705" s="10">
        <v>43879</v>
      </c>
      <c r="K2705" s="5" t="s">
        <v>64</v>
      </c>
      <c r="L2705" s="5" t="s">
        <v>82</v>
      </c>
      <c r="M2705" s="11">
        <v>0.070000000000000007</v>
      </c>
      <c r="N2705" s="5" t="e">
        <f>IF(AND(M2705&gt;#REF!,Cartera!O2705="Guaraníes"),"Rendimiento significativo",IF(AND(M2705&gt;#REF!,Cartera!O2705="Dólares americanos"),"Rendimiento significativo","Rendimiento no significativo"))</f>
        <v>#REF!</v>
      </c>
      <c r="O2705" s="5" t="s">
        <v>41</v>
      </c>
      <c r="P2705" s="12">
        <v>2772603</v>
      </c>
      <c r="Q2705" s="12">
        <f>IF(O2705="Guaraníes",P2705,P2705*#REF!)</f>
        <v>2772603</v>
      </c>
      <c r="R2705" s="12" t="e">
        <f>IF(O2705="Guaraníes",P2705/#REF!,P2705)</f>
        <v>#REF!</v>
      </c>
      <c r="S2705" s="5" t="s">
        <v>52</v>
      </c>
      <c r="V2705" s="5">
        <v>2772603</v>
      </c>
      <c r="W2705" s="5" t="s">
        <v>601</v>
      </c>
      <c r="AC2705" s="5" t="str">
        <f t="shared" si="130"/>
        <v>CDA</v>
      </c>
      <c r="AD2705" s="5" t="s">
        <v>43</v>
      </c>
      <c r="AE2705" s="5">
        <f t="shared" si="128"/>
        <v>2</v>
      </c>
      <c r="AF2705" s="5">
        <f t="shared" si="129"/>
        <v>2020</v>
      </c>
    </row>
    <row r="2706" s="5" customFormat="1" ht="13">
      <c r="A2706" s="5" t="s">
        <v>544</v>
      </c>
      <c r="B2706" s="5" t="s">
        <v>544</v>
      </c>
      <c r="C2706" s="5" t="s">
        <v>116</v>
      </c>
      <c r="D2706" s="5" t="s">
        <v>21</v>
      </c>
      <c r="E2706" s="5" t="s">
        <v>544</v>
      </c>
      <c r="F2706" s="5" t="s">
        <v>68</v>
      </c>
      <c r="H2706" s="9">
        <v>3009</v>
      </c>
      <c r="I2706" s="10"/>
      <c r="J2706" s="10">
        <v>43880</v>
      </c>
      <c r="K2706" s="5" t="s">
        <v>118</v>
      </c>
      <c r="L2706" s="5" t="s">
        <v>82</v>
      </c>
      <c r="M2706" s="11">
        <v>0.074999999999999997</v>
      </c>
      <c r="N2706" s="5" t="e">
        <f>IF(AND(M2706&gt;#REF!,Cartera!O2706="Guaraníes"),"Rendimiento significativo",IF(AND(M2706&gt;#REF!,Cartera!O2706="Dólares americanos"),"Rendimiento significativo","Rendimiento no significativo"))</f>
        <v>#REF!</v>
      </c>
      <c r="O2706" s="5" t="s">
        <v>41</v>
      </c>
      <c r="P2706" s="12">
        <v>2673041</v>
      </c>
      <c r="Q2706" s="12">
        <f>IF(O2706="Guaraníes",P2706,P2706*#REF!)</f>
        <v>2673041</v>
      </c>
      <c r="R2706" s="12" t="e">
        <f>IF(O2706="Guaraníes",P2706/#REF!,P2706)</f>
        <v>#REF!</v>
      </c>
      <c r="S2706" s="5" t="s">
        <v>52</v>
      </c>
      <c r="V2706" s="5">
        <v>2673041</v>
      </c>
      <c r="W2706" s="5" t="s">
        <v>593</v>
      </c>
      <c r="AC2706" s="5" t="str">
        <f t="shared" si="130"/>
        <v>CDA</v>
      </c>
      <c r="AD2706" s="5" t="s">
        <v>43</v>
      </c>
      <c r="AE2706" s="5">
        <f t="shared" ref="AE2706:AE2769" si="131">IFERROR((MONTH(J2706)),0)</f>
        <v>2</v>
      </c>
      <c r="AF2706" s="5">
        <f t="shared" ref="AF2706:AF2769" si="132">IFERROR((YEAR(J2706)),0)</f>
        <v>2020</v>
      </c>
    </row>
    <row r="2707" s="5" customFormat="1" ht="13">
      <c r="A2707" s="5" t="s">
        <v>544</v>
      </c>
      <c r="B2707" s="5" t="s">
        <v>544</v>
      </c>
      <c r="C2707" s="5" t="s">
        <v>114</v>
      </c>
      <c r="D2707" s="5" t="s">
        <v>21</v>
      </c>
      <c r="E2707" s="5" t="s">
        <v>544</v>
      </c>
      <c r="F2707" s="5" t="s">
        <v>68</v>
      </c>
      <c r="H2707" s="9">
        <v>820</v>
      </c>
      <c r="I2707" s="10"/>
      <c r="J2707" s="10">
        <v>43894</v>
      </c>
      <c r="K2707" s="5" t="s">
        <v>77</v>
      </c>
      <c r="L2707" s="5" t="s">
        <v>82</v>
      </c>
      <c r="M2707" s="11">
        <v>0.14999999999999999</v>
      </c>
      <c r="N2707" s="5" t="e">
        <f>IF(AND(M2707&gt;#REF!,Cartera!O2707="Guaraníes"),"Rendimiento significativo",IF(AND(M2707&gt;#REF!,Cartera!O2707="Dólares americanos"),"Rendimiento significativo","Rendimiento no significativo"))</f>
        <v>#REF!</v>
      </c>
      <c r="O2707" s="5" t="s">
        <v>41</v>
      </c>
      <c r="P2707" s="12">
        <v>1541096</v>
      </c>
      <c r="Q2707" s="12">
        <f>IF(O2707="Guaraníes",P2707,P2707*#REF!)</f>
        <v>1541096</v>
      </c>
      <c r="R2707" s="12" t="e">
        <f>IF(O2707="Guaraníes",P2707/#REF!,P2707)</f>
        <v>#REF!</v>
      </c>
      <c r="S2707" s="5" t="s">
        <v>52</v>
      </c>
      <c r="V2707" s="5">
        <v>1541096</v>
      </c>
      <c r="W2707" s="5" t="s">
        <v>602</v>
      </c>
      <c r="AC2707" s="5" t="str">
        <f t="shared" si="130"/>
        <v>CDA</v>
      </c>
      <c r="AD2707" s="5" t="s">
        <v>43</v>
      </c>
      <c r="AE2707" s="5">
        <f t="shared" si="131"/>
        <v>3</v>
      </c>
      <c r="AF2707" s="5">
        <f t="shared" si="132"/>
        <v>2020</v>
      </c>
    </row>
    <row r="2708" s="5" customFormat="1" ht="13">
      <c r="A2708" s="5" t="s">
        <v>544</v>
      </c>
      <c r="B2708" s="5" t="s">
        <v>544</v>
      </c>
      <c r="C2708" s="5" t="s">
        <v>114</v>
      </c>
      <c r="D2708" s="5" t="s">
        <v>21</v>
      </c>
      <c r="E2708" s="5" t="s">
        <v>544</v>
      </c>
      <c r="F2708" s="5" t="s">
        <v>68</v>
      </c>
      <c r="H2708" s="9">
        <v>820</v>
      </c>
      <c r="I2708" s="10"/>
      <c r="J2708" s="10">
        <v>43924</v>
      </c>
      <c r="K2708" s="5" t="s">
        <v>77</v>
      </c>
      <c r="L2708" s="5" t="s">
        <v>82</v>
      </c>
      <c r="M2708" s="11">
        <v>0.14999999999999999</v>
      </c>
      <c r="N2708" s="5" t="e">
        <f>IF(AND(M2708&gt;#REF!,Cartera!O2708="Guaraníes"),"Rendimiento significativo",IF(AND(M2708&gt;#REF!,Cartera!O2708="Dólares americanos"),"Rendimiento significativo","Rendimiento no significativo"))</f>
        <v>#REF!</v>
      </c>
      <c r="O2708" s="5" t="s">
        <v>41</v>
      </c>
      <c r="P2708" s="12">
        <v>1541096</v>
      </c>
      <c r="Q2708" s="12">
        <f>IF(O2708="Guaraníes",P2708,P2708*#REF!)</f>
        <v>1541096</v>
      </c>
      <c r="R2708" s="12" t="e">
        <f>IF(O2708="Guaraníes",P2708/#REF!,P2708)</f>
        <v>#REF!</v>
      </c>
      <c r="S2708" s="5" t="s">
        <v>52</v>
      </c>
      <c r="V2708" s="5">
        <v>1541096</v>
      </c>
      <c r="W2708" s="5" t="s">
        <v>603</v>
      </c>
      <c r="AC2708" s="5" t="str">
        <f t="shared" si="130"/>
        <v>CDA</v>
      </c>
      <c r="AD2708" s="5" t="s">
        <v>43</v>
      </c>
      <c r="AE2708" s="5">
        <f t="shared" si="131"/>
        <v>4</v>
      </c>
      <c r="AF2708" s="5">
        <f t="shared" si="132"/>
        <v>2020</v>
      </c>
    </row>
    <row r="2709" s="5" customFormat="1" ht="13">
      <c r="A2709" s="5" t="s">
        <v>544</v>
      </c>
      <c r="B2709" s="5" t="s">
        <v>544</v>
      </c>
      <c r="C2709" s="5" t="s">
        <v>227</v>
      </c>
      <c r="D2709" s="5" t="s">
        <v>21</v>
      </c>
      <c r="E2709" s="5" t="s">
        <v>544</v>
      </c>
      <c r="F2709" s="5" t="s">
        <v>68</v>
      </c>
      <c r="H2709" s="9">
        <v>122</v>
      </c>
      <c r="I2709" s="10"/>
      <c r="J2709" s="10">
        <v>43928</v>
      </c>
      <c r="K2709" s="5" t="s">
        <v>77</v>
      </c>
      <c r="L2709" s="5" t="s">
        <v>82</v>
      </c>
      <c r="M2709" s="11">
        <v>0</v>
      </c>
      <c r="N2709" s="5" t="e">
        <f>IF(AND(M2709&gt;#REF!,Cartera!O2709="Guaraníes"),"Rendimiento significativo",IF(AND(M2709&gt;#REF!,Cartera!O2709="Dólares americanos"),"Rendimiento significativo","Rendimiento no significativo"))</f>
        <v>#REF!</v>
      </c>
      <c r="O2709" s="5" t="s">
        <v>41</v>
      </c>
      <c r="P2709" s="12">
        <v>3564941</v>
      </c>
      <c r="Q2709" s="12">
        <f>IF(O2709="Guaraníes",P2709,P2709*#REF!)</f>
        <v>3564941</v>
      </c>
      <c r="R2709" s="12" t="e">
        <f>IF(O2709="Guaraníes",P2709/#REF!,P2709)</f>
        <v>#REF!</v>
      </c>
      <c r="S2709" s="5" t="s">
        <v>52</v>
      </c>
      <c r="V2709" s="5">
        <v>3564941</v>
      </c>
      <c r="W2709" s="5" t="s">
        <v>366</v>
      </c>
      <c r="AC2709" s="5" t="str">
        <f t="shared" si="130"/>
        <v>CDA</v>
      </c>
      <c r="AD2709" s="5" t="s">
        <v>43</v>
      </c>
      <c r="AE2709" s="5">
        <f t="shared" si="131"/>
        <v>4</v>
      </c>
      <c r="AF2709" s="5">
        <f t="shared" si="132"/>
        <v>2020</v>
      </c>
    </row>
    <row r="2710" s="5" customFormat="1" ht="13">
      <c r="A2710" s="5" t="s">
        <v>544</v>
      </c>
      <c r="B2710" s="5" t="s">
        <v>544</v>
      </c>
      <c r="C2710" s="5" t="s">
        <v>60</v>
      </c>
      <c r="D2710" s="5" t="s">
        <v>21</v>
      </c>
      <c r="E2710" s="5" t="s">
        <v>544</v>
      </c>
      <c r="F2710" s="5" t="s">
        <v>61</v>
      </c>
      <c r="H2710" s="9">
        <v>4705</v>
      </c>
      <c r="I2710" s="10"/>
      <c r="J2710" s="10">
        <v>43934</v>
      </c>
      <c r="K2710" s="5" t="s">
        <v>64</v>
      </c>
      <c r="L2710" s="5" t="s">
        <v>82</v>
      </c>
      <c r="M2710" s="11">
        <v>0.115</v>
      </c>
      <c r="N2710" s="5" t="e">
        <f>IF(AND(M2710&gt;#REF!,Cartera!O2710="Guaraníes"),"Rendimiento significativo",IF(AND(M2710&gt;#REF!,Cartera!O2710="Dólares americanos"),"Rendimiento significativo","Rendimiento no significativo"))</f>
        <v>#REF!</v>
      </c>
      <c r="O2710" s="5" t="s">
        <v>41</v>
      </c>
      <c r="P2710" s="12">
        <v>2893151</v>
      </c>
      <c r="Q2710" s="12">
        <f>IF(O2710="Guaraníes",P2710,P2710*#REF!)</f>
        <v>2893151</v>
      </c>
      <c r="R2710" s="12" t="e">
        <f>IF(O2710="Guaraníes",P2710/#REF!,P2710)</f>
        <v>#REF!</v>
      </c>
      <c r="S2710" s="5" t="s">
        <v>52</v>
      </c>
      <c r="V2710" s="5">
        <v>2893151</v>
      </c>
      <c r="W2710" s="5" t="s">
        <v>595</v>
      </c>
      <c r="AC2710" s="5" t="str">
        <f t="shared" si="130"/>
        <v>CDA</v>
      </c>
      <c r="AD2710" s="5" t="s">
        <v>43</v>
      </c>
      <c r="AE2710" s="5">
        <f t="shared" si="131"/>
        <v>4</v>
      </c>
      <c r="AF2710" s="5">
        <f t="shared" si="132"/>
        <v>2020</v>
      </c>
    </row>
    <row r="2711" s="5" customFormat="1" ht="13">
      <c r="A2711" s="5" t="s">
        <v>544</v>
      </c>
      <c r="B2711" s="5" t="s">
        <v>544</v>
      </c>
      <c r="C2711" s="5" t="s">
        <v>114</v>
      </c>
      <c r="D2711" s="5" t="s">
        <v>21</v>
      </c>
      <c r="E2711" s="5" t="s">
        <v>544</v>
      </c>
      <c r="F2711" s="5" t="s">
        <v>68</v>
      </c>
      <c r="H2711" s="9">
        <v>820</v>
      </c>
      <c r="I2711" s="10"/>
      <c r="J2711" s="10">
        <v>43955</v>
      </c>
      <c r="K2711" s="5" t="s">
        <v>77</v>
      </c>
      <c r="L2711" s="5" t="s">
        <v>82</v>
      </c>
      <c r="M2711" s="11">
        <v>0.14999999999999999</v>
      </c>
      <c r="N2711" s="5" t="e">
        <f>IF(AND(M2711&gt;#REF!,Cartera!O2711="Guaraníes"),"Rendimiento significativo",IF(AND(M2711&gt;#REF!,Cartera!O2711="Dólares americanos"),"Rendimiento significativo","Rendimiento no significativo"))</f>
        <v>#REF!</v>
      </c>
      <c r="O2711" s="5" t="s">
        <v>41</v>
      </c>
      <c r="P2711" s="12">
        <v>1592466</v>
      </c>
      <c r="Q2711" s="12">
        <f>IF(O2711="Guaraníes",P2711,P2711*#REF!)</f>
        <v>1592466</v>
      </c>
      <c r="R2711" s="12" t="e">
        <f>IF(O2711="Guaraníes",P2711/#REF!,P2711)</f>
        <v>#REF!</v>
      </c>
      <c r="S2711" s="5" t="s">
        <v>52</v>
      </c>
      <c r="V2711" s="5">
        <v>1592466</v>
      </c>
      <c r="W2711" s="5" t="s">
        <v>604</v>
      </c>
      <c r="AC2711" s="5" t="str">
        <f t="shared" si="130"/>
        <v>CDA</v>
      </c>
      <c r="AD2711" s="5" t="s">
        <v>43</v>
      </c>
      <c r="AE2711" s="5">
        <f t="shared" si="131"/>
        <v>5</v>
      </c>
      <c r="AF2711" s="5">
        <f t="shared" si="132"/>
        <v>2020</v>
      </c>
    </row>
    <row r="2712" s="5" customFormat="1" ht="13">
      <c r="A2712" s="5" t="s">
        <v>544</v>
      </c>
      <c r="B2712" s="5" t="s">
        <v>544</v>
      </c>
      <c r="C2712" s="5" t="s">
        <v>60</v>
      </c>
      <c r="D2712" s="5" t="s">
        <v>21</v>
      </c>
      <c r="E2712" s="5" t="s">
        <v>544</v>
      </c>
      <c r="F2712" s="5" t="s">
        <v>61</v>
      </c>
      <c r="H2712" s="9">
        <v>4067</v>
      </c>
      <c r="I2712" s="10"/>
      <c r="J2712" s="10">
        <v>43967</v>
      </c>
      <c r="K2712" s="5" t="s">
        <v>64</v>
      </c>
      <c r="L2712" s="5" t="s">
        <v>82</v>
      </c>
      <c r="M2712" s="11">
        <v>0.070000000000000007</v>
      </c>
      <c r="N2712" s="5" t="e">
        <f>IF(AND(M2712&gt;#REF!,Cartera!O2712="Guaraníes"),"Rendimiento significativo",IF(AND(M2712&gt;#REF!,Cartera!O2712="Dólares americanos"),"Rendimiento significativo","Rendimiento no significativo"))</f>
        <v>#REF!</v>
      </c>
      <c r="O2712" s="5" t="s">
        <v>41</v>
      </c>
      <c r="P2712" s="12">
        <v>2772603</v>
      </c>
      <c r="Q2712" s="12">
        <f>IF(O2712="Guaraníes",P2712,P2712*#REF!)</f>
        <v>2772603</v>
      </c>
      <c r="R2712" s="12" t="e">
        <f>IF(O2712="Guaraníes",P2712/#REF!,P2712)</f>
        <v>#REF!</v>
      </c>
      <c r="S2712" s="5" t="s">
        <v>52</v>
      </c>
      <c r="V2712" s="5">
        <v>2772603</v>
      </c>
      <c r="W2712" s="5" t="s">
        <v>605</v>
      </c>
      <c r="AC2712" s="5" t="str">
        <f t="shared" si="130"/>
        <v>CDA</v>
      </c>
      <c r="AD2712" s="5" t="s">
        <v>43</v>
      </c>
      <c r="AE2712" s="5">
        <f t="shared" si="131"/>
        <v>5</v>
      </c>
      <c r="AF2712" s="5">
        <f t="shared" si="132"/>
        <v>2020</v>
      </c>
    </row>
    <row r="2713" s="5" customFormat="1" ht="13">
      <c r="A2713" s="5" t="s">
        <v>544</v>
      </c>
      <c r="B2713" s="5" t="s">
        <v>544</v>
      </c>
      <c r="C2713" s="5" t="s">
        <v>116</v>
      </c>
      <c r="D2713" s="5" t="s">
        <v>21</v>
      </c>
      <c r="E2713" s="5" t="s">
        <v>544</v>
      </c>
      <c r="F2713" s="5" t="s">
        <v>68</v>
      </c>
      <c r="H2713" s="9">
        <v>3009</v>
      </c>
      <c r="I2713" s="10"/>
      <c r="J2713" s="10">
        <v>43970</v>
      </c>
      <c r="K2713" s="5" t="s">
        <v>118</v>
      </c>
      <c r="L2713" s="5" t="s">
        <v>82</v>
      </c>
      <c r="M2713" s="11">
        <v>0.074999999999999997</v>
      </c>
      <c r="N2713" s="5" t="e">
        <f>IF(AND(M2713&gt;#REF!,Cartera!O2713="Guaraníes"),"Rendimiento significativo",IF(AND(M2713&gt;#REF!,Cartera!O2713="Dólares americanos"),"Rendimiento significativo","Rendimiento no significativo"))</f>
        <v>#REF!</v>
      </c>
      <c r="O2713" s="5" t="s">
        <v>41</v>
      </c>
      <c r="P2713" s="12">
        <v>2614932</v>
      </c>
      <c r="Q2713" s="12">
        <f>IF(O2713="Guaraníes",P2713,P2713*#REF!)</f>
        <v>2614932</v>
      </c>
      <c r="R2713" s="12" t="e">
        <f>IF(O2713="Guaraníes",P2713/#REF!,P2713)</f>
        <v>#REF!</v>
      </c>
      <c r="S2713" s="5" t="s">
        <v>52</v>
      </c>
      <c r="V2713" s="5">
        <v>2614932</v>
      </c>
      <c r="W2713" s="5" t="s">
        <v>598</v>
      </c>
      <c r="AC2713" s="5" t="str">
        <f t="shared" si="130"/>
        <v>CDA</v>
      </c>
      <c r="AD2713" s="5" t="s">
        <v>43</v>
      </c>
      <c r="AE2713" s="5">
        <f t="shared" si="131"/>
        <v>5</v>
      </c>
      <c r="AF2713" s="5">
        <f t="shared" si="132"/>
        <v>2020</v>
      </c>
    </row>
    <row r="2714" s="5" customFormat="1" ht="13">
      <c r="A2714" s="5" t="s">
        <v>544</v>
      </c>
      <c r="B2714" s="5" t="s">
        <v>544</v>
      </c>
      <c r="C2714" s="5" t="s">
        <v>114</v>
      </c>
      <c r="D2714" s="5" t="s">
        <v>21</v>
      </c>
      <c r="E2714" s="5" t="s">
        <v>544</v>
      </c>
      <c r="F2714" s="5" t="s">
        <v>68</v>
      </c>
      <c r="H2714" s="9">
        <v>820</v>
      </c>
      <c r="I2714" s="10"/>
      <c r="J2714" s="10">
        <v>43985</v>
      </c>
      <c r="K2714" s="5" t="s">
        <v>77</v>
      </c>
      <c r="L2714" s="5" t="s">
        <v>82</v>
      </c>
      <c r="M2714" s="11">
        <v>0.14999999999999999</v>
      </c>
      <c r="N2714" s="5" t="e">
        <f>IF(AND(M2714&gt;#REF!,Cartera!O2714="Guaraníes"),"Rendimiento significativo",IF(AND(M2714&gt;#REF!,Cartera!O2714="Dólares americanos"),"Rendimiento significativo","Rendimiento no significativo"))</f>
        <v>#REF!</v>
      </c>
      <c r="O2714" s="5" t="s">
        <v>41</v>
      </c>
      <c r="P2714" s="12">
        <v>1541096</v>
      </c>
      <c r="Q2714" s="12">
        <f>IF(O2714="Guaraníes",P2714,P2714*#REF!)</f>
        <v>1541096</v>
      </c>
      <c r="R2714" s="12" t="e">
        <f>IF(O2714="Guaraníes",P2714/#REF!,P2714)</f>
        <v>#REF!</v>
      </c>
      <c r="S2714" s="5" t="s">
        <v>52</v>
      </c>
      <c r="V2714" s="5">
        <v>1541096</v>
      </c>
      <c r="W2714" s="5" t="s">
        <v>606</v>
      </c>
      <c r="AC2714" s="5" t="str">
        <f t="shared" si="130"/>
        <v>CDA</v>
      </c>
      <c r="AD2714" s="5" t="s">
        <v>43</v>
      </c>
      <c r="AE2714" s="5">
        <f t="shared" si="131"/>
        <v>6</v>
      </c>
      <c r="AF2714" s="5">
        <f t="shared" si="132"/>
        <v>2020</v>
      </c>
    </row>
    <row r="2715" s="5" customFormat="1" ht="13">
      <c r="A2715" s="5" t="s">
        <v>544</v>
      </c>
      <c r="B2715" s="5" t="s">
        <v>544</v>
      </c>
      <c r="C2715" s="5" t="s">
        <v>607</v>
      </c>
      <c r="D2715" s="5" t="s">
        <v>21</v>
      </c>
      <c r="E2715" s="5" t="s">
        <v>544</v>
      </c>
      <c r="F2715" s="5" t="s">
        <v>68</v>
      </c>
      <c r="H2715" s="9">
        <v>1518</v>
      </c>
      <c r="I2715" s="10"/>
      <c r="J2715" s="10">
        <v>43992</v>
      </c>
      <c r="K2715" s="5" t="s">
        <v>140</v>
      </c>
      <c r="L2715" s="5" t="s">
        <v>82</v>
      </c>
      <c r="M2715" s="11">
        <v>0</v>
      </c>
      <c r="N2715" s="5" t="e">
        <f>IF(AND(M2715&gt;#REF!,Cartera!O2715="Guaraníes"),"Rendimiento significativo",IF(AND(M2715&gt;#REF!,Cartera!O2715="Dólares americanos"),"Rendimiento significativo","Rendimiento no significativo"))</f>
        <v>#REF!</v>
      </c>
      <c r="O2715" s="5" t="s">
        <v>41</v>
      </c>
      <c r="P2715" s="12">
        <v>2629093</v>
      </c>
      <c r="Q2715" s="12">
        <f>IF(O2715="Guaraníes",P2715,P2715*#REF!)</f>
        <v>2629093</v>
      </c>
      <c r="R2715" s="12" t="e">
        <f>IF(O2715="Guaraníes",P2715/#REF!,P2715)</f>
        <v>#REF!</v>
      </c>
      <c r="S2715" s="5" t="s">
        <v>52</v>
      </c>
      <c r="V2715" s="5">
        <v>2629093</v>
      </c>
      <c r="W2715" s="5" t="s">
        <v>608</v>
      </c>
      <c r="AC2715" s="5" t="str">
        <f t="shared" si="130"/>
        <v>CDA</v>
      </c>
      <c r="AD2715" s="5" t="s">
        <v>43</v>
      </c>
      <c r="AE2715" s="5">
        <f t="shared" si="131"/>
        <v>6</v>
      </c>
      <c r="AF2715" s="5">
        <f t="shared" si="132"/>
        <v>2020</v>
      </c>
    </row>
    <row r="2716" s="5" customFormat="1" ht="13">
      <c r="A2716" s="5" t="s">
        <v>544</v>
      </c>
      <c r="B2716" s="5" t="s">
        <v>544</v>
      </c>
      <c r="C2716" s="5" t="s">
        <v>94</v>
      </c>
      <c r="D2716" s="5" t="s">
        <v>21</v>
      </c>
      <c r="E2716" s="5" t="s">
        <v>544</v>
      </c>
      <c r="F2716" s="5" t="s">
        <v>68</v>
      </c>
      <c r="H2716" s="9">
        <v>1897</v>
      </c>
      <c r="I2716" s="10"/>
      <c r="J2716" s="10">
        <v>44007</v>
      </c>
      <c r="K2716" s="5" t="s">
        <v>96</v>
      </c>
      <c r="L2716" s="5" t="s">
        <v>82</v>
      </c>
      <c r="M2716" s="11">
        <v>0.080000000000000002</v>
      </c>
      <c r="N2716" s="5" t="e">
        <f>IF(AND(M2716&gt;#REF!,Cartera!O2716="Guaraníes"),"Rendimiento significativo",IF(AND(M2716&gt;#REF!,Cartera!O2716="Dólares americanos"),"Rendimiento significativo","Rendimiento no significativo"))</f>
        <v>#REF!</v>
      </c>
      <c r="O2716" s="5" t="s">
        <v>41</v>
      </c>
      <c r="P2716" s="12">
        <v>2669635</v>
      </c>
      <c r="Q2716" s="12">
        <f>IF(O2716="Guaraníes",P2716,P2716*#REF!)</f>
        <v>2669635</v>
      </c>
      <c r="R2716" s="12" t="e">
        <f>IF(O2716="Guaraníes",P2716/#REF!,P2716)</f>
        <v>#REF!</v>
      </c>
      <c r="S2716" s="5" t="s">
        <v>52</v>
      </c>
      <c r="V2716" s="5">
        <v>2669635</v>
      </c>
      <c r="W2716" s="5" t="s">
        <v>483</v>
      </c>
      <c r="AC2716" s="5" t="str">
        <f t="shared" si="130"/>
        <v>CDA</v>
      </c>
      <c r="AD2716" s="5" t="s">
        <v>43</v>
      </c>
      <c r="AE2716" s="5">
        <f t="shared" si="131"/>
        <v>6</v>
      </c>
      <c r="AF2716" s="5">
        <f t="shared" si="132"/>
        <v>2020</v>
      </c>
    </row>
    <row r="2717" s="5" customFormat="1" ht="13">
      <c r="A2717" s="5" t="s">
        <v>544</v>
      </c>
      <c r="B2717" s="5" t="s">
        <v>544</v>
      </c>
      <c r="C2717" s="5" t="s">
        <v>227</v>
      </c>
      <c r="D2717" s="5" t="s">
        <v>21</v>
      </c>
      <c r="E2717" s="5" t="s">
        <v>544</v>
      </c>
      <c r="F2717" s="5" t="s">
        <v>68</v>
      </c>
      <c r="H2717" s="9">
        <v>163</v>
      </c>
      <c r="I2717" s="10"/>
      <c r="J2717" s="10">
        <v>44013</v>
      </c>
      <c r="K2717" s="5" t="s">
        <v>77</v>
      </c>
      <c r="L2717" s="5" t="s">
        <v>82</v>
      </c>
      <c r="M2717" s="11">
        <v>0</v>
      </c>
      <c r="N2717" s="5" t="e">
        <f>IF(AND(M2717&gt;#REF!,Cartera!O2717="Guaraníes"),"Rendimiento significativo",IF(AND(M2717&gt;#REF!,Cartera!O2717="Dólares americanos"),"Rendimiento significativo","Rendimiento no significativo"))</f>
        <v>#REF!</v>
      </c>
      <c r="O2717" s="5" t="s">
        <v>41</v>
      </c>
      <c r="P2717" s="12">
        <v>12080000</v>
      </c>
      <c r="Q2717" s="12">
        <f>IF(O2717="Guaraníes",P2717,P2717*#REF!)</f>
        <v>12080000</v>
      </c>
      <c r="R2717" s="12" t="e">
        <f>IF(O2717="Guaraníes",P2717/#REF!,P2717)</f>
        <v>#REF!</v>
      </c>
      <c r="S2717" s="5" t="s">
        <v>52</v>
      </c>
      <c r="V2717" s="5">
        <v>12080000</v>
      </c>
      <c r="W2717" s="5" t="s">
        <v>609</v>
      </c>
      <c r="AC2717" s="5" t="str">
        <f t="shared" si="130"/>
        <v>CDA</v>
      </c>
      <c r="AD2717" s="5" t="s">
        <v>43</v>
      </c>
      <c r="AE2717" s="5">
        <f t="shared" si="131"/>
        <v>7</v>
      </c>
      <c r="AF2717" s="5">
        <f t="shared" si="132"/>
        <v>2020</v>
      </c>
    </row>
    <row r="2718" s="5" customFormat="1" ht="13">
      <c r="A2718" s="5" t="s">
        <v>544</v>
      </c>
      <c r="B2718" s="5" t="s">
        <v>544</v>
      </c>
      <c r="C2718" s="5" t="s">
        <v>114</v>
      </c>
      <c r="D2718" s="5" t="s">
        <v>21</v>
      </c>
      <c r="E2718" s="5" t="s">
        <v>544</v>
      </c>
      <c r="F2718" s="5" t="s">
        <v>68</v>
      </c>
      <c r="H2718" s="9">
        <v>820</v>
      </c>
      <c r="I2718" s="10"/>
      <c r="J2718" s="10">
        <v>44015</v>
      </c>
      <c r="K2718" s="5" t="s">
        <v>77</v>
      </c>
      <c r="L2718" s="5" t="s">
        <v>82</v>
      </c>
      <c r="M2718" s="11">
        <v>0.14999999999999999</v>
      </c>
      <c r="N2718" s="5" t="e">
        <f>IF(AND(M2718&gt;#REF!,Cartera!O2718="Guaraníes"),"Rendimiento significativo",IF(AND(M2718&gt;#REF!,Cartera!O2718="Dólares americanos"),"Rendimiento significativo","Rendimiento no significativo"))</f>
        <v>#REF!</v>
      </c>
      <c r="O2718" s="5" t="s">
        <v>41</v>
      </c>
      <c r="P2718" s="12">
        <v>1541096</v>
      </c>
      <c r="Q2718" s="12">
        <f>IF(O2718="Guaraníes",P2718,P2718*#REF!)</f>
        <v>1541096</v>
      </c>
      <c r="R2718" s="12" t="e">
        <f>IF(O2718="Guaraníes",P2718/#REF!,P2718)</f>
        <v>#REF!</v>
      </c>
      <c r="S2718" s="5" t="s">
        <v>52</v>
      </c>
      <c r="V2718" s="5">
        <v>1541096</v>
      </c>
      <c r="W2718" s="5" t="s">
        <v>610</v>
      </c>
      <c r="AC2718" s="5" t="str">
        <f t="shared" si="130"/>
        <v>CDA</v>
      </c>
      <c r="AD2718" s="5" t="s">
        <v>43</v>
      </c>
      <c r="AE2718" s="5">
        <f t="shared" si="131"/>
        <v>7</v>
      </c>
      <c r="AF2718" s="5">
        <f t="shared" si="132"/>
        <v>2020</v>
      </c>
    </row>
    <row r="2719" s="5" customFormat="1" ht="13">
      <c r="A2719" s="5" t="s">
        <v>544</v>
      </c>
      <c r="B2719" s="5" t="s">
        <v>544</v>
      </c>
      <c r="C2719" s="5" t="s">
        <v>60</v>
      </c>
      <c r="D2719" s="5" t="s">
        <v>21</v>
      </c>
      <c r="E2719" s="5" t="s">
        <v>544</v>
      </c>
      <c r="F2719" s="5" t="s">
        <v>61</v>
      </c>
      <c r="H2719" s="9">
        <v>116</v>
      </c>
      <c r="I2719" s="10"/>
      <c r="J2719" s="10">
        <v>44016</v>
      </c>
      <c r="K2719" s="5" t="s">
        <v>64</v>
      </c>
      <c r="L2719" s="5" t="s">
        <v>82</v>
      </c>
      <c r="M2719" s="11">
        <v>0.064000000000000001</v>
      </c>
      <c r="N2719" s="5" t="e">
        <f>IF(AND(M2719&gt;#REF!,Cartera!O2719="Guaraníes"),"Rendimiento significativo",IF(AND(M2719&gt;#REF!,Cartera!O2719="Dólares americanos"),"Rendimiento significativo","Rendimiento no significativo"))</f>
        <v>#REF!</v>
      </c>
      <c r="O2719" s="5" t="s">
        <v>41</v>
      </c>
      <c r="P2719" s="12">
        <v>2431840</v>
      </c>
      <c r="Q2719" s="12">
        <f>IF(O2719="Guaraníes",P2719,P2719*#REF!)</f>
        <v>2431840</v>
      </c>
      <c r="R2719" s="12" t="e">
        <f>IF(O2719="Guaraníes",P2719/#REF!,P2719)</f>
        <v>#REF!</v>
      </c>
      <c r="S2719" s="5" t="s">
        <v>52</v>
      </c>
      <c r="V2719" s="5">
        <v>2431840</v>
      </c>
      <c r="W2719" s="5" t="s">
        <v>252</v>
      </c>
      <c r="AC2719" s="5" t="str">
        <f t="shared" si="130"/>
        <v>CDA</v>
      </c>
      <c r="AD2719" s="5" t="s">
        <v>43</v>
      </c>
      <c r="AE2719" s="5">
        <f t="shared" si="131"/>
        <v>7</v>
      </c>
      <c r="AF2719" s="5">
        <f t="shared" si="132"/>
        <v>2020</v>
      </c>
    </row>
    <row r="2720" s="5" customFormat="1" ht="13">
      <c r="A2720" s="5" t="s">
        <v>544</v>
      </c>
      <c r="B2720" s="5" t="s">
        <v>544</v>
      </c>
      <c r="C2720" s="5" t="s">
        <v>227</v>
      </c>
      <c r="D2720" s="5" t="s">
        <v>21</v>
      </c>
      <c r="E2720" s="5" t="s">
        <v>544</v>
      </c>
      <c r="F2720" s="5" t="s">
        <v>68</v>
      </c>
      <c r="H2720" s="9">
        <v>122</v>
      </c>
      <c r="I2720" s="10"/>
      <c r="J2720" s="10">
        <v>44019</v>
      </c>
      <c r="K2720" s="5" t="s">
        <v>77</v>
      </c>
      <c r="L2720" s="5" t="s">
        <v>82</v>
      </c>
      <c r="M2720" s="11">
        <v>0</v>
      </c>
      <c r="N2720" s="5" t="e">
        <f>IF(AND(M2720&gt;#REF!,Cartera!O2720="Guaraníes"),"Rendimiento significativo",IF(AND(M2720&gt;#REF!,Cartera!O2720="Dólares americanos"),"Rendimiento significativo","Rendimiento no significativo"))</f>
        <v>#REF!</v>
      </c>
      <c r="O2720" s="5" t="s">
        <v>41</v>
      </c>
      <c r="P2720" s="12">
        <v>3564941</v>
      </c>
      <c r="Q2720" s="12">
        <f>IF(O2720="Guaraníes",P2720,P2720*#REF!)</f>
        <v>3564941</v>
      </c>
      <c r="R2720" s="12" t="e">
        <f>IF(O2720="Guaraníes",P2720/#REF!,P2720)</f>
        <v>#REF!</v>
      </c>
      <c r="S2720" s="5" t="s">
        <v>52</v>
      </c>
      <c r="V2720" s="5">
        <v>3564941</v>
      </c>
      <c r="W2720" s="5" t="s">
        <v>386</v>
      </c>
      <c r="AC2720" s="5" t="str">
        <f t="shared" si="130"/>
        <v>CDA</v>
      </c>
      <c r="AD2720" s="5" t="s">
        <v>43</v>
      </c>
      <c r="AE2720" s="5">
        <f t="shared" si="131"/>
        <v>7</v>
      </c>
      <c r="AF2720" s="5">
        <f t="shared" si="132"/>
        <v>2020</v>
      </c>
    </row>
    <row r="2721" s="5" customFormat="1" ht="13">
      <c r="A2721" s="5" t="s">
        <v>544</v>
      </c>
      <c r="B2721" s="5" t="s">
        <v>544</v>
      </c>
      <c r="C2721" s="5" t="s">
        <v>79</v>
      </c>
      <c r="D2721" s="5" t="s">
        <v>21</v>
      </c>
      <c r="E2721" s="5" t="s">
        <v>544</v>
      </c>
      <c r="F2721" s="5" t="s">
        <v>68</v>
      </c>
      <c r="H2721" s="9">
        <v>2716</v>
      </c>
      <c r="I2721" s="10"/>
      <c r="J2721" s="10">
        <v>44021</v>
      </c>
      <c r="K2721" s="5" t="s">
        <v>81</v>
      </c>
      <c r="L2721" s="5" t="s">
        <v>82</v>
      </c>
      <c r="M2721" s="11">
        <v>0</v>
      </c>
      <c r="N2721" s="5" t="e">
        <f>IF(AND(M2721&gt;#REF!,Cartera!O2721="Guaraníes"),"Rendimiento significativo",IF(AND(M2721&gt;#REF!,Cartera!O2721="Dólares americanos"),"Rendimiento significativo","Rendimiento no significativo"))</f>
        <v>#REF!</v>
      </c>
      <c r="O2721" s="5" t="s">
        <v>41</v>
      </c>
      <c r="P2721" s="12">
        <v>4763014</v>
      </c>
      <c r="Q2721" s="12">
        <f>IF(O2721="Guaraníes",P2721,P2721*#REF!)</f>
        <v>4763014</v>
      </c>
      <c r="R2721" s="12" t="e">
        <f>IF(O2721="Guaraníes",P2721/#REF!,P2721)</f>
        <v>#REF!</v>
      </c>
      <c r="S2721" s="5" t="s">
        <v>52</v>
      </c>
      <c r="V2721" s="5">
        <v>4763014</v>
      </c>
      <c r="W2721" s="5" t="s">
        <v>611</v>
      </c>
      <c r="AC2721" s="5" t="str">
        <f t="shared" si="130"/>
        <v>CDA</v>
      </c>
      <c r="AD2721" s="5" t="s">
        <v>43</v>
      </c>
      <c r="AE2721" s="5">
        <f t="shared" si="131"/>
        <v>7</v>
      </c>
      <c r="AF2721" s="5">
        <f t="shared" si="132"/>
        <v>2020</v>
      </c>
    </row>
    <row r="2722" s="5" customFormat="1" ht="13">
      <c r="A2722" s="5" t="s">
        <v>544</v>
      </c>
      <c r="B2722" s="5" t="s">
        <v>544</v>
      </c>
      <c r="C2722" s="5" t="s">
        <v>60</v>
      </c>
      <c r="D2722" s="5" t="s">
        <v>21</v>
      </c>
      <c r="E2722" s="5" t="s">
        <v>544</v>
      </c>
      <c r="F2722" s="5" t="s">
        <v>61</v>
      </c>
      <c r="H2722" s="9">
        <v>4705</v>
      </c>
      <c r="I2722" s="10"/>
      <c r="J2722" s="10">
        <v>44022</v>
      </c>
      <c r="K2722" s="5" t="s">
        <v>64</v>
      </c>
      <c r="L2722" s="5" t="s">
        <v>82</v>
      </c>
      <c r="M2722" s="11">
        <v>0.115</v>
      </c>
      <c r="N2722" s="5" t="e">
        <f>IF(AND(M2722&gt;#REF!,Cartera!O2722="Guaraníes"),"Rendimiento significativo",IF(AND(M2722&gt;#REF!,Cartera!O2722="Dólares americanos"),"Rendimiento significativo","Rendimiento no significativo"))</f>
        <v>#REF!</v>
      </c>
      <c r="O2722" s="5" t="s">
        <v>41</v>
      </c>
      <c r="P2722" s="12">
        <v>2893151</v>
      </c>
      <c r="Q2722" s="12">
        <f>IF(O2722="Guaraníes",P2722,P2722*#REF!)</f>
        <v>2893151</v>
      </c>
      <c r="R2722" s="12" t="e">
        <f>IF(O2722="Guaraníes",P2722/#REF!,P2722)</f>
        <v>#REF!</v>
      </c>
      <c r="S2722" s="5" t="s">
        <v>52</v>
      </c>
      <c r="V2722" s="5">
        <v>2893151</v>
      </c>
      <c r="W2722" s="5" t="s">
        <v>601</v>
      </c>
      <c r="AC2722" s="5" t="str">
        <f t="shared" si="130"/>
        <v>CDA</v>
      </c>
      <c r="AD2722" s="5" t="s">
        <v>43</v>
      </c>
      <c r="AE2722" s="5">
        <f t="shared" si="131"/>
        <v>7</v>
      </c>
      <c r="AF2722" s="5">
        <f t="shared" si="132"/>
        <v>2020</v>
      </c>
    </row>
    <row r="2723" s="5" customFormat="1" ht="13">
      <c r="A2723" s="5" t="s">
        <v>544</v>
      </c>
      <c r="B2723" s="5" t="s">
        <v>544</v>
      </c>
      <c r="C2723" s="5" t="s">
        <v>60</v>
      </c>
      <c r="D2723" s="5" t="s">
        <v>21</v>
      </c>
      <c r="E2723" s="5" t="s">
        <v>544</v>
      </c>
      <c r="F2723" s="5" t="s">
        <v>68</v>
      </c>
      <c r="H2723" s="9">
        <v>869</v>
      </c>
      <c r="I2723" s="10"/>
      <c r="J2723" s="10">
        <v>44036</v>
      </c>
      <c r="K2723" s="5" t="s">
        <v>64</v>
      </c>
      <c r="L2723" s="5" t="s">
        <v>82</v>
      </c>
      <c r="M2723" s="11">
        <v>0.12</v>
      </c>
      <c r="N2723" s="5" t="e">
        <f>IF(AND(M2723&gt;#REF!,Cartera!O2723="Guaraníes"),"Rendimiento significativo",IF(AND(M2723&gt;#REF!,Cartera!O2723="Dólares americanos"),"Rendimiento significativo","Rendimiento no significativo"))</f>
        <v>#REF!</v>
      </c>
      <c r="O2723" s="5" t="s">
        <v>51</v>
      </c>
      <c r="P2723" s="13">
        <v>1604</v>
      </c>
      <c r="Q2723" s="12" t="e">
        <f>IF(O2723="Guaraníes",P2723,P2723*#REF!)</f>
        <v>#REF!</v>
      </c>
      <c r="R2723" s="12">
        <f>IF(O2723="Guaraníes",P2723/#REF!,P2723)</f>
        <v>1604</v>
      </c>
      <c r="S2723" s="5" t="s">
        <v>52</v>
      </c>
      <c r="V2723" s="5">
        <v>1604</v>
      </c>
      <c r="W2723" s="5" t="s">
        <v>612</v>
      </c>
      <c r="AC2723" s="5" t="str">
        <f t="shared" si="130"/>
        <v>CDA</v>
      </c>
      <c r="AD2723" s="5" t="s">
        <v>43</v>
      </c>
      <c r="AE2723" s="5">
        <f t="shared" si="131"/>
        <v>7</v>
      </c>
      <c r="AF2723" s="5">
        <f t="shared" si="132"/>
        <v>2020</v>
      </c>
    </row>
    <row r="2724" s="5" customFormat="1" ht="13">
      <c r="A2724" s="5" t="s">
        <v>544</v>
      </c>
      <c r="B2724" s="5" t="s">
        <v>544</v>
      </c>
      <c r="C2724" s="5" t="s">
        <v>114</v>
      </c>
      <c r="D2724" s="5" t="s">
        <v>21</v>
      </c>
      <c r="E2724" s="5" t="s">
        <v>544</v>
      </c>
      <c r="F2724" s="5" t="s">
        <v>68</v>
      </c>
      <c r="H2724" s="9">
        <v>820</v>
      </c>
      <c r="I2724" s="10"/>
      <c r="J2724" s="10">
        <v>44046</v>
      </c>
      <c r="K2724" s="5" t="s">
        <v>77</v>
      </c>
      <c r="L2724" s="5" t="s">
        <v>82</v>
      </c>
      <c r="M2724" s="11">
        <v>0.14999999999999999</v>
      </c>
      <c r="N2724" s="5" t="e">
        <f>IF(AND(M2724&gt;#REF!,Cartera!O2724="Guaraníes"),"Rendimiento significativo",IF(AND(M2724&gt;#REF!,Cartera!O2724="Dólares americanos"),"Rendimiento significativo","Rendimiento no significativo"))</f>
        <v>#REF!</v>
      </c>
      <c r="O2724" s="5" t="s">
        <v>41</v>
      </c>
      <c r="P2724" s="12">
        <v>1592466</v>
      </c>
      <c r="Q2724" s="12">
        <f>IF(O2724="Guaraníes",P2724,P2724*#REF!)</f>
        <v>1592466</v>
      </c>
      <c r="R2724" s="12" t="e">
        <f>IF(O2724="Guaraníes",P2724/#REF!,P2724)</f>
        <v>#REF!</v>
      </c>
      <c r="S2724" s="5" t="s">
        <v>52</v>
      </c>
      <c r="V2724" s="5">
        <v>1592466</v>
      </c>
      <c r="W2724" s="5" t="s">
        <v>613</v>
      </c>
      <c r="AC2724" s="5" t="str">
        <f t="shared" si="130"/>
        <v>CDA</v>
      </c>
      <c r="AD2724" s="5" t="s">
        <v>43</v>
      </c>
      <c r="AE2724" s="5">
        <f t="shared" si="131"/>
        <v>8</v>
      </c>
      <c r="AF2724" s="5">
        <f t="shared" si="132"/>
        <v>2020</v>
      </c>
    </row>
    <row r="2725" s="5" customFormat="1" ht="13">
      <c r="A2725" s="5" t="s">
        <v>544</v>
      </c>
      <c r="B2725" s="5" t="s">
        <v>544</v>
      </c>
      <c r="C2725" s="5" t="s">
        <v>60</v>
      </c>
      <c r="D2725" s="5" t="s">
        <v>21</v>
      </c>
      <c r="E2725" s="5" t="s">
        <v>544</v>
      </c>
      <c r="F2725" s="5" t="s">
        <v>61</v>
      </c>
      <c r="H2725" s="9">
        <v>4067</v>
      </c>
      <c r="I2725" s="10"/>
      <c r="J2725" s="10">
        <v>44055</v>
      </c>
      <c r="K2725" s="5" t="s">
        <v>64</v>
      </c>
      <c r="L2725" s="5" t="s">
        <v>82</v>
      </c>
      <c r="M2725" s="11">
        <v>0.070000000000000007</v>
      </c>
      <c r="N2725" s="5" t="e">
        <f>IF(AND(M2725&gt;#REF!,Cartera!O2725="Guaraníes"),"Rendimiento significativo",IF(AND(M2725&gt;#REF!,Cartera!O2725="Dólares americanos"),"Rendimiento significativo","Rendimiento no significativo"))</f>
        <v>#REF!</v>
      </c>
      <c r="O2725" s="5" t="s">
        <v>41</v>
      </c>
      <c r="P2725" s="12">
        <v>2772603</v>
      </c>
      <c r="Q2725" s="12">
        <f>IF(O2725="Guaraníes",P2725,P2725*#REF!)</f>
        <v>2772603</v>
      </c>
      <c r="R2725" s="12" t="e">
        <f>IF(O2725="Guaraníes",P2725/#REF!,P2725)</f>
        <v>#REF!</v>
      </c>
      <c r="S2725" s="5" t="s">
        <v>52</v>
      </c>
      <c r="V2725" s="5">
        <v>2772603</v>
      </c>
      <c r="W2725" s="5" t="s">
        <v>614</v>
      </c>
      <c r="AC2725" s="5" t="str">
        <f t="shared" si="130"/>
        <v>CDA</v>
      </c>
      <c r="AD2725" s="5" t="s">
        <v>43</v>
      </c>
      <c r="AE2725" s="5">
        <f t="shared" si="131"/>
        <v>8</v>
      </c>
      <c r="AF2725" s="5">
        <f t="shared" si="132"/>
        <v>2020</v>
      </c>
    </row>
    <row r="2726" s="5" customFormat="1" ht="13">
      <c r="A2726" s="5" t="s">
        <v>544</v>
      </c>
      <c r="B2726" s="5" t="s">
        <v>544</v>
      </c>
      <c r="C2726" s="5" t="s">
        <v>116</v>
      </c>
      <c r="D2726" s="5" t="s">
        <v>21</v>
      </c>
      <c r="E2726" s="5" t="s">
        <v>544</v>
      </c>
      <c r="F2726" s="5" t="s">
        <v>68</v>
      </c>
      <c r="H2726" s="9">
        <v>3009</v>
      </c>
      <c r="I2726" s="10"/>
      <c r="J2726" s="10">
        <v>44062</v>
      </c>
      <c r="K2726" s="5" t="s">
        <v>118</v>
      </c>
      <c r="L2726" s="5" t="s">
        <v>82</v>
      </c>
      <c r="M2726" s="11">
        <v>0.074999999999999997</v>
      </c>
      <c r="N2726" s="5" t="e">
        <f>IF(AND(M2726&gt;#REF!,Cartera!O2726="Guaraníes"),"Rendimiento significativo",IF(AND(M2726&gt;#REF!,Cartera!O2726="Dólares americanos"),"Rendimiento significativo","Rendimiento no significativo"))</f>
        <v>#REF!</v>
      </c>
      <c r="O2726" s="5" t="s">
        <v>41</v>
      </c>
      <c r="P2726" s="12">
        <v>2673041</v>
      </c>
      <c r="Q2726" s="12">
        <f>IF(O2726="Guaraníes",P2726,P2726*#REF!)</f>
        <v>2673041</v>
      </c>
      <c r="R2726" s="12" t="e">
        <f>IF(O2726="Guaraníes",P2726/#REF!,P2726)</f>
        <v>#REF!</v>
      </c>
      <c r="S2726" s="5" t="s">
        <v>52</v>
      </c>
      <c r="V2726" s="5">
        <v>2673041</v>
      </c>
      <c r="W2726" s="5" t="s">
        <v>366</v>
      </c>
      <c r="AC2726" s="5" t="str">
        <f t="shared" si="130"/>
        <v>CDA</v>
      </c>
      <c r="AD2726" s="5" t="s">
        <v>43</v>
      </c>
      <c r="AE2726" s="5">
        <f t="shared" si="131"/>
        <v>8</v>
      </c>
      <c r="AF2726" s="5">
        <f t="shared" si="132"/>
        <v>2020</v>
      </c>
    </row>
    <row r="2727" s="5" customFormat="1" ht="13">
      <c r="A2727" s="5" t="s">
        <v>544</v>
      </c>
      <c r="B2727" s="5" t="s">
        <v>544</v>
      </c>
      <c r="C2727" s="5" t="s">
        <v>114</v>
      </c>
      <c r="D2727" s="5" t="s">
        <v>21</v>
      </c>
      <c r="E2727" s="5" t="s">
        <v>544</v>
      </c>
      <c r="F2727" s="5" t="s">
        <v>68</v>
      </c>
      <c r="H2727" s="9">
        <v>820</v>
      </c>
      <c r="I2727" s="10"/>
      <c r="J2727" s="10">
        <v>44076</v>
      </c>
      <c r="K2727" s="5" t="s">
        <v>77</v>
      </c>
      <c r="L2727" s="5" t="s">
        <v>82</v>
      </c>
      <c r="M2727" s="11">
        <v>0.14999999999999999</v>
      </c>
      <c r="N2727" s="5" t="e">
        <f>IF(AND(M2727&gt;#REF!,Cartera!O2727="Guaraníes"),"Rendimiento significativo",IF(AND(M2727&gt;#REF!,Cartera!O2727="Dólares americanos"),"Rendimiento significativo","Rendimiento no significativo"))</f>
        <v>#REF!</v>
      </c>
      <c r="O2727" s="5" t="s">
        <v>41</v>
      </c>
      <c r="P2727" s="12">
        <v>1541096</v>
      </c>
      <c r="Q2727" s="12">
        <f>IF(O2727="Guaraníes",P2727,P2727*#REF!)</f>
        <v>1541096</v>
      </c>
      <c r="R2727" s="12" t="e">
        <f>IF(O2727="Guaraníes",P2727/#REF!,P2727)</f>
        <v>#REF!</v>
      </c>
      <c r="S2727" s="5" t="s">
        <v>52</v>
      </c>
      <c r="V2727" s="5">
        <v>1541096</v>
      </c>
      <c r="W2727" s="5" t="s">
        <v>615</v>
      </c>
      <c r="AC2727" s="5" t="str">
        <f t="shared" si="130"/>
        <v>CDA</v>
      </c>
      <c r="AD2727" s="5" t="s">
        <v>43</v>
      </c>
      <c r="AE2727" s="5">
        <f t="shared" si="131"/>
        <v>9</v>
      </c>
      <c r="AF2727" s="5">
        <f t="shared" si="132"/>
        <v>2020</v>
      </c>
    </row>
    <row r="2728" s="5" customFormat="1" ht="13">
      <c r="A2728" s="5" t="s">
        <v>544</v>
      </c>
      <c r="B2728" s="5" t="s">
        <v>544</v>
      </c>
      <c r="C2728" s="5" t="s">
        <v>607</v>
      </c>
      <c r="D2728" s="5" t="s">
        <v>21</v>
      </c>
      <c r="E2728" s="5" t="s">
        <v>544</v>
      </c>
      <c r="F2728" s="5" t="s">
        <v>68</v>
      </c>
      <c r="H2728" s="9">
        <v>1518</v>
      </c>
      <c r="I2728" s="10"/>
      <c r="J2728" s="10">
        <v>44082</v>
      </c>
      <c r="K2728" s="5" t="s">
        <v>140</v>
      </c>
      <c r="L2728" s="5" t="s">
        <v>82</v>
      </c>
      <c r="M2728" s="11">
        <v>0</v>
      </c>
      <c r="N2728" s="5" t="e">
        <f>IF(AND(M2728&gt;#REF!,Cartera!O2728="Guaraníes"),"Rendimiento significativo",IF(AND(M2728&gt;#REF!,Cartera!O2728="Dólares americanos"),"Rendimiento significativo","Rendimiento no significativo"))</f>
        <v>#REF!</v>
      </c>
      <c r="O2728" s="5" t="s">
        <v>41</v>
      </c>
      <c r="P2728" s="12">
        <v>2629093</v>
      </c>
      <c r="Q2728" s="12">
        <f>IF(O2728="Guaraníes",P2728,P2728*#REF!)</f>
        <v>2629093</v>
      </c>
      <c r="R2728" s="12" t="e">
        <f>IF(O2728="Guaraníes",P2728/#REF!,P2728)</f>
        <v>#REF!</v>
      </c>
      <c r="S2728" s="5" t="s">
        <v>52</v>
      </c>
      <c r="V2728" s="5">
        <v>2629093</v>
      </c>
      <c r="W2728" s="5" t="s">
        <v>612</v>
      </c>
      <c r="AC2728" s="5" t="str">
        <f t="shared" si="130"/>
        <v>CDA</v>
      </c>
      <c r="AD2728" s="5" t="s">
        <v>43</v>
      </c>
      <c r="AE2728" s="5">
        <f t="shared" si="131"/>
        <v>9</v>
      </c>
      <c r="AF2728" s="5">
        <f t="shared" si="132"/>
        <v>2020</v>
      </c>
    </row>
    <row r="2729" s="5" customFormat="1" ht="13">
      <c r="A2729" s="5" t="s">
        <v>544</v>
      </c>
      <c r="B2729" s="5" t="s">
        <v>544</v>
      </c>
      <c r="C2729" s="5" t="s">
        <v>116</v>
      </c>
      <c r="D2729" s="5" t="s">
        <v>21</v>
      </c>
      <c r="E2729" s="5" t="s">
        <v>544</v>
      </c>
      <c r="F2729" s="5" t="s">
        <v>68</v>
      </c>
      <c r="H2729" s="9">
        <v>4643</v>
      </c>
      <c r="I2729" s="10"/>
      <c r="J2729" s="10">
        <v>44095</v>
      </c>
      <c r="K2729" s="5" t="s">
        <v>118</v>
      </c>
      <c r="L2729" s="5" t="s">
        <v>82</v>
      </c>
      <c r="M2729" s="11">
        <v>0.10000000000000001</v>
      </c>
      <c r="N2729" s="5" t="e">
        <f>IF(AND(M2729&gt;#REF!,Cartera!O2729="Guaraníes"),"Rendimiento significativo",IF(AND(M2729&gt;#REF!,Cartera!O2729="Dólares americanos"),"Rendimiento significativo","Rendimiento no significativo"))</f>
        <v>#REF!</v>
      </c>
      <c r="O2729" s="5" t="s">
        <v>41</v>
      </c>
      <c r="P2729" s="12">
        <v>2465753</v>
      </c>
      <c r="Q2729" s="12">
        <f>IF(O2729="Guaraníes",P2729,P2729*#REF!)</f>
        <v>2465753</v>
      </c>
      <c r="R2729" s="12" t="e">
        <f>IF(O2729="Guaraníes",P2729/#REF!,P2729)</f>
        <v>#REF!</v>
      </c>
      <c r="S2729" s="5" t="s">
        <v>52</v>
      </c>
      <c r="V2729" s="5">
        <v>2465753</v>
      </c>
      <c r="W2729" s="5" t="s">
        <v>616</v>
      </c>
      <c r="AC2729" s="5" t="str">
        <f t="shared" si="130"/>
        <v>CDA</v>
      </c>
      <c r="AD2729" s="5" t="s">
        <v>43</v>
      </c>
      <c r="AE2729" s="5">
        <f t="shared" si="131"/>
        <v>9</v>
      </c>
      <c r="AF2729" s="5">
        <f t="shared" si="132"/>
        <v>2020</v>
      </c>
    </row>
    <row r="2730" s="5" customFormat="1" ht="13">
      <c r="A2730" s="5" t="s">
        <v>544</v>
      </c>
      <c r="B2730" s="5" t="s">
        <v>544</v>
      </c>
      <c r="C2730" s="5" t="s">
        <v>94</v>
      </c>
      <c r="D2730" s="5" t="s">
        <v>21</v>
      </c>
      <c r="E2730" s="5" t="s">
        <v>544</v>
      </c>
      <c r="F2730" s="5" t="s">
        <v>68</v>
      </c>
      <c r="H2730" s="9">
        <v>1897</v>
      </c>
      <c r="I2730" s="10"/>
      <c r="J2730" s="10">
        <v>44097</v>
      </c>
      <c r="K2730" s="5" t="s">
        <v>96</v>
      </c>
      <c r="L2730" s="5" t="s">
        <v>82</v>
      </c>
      <c r="M2730" s="11">
        <v>0.080000000000000002</v>
      </c>
      <c r="N2730" s="5" t="e">
        <f>IF(AND(M2730&gt;#REF!,Cartera!O2730="Guaraníes"),"Rendimiento significativo",IF(AND(M2730&gt;#REF!,Cartera!O2730="Dólares americanos"),"Rendimiento significativo","Rendimiento no significativo"))</f>
        <v>#REF!</v>
      </c>
      <c r="O2730" s="5" t="s">
        <v>41</v>
      </c>
      <c r="P2730" s="12">
        <v>2669635</v>
      </c>
      <c r="Q2730" s="12">
        <f>IF(O2730="Guaraníes",P2730,P2730*#REF!)</f>
        <v>2669635</v>
      </c>
      <c r="R2730" s="12" t="e">
        <f>IF(O2730="Guaraníes",P2730/#REF!,P2730)</f>
        <v>#REF!</v>
      </c>
      <c r="S2730" s="5" t="s">
        <v>52</v>
      </c>
      <c r="V2730" s="5">
        <v>2669635</v>
      </c>
      <c r="W2730" s="5" t="s">
        <v>514</v>
      </c>
      <c r="AC2730" s="5" t="str">
        <f t="shared" si="130"/>
        <v>CDA</v>
      </c>
      <c r="AD2730" s="5" t="s">
        <v>43</v>
      </c>
      <c r="AE2730" s="5">
        <f t="shared" si="131"/>
        <v>9</v>
      </c>
      <c r="AF2730" s="5">
        <f t="shared" si="132"/>
        <v>2020</v>
      </c>
    </row>
    <row r="2731" s="5" customFormat="1" ht="13">
      <c r="A2731" s="5" t="s">
        <v>544</v>
      </c>
      <c r="B2731" s="5" t="s">
        <v>544</v>
      </c>
      <c r="C2731" s="5" t="s">
        <v>114</v>
      </c>
      <c r="D2731" s="5" t="s">
        <v>21</v>
      </c>
      <c r="E2731" s="5" t="s">
        <v>544</v>
      </c>
      <c r="F2731" s="5" t="s">
        <v>68</v>
      </c>
      <c r="H2731" s="9">
        <v>820</v>
      </c>
      <c r="I2731" s="10"/>
      <c r="J2731" s="10">
        <v>44106</v>
      </c>
      <c r="K2731" s="5" t="s">
        <v>77</v>
      </c>
      <c r="L2731" s="5" t="s">
        <v>82</v>
      </c>
      <c r="M2731" s="11">
        <v>0.14999999999999999</v>
      </c>
      <c r="N2731" s="5" t="e">
        <f>IF(AND(M2731&gt;#REF!,Cartera!O2731="Guaraníes"),"Rendimiento significativo",IF(AND(M2731&gt;#REF!,Cartera!O2731="Dólares americanos"),"Rendimiento significativo","Rendimiento no significativo"))</f>
        <v>#REF!</v>
      </c>
      <c r="O2731" s="5" t="s">
        <v>41</v>
      </c>
      <c r="P2731" s="12">
        <v>1541096</v>
      </c>
      <c r="Q2731" s="12">
        <f>IF(O2731="Guaraníes",P2731,P2731*#REF!)</f>
        <v>1541096</v>
      </c>
      <c r="R2731" s="12" t="e">
        <f>IF(O2731="Guaraníes",P2731/#REF!,P2731)</f>
        <v>#REF!</v>
      </c>
      <c r="S2731" s="5" t="s">
        <v>52</v>
      </c>
      <c r="V2731" s="5">
        <v>1541096</v>
      </c>
      <c r="W2731" s="5" t="s">
        <v>617</v>
      </c>
      <c r="AC2731" s="5" t="str">
        <f t="shared" si="130"/>
        <v>CDA</v>
      </c>
      <c r="AD2731" s="5" t="s">
        <v>43</v>
      </c>
      <c r="AE2731" s="5">
        <f t="shared" si="131"/>
        <v>10</v>
      </c>
      <c r="AF2731" s="5">
        <f t="shared" si="132"/>
        <v>2020</v>
      </c>
    </row>
    <row r="2732" s="5" customFormat="1" ht="13">
      <c r="A2732" s="5" t="s">
        <v>544</v>
      </c>
      <c r="B2732" s="5" t="s">
        <v>544</v>
      </c>
      <c r="C2732" s="5" t="s">
        <v>60</v>
      </c>
      <c r="D2732" s="5" t="s">
        <v>21</v>
      </c>
      <c r="E2732" s="5" t="s">
        <v>544</v>
      </c>
      <c r="F2732" s="5" t="s">
        <v>61</v>
      </c>
      <c r="H2732" s="9">
        <v>116</v>
      </c>
      <c r="I2732" s="10"/>
      <c r="J2732" s="10">
        <v>44108</v>
      </c>
      <c r="K2732" s="5" t="s">
        <v>64</v>
      </c>
      <c r="L2732" s="5" t="s">
        <v>82</v>
      </c>
      <c r="M2732" s="11">
        <v>0.064000000000000001</v>
      </c>
      <c r="N2732" s="5" t="e">
        <f>IF(AND(M2732&gt;#REF!,Cartera!O2732="Guaraníes"),"Rendimiento significativo",IF(AND(M2732&gt;#REF!,Cartera!O2732="Dólares americanos"),"Rendimiento significativo","Rendimiento no significativo"))</f>
        <v>#REF!</v>
      </c>
      <c r="O2732" s="5" t="s">
        <v>41</v>
      </c>
      <c r="P2732" s="12">
        <v>2431840</v>
      </c>
      <c r="Q2732" s="12">
        <f>IF(O2732="Guaraníes",P2732,P2732*#REF!)</f>
        <v>2431840</v>
      </c>
      <c r="R2732" s="12" t="e">
        <f>IF(O2732="Guaraníes",P2732/#REF!,P2732)</f>
        <v>#REF!</v>
      </c>
      <c r="S2732" s="5" t="s">
        <v>52</v>
      </c>
      <c r="V2732" s="5">
        <v>2431840</v>
      </c>
      <c r="W2732" s="5" t="s">
        <v>258</v>
      </c>
      <c r="AC2732" s="5" t="str">
        <f t="shared" si="130"/>
        <v>CDA</v>
      </c>
      <c r="AD2732" s="5" t="s">
        <v>43</v>
      </c>
      <c r="AE2732" s="5">
        <f t="shared" si="131"/>
        <v>10</v>
      </c>
      <c r="AF2732" s="5">
        <f t="shared" si="132"/>
        <v>2020</v>
      </c>
    </row>
    <row r="2733" s="5" customFormat="1" ht="13">
      <c r="A2733" s="5" t="s">
        <v>544</v>
      </c>
      <c r="B2733" s="5" t="s">
        <v>544</v>
      </c>
      <c r="C2733" s="5" t="s">
        <v>60</v>
      </c>
      <c r="D2733" s="5" t="s">
        <v>21</v>
      </c>
      <c r="E2733" s="5" t="s">
        <v>544</v>
      </c>
      <c r="F2733" s="5" t="s">
        <v>61</v>
      </c>
      <c r="H2733" s="9">
        <v>4705</v>
      </c>
      <c r="I2733" s="10"/>
      <c r="J2733" s="10">
        <v>44110</v>
      </c>
      <c r="K2733" s="5" t="s">
        <v>64</v>
      </c>
      <c r="L2733" s="5" t="s">
        <v>82</v>
      </c>
      <c r="M2733" s="11">
        <v>0.115</v>
      </c>
      <c r="N2733" s="5" t="e">
        <f>IF(AND(M2733&gt;#REF!,Cartera!O2733="Guaraníes"),"Rendimiento significativo",IF(AND(M2733&gt;#REF!,Cartera!O2733="Dólares americanos"),"Rendimiento significativo","Rendimiento no significativo"))</f>
        <v>#REF!</v>
      </c>
      <c r="O2733" s="5" t="s">
        <v>41</v>
      </c>
      <c r="P2733" s="12">
        <v>2893151</v>
      </c>
      <c r="Q2733" s="12">
        <f>IF(O2733="Guaraníes",P2733,P2733*#REF!)</f>
        <v>2893151</v>
      </c>
      <c r="R2733" s="12" t="e">
        <f>IF(O2733="Guaraníes",P2733/#REF!,P2733)</f>
        <v>#REF!</v>
      </c>
      <c r="S2733" s="5" t="s">
        <v>52</v>
      </c>
      <c r="V2733" s="5">
        <v>2893151</v>
      </c>
      <c r="W2733" s="5" t="s">
        <v>605</v>
      </c>
      <c r="AC2733" s="5" t="str">
        <f t="shared" si="130"/>
        <v>CDA</v>
      </c>
      <c r="AD2733" s="5" t="s">
        <v>43</v>
      </c>
      <c r="AE2733" s="5">
        <f t="shared" si="131"/>
        <v>10</v>
      </c>
      <c r="AF2733" s="5">
        <f t="shared" si="132"/>
        <v>2020</v>
      </c>
    </row>
    <row r="2734" s="5" customFormat="1" ht="13">
      <c r="A2734" s="5" t="s">
        <v>544</v>
      </c>
      <c r="B2734" s="5" t="s">
        <v>544</v>
      </c>
      <c r="C2734" s="5" t="s">
        <v>227</v>
      </c>
      <c r="D2734" s="5" t="s">
        <v>21</v>
      </c>
      <c r="E2734" s="5" t="s">
        <v>544</v>
      </c>
      <c r="F2734" s="5" t="s">
        <v>68</v>
      </c>
      <c r="H2734" s="9">
        <v>122</v>
      </c>
      <c r="I2734" s="10"/>
      <c r="J2734" s="10">
        <v>44111</v>
      </c>
      <c r="K2734" s="5" t="s">
        <v>77</v>
      </c>
      <c r="L2734" s="5" t="s">
        <v>82</v>
      </c>
      <c r="M2734" s="11">
        <v>0</v>
      </c>
      <c r="N2734" s="5" t="e">
        <f>IF(AND(M2734&gt;#REF!,Cartera!O2734="Guaraníes"),"Rendimiento significativo",IF(AND(M2734&gt;#REF!,Cartera!O2734="Dólares americanos"),"Rendimiento significativo","Rendimiento no significativo"))</f>
        <v>#REF!</v>
      </c>
      <c r="O2734" s="5" t="s">
        <v>41</v>
      </c>
      <c r="P2734" s="12">
        <v>3564941</v>
      </c>
      <c r="Q2734" s="12">
        <f>IF(O2734="Guaraníes",P2734,P2734*#REF!)</f>
        <v>3564941</v>
      </c>
      <c r="R2734" s="12" t="e">
        <f>IF(O2734="Guaraníes",P2734/#REF!,P2734)</f>
        <v>#REF!</v>
      </c>
      <c r="S2734" s="5" t="s">
        <v>52</v>
      </c>
      <c r="V2734" s="5">
        <v>3564941</v>
      </c>
      <c r="W2734" s="5" t="s">
        <v>169</v>
      </c>
      <c r="AC2734" s="5" t="str">
        <f t="shared" si="130"/>
        <v>CDA</v>
      </c>
      <c r="AD2734" s="5" t="s">
        <v>43</v>
      </c>
      <c r="AE2734" s="5">
        <f t="shared" si="131"/>
        <v>10</v>
      </c>
      <c r="AF2734" s="5">
        <f t="shared" si="132"/>
        <v>2020</v>
      </c>
    </row>
    <row r="2735" s="5" customFormat="1" ht="13">
      <c r="A2735" s="5" t="s">
        <v>544</v>
      </c>
      <c r="B2735" s="5" t="s">
        <v>544</v>
      </c>
      <c r="C2735" s="5" t="s">
        <v>114</v>
      </c>
      <c r="D2735" s="5" t="s">
        <v>21</v>
      </c>
      <c r="E2735" s="5" t="s">
        <v>544</v>
      </c>
      <c r="F2735" s="5" t="s">
        <v>68</v>
      </c>
      <c r="H2735" s="9">
        <v>820</v>
      </c>
      <c r="I2735" s="10"/>
      <c r="J2735" s="10">
        <v>44137</v>
      </c>
      <c r="K2735" s="5" t="s">
        <v>77</v>
      </c>
      <c r="L2735" s="5" t="s">
        <v>82</v>
      </c>
      <c r="M2735" s="11">
        <v>0.14999999999999999</v>
      </c>
      <c r="N2735" s="5" t="e">
        <f>IF(AND(M2735&gt;#REF!,Cartera!O2735="Guaraníes"),"Rendimiento significativo",IF(AND(M2735&gt;#REF!,Cartera!O2735="Dólares americanos"),"Rendimiento significativo","Rendimiento no significativo"))</f>
        <v>#REF!</v>
      </c>
      <c r="O2735" s="5" t="s">
        <v>41</v>
      </c>
      <c r="P2735" s="12">
        <v>1592466</v>
      </c>
      <c r="Q2735" s="12">
        <f>IF(O2735="Guaraníes",P2735,P2735*#REF!)</f>
        <v>1592466</v>
      </c>
      <c r="R2735" s="12" t="e">
        <f>IF(O2735="Guaraníes",P2735/#REF!,P2735)</f>
        <v>#REF!</v>
      </c>
      <c r="S2735" s="5" t="s">
        <v>52</v>
      </c>
      <c r="V2735" s="5">
        <v>1592466</v>
      </c>
      <c r="W2735" s="5" t="s">
        <v>618</v>
      </c>
      <c r="AC2735" s="5" t="str">
        <f t="shared" si="130"/>
        <v>CDA</v>
      </c>
      <c r="AD2735" s="5" t="s">
        <v>43</v>
      </c>
      <c r="AE2735" s="5">
        <f t="shared" si="131"/>
        <v>11</v>
      </c>
      <c r="AF2735" s="5">
        <f t="shared" si="132"/>
        <v>2020</v>
      </c>
    </row>
    <row r="2736" s="5" customFormat="1" ht="13">
      <c r="A2736" s="5" t="s">
        <v>544</v>
      </c>
      <c r="B2736" s="5" t="s">
        <v>544</v>
      </c>
      <c r="C2736" s="5" t="s">
        <v>60</v>
      </c>
      <c r="D2736" s="5" t="s">
        <v>21</v>
      </c>
      <c r="E2736" s="5" t="s">
        <v>544</v>
      </c>
      <c r="F2736" s="5" t="s">
        <v>61</v>
      </c>
      <c r="H2736" s="9">
        <v>4067</v>
      </c>
      <c r="I2736" s="10"/>
      <c r="J2736" s="10">
        <v>44143</v>
      </c>
      <c r="K2736" s="5" t="s">
        <v>64</v>
      </c>
      <c r="L2736" s="5" t="s">
        <v>82</v>
      </c>
      <c r="M2736" s="11">
        <v>0.070000000000000007</v>
      </c>
      <c r="N2736" s="5" t="e">
        <f>IF(AND(M2736&gt;#REF!,Cartera!O2736="Guaraníes"),"Rendimiento significativo",IF(AND(M2736&gt;#REF!,Cartera!O2736="Dólares americanos"),"Rendimiento significativo","Rendimiento no significativo"))</f>
        <v>#REF!</v>
      </c>
      <c r="O2736" s="5" t="s">
        <v>41</v>
      </c>
      <c r="P2736" s="12">
        <v>2772603</v>
      </c>
      <c r="Q2736" s="12">
        <f>IF(O2736="Guaraníes",P2736,P2736*#REF!)</f>
        <v>2772603</v>
      </c>
      <c r="R2736" s="12" t="e">
        <f>IF(O2736="Guaraníes",P2736/#REF!,P2736)</f>
        <v>#REF!</v>
      </c>
      <c r="S2736" s="5" t="s">
        <v>52</v>
      </c>
      <c r="V2736" s="5">
        <v>2772603</v>
      </c>
      <c r="W2736" s="5" t="s">
        <v>619</v>
      </c>
      <c r="AC2736" s="5" t="str">
        <f t="shared" si="130"/>
        <v>CDA</v>
      </c>
      <c r="AD2736" s="5" t="s">
        <v>43</v>
      </c>
      <c r="AE2736" s="5">
        <f t="shared" si="131"/>
        <v>11</v>
      </c>
      <c r="AF2736" s="5">
        <f t="shared" si="132"/>
        <v>2020</v>
      </c>
    </row>
    <row r="2737" s="5" customFormat="1" ht="13">
      <c r="A2737" s="5" t="s">
        <v>544</v>
      </c>
      <c r="B2737" s="5" t="s">
        <v>544</v>
      </c>
      <c r="C2737" s="5" t="s">
        <v>116</v>
      </c>
      <c r="D2737" s="5" t="s">
        <v>21</v>
      </c>
      <c r="E2737" s="5" t="s">
        <v>544</v>
      </c>
      <c r="F2737" s="5" t="s">
        <v>68</v>
      </c>
      <c r="H2737" s="9">
        <v>3009</v>
      </c>
      <c r="I2737" s="10"/>
      <c r="J2737" s="10">
        <v>44154</v>
      </c>
      <c r="K2737" s="5" t="s">
        <v>118</v>
      </c>
      <c r="L2737" s="5" t="s">
        <v>82</v>
      </c>
      <c r="M2737" s="11">
        <v>0.074999999999999997</v>
      </c>
      <c r="N2737" s="5" t="e">
        <f>IF(AND(M2737&gt;#REF!,Cartera!O2737="Guaraníes"),"Rendimiento significativo",IF(AND(M2737&gt;#REF!,Cartera!O2737="Dólares americanos"),"Rendimiento significativo","Rendimiento no significativo"))</f>
        <v>#REF!</v>
      </c>
      <c r="O2737" s="5" t="s">
        <v>41</v>
      </c>
      <c r="P2737" s="12">
        <v>2673041</v>
      </c>
      <c r="Q2737" s="12">
        <f>IF(O2737="Guaraníes",P2737,P2737*#REF!)</f>
        <v>2673041</v>
      </c>
      <c r="R2737" s="12" t="e">
        <f>IF(O2737="Guaraníes",P2737/#REF!,P2737)</f>
        <v>#REF!</v>
      </c>
      <c r="S2737" s="5" t="s">
        <v>52</v>
      </c>
      <c r="V2737" s="5">
        <v>2673041</v>
      </c>
      <c r="W2737" s="5" t="s">
        <v>386</v>
      </c>
      <c r="AC2737" s="5" t="str">
        <f t="shared" si="130"/>
        <v>CDA</v>
      </c>
      <c r="AD2737" s="5" t="s">
        <v>43</v>
      </c>
      <c r="AE2737" s="5">
        <f t="shared" si="131"/>
        <v>11</v>
      </c>
      <c r="AF2737" s="5">
        <f t="shared" si="132"/>
        <v>2020</v>
      </c>
    </row>
    <row r="2738" s="5" customFormat="1" ht="13">
      <c r="A2738" s="5" t="s">
        <v>544</v>
      </c>
      <c r="B2738" s="5" t="s">
        <v>544</v>
      </c>
      <c r="C2738" s="5" t="s">
        <v>116</v>
      </c>
      <c r="D2738" s="5" t="s">
        <v>21</v>
      </c>
      <c r="E2738" s="5" t="s">
        <v>544</v>
      </c>
      <c r="F2738" s="5" t="s">
        <v>68</v>
      </c>
      <c r="H2738" s="9">
        <v>1519</v>
      </c>
      <c r="I2738" s="10"/>
      <c r="J2738" s="10">
        <v>44159</v>
      </c>
      <c r="K2738" s="5" t="s">
        <v>118</v>
      </c>
      <c r="L2738" s="5" t="s">
        <v>82</v>
      </c>
      <c r="M2738" s="11">
        <v>0.105</v>
      </c>
      <c r="N2738" s="5" t="e">
        <f>IF(AND(M2738&gt;#REF!,Cartera!O2738="Guaraníes"),"Rendimiento significativo",IF(AND(M2738&gt;#REF!,Cartera!O2738="Dólares americanos"),"Rendimiento significativo","Rendimiento no significativo"))</f>
        <v>#REF!</v>
      </c>
      <c r="O2738" s="5" t="s">
        <v>51</v>
      </c>
      <c r="P2738" s="13">
        <v>863.00999999999999</v>
      </c>
      <c r="Q2738" s="12" t="e">
        <f>IF(O2738="Guaraníes",P2738,P2738*#REF!)</f>
        <v>#REF!</v>
      </c>
      <c r="R2738" s="12">
        <f>IF(O2738="Guaraníes",P2738/#REF!,P2738)</f>
        <v>863.00999999999999</v>
      </c>
      <c r="S2738" s="5" t="s">
        <v>52</v>
      </c>
      <c r="V2738" s="5">
        <v>863.00999999999999</v>
      </c>
      <c r="W2738" s="5" t="s">
        <v>620</v>
      </c>
      <c r="AC2738" s="5" t="str">
        <f t="shared" si="130"/>
        <v>CDA</v>
      </c>
      <c r="AD2738" s="5" t="s">
        <v>43</v>
      </c>
      <c r="AE2738" s="5">
        <f t="shared" si="131"/>
        <v>11</v>
      </c>
      <c r="AF2738" s="5">
        <f t="shared" si="132"/>
        <v>2020</v>
      </c>
    </row>
    <row r="2739" s="5" customFormat="1" ht="13">
      <c r="A2739" s="5" t="s">
        <v>544</v>
      </c>
      <c r="B2739" s="5" t="s">
        <v>544</v>
      </c>
      <c r="C2739" s="5" t="s">
        <v>114</v>
      </c>
      <c r="D2739" s="5" t="s">
        <v>21</v>
      </c>
      <c r="E2739" s="5" t="s">
        <v>544</v>
      </c>
      <c r="F2739" s="5" t="s">
        <v>68</v>
      </c>
      <c r="H2739" s="9">
        <v>820</v>
      </c>
      <c r="I2739" s="10"/>
      <c r="J2739" s="10">
        <v>44167</v>
      </c>
      <c r="K2739" s="5" t="s">
        <v>77</v>
      </c>
      <c r="L2739" s="5" t="s">
        <v>82</v>
      </c>
      <c r="M2739" s="11">
        <v>0.14999999999999999</v>
      </c>
      <c r="N2739" s="5" t="e">
        <f>IF(AND(M2739&gt;#REF!,Cartera!O2739="Guaraníes"),"Rendimiento significativo",IF(AND(M2739&gt;#REF!,Cartera!O2739="Dólares americanos"),"Rendimiento significativo","Rendimiento no significativo"))</f>
        <v>#REF!</v>
      </c>
      <c r="O2739" s="5" t="s">
        <v>41</v>
      </c>
      <c r="P2739" s="12">
        <v>1541096</v>
      </c>
      <c r="Q2739" s="12">
        <f>IF(O2739="Guaraníes",P2739,P2739*#REF!)</f>
        <v>1541096</v>
      </c>
      <c r="R2739" s="12" t="e">
        <f>IF(O2739="Guaraníes",P2739/#REF!,P2739)</f>
        <v>#REF!</v>
      </c>
      <c r="S2739" s="5" t="s">
        <v>52</v>
      </c>
      <c r="V2739" s="5">
        <v>1541096</v>
      </c>
      <c r="W2739" s="5" t="s">
        <v>621</v>
      </c>
      <c r="AC2739" s="5" t="str">
        <f t="shared" si="130"/>
        <v>CDA</v>
      </c>
      <c r="AD2739" s="5" t="s">
        <v>43</v>
      </c>
      <c r="AE2739" s="5">
        <f t="shared" si="131"/>
        <v>12</v>
      </c>
      <c r="AF2739" s="5">
        <f t="shared" si="132"/>
        <v>2020</v>
      </c>
    </row>
    <row r="2740" s="5" customFormat="1" ht="13">
      <c r="A2740" s="5" t="s">
        <v>544</v>
      </c>
      <c r="B2740" s="5" t="s">
        <v>544</v>
      </c>
      <c r="C2740" s="5" t="s">
        <v>607</v>
      </c>
      <c r="D2740" s="5" t="s">
        <v>21</v>
      </c>
      <c r="E2740" s="5" t="s">
        <v>544</v>
      </c>
      <c r="F2740" s="5" t="s">
        <v>68</v>
      </c>
      <c r="H2740" s="9">
        <v>1518</v>
      </c>
      <c r="I2740" s="10"/>
      <c r="J2740" s="10">
        <v>44172</v>
      </c>
      <c r="K2740" s="5" t="s">
        <v>140</v>
      </c>
      <c r="L2740" s="5" t="s">
        <v>82</v>
      </c>
      <c r="M2740" s="11">
        <v>0</v>
      </c>
      <c r="N2740" s="5" t="e">
        <f>IF(AND(M2740&gt;#REF!,Cartera!O2740="Guaraníes"),"Rendimiento significativo",IF(AND(M2740&gt;#REF!,Cartera!O2740="Dólares americanos"),"Rendimiento significativo","Rendimiento no significativo"))</f>
        <v>#REF!</v>
      </c>
      <c r="O2740" s="5" t="s">
        <v>41</v>
      </c>
      <c r="P2740" s="12">
        <v>2629093</v>
      </c>
      <c r="Q2740" s="12">
        <f>IF(O2740="Guaraníes",P2740,P2740*#REF!)</f>
        <v>2629093</v>
      </c>
      <c r="R2740" s="12" t="e">
        <f>IF(O2740="Guaraníes",P2740/#REF!,P2740)</f>
        <v>#REF!</v>
      </c>
      <c r="S2740" s="5" t="s">
        <v>52</v>
      </c>
      <c r="V2740" s="5">
        <v>2629093</v>
      </c>
      <c r="W2740" s="5" t="s">
        <v>622</v>
      </c>
      <c r="AC2740" s="5" t="str">
        <f t="shared" si="130"/>
        <v>CDA</v>
      </c>
      <c r="AD2740" s="5" t="s">
        <v>43</v>
      </c>
      <c r="AE2740" s="5">
        <f t="shared" si="131"/>
        <v>12</v>
      </c>
      <c r="AF2740" s="5">
        <f t="shared" si="132"/>
        <v>2020</v>
      </c>
    </row>
    <row r="2741" s="5" customFormat="1" ht="13">
      <c r="A2741" s="5" t="s">
        <v>544</v>
      </c>
      <c r="B2741" s="5" t="s">
        <v>544</v>
      </c>
      <c r="C2741" s="5" t="s">
        <v>116</v>
      </c>
      <c r="D2741" s="5" t="s">
        <v>21</v>
      </c>
      <c r="E2741" s="5" t="s">
        <v>544</v>
      </c>
      <c r="F2741" s="5" t="s">
        <v>68</v>
      </c>
      <c r="H2741" s="9">
        <v>4643</v>
      </c>
      <c r="I2741" s="10"/>
      <c r="J2741" s="10">
        <v>44186</v>
      </c>
      <c r="K2741" s="5" t="s">
        <v>118</v>
      </c>
      <c r="L2741" s="5" t="s">
        <v>82</v>
      </c>
      <c r="M2741" s="11">
        <v>0.10000000000000001</v>
      </c>
      <c r="N2741" s="5" t="e">
        <f>IF(AND(M2741&gt;#REF!,Cartera!O2741="Guaraníes"),"Rendimiento significativo",IF(AND(M2741&gt;#REF!,Cartera!O2741="Dólares americanos"),"Rendimiento significativo","Rendimiento no significativo"))</f>
        <v>#REF!</v>
      </c>
      <c r="O2741" s="5" t="s">
        <v>41</v>
      </c>
      <c r="P2741" s="12">
        <v>2493151</v>
      </c>
      <c r="Q2741" s="12">
        <f>IF(O2741="Guaraníes",P2741,P2741*#REF!)</f>
        <v>2493151</v>
      </c>
      <c r="R2741" s="12" t="e">
        <f>IF(O2741="Guaraníes",P2741/#REF!,P2741)</f>
        <v>#REF!</v>
      </c>
      <c r="S2741" s="5" t="s">
        <v>52</v>
      </c>
      <c r="V2741" s="5">
        <v>2493151</v>
      </c>
      <c r="W2741" s="5" t="s">
        <v>623</v>
      </c>
      <c r="AC2741" s="5" t="str">
        <f t="shared" si="130"/>
        <v>CDA</v>
      </c>
      <c r="AD2741" s="5" t="s">
        <v>43</v>
      </c>
      <c r="AE2741" s="5">
        <f t="shared" si="131"/>
        <v>12</v>
      </c>
      <c r="AF2741" s="5">
        <f t="shared" si="132"/>
        <v>2020</v>
      </c>
    </row>
    <row r="2742" s="5" customFormat="1" ht="13">
      <c r="A2742" s="5" t="s">
        <v>544</v>
      </c>
      <c r="B2742" s="5" t="s">
        <v>544</v>
      </c>
      <c r="C2742" s="5" t="s">
        <v>94</v>
      </c>
      <c r="D2742" s="5" t="s">
        <v>21</v>
      </c>
      <c r="E2742" s="5" t="s">
        <v>544</v>
      </c>
      <c r="F2742" s="5" t="s">
        <v>68</v>
      </c>
      <c r="H2742" s="9">
        <v>1897</v>
      </c>
      <c r="I2742" s="10"/>
      <c r="J2742" s="10">
        <v>44187</v>
      </c>
      <c r="K2742" s="5" t="s">
        <v>96</v>
      </c>
      <c r="L2742" s="5" t="s">
        <v>82</v>
      </c>
      <c r="M2742" s="11">
        <v>0.080000000000000002</v>
      </c>
      <c r="N2742" s="5" t="e">
        <f>IF(AND(M2742&gt;#REF!,Cartera!O2742="Guaraníes"),"Rendimiento significativo",IF(AND(M2742&gt;#REF!,Cartera!O2742="Dólares americanos"),"Rendimiento significativo","Rendimiento no significativo"))</f>
        <v>#REF!</v>
      </c>
      <c r="O2742" s="5" t="s">
        <v>41</v>
      </c>
      <c r="P2742" s="12">
        <v>2669635</v>
      </c>
      <c r="Q2742" s="12">
        <f>IF(O2742="Guaraníes",P2742,P2742*#REF!)</f>
        <v>2669635</v>
      </c>
      <c r="R2742" s="12" t="e">
        <f>IF(O2742="Guaraníes",P2742/#REF!,P2742)</f>
        <v>#REF!</v>
      </c>
      <c r="S2742" s="5" t="s">
        <v>52</v>
      </c>
      <c r="V2742" s="5">
        <v>2669635</v>
      </c>
      <c r="W2742" s="5" t="s">
        <v>492</v>
      </c>
      <c r="AC2742" s="5" t="str">
        <f t="shared" si="130"/>
        <v>CDA</v>
      </c>
      <c r="AD2742" s="5" t="s">
        <v>43</v>
      </c>
      <c r="AE2742" s="5">
        <f t="shared" si="131"/>
        <v>12</v>
      </c>
      <c r="AF2742" s="5">
        <f t="shared" si="132"/>
        <v>2020</v>
      </c>
    </row>
    <row r="2743" s="5" customFormat="1" ht="13">
      <c r="A2743" s="5" t="s">
        <v>544</v>
      </c>
      <c r="B2743" s="5" t="s">
        <v>544</v>
      </c>
      <c r="C2743" s="5" t="s">
        <v>624</v>
      </c>
      <c r="D2743" s="5" t="s">
        <v>21</v>
      </c>
      <c r="E2743" s="5" t="s">
        <v>544</v>
      </c>
      <c r="F2743" s="5" t="s">
        <v>35</v>
      </c>
      <c r="H2743" s="9">
        <v>1550</v>
      </c>
      <c r="I2743" s="10"/>
      <c r="J2743" s="10">
        <v>44194</v>
      </c>
      <c r="K2743" s="5" t="s">
        <v>509</v>
      </c>
      <c r="L2743" s="5" t="s">
        <v>82</v>
      </c>
      <c r="M2743" s="11">
        <v>0.089999999999999997</v>
      </c>
      <c r="N2743" s="5" t="e">
        <f>IF(AND(M2743&gt;#REF!,Cartera!O2743="Guaraníes"),"Rendimiento significativo",IF(AND(M2743&gt;#REF!,Cartera!O2743="Dólares americanos"),"Rendimiento significativo","Rendimiento no significativo"))</f>
        <v>#REF!</v>
      </c>
      <c r="O2743" s="5" t="s">
        <v>41</v>
      </c>
      <c r="P2743" s="12">
        <v>2219178</v>
      </c>
      <c r="Q2743" s="12">
        <f>IF(O2743="Guaraníes",P2743,P2743*#REF!)</f>
        <v>2219178</v>
      </c>
      <c r="R2743" s="12" t="e">
        <f>IF(O2743="Guaraníes",P2743/#REF!,P2743)</f>
        <v>#REF!</v>
      </c>
      <c r="S2743" s="5" t="s">
        <v>52</v>
      </c>
      <c r="V2743" s="5">
        <v>2219178</v>
      </c>
      <c r="W2743" s="5" t="s">
        <v>616</v>
      </c>
      <c r="AC2743" s="5" t="str">
        <f t="shared" ref="AC2743:AC2806" si="133">IF(ISNUMBER(SEARCH("Acciones",L2743)),"Acciones",IF(ISNUMBER(SEARCH("Bono",L2743)),"Bonos",IF(ISNUMBER(SEARCH("CDA",L2743)),"CDA",IF(ISNUMBER(SEARCH("Fondo",L2743)),"Fondo",0))))</f>
        <v>CDA</v>
      </c>
      <c r="AD2743" s="5" t="s">
        <v>43</v>
      </c>
      <c r="AE2743" s="5">
        <f t="shared" si="131"/>
        <v>12</v>
      </c>
      <c r="AF2743" s="5">
        <f t="shared" si="132"/>
        <v>2020</v>
      </c>
    </row>
    <row r="2744" s="5" customFormat="1" ht="13">
      <c r="A2744" s="5" t="s">
        <v>544</v>
      </c>
      <c r="B2744" s="5" t="s">
        <v>544</v>
      </c>
      <c r="C2744" s="5" t="s">
        <v>114</v>
      </c>
      <c r="D2744" s="5" t="s">
        <v>21</v>
      </c>
      <c r="E2744" s="5" t="s">
        <v>544</v>
      </c>
      <c r="F2744" s="5" t="s">
        <v>68</v>
      </c>
      <c r="H2744" s="9">
        <v>820</v>
      </c>
      <c r="I2744" s="10"/>
      <c r="J2744" s="10">
        <v>44197</v>
      </c>
      <c r="K2744" s="5" t="s">
        <v>77</v>
      </c>
      <c r="L2744" s="5" t="s">
        <v>82</v>
      </c>
      <c r="M2744" s="11">
        <v>0.14999999999999999</v>
      </c>
      <c r="N2744" s="5" t="e">
        <f>IF(AND(M2744&gt;#REF!,Cartera!O2744="Guaraníes"),"Rendimiento significativo",IF(AND(M2744&gt;#REF!,Cartera!O2744="Dólares americanos"),"Rendimiento significativo","Rendimiento no significativo"))</f>
        <v>#REF!</v>
      </c>
      <c r="O2744" s="5" t="s">
        <v>41</v>
      </c>
      <c r="P2744" s="12">
        <v>1541096</v>
      </c>
      <c r="Q2744" s="12">
        <f>IF(O2744="Guaraníes",P2744,P2744*#REF!)</f>
        <v>1541096</v>
      </c>
      <c r="R2744" s="12" t="e">
        <f>IF(O2744="Guaraníes",P2744/#REF!,P2744)</f>
        <v>#REF!</v>
      </c>
      <c r="S2744" s="5" t="s">
        <v>52</v>
      </c>
      <c r="V2744" s="5">
        <v>1541096</v>
      </c>
      <c r="W2744" s="5" t="s">
        <v>625</v>
      </c>
      <c r="AC2744" s="5" t="str">
        <f t="shared" si="133"/>
        <v>CDA</v>
      </c>
      <c r="AD2744" s="5" t="s">
        <v>43</v>
      </c>
      <c r="AE2744" s="5">
        <f t="shared" si="131"/>
        <v>1</v>
      </c>
      <c r="AF2744" s="5">
        <f t="shared" si="132"/>
        <v>2021</v>
      </c>
    </row>
    <row r="2745" s="5" customFormat="1" ht="13">
      <c r="A2745" s="5" t="s">
        <v>544</v>
      </c>
      <c r="B2745" s="5" t="s">
        <v>544</v>
      </c>
      <c r="C2745" s="5" t="s">
        <v>60</v>
      </c>
      <c r="D2745" s="5" t="s">
        <v>21</v>
      </c>
      <c r="E2745" s="5" t="s">
        <v>544</v>
      </c>
      <c r="F2745" s="5" t="s">
        <v>61</v>
      </c>
      <c r="H2745" s="9">
        <v>4705</v>
      </c>
      <c r="I2745" s="10"/>
      <c r="J2745" s="10">
        <v>44198</v>
      </c>
      <c r="K2745" s="5" t="s">
        <v>64</v>
      </c>
      <c r="L2745" s="5" t="s">
        <v>82</v>
      </c>
      <c r="M2745" s="11">
        <v>0.115</v>
      </c>
      <c r="N2745" s="5" t="e">
        <f>IF(AND(M2745&gt;#REF!,Cartera!O2745="Guaraníes"),"Rendimiento significativo",IF(AND(M2745&gt;#REF!,Cartera!O2745="Dólares americanos"),"Rendimiento significativo","Rendimiento no significativo"))</f>
        <v>#REF!</v>
      </c>
      <c r="O2745" s="5" t="s">
        <v>41</v>
      </c>
      <c r="P2745" s="12">
        <v>2893151</v>
      </c>
      <c r="Q2745" s="12">
        <f>IF(O2745="Guaraníes",P2745,P2745*#REF!)</f>
        <v>2893151</v>
      </c>
      <c r="R2745" s="12" t="e">
        <f>IF(O2745="Guaraníes",P2745/#REF!,P2745)</f>
        <v>#REF!</v>
      </c>
      <c r="S2745" s="5" t="s">
        <v>52</v>
      </c>
      <c r="V2745" s="5">
        <v>2893151</v>
      </c>
      <c r="W2745" s="5" t="s">
        <v>614</v>
      </c>
      <c r="AC2745" s="5" t="str">
        <f t="shared" si="133"/>
        <v>CDA</v>
      </c>
      <c r="AD2745" s="5" t="s">
        <v>43</v>
      </c>
      <c r="AE2745" s="5">
        <f t="shared" si="131"/>
        <v>1</v>
      </c>
      <c r="AF2745" s="5">
        <f t="shared" si="132"/>
        <v>2021</v>
      </c>
    </row>
    <row r="2746" s="5" customFormat="1" ht="13">
      <c r="A2746" s="5" t="s">
        <v>544</v>
      </c>
      <c r="B2746" s="5" t="s">
        <v>544</v>
      </c>
      <c r="C2746" s="5" t="s">
        <v>60</v>
      </c>
      <c r="D2746" s="5" t="s">
        <v>21</v>
      </c>
      <c r="E2746" s="5" t="s">
        <v>544</v>
      </c>
      <c r="F2746" s="5" t="s">
        <v>61</v>
      </c>
      <c r="H2746" s="9">
        <v>116</v>
      </c>
      <c r="I2746" s="10"/>
      <c r="J2746" s="10">
        <v>44200</v>
      </c>
      <c r="K2746" s="5" t="s">
        <v>64</v>
      </c>
      <c r="L2746" s="5" t="s">
        <v>82</v>
      </c>
      <c r="M2746" s="11">
        <v>0.064000000000000001</v>
      </c>
      <c r="N2746" s="5" t="e">
        <f>IF(AND(M2746&gt;#REF!,Cartera!O2746="Guaraníes"),"Rendimiento significativo",IF(AND(M2746&gt;#REF!,Cartera!O2746="Dólares americanos"),"Rendimiento significativo","Rendimiento no significativo"))</f>
        <v>#REF!</v>
      </c>
      <c r="O2746" s="5" t="s">
        <v>41</v>
      </c>
      <c r="P2746" s="12">
        <v>2431840</v>
      </c>
      <c r="Q2746" s="12">
        <f>IF(O2746="Guaraníes",P2746,P2746*#REF!)</f>
        <v>2431840</v>
      </c>
      <c r="R2746" s="12" t="e">
        <f>IF(O2746="Guaraníes",P2746/#REF!,P2746)</f>
        <v>#REF!</v>
      </c>
      <c r="S2746" s="5" t="s">
        <v>52</v>
      </c>
      <c r="V2746" s="5">
        <v>2431840</v>
      </c>
      <c r="W2746" s="5" t="s">
        <v>588</v>
      </c>
      <c r="AC2746" s="5" t="str">
        <f t="shared" si="133"/>
        <v>CDA</v>
      </c>
      <c r="AD2746" s="5" t="s">
        <v>43</v>
      </c>
      <c r="AE2746" s="5">
        <f t="shared" si="131"/>
        <v>1</v>
      </c>
      <c r="AF2746" s="5">
        <f t="shared" si="132"/>
        <v>2021</v>
      </c>
    </row>
    <row r="2747" s="5" customFormat="1" ht="13">
      <c r="A2747" s="5" t="s">
        <v>544</v>
      </c>
      <c r="B2747" s="5" t="s">
        <v>544</v>
      </c>
      <c r="C2747" s="5" t="s">
        <v>111</v>
      </c>
      <c r="D2747" s="5" t="s">
        <v>21</v>
      </c>
      <c r="E2747" s="5" t="s">
        <v>544</v>
      </c>
      <c r="F2747" s="5" t="s">
        <v>68</v>
      </c>
      <c r="H2747" s="9">
        <v>364</v>
      </c>
      <c r="I2747" s="10"/>
      <c r="J2747" s="10">
        <v>44200</v>
      </c>
      <c r="K2747" s="5" t="s">
        <v>140</v>
      </c>
      <c r="L2747" s="5" t="s">
        <v>82</v>
      </c>
      <c r="M2747" s="11">
        <v>0.0625</v>
      </c>
      <c r="N2747" s="5" t="e">
        <f>IF(AND(M2747&gt;#REF!,Cartera!O2747="Guaraníes"),"Rendimiento significativo",IF(AND(M2747&gt;#REF!,Cartera!O2747="Dólares americanos"),"Rendimiento significativo","Rendimiento no significativo"))</f>
        <v>#REF!</v>
      </c>
      <c r="O2747" s="5" t="s">
        <v>51</v>
      </c>
      <c r="P2747" s="13">
        <v>385.26999999999998</v>
      </c>
      <c r="Q2747" s="12" t="e">
        <f>IF(O2747="Guaraníes",P2747,P2747*#REF!)</f>
        <v>#REF!</v>
      </c>
      <c r="R2747" s="12">
        <f>IF(O2747="Guaraníes",P2747/#REF!,P2747)</f>
        <v>385.26999999999998</v>
      </c>
      <c r="S2747" s="5" t="s">
        <v>52</v>
      </c>
      <c r="V2747" s="5">
        <v>385.26999999999998</v>
      </c>
      <c r="W2747" s="5" t="s">
        <v>514</v>
      </c>
      <c r="AC2747" s="5" t="str">
        <f t="shared" si="133"/>
        <v>CDA</v>
      </c>
      <c r="AD2747" s="5" t="s">
        <v>43</v>
      </c>
      <c r="AE2747" s="5">
        <f t="shared" si="131"/>
        <v>1</v>
      </c>
      <c r="AF2747" s="5">
        <f t="shared" si="132"/>
        <v>2021</v>
      </c>
    </row>
    <row r="2748" s="5" customFormat="1" ht="13">
      <c r="A2748" s="5" t="s">
        <v>544</v>
      </c>
      <c r="B2748" s="5" t="s">
        <v>544</v>
      </c>
      <c r="C2748" s="5" t="s">
        <v>227</v>
      </c>
      <c r="D2748" s="5" t="s">
        <v>21</v>
      </c>
      <c r="E2748" s="5" t="s">
        <v>544</v>
      </c>
      <c r="F2748" s="5" t="s">
        <v>68</v>
      </c>
      <c r="H2748" s="9">
        <v>122</v>
      </c>
      <c r="I2748" s="10"/>
      <c r="J2748" s="10">
        <v>44203</v>
      </c>
      <c r="K2748" s="5" t="s">
        <v>77</v>
      </c>
      <c r="L2748" s="5" t="s">
        <v>82</v>
      </c>
      <c r="M2748" s="11">
        <v>0</v>
      </c>
      <c r="N2748" s="5" t="e">
        <f>IF(AND(M2748&gt;#REF!,Cartera!O2748="Guaraníes"),"Rendimiento significativo",IF(AND(M2748&gt;#REF!,Cartera!O2748="Dólares americanos"),"Rendimiento significativo","Rendimiento no significativo"))</f>
        <v>#REF!</v>
      </c>
      <c r="O2748" s="5" t="s">
        <v>41</v>
      </c>
      <c r="P2748" s="12">
        <v>3564941</v>
      </c>
      <c r="Q2748" s="12">
        <f>IF(O2748="Guaraníes",P2748,P2748*#REF!)</f>
        <v>3564941</v>
      </c>
      <c r="R2748" s="12" t="e">
        <f>IF(O2748="Guaraníes",P2748/#REF!,P2748)</f>
        <v>#REF!</v>
      </c>
      <c r="S2748" s="5" t="s">
        <v>52</v>
      </c>
      <c r="V2748" s="5">
        <v>3564941</v>
      </c>
      <c r="W2748" s="5" t="s">
        <v>219</v>
      </c>
      <c r="AC2748" s="5" t="str">
        <f t="shared" si="133"/>
        <v>CDA</v>
      </c>
      <c r="AD2748" s="5" t="s">
        <v>43</v>
      </c>
      <c r="AE2748" s="5">
        <f t="shared" si="131"/>
        <v>1</v>
      </c>
      <c r="AF2748" s="5">
        <f t="shared" si="132"/>
        <v>2021</v>
      </c>
    </row>
    <row r="2749" s="5" customFormat="1" ht="13">
      <c r="A2749" s="5" t="s">
        <v>544</v>
      </c>
      <c r="B2749" s="5" t="s">
        <v>544</v>
      </c>
      <c r="C2749" s="5" t="s">
        <v>79</v>
      </c>
      <c r="D2749" s="5" t="s">
        <v>21</v>
      </c>
      <c r="E2749" s="5" t="s">
        <v>544</v>
      </c>
      <c r="F2749" s="5" t="s">
        <v>68</v>
      </c>
      <c r="H2749" s="9">
        <v>2716</v>
      </c>
      <c r="I2749" s="10"/>
      <c r="J2749" s="10">
        <v>44207</v>
      </c>
      <c r="K2749" s="5" t="s">
        <v>81</v>
      </c>
      <c r="L2749" s="5" t="s">
        <v>82</v>
      </c>
      <c r="M2749" s="11">
        <v>0</v>
      </c>
      <c r="N2749" s="5" t="e">
        <f>IF(AND(M2749&gt;#REF!,Cartera!O2749="Guaraníes"),"Rendimiento significativo",IF(AND(M2749&gt;#REF!,Cartera!O2749="Dólares americanos"),"Rendimiento significativo","Rendimiento no significativo"))</f>
        <v>#REF!</v>
      </c>
      <c r="O2749" s="5" t="s">
        <v>41</v>
      </c>
      <c r="P2749" s="12">
        <v>4763014</v>
      </c>
      <c r="Q2749" s="12">
        <f>IF(O2749="Guaraníes",P2749,P2749*#REF!)</f>
        <v>4763014</v>
      </c>
      <c r="R2749" s="12" t="e">
        <f>IF(O2749="Guaraníes",P2749/#REF!,P2749)</f>
        <v>#REF!</v>
      </c>
      <c r="S2749" s="5" t="s">
        <v>52</v>
      </c>
      <c r="V2749" s="5">
        <v>4763014</v>
      </c>
      <c r="W2749" s="5" t="s">
        <v>274</v>
      </c>
      <c r="AC2749" s="5" t="str">
        <f t="shared" si="133"/>
        <v>CDA</v>
      </c>
      <c r="AD2749" s="5" t="s">
        <v>43</v>
      </c>
      <c r="AE2749" s="5">
        <f t="shared" si="131"/>
        <v>1</v>
      </c>
      <c r="AF2749" s="5">
        <f t="shared" si="132"/>
        <v>2021</v>
      </c>
    </row>
    <row r="2750" s="5" customFormat="1" ht="13">
      <c r="A2750" s="5" t="s">
        <v>544</v>
      </c>
      <c r="B2750" s="5" t="s">
        <v>544</v>
      </c>
      <c r="C2750" s="5" t="s">
        <v>114</v>
      </c>
      <c r="D2750" s="5" t="s">
        <v>21</v>
      </c>
      <c r="E2750" s="5" t="s">
        <v>544</v>
      </c>
      <c r="F2750" s="5" t="s">
        <v>68</v>
      </c>
      <c r="H2750" s="9">
        <v>820</v>
      </c>
      <c r="I2750" s="10"/>
      <c r="J2750" s="10">
        <v>44228</v>
      </c>
      <c r="K2750" s="5" t="s">
        <v>77</v>
      </c>
      <c r="L2750" s="5" t="s">
        <v>82</v>
      </c>
      <c r="M2750" s="11">
        <v>0.14999999999999999</v>
      </c>
      <c r="N2750" s="5" t="e">
        <f>IF(AND(M2750&gt;#REF!,Cartera!O2750="Guaraníes"),"Rendimiento significativo",IF(AND(M2750&gt;#REF!,Cartera!O2750="Dólares americanos"),"Rendimiento significativo","Rendimiento no significativo"))</f>
        <v>#REF!</v>
      </c>
      <c r="O2750" s="5" t="s">
        <v>41</v>
      </c>
      <c r="P2750" s="12">
        <v>1592466</v>
      </c>
      <c r="Q2750" s="12">
        <f>IF(O2750="Guaraníes",P2750,P2750*#REF!)</f>
        <v>1592466</v>
      </c>
      <c r="R2750" s="12" t="e">
        <f>IF(O2750="Guaraníes",P2750/#REF!,P2750)</f>
        <v>#REF!</v>
      </c>
      <c r="S2750" s="5" t="s">
        <v>52</v>
      </c>
      <c r="V2750" s="5">
        <v>1592466</v>
      </c>
      <c r="W2750" s="5" t="s">
        <v>626</v>
      </c>
      <c r="AC2750" s="5" t="str">
        <f t="shared" si="133"/>
        <v>CDA</v>
      </c>
      <c r="AD2750" s="5" t="s">
        <v>43</v>
      </c>
      <c r="AE2750" s="5">
        <f t="shared" si="131"/>
        <v>2</v>
      </c>
      <c r="AF2750" s="5">
        <f t="shared" si="132"/>
        <v>2021</v>
      </c>
    </row>
    <row r="2751" s="5" customFormat="1" ht="13">
      <c r="A2751" s="5" t="s">
        <v>544</v>
      </c>
      <c r="B2751" s="5" t="s">
        <v>544</v>
      </c>
      <c r="C2751" s="5" t="s">
        <v>60</v>
      </c>
      <c r="D2751" s="5" t="s">
        <v>21</v>
      </c>
      <c r="E2751" s="5" t="s">
        <v>544</v>
      </c>
      <c r="F2751" s="5" t="s">
        <v>61</v>
      </c>
      <c r="H2751" s="9">
        <v>4067</v>
      </c>
      <c r="I2751" s="10"/>
      <c r="J2751" s="10">
        <v>44231</v>
      </c>
      <c r="K2751" s="5" t="s">
        <v>64</v>
      </c>
      <c r="L2751" s="5" t="s">
        <v>82</v>
      </c>
      <c r="M2751" s="11">
        <v>0.070000000000000007</v>
      </c>
      <c r="N2751" s="5" t="e">
        <f>IF(AND(M2751&gt;#REF!,Cartera!O2751="Guaraníes"),"Rendimiento significativo",IF(AND(M2751&gt;#REF!,Cartera!O2751="Dólares americanos"),"Rendimiento significativo","Rendimiento no significativo"))</f>
        <v>#REF!</v>
      </c>
      <c r="O2751" s="5" t="s">
        <v>41</v>
      </c>
      <c r="P2751" s="12">
        <v>2772603</v>
      </c>
      <c r="Q2751" s="12">
        <f>IF(O2751="Guaraníes",P2751,P2751*#REF!)</f>
        <v>2772603</v>
      </c>
      <c r="R2751" s="12" t="e">
        <f>IF(O2751="Guaraníes",P2751/#REF!,P2751)</f>
        <v>#REF!</v>
      </c>
      <c r="S2751" s="5" t="s">
        <v>52</v>
      </c>
      <c r="V2751" s="5">
        <v>2772603</v>
      </c>
      <c r="W2751" s="5" t="s">
        <v>627</v>
      </c>
      <c r="AC2751" s="5" t="str">
        <f t="shared" si="133"/>
        <v>CDA</v>
      </c>
      <c r="AD2751" s="5" t="s">
        <v>43</v>
      </c>
      <c r="AE2751" s="5">
        <f t="shared" si="131"/>
        <v>2</v>
      </c>
      <c r="AF2751" s="5">
        <f t="shared" si="132"/>
        <v>2021</v>
      </c>
    </row>
    <row r="2752" s="5" customFormat="1" ht="13">
      <c r="A2752" s="5" t="s">
        <v>544</v>
      </c>
      <c r="B2752" s="5" t="s">
        <v>544</v>
      </c>
      <c r="C2752" s="5" t="s">
        <v>116</v>
      </c>
      <c r="D2752" s="5" t="s">
        <v>21</v>
      </c>
      <c r="E2752" s="5" t="s">
        <v>544</v>
      </c>
      <c r="F2752" s="5" t="s">
        <v>68</v>
      </c>
      <c r="H2752" s="9">
        <v>3009</v>
      </c>
      <c r="I2752" s="10"/>
      <c r="J2752" s="10">
        <v>44246</v>
      </c>
      <c r="K2752" s="5" t="s">
        <v>118</v>
      </c>
      <c r="L2752" s="5" t="s">
        <v>82</v>
      </c>
      <c r="M2752" s="11">
        <v>0.074999999999999997</v>
      </c>
      <c r="N2752" s="5" t="e">
        <f>IF(AND(M2752&gt;#REF!,Cartera!O2752="Guaraníes"),"Rendimiento significativo",IF(AND(M2752&gt;#REF!,Cartera!O2752="Dólares americanos"),"Rendimiento significativo","Rendimiento no significativo"))</f>
        <v>#REF!</v>
      </c>
      <c r="O2752" s="5" t="s">
        <v>41</v>
      </c>
      <c r="P2752" s="12">
        <v>2673041</v>
      </c>
      <c r="Q2752" s="12">
        <f>IF(O2752="Guaraníes",P2752,P2752*#REF!)</f>
        <v>2673041</v>
      </c>
      <c r="R2752" s="12" t="e">
        <f>IF(O2752="Guaraníes",P2752/#REF!,P2752)</f>
        <v>#REF!</v>
      </c>
      <c r="S2752" s="5" t="s">
        <v>52</v>
      </c>
      <c r="V2752" s="5">
        <v>2673041</v>
      </c>
      <c r="W2752" s="5" t="s">
        <v>169</v>
      </c>
      <c r="AC2752" s="5" t="str">
        <f t="shared" si="133"/>
        <v>CDA</v>
      </c>
      <c r="AD2752" s="5" t="s">
        <v>43</v>
      </c>
      <c r="AE2752" s="5">
        <f t="shared" si="131"/>
        <v>2</v>
      </c>
      <c r="AF2752" s="5">
        <f t="shared" si="132"/>
        <v>2021</v>
      </c>
    </row>
    <row r="2753" s="5" customFormat="1" ht="13">
      <c r="A2753" s="5" t="s">
        <v>544</v>
      </c>
      <c r="B2753" s="5" t="s">
        <v>544</v>
      </c>
      <c r="C2753" s="5" t="s">
        <v>114</v>
      </c>
      <c r="D2753" s="5" t="s">
        <v>21</v>
      </c>
      <c r="E2753" s="5" t="s">
        <v>544</v>
      </c>
      <c r="F2753" s="5" t="s">
        <v>68</v>
      </c>
      <c r="H2753" s="9">
        <v>820</v>
      </c>
      <c r="I2753" s="10"/>
      <c r="J2753" s="10">
        <v>44258</v>
      </c>
      <c r="K2753" s="5" t="s">
        <v>77</v>
      </c>
      <c r="L2753" s="5" t="s">
        <v>82</v>
      </c>
      <c r="M2753" s="11">
        <v>0.14999999999999999</v>
      </c>
      <c r="N2753" s="5" t="e">
        <f>IF(AND(M2753&gt;#REF!,Cartera!O2753="Guaraníes"),"Rendimiento significativo",IF(AND(M2753&gt;#REF!,Cartera!O2753="Dólares americanos"),"Rendimiento significativo","Rendimiento no significativo"))</f>
        <v>#REF!</v>
      </c>
      <c r="O2753" s="5" t="s">
        <v>41</v>
      </c>
      <c r="P2753" s="12">
        <v>1541096</v>
      </c>
      <c r="Q2753" s="12">
        <f>IF(O2753="Guaraníes",P2753,P2753*#REF!)</f>
        <v>1541096</v>
      </c>
      <c r="R2753" s="12" t="e">
        <f>IF(O2753="Guaraníes",P2753/#REF!,P2753)</f>
        <v>#REF!</v>
      </c>
      <c r="S2753" s="5" t="s">
        <v>52</v>
      </c>
      <c r="V2753" s="5">
        <v>1541096</v>
      </c>
      <c r="W2753" s="5" t="s">
        <v>628</v>
      </c>
      <c r="AC2753" s="5" t="str">
        <f t="shared" si="133"/>
        <v>CDA</v>
      </c>
      <c r="AD2753" s="5" t="s">
        <v>43</v>
      </c>
      <c r="AE2753" s="5">
        <f t="shared" si="131"/>
        <v>3</v>
      </c>
      <c r="AF2753" s="5">
        <f t="shared" si="132"/>
        <v>2021</v>
      </c>
    </row>
    <row r="2754" s="5" customFormat="1" ht="13">
      <c r="A2754" s="5" t="s">
        <v>544</v>
      </c>
      <c r="B2754" s="5" t="s">
        <v>544</v>
      </c>
      <c r="C2754" s="5" t="s">
        <v>607</v>
      </c>
      <c r="D2754" s="5" t="s">
        <v>21</v>
      </c>
      <c r="E2754" s="5" t="s">
        <v>544</v>
      </c>
      <c r="F2754" s="5" t="s">
        <v>68</v>
      </c>
      <c r="H2754" s="9">
        <v>1518</v>
      </c>
      <c r="I2754" s="10"/>
      <c r="J2754" s="10">
        <v>44262</v>
      </c>
      <c r="K2754" s="5" t="s">
        <v>140</v>
      </c>
      <c r="L2754" s="5" t="s">
        <v>82</v>
      </c>
      <c r="M2754" s="11">
        <v>0</v>
      </c>
      <c r="N2754" s="5" t="e">
        <f>IF(AND(M2754&gt;#REF!,Cartera!O2754="Guaraníes"),"Rendimiento significativo",IF(AND(M2754&gt;#REF!,Cartera!O2754="Dólares americanos"),"Rendimiento significativo","Rendimiento no significativo"))</f>
        <v>#REF!</v>
      </c>
      <c r="O2754" s="5" t="s">
        <v>41</v>
      </c>
      <c r="P2754" s="12">
        <v>2629093</v>
      </c>
      <c r="Q2754" s="12">
        <f>IF(O2754="Guaraníes",P2754,P2754*#REF!)</f>
        <v>2629093</v>
      </c>
      <c r="R2754" s="12" t="e">
        <f>IF(O2754="Guaraníes",P2754/#REF!,P2754)</f>
        <v>#REF!</v>
      </c>
      <c r="S2754" s="5" t="s">
        <v>52</v>
      </c>
      <c r="V2754" s="5">
        <v>2629093</v>
      </c>
      <c r="W2754" s="5" t="s">
        <v>629</v>
      </c>
      <c r="AC2754" s="5" t="str">
        <f t="shared" si="133"/>
        <v>CDA</v>
      </c>
      <c r="AD2754" s="5" t="s">
        <v>43</v>
      </c>
      <c r="AE2754" s="5">
        <f t="shared" si="131"/>
        <v>3</v>
      </c>
      <c r="AF2754" s="5">
        <f t="shared" si="132"/>
        <v>2021</v>
      </c>
    </row>
    <row r="2755" s="5" customFormat="1" ht="13">
      <c r="A2755" s="5" t="s">
        <v>544</v>
      </c>
      <c r="B2755" s="5" t="s">
        <v>544</v>
      </c>
      <c r="C2755" s="5" t="s">
        <v>607</v>
      </c>
      <c r="D2755" s="5" t="s">
        <v>21</v>
      </c>
      <c r="E2755" s="5" t="s">
        <v>544</v>
      </c>
      <c r="F2755" s="5" t="s">
        <v>68</v>
      </c>
      <c r="H2755" s="9">
        <v>1518</v>
      </c>
      <c r="I2755" s="10"/>
      <c r="J2755" s="10">
        <v>44272</v>
      </c>
      <c r="K2755" s="5" t="s">
        <v>140</v>
      </c>
      <c r="L2755" s="5" t="s">
        <v>82</v>
      </c>
      <c r="M2755" s="11">
        <v>0</v>
      </c>
      <c r="N2755" s="5" t="e">
        <f>IF(AND(M2755&gt;#REF!,Cartera!O2755="Guaraníes"),"Rendimiento significativo",IF(AND(M2755&gt;#REF!,Cartera!O2755="Dólares americanos"),"Rendimiento significativo","Rendimiento no significativo"))</f>
        <v>#REF!</v>
      </c>
      <c r="O2755" s="5" t="s">
        <v>41</v>
      </c>
      <c r="P2755" s="12">
        <v>292121</v>
      </c>
      <c r="Q2755" s="12">
        <f>IF(O2755="Guaraníes",P2755,P2755*#REF!)</f>
        <v>292121</v>
      </c>
      <c r="R2755" s="12" t="e">
        <f>IF(O2755="Guaraníes",P2755/#REF!,P2755)</f>
        <v>#REF!</v>
      </c>
      <c r="S2755" s="5" t="s">
        <v>52</v>
      </c>
      <c r="V2755" s="5">
        <v>292121</v>
      </c>
      <c r="W2755" s="5" t="s">
        <v>630</v>
      </c>
      <c r="AC2755" s="5" t="str">
        <f t="shared" si="133"/>
        <v>CDA</v>
      </c>
      <c r="AD2755" s="5" t="s">
        <v>43</v>
      </c>
      <c r="AE2755" s="5">
        <f t="shared" si="131"/>
        <v>3</v>
      </c>
      <c r="AF2755" s="5">
        <f t="shared" si="132"/>
        <v>2021</v>
      </c>
    </row>
    <row r="2756" s="5" customFormat="1" ht="13">
      <c r="A2756" s="5" t="s">
        <v>544</v>
      </c>
      <c r="B2756" s="5" t="s">
        <v>544</v>
      </c>
      <c r="C2756" s="5" t="s">
        <v>94</v>
      </c>
      <c r="D2756" s="5" t="s">
        <v>21</v>
      </c>
      <c r="E2756" s="5" t="s">
        <v>544</v>
      </c>
      <c r="F2756" s="5" t="s">
        <v>68</v>
      </c>
      <c r="H2756" s="9">
        <v>1897</v>
      </c>
      <c r="I2756" s="10"/>
      <c r="J2756" s="10">
        <v>44277</v>
      </c>
      <c r="K2756" s="5" t="s">
        <v>96</v>
      </c>
      <c r="L2756" s="5" t="s">
        <v>82</v>
      </c>
      <c r="M2756" s="11">
        <v>0.080000000000000002</v>
      </c>
      <c r="N2756" s="5" t="e">
        <f>IF(AND(M2756&gt;#REF!,Cartera!O2756="Guaraníes"),"Rendimiento significativo",IF(AND(M2756&gt;#REF!,Cartera!O2756="Dólares americanos"),"Rendimiento significativo","Rendimiento no significativo"))</f>
        <v>#REF!</v>
      </c>
      <c r="O2756" s="5" t="s">
        <v>41</v>
      </c>
      <c r="P2756" s="12">
        <v>2669635</v>
      </c>
      <c r="Q2756" s="12">
        <f>IF(O2756="Guaraníes",P2756,P2756*#REF!)</f>
        <v>2669635</v>
      </c>
      <c r="R2756" s="12" t="e">
        <f>IF(O2756="Guaraníes",P2756/#REF!,P2756)</f>
        <v>#REF!</v>
      </c>
      <c r="S2756" s="5" t="s">
        <v>52</v>
      </c>
      <c r="V2756" s="5">
        <v>2669635</v>
      </c>
      <c r="W2756" s="5" t="s">
        <v>631</v>
      </c>
      <c r="AC2756" s="5" t="str">
        <f t="shared" si="133"/>
        <v>CDA</v>
      </c>
      <c r="AD2756" s="5" t="s">
        <v>43</v>
      </c>
      <c r="AE2756" s="5">
        <f t="shared" si="131"/>
        <v>3</v>
      </c>
      <c r="AF2756" s="5">
        <f t="shared" si="132"/>
        <v>2021</v>
      </c>
    </row>
    <row r="2757" s="5" customFormat="1" ht="13">
      <c r="A2757" s="5" t="s">
        <v>544</v>
      </c>
      <c r="B2757" s="5" t="s">
        <v>544</v>
      </c>
      <c r="C2757" s="5" t="s">
        <v>116</v>
      </c>
      <c r="D2757" s="5" t="s">
        <v>21</v>
      </c>
      <c r="E2757" s="5" t="s">
        <v>544</v>
      </c>
      <c r="F2757" s="5" t="s">
        <v>68</v>
      </c>
      <c r="H2757" s="9">
        <v>4643</v>
      </c>
      <c r="I2757" s="10"/>
      <c r="J2757" s="10">
        <v>44277</v>
      </c>
      <c r="K2757" s="5" t="s">
        <v>118</v>
      </c>
      <c r="L2757" s="5" t="s">
        <v>82</v>
      </c>
      <c r="M2757" s="11">
        <v>0.10000000000000001</v>
      </c>
      <c r="N2757" s="5" t="e">
        <f>IF(AND(M2757&gt;#REF!,Cartera!O2757="Guaraníes"),"Rendimiento significativo",IF(AND(M2757&gt;#REF!,Cartera!O2757="Dólares americanos"),"Rendimiento significativo","Rendimiento no significativo"))</f>
        <v>#REF!</v>
      </c>
      <c r="O2757" s="5" t="s">
        <v>41</v>
      </c>
      <c r="P2757" s="12">
        <v>2493151</v>
      </c>
      <c r="Q2757" s="12">
        <f>IF(O2757="Guaraníes",P2757,P2757*#REF!)</f>
        <v>2493151</v>
      </c>
      <c r="R2757" s="12" t="e">
        <f>IF(O2757="Guaraníes",P2757/#REF!,P2757)</f>
        <v>#REF!</v>
      </c>
      <c r="S2757" s="5" t="s">
        <v>52</v>
      </c>
      <c r="V2757" s="5">
        <v>2493151</v>
      </c>
      <c r="W2757" s="5" t="s">
        <v>632</v>
      </c>
      <c r="AC2757" s="5" t="str">
        <f t="shared" si="133"/>
        <v>CDA</v>
      </c>
      <c r="AD2757" s="5" t="s">
        <v>43</v>
      </c>
      <c r="AE2757" s="5">
        <f t="shared" si="131"/>
        <v>3</v>
      </c>
      <c r="AF2757" s="5">
        <f t="shared" si="132"/>
        <v>2021</v>
      </c>
    </row>
    <row r="2758" s="5" customFormat="1" ht="13">
      <c r="A2758" s="5" t="s">
        <v>544</v>
      </c>
      <c r="B2758" s="5" t="s">
        <v>544</v>
      </c>
      <c r="C2758" s="5" t="s">
        <v>624</v>
      </c>
      <c r="D2758" s="5" t="s">
        <v>21</v>
      </c>
      <c r="E2758" s="5" t="s">
        <v>544</v>
      </c>
      <c r="F2758" s="5" t="s">
        <v>35</v>
      </c>
      <c r="H2758" s="9">
        <v>1550</v>
      </c>
      <c r="I2758" s="10"/>
      <c r="J2758" s="10">
        <v>44284</v>
      </c>
      <c r="K2758" s="5" t="s">
        <v>509</v>
      </c>
      <c r="L2758" s="5" t="s">
        <v>82</v>
      </c>
      <c r="M2758" s="11">
        <v>0.089999999999999997</v>
      </c>
      <c r="N2758" s="5" t="e">
        <f>IF(AND(M2758&gt;#REF!,Cartera!O2758="Guaraníes"),"Rendimiento significativo",IF(AND(M2758&gt;#REF!,Cartera!O2758="Dólares americanos"),"Rendimiento significativo","Rendimiento no significativo"))</f>
        <v>#REF!</v>
      </c>
      <c r="O2758" s="5" t="s">
        <v>41</v>
      </c>
      <c r="P2758" s="12">
        <v>2219178</v>
      </c>
      <c r="Q2758" s="12">
        <f>IF(O2758="Guaraníes",P2758,P2758*#REF!)</f>
        <v>2219178</v>
      </c>
      <c r="R2758" s="12" t="e">
        <f>IF(O2758="Guaraníes",P2758/#REF!,P2758)</f>
        <v>#REF!</v>
      </c>
      <c r="S2758" s="5" t="s">
        <v>52</v>
      </c>
      <c r="V2758" s="5">
        <v>2219178</v>
      </c>
      <c r="W2758" s="5" t="s">
        <v>623</v>
      </c>
      <c r="AC2758" s="5" t="str">
        <f t="shared" si="133"/>
        <v>CDA</v>
      </c>
      <c r="AD2758" s="5" t="s">
        <v>43</v>
      </c>
      <c r="AE2758" s="5">
        <f t="shared" si="131"/>
        <v>3</v>
      </c>
      <c r="AF2758" s="5">
        <f t="shared" si="132"/>
        <v>2021</v>
      </c>
    </row>
    <row r="2759" s="5" customFormat="1" ht="13">
      <c r="A2759" s="5" t="s">
        <v>544</v>
      </c>
      <c r="B2759" s="5" t="s">
        <v>544</v>
      </c>
      <c r="C2759" s="5" t="s">
        <v>60</v>
      </c>
      <c r="D2759" s="5" t="s">
        <v>21</v>
      </c>
      <c r="E2759" s="5" t="s">
        <v>544</v>
      </c>
      <c r="F2759" s="5" t="s">
        <v>61</v>
      </c>
      <c r="H2759" s="9">
        <v>4705</v>
      </c>
      <c r="I2759" s="10"/>
      <c r="J2759" s="10">
        <v>44286</v>
      </c>
      <c r="K2759" s="5" t="s">
        <v>64</v>
      </c>
      <c r="L2759" s="5" t="s">
        <v>82</v>
      </c>
      <c r="M2759" s="11">
        <v>0.115</v>
      </c>
      <c r="N2759" s="5" t="e">
        <f>IF(AND(M2759&gt;#REF!,Cartera!O2759="Guaraníes"),"Rendimiento significativo",IF(AND(M2759&gt;#REF!,Cartera!O2759="Dólares americanos"),"Rendimiento significativo","Rendimiento no significativo"))</f>
        <v>#REF!</v>
      </c>
      <c r="O2759" s="5" t="s">
        <v>41</v>
      </c>
      <c r="P2759" s="12">
        <v>2893151</v>
      </c>
      <c r="Q2759" s="12">
        <f>IF(O2759="Guaraníes",P2759,P2759*#REF!)</f>
        <v>2893151</v>
      </c>
      <c r="R2759" s="12" t="e">
        <f>IF(O2759="Guaraníes",P2759/#REF!,P2759)</f>
        <v>#REF!</v>
      </c>
      <c r="S2759" s="5" t="s">
        <v>52</v>
      </c>
      <c r="V2759" s="5">
        <v>2893151</v>
      </c>
      <c r="W2759" s="5" t="s">
        <v>619</v>
      </c>
      <c r="AC2759" s="5" t="str">
        <f t="shared" si="133"/>
        <v>CDA</v>
      </c>
      <c r="AD2759" s="5" t="s">
        <v>43</v>
      </c>
      <c r="AE2759" s="5">
        <f t="shared" si="131"/>
        <v>3</v>
      </c>
      <c r="AF2759" s="5">
        <f t="shared" si="132"/>
        <v>2021</v>
      </c>
    </row>
    <row r="2760" s="5" customFormat="1" ht="13">
      <c r="A2760" s="5" t="s">
        <v>544</v>
      </c>
      <c r="B2760" s="5" t="s">
        <v>544</v>
      </c>
      <c r="C2760" s="5" t="s">
        <v>114</v>
      </c>
      <c r="D2760" s="5" t="s">
        <v>21</v>
      </c>
      <c r="E2760" s="5" t="s">
        <v>544</v>
      </c>
      <c r="F2760" s="5" t="s">
        <v>68</v>
      </c>
      <c r="H2760" s="9">
        <v>820</v>
      </c>
      <c r="I2760" s="10"/>
      <c r="J2760" s="10">
        <v>44288</v>
      </c>
      <c r="K2760" s="5" t="s">
        <v>77</v>
      </c>
      <c r="L2760" s="5" t="s">
        <v>82</v>
      </c>
      <c r="M2760" s="11">
        <v>0.14999999999999999</v>
      </c>
      <c r="N2760" s="5" t="e">
        <f>IF(AND(M2760&gt;#REF!,Cartera!O2760="Guaraníes"),"Rendimiento significativo",IF(AND(M2760&gt;#REF!,Cartera!O2760="Dólares americanos"),"Rendimiento significativo","Rendimiento no significativo"))</f>
        <v>#REF!</v>
      </c>
      <c r="O2760" s="5" t="s">
        <v>41</v>
      </c>
      <c r="P2760" s="12">
        <v>1541096</v>
      </c>
      <c r="Q2760" s="12">
        <f>IF(O2760="Guaraníes",P2760,P2760*#REF!)</f>
        <v>1541096</v>
      </c>
      <c r="R2760" s="12" t="e">
        <f>IF(O2760="Guaraníes",P2760/#REF!,P2760)</f>
        <v>#REF!</v>
      </c>
      <c r="S2760" s="5" t="s">
        <v>52</v>
      </c>
      <c r="V2760" s="5">
        <v>1541096</v>
      </c>
      <c r="W2760" s="5" t="s">
        <v>633</v>
      </c>
      <c r="AC2760" s="5" t="str">
        <f t="shared" si="133"/>
        <v>CDA</v>
      </c>
      <c r="AD2760" s="5" t="s">
        <v>43</v>
      </c>
      <c r="AE2760" s="5">
        <f t="shared" si="131"/>
        <v>4</v>
      </c>
      <c r="AF2760" s="5">
        <f t="shared" si="132"/>
        <v>2021</v>
      </c>
    </row>
    <row r="2761" s="5" customFormat="1" ht="13">
      <c r="A2761" s="5" t="s">
        <v>544</v>
      </c>
      <c r="B2761" s="5" t="s">
        <v>544</v>
      </c>
      <c r="C2761" s="5" t="s">
        <v>111</v>
      </c>
      <c r="D2761" s="5" t="s">
        <v>21</v>
      </c>
      <c r="E2761" s="5" t="s">
        <v>544</v>
      </c>
      <c r="F2761" s="5" t="s">
        <v>68</v>
      </c>
      <c r="H2761" s="9">
        <v>364</v>
      </c>
      <c r="I2761" s="10"/>
      <c r="J2761" s="10">
        <v>44291</v>
      </c>
      <c r="K2761" s="5" t="s">
        <v>140</v>
      </c>
      <c r="L2761" s="5" t="s">
        <v>82</v>
      </c>
      <c r="M2761" s="11">
        <v>0.0625</v>
      </c>
      <c r="N2761" s="5" t="e">
        <f>IF(AND(M2761&gt;#REF!,Cartera!O2761="Guaraníes"),"Rendimiento significativo",IF(AND(M2761&gt;#REF!,Cartera!O2761="Dólares americanos"),"Rendimiento significativo","Rendimiento no significativo"))</f>
        <v>#REF!</v>
      </c>
      <c r="O2761" s="5" t="s">
        <v>51</v>
      </c>
      <c r="P2761" s="13">
        <v>389.55000000000001</v>
      </c>
      <c r="Q2761" s="12" t="e">
        <f>IF(O2761="Guaraníes",P2761,P2761*#REF!)</f>
        <v>#REF!</v>
      </c>
      <c r="R2761" s="12">
        <f>IF(O2761="Guaraníes",P2761/#REF!,P2761)</f>
        <v>389.55000000000001</v>
      </c>
      <c r="S2761" s="5" t="s">
        <v>52</v>
      </c>
      <c r="V2761" s="5">
        <v>389.55000000000001</v>
      </c>
      <c r="W2761" s="5" t="s">
        <v>492</v>
      </c>
      <c r="AC2761" s="5" t="str">
        <f t="shared" si="133"/>
        <v>CDA</v>
      </c>
      <c r="AD2761" s="5" t="s">
        <v>43</v>
      </c>
      <c r="AE2761" s="5">
        <f t="shared" si="131"/>
        <v>4</v>
      </c>
      <c r="AF2761" s="5">
        <f t="shared" si="132"/>
        <v>2021</v>
      </c>
    </row>
    <row r="2762" s="5" customFormat="1" ht="13">
      <c r="A2762" s="5" t="s">
        <v>544</v>
      </c>
      <c r="B2762" s="5" t="s">
        <v>544</v>
      </c>
      <c r="C2762" s="5" t="s">
        <v>60</v>
      </c>
      <c r="D2762" s="5" t="s">
        <v>21</v>
      </c>
      <c r="E2762" s="5" t="s">
        <v>544</v>
      </c>
      <c r="F2762" s="5" t="s">
        <v>61</v>
      </c>
      <c r="H2762" s="9">
        <v>116</v>
      </c>
      <c r="I2762" s="10"/>
      <c r="J2762" s="10">
        <v>44292</v>
      </c>
      <c r="K2762" s="5" t="s">
        <v>64</v>
      </c>
      <c r="L2762" s="5" t="s">
        <v>82</v>
      </c>
      <c r="M2762" s="11">
        <v>0.064000000000000001</v>
      </c>
      <c r="N2762" s="5" t="e">
        <f>IF(AND(M2762&gt;#REF!,Cartera!O2762="Guaraníes"),"Rendimiento significativo",IF(AND(M2762&gt;#REF!,Cartera!O2762="Dólares americanos"),"Rendimiento significativo","Rendimiento no significativo"))</f>
        <v>#REF!</v>
      </c>
      <c r="O2762" s="5" t="s">
        <v>41</v>
      </c>
      <c r="P2762" s="12">
        <v>2431840</v>
      </c>
      <c r="Q2762" s="12">
        <f>IF(O2762="Guaraníes",P2762,P2762*#REF!)</f>
        <v>2431840</v>
      </c>
      <c r="R2762" s="12" t="e">
        <f>IF(O2762="Guaraníes",P2762/#REF!,P2762)</f>
        <v>#REF!</v>
      </c>
      <c r="S2762" s="5" t="s">
        <v>52</v>
      </c>
      <c r="V2762" s="5">
        <v>2431840</v>
      </c>
      <c r="W2762" s="5" t="s">
        <v>599</v>
      </c>
      <c r="AC2762" s="5" t="str">
        <f t="shared" si="133"/>
        <v>CDA</v>
      </c>
      <c r="AD2762" s="5" t="s">
        <v>43</v>
      </c>
      <c r="AE2762" s="5">
        <f t="shared" si="131"/>
        <v>4</v>
      </c>
      <c r="AF2762" s="5">
        <f t="shared" si="132"/>
        <v>2021</v>
      </c>
    </row>
    <row r="2763" s="5" customFormat="1" ht="13">
      <c r="A2763" s="5" t="s">
        <v>544</v>
      </c>
      <c r="B2763" s="5" t="s">
        <v>544</v>
      </c>
      <c r="C2763" s="5" t="s">
        <v>227</v>
      </c>
      <c r="D2763" s="5" t="s">
        <v>21</v>
      </c>
      <c r="E2763" s="5" t="s">
        <v>544</v>
      </c>
      <c r="F2763" s="5" t="s">
        <v>68</v>
      </c>
      <c r="H2763" s="9">
        <v>122</v>
      </c>
      <c r="I2763" s="10"/>
      <c r="J2763" s="10">
        <v>44293</v>
      </c>
      <c r="K2763" s="5" t="s">
        <v>77</v>
      </c>
      <c r="L2763" s="5" t="s">
        <v>82</v>
      </c>
      <c r="M2763" s="11">
        <v>0</v>
      </c>
      <c r="N2763" s="5" t="e">
        <f>IF(AND(M2763&gt;#REF!,Cartera!O2763="Guaraníes"),"Rendimiento significativo",IF(AND(M2763&gt;#REF!,Cartera!O2763="Dólares americanos"),"Rendimiento significativo","Rendimiento no significativo"))</f>
        <v>#REF!</v>
      </c>
      <c r="O2763" s="5" t="s">
        <v>41</v>
      </c>
      <c r="P2763" s="12">
        <v>3564941</v>
      </c>
      <c r="Q2763" s="12">
        <f>IF(O2763="Guaraníes",P2763,P2763*#REF!)</f>
        <v>3564941</v>
      </c>
      <c r="R2763" s="12" t="e">
        <f>IF(O2763="Guaraníes",P2763/#REF!,P2763)</f>
        <v>#REF!</v>
      </c>
      <c r="S2763" s="5" t="s">
        <v>52</v>
      </c>
      <c r="V2763" s="5">
        <v>3564941</v>
      </c>
      <c r="W2763" s="5" t="s">
        <v>283</v>
      </c>
      <c r="AC2763" s="5" t="str">
        <f t="shared" si="133"/>
        <v>CDA</v>
      </c>
      <c r="AD2763" s="5" t="s">
        <v>43</v>
      </c>
      <c r="AE2763" s="5">
        <f t="shared" si="131"/>
        <v>4</v>
      </c>
      <c r="AF2763" s="5">
        <f t="shared" si="132"/>
        <v>2021</v>
      </c>
    </row>
    <row r="2764" s="5" customFormat="1" ht="13">
      <c r="A2764" s="5" t="s">
        <v>544</v>
      </c>
      <c r="B2764" s="5" t="s">
        <v>544</v>
      </c>
      <c r="C2764" s="5" t="s">
        <v>143</v>
      </c>
      <c r="D2764" s="5" t="s">
        <v>21</v>
      </c>
      <c r="E2764" s="5" t="s">
        <v>544</v>
      </c>
      <c r="F2764" s="5" t="s">
        <v>144</v>
      </c>
      <c r="H2764" s="9" t="s">
        <v>634</v>
      </c>
      <c r="I2764" s="10"/>
      <c r="J2764" s="10">
        <v>44314</v>
      </c>
      <c r="K2764" s="5" t="s">
        <v>49</v>
      </c>
      <c r="L2764" s="5" t="s">
        <v>82</v>
      </c>
      <c r="M2764" s="11">
        <v>0</v>
      </c>
      <c r="N2764" s="5" t="e">
        <f>IF(AND(M2764&gt;#REF!,Cartera!O2764="Guaraníes"),"Rendimiento significativo",IF(AND(M2764&gt;#REF!,Cartera!O2764="Dólares americanos"),"Rendimiento significativo","Rendimiento no significativo"))</f>
        <v>#REF!</v>
      </c>
      <c r="O2764" s="5" t="s">
        <v>41</v>
      </c>
      <c r="P2764" s="12">
        <v>3577628</v>
      </c>
      <c r="Q2764" s="12">
        <f>IF(O2764="Guaraníes",P2764,P2764*#REF!)</f>
        <v>3577628</v>
      </c>
      <c r="R2764" s="12" t="e">
        <f>IF(O2764="Guaraníes",P2764/#REF!,P2764)</f>
        <v>#REF!</v>
      </c>
      <c r="S2764" s="5" t="s">
        <v>52</v>
      </c>
      <c r="V2764" s="5">
        <v>3577628</v>
      </c>
      <c r="W2764" s="5" t="s">
        <v>270</v>
      </c>
      <c r="AC2764" s="5" t="str">
        <f t="shared" si="133"/>
        <v>CDA</v>
      </c>
      <c r="AD2764" s="5" t="s">
        <v>43</v>
      </c>
      <c r="AE2764" s="5">
        <f t="shared" si="131"/>
        <v>4</v>
      </c>
      <c r="AF2764" s="5">
        <f t="shared" si="132"/>
        <v>2021</v>
      </c>
    </row>
    <row r="2765" s="5" customFormat="1" ht="13">
      <c r="A2765" s="5">
        <v>12303</v>
      </c>
      <c r="B2765" s="5" t="s">
        <v>32</v>
      </c>
      <c r="C2765" s="5" t="s">
        <v>122</v>
      </c>
      <c r="D2765" s="5" t="s">
        <v>20</v>
      </c>
      <c r="E2765" s="5" t="s">
        <v>34</v>
      </c>
      <c r="F2765" s="5" t="s">
        <v>61</v>
      </c>
      <c r="H2765" s="9" t="s">
        <v>130</v>
      </c>
      <c r="I2765" s="10">
        <v>44319</v>
      </c>
      <c r="J2765" s="10" t="s">
        <v>38</v>
      </c>
      <c r="K2765" s="5" t="s">
        <v>124</v>
      </c>
      <c r="L2765" s="5" t="s">
        <v>40</v>
      </c>
      <c r="M2765" s="11">
        <v>0.14499999999999999</v>
      </c>
      <c r="N2765" s="5" t="e">
        <f>IF(AND(M2765&gt;#REF!,Cartera!O2765="Guaraníes"),"Rendimiento significativo",IF(AND(M2765&gt;#REF!,Cartera!O2765="Dólares americanos"),"Rendimiento significativo","Rendimiento no significativo"))</f>
        <v>#REF!</v>
      </c>
      <c r="O2765" s="5" t="s">
        <v>41</v>
      </c>
      <c r="P2765" s="12">
        <v>7200000</v>
      </c>
      <c r="Q2765" s="12">
        <f>IF(O2765="Guaraníes",P2765,P2765*#REF!)</f>
        <v>7200000</v>
      </c>
      <c r="R2765" s="12" t="e">
        <f>IF(O2765="Guaraníes",P2765/#REF!,P2765)</f>
        <v>#REF!</v>
      </c>
      <c r="S2765" s="5" t="s">
        <v>42</v>
      </c>
      <c r="AC2765" s="5" t="str">
        <f t="shared" si="133"/>
        <v>Acciones</v>
      </c>
      <c r="AD2765" s="5" t="s">
        <v>43</v>
      </c>
      <c r="AE2765" s="5">
        <f t="shared" si="131"/>
        <v>0</v>
      </c>
      <c r="AF2765" s="5">
        <f t="shared" si="132"/>
        <v>0</v>
      </c>
    </row>
    <row r="2766" s="5" customFormat="1" ht="13">
      <c r="A2766" s="5" t="s">
        <v>544</v>
      </c>
      <c r="B2766" s="5" t="s">
        <v>544</v>
      </c>
      <c r="C2766" s="5" t="s">
        <v>60</v>
      </c>
      <c r="D2766" s="5" t="s">
        <v>21</v>
      </c>
      <c r="E2766" s="5" t="s">
        <v>544</v>
      </c>
      <c r="F2766" s="5" t="s">
        <v>61</v>
      </c>
      <c r="H2766" s="9">
        <v>4067</v>
      </c>
      <c r="I2766" s="10"/>
      <c r="J2766" s="10">
        <v>44319</v>
      </c>
      <c r="K2766" s="5" t="s">
        <v>64</v>
      </c>
      <c r="L2766" s="5" t="s">
        <v>82</v>
      </c>
      <c r="M2766" s="11">
        <v>0.070000000000000007</v>
      </c>
      <c r="N2766" s="5" t="e">
        <f>IF(AND(M2766&gt;#REF!,Cartera!O2766="Guaraníes"),"Rendimiento significativo",IF(AND(M2766&gt;#REF!,Cartera!O2766="Dólares americanos"),"Rendimiento significativo","Rendimiento no significativo"))</f>
        <v>#REF!</v>
      </c>
      <c r="O2766" s="5" t="s">
        <v>41</v>
      </c>
      <c r="P2766" s="12">
        <v>2772603</v>
      </c>
      <c r="Q2766" s="12">
        <f>IF(O2766="Guaraníes",P2766,P2766*#REF!)</f>
        <v>2772603</v>
      </c>
      <c r="R2766" s="12" t="e">
        <f>IF(O2766="Guaraníes",P2766/#REF!,P2766)</f>
        <v>#REF!</v>
      </c>
      <c r="S2766" s="5" t="s">
        <v>52</v>
      </c>
      <c r="V2766" s="5">
        <v>2772603</v>
      </c>
      <c r="W2766" s="5" t="s">
        <v>635</v>
      </c>
      <c r="AC2766" s="5" t="str">
        <f t="shared" si="133"/>
        <v>CDA</v>
      </c>
      <c r="AD2766" s="5" t="s">
        <v>43</v>
      </c>
      <c r="AE2766" s="5">
        <f t="shared" si="131"/>
        <v>5</v>
      </c>
      <c r="AF2766" s="5">
        <f t="shared" si="132"/>
        <v>2021</v>
      </c>
    </row>
    <row r="2767" s="5" customFormat="1" ht="13">
      <c r="A2767" s="5" t="s">
        <v>544</v>
      </c>
      <c r="B2767" s="5" t="s">
        <v>544</v>
      </c>
      <c r="C2767" s="5" t="s">
        <v>114</v>
      </c>
      <c r="D2767" s="5" t="s">
        <v>21</v>
      </c>
      <c r="E2767" s="5" t="s">
        <v>544</v>
      </c>
      <c r="F2767" s="5" t="s">
        <v>68</v>
      </c>
      <c r="H2767" s="9">
        <v>820</v>
      </c>
      <c r="I2767" s="10"/>
      <c r="J2767" s="10">
        <v>44319</v>
      </c>
      <c r="K2767" s="5" t="s">
        <v>77</v>
      </c>
      <c r="L2767" s="5" t="s">
        <v>82</v>
      </c>
      <c r="M2767" s="11">
        <v>0.14999999999999999</v>
      </c>
      <c r="N2767" s="5" t="e">
        <f>IF(AND(M2767&gt;#REF!,Cartera!O2767="Guaraníes"),"Rendimiento significativo",IF(AND(M2767&gt;#REF!,Cartera!O2767="Dólares americanos"),"Rendimiento significativo","Rendimiento no significativo"))</f>
        <v>#REF!</v>
      </c>
      <c r="O2767" s="5" t="s">
        <v>41</v>
      </c>
      <c r="P2767" s="12">
        <v>1592466</v>
      </c>
      <c r="Q2767" s="12">
        <f>IF(O2767="Guaraníes",P2767,P2767*#REF!)</f>
        <v>1592466</v>
      </c>
      <c r="R2767" s="12" t="e">
        <f>IF(O2767="Guaraníes",P2767/#REF!,P2767)</f>
        <v>#REF!</v>
      </c>
      <c r="S2767" s="5" t="s">
        <v>52</v>
      </c>
      <c r="V2767" s="5">
        <v>1592466</v>
      </c>
      <c r="W2767" s="5" t="s">
        <v>636</v>
      </c>
      <c r="AC2767" s="5" t="str">
        <f t="shared" si="133"/>
        <v>CDA</v>
      </c>
      <c r="AD2767" s="5" t="s">
        <v>43</v>
      </c>
      <c r="AE2767" s="5">
        <f t="shared" si="131"/>
        <v>5</v>
      </c>
      <c r="AF2767" s="5">
        <f t="shared" si="132"/>
        <v>2021</v>
      </c>
    </row>
    <row r="2768" s="5" customFormat="1" ht="13">
      <c r="A2768" s="5" t="s">
        <v>544</v>
      </c>
      <c r="B2768" s="5" t="s">
        <v>544</v>
      </c>
      <c r="C2768" s="5" t="s">
        <v>116</v>
      </c>
      <c r="D2768" s="5" t="s">
        <v>21</v>
      </c>
      <c r="E2768" s="5" t="s">
        <v>544</v>
      </c>
      <c r="F2768" s="5" t="s">
        <v>68</v>
      </c>
      <c r="H2768" s="9">
        <v>3009</v>
      </c>
      <c r="I2768" s="10"/>
      <c r="J2768" s="10">
        <v>44335</v>
      </c>
      <c r="K2768" s="5" t="s">
        <v>118</v>
      </c>
      <c r="L2768" s="5" t="s">
        <v>82</v>
      </c>
      <c r="M2768" s="11">
        <v>0.074999999999999997</v>
      </c>
      <c r="N2768" s="5" t="e">
        <f>IF(AND(M2768&gt;#REF!,Cartera!O2768="Guaraníes"),"Rendimiento significativo",IF(AND(M2768&gt;#REF!,Cartera!O2768="Dólares americanos"),"Rendimiento significativo","Rendimiento no significativo"))</f>
        <v>#REF!</v>
      </c>
      <c r="O2768" s="5" t="s">
        <v>41</v>
      </c>
      <c r="P2768" s="12">
        <v>2585877</v>
      </c>
      <c r="Q2768" s="12">
        <f>IF(O2768="Guaraníes",P2768,P2768*#REF!)</f>
        <v>2585877</v>
      </c>
      <c r="R2768" s="12" t="e">
        <f>IF(O2768="Guaraníes",P2768/#REF!,P2768)</f>
        <v>#REF!</v>
      </c>
      <c r="S2768" s="5" t="s">
        <v>52</v>
      </c>
      <c r="V2768" s="5">
        <v>2585877</v>
      </c>
      <c r="W2768" s="5" t="s">
        <v>219</v>
      </c>
      <c r="AC2768" s="5" t="str">
        <f t="shared" si="133"/>
        <v>CDA</v>
      </c>
      <c r="AD2768" s="5" t="s">
        <v>43</v>
      </c>
      <c r="AE2768" s="5">
        <f t="shared" si="131"/>
        <v>5</v>
      </c>
      <c r="AF2768" s="5">
        <f t="shared" si="132"/>
        <v>2021</v>
      </c>
    </row>
    <row r="2769" s="5" customFormat="1" ht="13">
      <c r="A2769" s="5" t="s">
        <v>544</v>
      </c>
      <c r="B2769" s="5" t="s">
        <v>544</v>
      </c>
      <c r="C2769" s="5" t="s">
        <v>116</v>
      </c>
      <c r="D2769" s="5" t="s">
        <v>21</v>
      </c>
      <c r="E2769" s="5" t="s">
        <v>544</v>
      </c>
      <c r="F2769" s="5" t="s">
        <v>68</v>
      </c>
      <c r="H2769" s="9">
        <v>1519</v>
      </c>
      <c r="I2769" s="10"/>
      <c r="J2769" s="10">
        <v>44340</v>
      </c>
      <c r="K2769" s="5" t="s">
        <v>118</v>
      </c>
      <c r="L2769" s="5" t="s">
        <v>82</v>
      </c>
      <c r="M2769" s="11">
        <v>0.105</v>
      </c>
      <c r="N2769" s="5" t="e">
        <f>IF(AND(M2769&gt;#REF!,Cartera!O2769="Guaraníes"),"Rendimiento significativo",IF(AND(M2769&gt;#REF!,Cartera!O2769="Dólares americanos"),"Rendimiento significativo","Rendimiento no significativo"))</f>
        <v>#REF!</v>
      </c>
      <c r="O2769" s="5" t="s">
        <v>51</v>
      </c>
      <c r="P2769" s="13">
        <v>867.79999999999995</v>
      </c>
      <c r="Q2769" s="12" t="e">
        <f>IF(O2769="Guaraníes",P2769,P2769*#REF!)</f>
        <v>#REF!</v>
      </c>
      <c r="R2769" s="12">
        <f>IF(O2769="Guaraníes",P2769/#REF!,P2769)</f>
        <v>867.79999999999995</v>
      </c>
      <c r="S2769" s="5" t="s">
        <v>52</v>
      </c>
      <c r="V2769" s="5">
        <v>867.79999999999995</v>
      </c>
      <c r="W2769" s="5" t="s">
        <v>637</v>
      </c>
      <c r="AC2769" s="5" t="str">
        <f t="shared" si="133"/>
        <v>CDA</v>
      </c>
      <c r="AD2769" s="5" t="s">
        <v>43</v>
      </c>
      <c r="AE2769" s="5">
        <f t="shared" si="131"/>
        <v>5</v>
      </c>
      <c r="AF2769" s="5">
        <f t="shared" si="132"/>
        <v>2021</v>
      </c>
    </row>
    <row r="2770" s="5" customFormat="1" ht="13">
      <c r="A2770" s="5" t="s">
        <v>544</v>
      </c>
      <c r="B2770" s="5" t="s">
        <v>544</v>
      </c>
      <c r="C2770" s="5" t="s">
        <v>114</v>
      </c>
      <c r="D2770" s="5" t="s">
        <v>21</v>
      </c>
      <c r="E2770" s="5" t="s">
        <v>544</v>
      </c>
      <c r="F2770" s="5" t="s">
        <v>68</v>
      </c>
      <c r="H2770" s="9">
        <v>820</v>
      </c>
      <c r="I2770" s="10"/>
      <c r="J2770" s="10">
        <v>44349</v>
      </c>
      <c r="K2770" s="5" t="s">
        <v>77</v>
      </c>
      <c r="L2770" s="5" t="s">
        <v>82</v>
      </c>
      <c r="M2770" s="11">
        <v>0.14999999999999999</v>
      </c>
      <c r="N2770" s="5" t="e">
        <f>IF(AND(M2770&gt;#REF!,Cartera!O2770="Guaraníes"),"Rendimiento significativo",IF(AND(M2770&gt;#REF!,Cartera!O2770="Dólares americanos"),"Rendimiento significativo","Rendimiento no significativo"))</f>
        <v>#REF!</v>
      </c>
      <c r="O2770" s="5" t="s">
        <v>41</v>
      </c>
      <c r="P2770" s="12">
        <v>1541096</v>
      </c>
      <c r="Q2770" s="12">
        <f>IF(O2770="Guaraníes",P2770,P2770*#REF!)</f>
        <v>1541096</v>
      </c>
      <c r="R2770" s="12" t="e">
        <f>IF(O2770="Guaraníes",P2770/#REF!,P2770)</f>
        <v>#REF!</v>
      </c>
      <c r="S2770" s="5" t="s">
        <v>52</v>
      </c>
      <c r="V2770" s="5">
        <v>1541096</v>
      </c>
      <c r="W2770" s="5" t="s">
        <v>638</v>
      </c>
      <c r="AC2770" s="5" t="str">
        <f t="shared" si="133"/>
        <v>CDA</v>
      </c>
      <c r="AD2770" s="5" t="s">
        <v>43</v>
      </c>
      <c r="AE2770" s="5">
        <f t="shared" ref="AE2770:AE2833" si="134">IFERROR((MONTH(J2770)),0)</f>
        <v>6</v>
      </c>
      <c r="AF2770" s="5">
        <f t="shared" ref="AF2770:AF2833" si="135">IFERROR((YEAR(J2770)),0)</f>
        <v>2021</v>
      </c>
    </row>
    <row r="2771" s="5" customFormat="1" ht="13">
      <c r="A2771" s="5" t="s">
        <v>544</v>
      </c>
      <c r="B2771" s="5" t="s">
        <v>544</v>
      </c>
      <c r="C2771" s="5" t="s">
        <v>607</v>
      </c>
      <c r="D2771" s="5" t="s">
        <v>21</v>
      </c>
      <c r="E2771" s="5" t="s">
        <v>544</v>
      </c>
      <c r="F2771" s="5" t="s">
        <v>68</v>
      </c>
      <c r="H2771" s="9">
        <v>1587</v>
      </c>
      <c r="I2771" s="10"/>
      <c r="J2771" s="10">
        <v>44362</v>
      </c>
      <c r="K2771" s="5" t="s">
        <v>140</v>
      </c>
      <c r="L2771" s="5" t="s">
        <v>82</v>
      </c>
      <c r="M2771" s="11">
        <v>0.065000000000000002</v>
      </c>
      <c r="N2771" s="5" t="e">
        <f>IF(AND(M2771&gt;#REF!,Cartera!O2771="Guaraníes"),"Rendimiento significativo",IF(AND(M2771&gt;#REF!,Cartera!O2771="Dólares americanos"),"Rendimiento significativo","Rendimiento no significativo"))</f>
        <v>#REF!</v>
      </c>
      <c r="O2771" s="5" t="s">
        <v>41</v>
      </c>
      <c r="P2771" s="12">
        <v>2205046</v>
      </c>
      <c r="Q2771" s="12">
        <f>IF(O2771="Guaraníes",P2771,P2771*#REF!)</f>
        <v>2205046</v>
      </c>
      <c r="R2771" s="12" t="e">
        <f>IF(O2771="Guaraníes",P2771/#REF!,P2771)</f>
        <v>#REF!</v>
      </c>
      <c r="S2771" s="5" t="s">
        <v>52</v>
      </c>
      <c r="V2771" s="5">
        <v>2205046</v>
      </c>
      <c r="W2771" s="5">
        <v>1</v>
      </c>
      <c r="AC2771" s="5" t="str">
        <f t="shared" si="133"/>
        <v>CDA</v>
      </c>
      <c r="AD2771" s="5" t="s">
        <v>43</v>
      </c>
      <c r="AE2771" s="5">
        <f t="shared" si="134"/>
        <v>6</v>
      </c>
      <c r="AF2771" s="5">
        <f t="shared" si="135"/>
        <v>2021</v>
      </c>
    </row>
    <row r="2772" s="5" customFormat="1" ht="13">
      <c r="A2772" s="5" t="s">
        <v>544</v>
      </c>
      <c r="B2772" s="5" t="s">
        <v>544</v>
      </c>
      <c r="C2772" s="5" t="s">
        <v>94</v>
      </c>
      <c r="D2772" s="5" t="s">
        <v>21</v>
      </c>
      <c r="E2772" s="5" t="s">
        <v>544</v>
      </c>
      <c r="F2772" s="5" t="s">
        <v>68</v>
      </c>
      <c r="H2772" s="9">
        <v>1897</v>
      </c>
      <c r="I2772" s="10"/>
      <c r="J2772" s="10">
        <v>44367</v>
      </c>
      <c r="K2772" s="5" t="s">
        <v>96</v>
      </c>
      <c r="L2772" s="5" t="s">
        <v>82</v>
      </c>
      <c r="M2772" s="11">
        <v>0.080000000000000002</v>
      </c>
      <c r="N2772" s="5" t="e">
        <f>IF(AND(M2772&gt;#REF!,Cartera!O2772="Guaraníes"),"Rendimiento significativo",IF(AND(M2772&gt;#REF!,Cartera!O2772="Dólares americanos"),"Rendimiento significativo","Rendimiento no significativo"))</f>
        <v>#REF!</v>
      </c>
      <c r="O2772" s="5" t="s">
        <v>41</v>
      </c>
      <c r="P2772" s="12">
        <v>2669635</v>
      </c>
      <c r="Q2772" s="12">
        <f>IF(O2772="Guaraníes",P2772,P2772*#REF!)</f>
        <v>2669635</v>
      </c>
      <c r="R2772" s="12" t="e">
        <f>IF(O2772="Guaraníes",P2772/#REF!,P2772)</f>
        <v>#REF!</v>
      </c>
      <c r="S2772" s="5" t="s">
        <v>52</v>
      </c>
      <c r="V2772" s="5">
        <v>2669635</v>
      </c>
      <c r="W2772" s="5" t="s">
        <v>639</v>
      </c>
      <c r="AC2772" s="5" t="str">
        <f t="shared" si="133"/>
        <v>CDA</v>
      </c>
      <c r="AD2772" s="5" t="s">
        <v>43</v>
      </c>
      <c r="AE2772" s="5">
        <f t="shared" si="134"/>
        <v>6</v>
      </c>
      <c r="AF2772" s="5">
        <f t="shared" si="135"/>
        <v>2021</v>
      </c>
    </row>
    <row r="2773" s="5" customFormat="1" ht="13">
      <c r="A2773" s="5" t="s">
        <v>544</v>
      </c>
      <c r="B2773" s="5" t="s">
        <v>544</v>
      </c>
      <c r="C2773" s="5" t="s">
        <v>116</v>
      </c>
      <c r="D2773" s="5" t="s">
        <v>21</v>
      </c>
      <c r="E2773" s="5" t="s">
        <v>544</v>
      </c>
      <c r="F2773" s="5" t="s">
        <v>68</v>
      </c>
      <c r="H2773" s="9">
        <v>4643</v>
      </c>
      <c r="I2773" s="10"/>
      <c r="J2773" s="10">
        <v>44368</v>
      </c>
      <c r="K2773" s="5" t="s">
        <v>118</v>
      </c>
      <c r="L2773" s="5" t="s">
        <v>82</v>
      </c>
      <c r="M2773" s="11">
        <v>0.10000000000000001</v>
      </c>
      <c r="N2773" s="5" t="e">
        <f>IF(AND(M2773&gt;#REF!,Cartera!O2773="Guaraníes"),"Rendimiento significativo",IF(AND(M2773&gt;#REF!,Cartera!O2773="Dólares americanos"),"Rendimiento significativo","Rendimiento no significativo"))</f>
        <v>#REF!</v>
      </c>
      <c r="O2773" s="5" t="s">
        <v>41</v>
      </c>
      <c r="P2773" s="12">
        <v>2493151</v>
      </c>
      <c r="Q2773" s="12">
        <f>IF(O2773="Guaraníes",P2773,P2773*#REF!)</f>
        <v>2493151</v>
      </c>
      <c r="R2773" s="12" t="e">
        <f>IF(O2773="Guaraníes",P2773/#REF!,P2773)</f>
        <v>#REF!</v>
      </c>
      <c r="S2773" s="5" t="s">
        <v>52</v>
      </c>
      <c r="V2773" s="5">
        <v>2493151</v>
      </c>
      <c r="W2773" s="5" t="s">
        <v>640</v>
      </c>
      <c r="AC2773" s="5" t="str">
        <f t="shared" si="133"/>
        <v>CDA</v>
      </c>
      <c r="AD2773" s="5" t="s">
        <v>43</v>
      </c>
      <c r="AE2773" s="5">
        <f t="shared" si="134"/>
        <v>6</v>
      </c>
      <c r="AF2773" s="5">
        <f t="shared" si="135"/>
        <v>2021</v>
      </c>
    </row>
    <row r="2774" s="5" customFormat="1" ht="13">
      <c r="A2774" s="5" t="s">
        <v>544</v>
      </c>
      <c r="B2774" s="5" t="s">
        <v>544</v>
      </c>
      <c r="C2774" s="5" t="s">
        <v>60</v>
      </c>
      <c r="D2774" s="5" t="s">
        <v>21</v>
      </c>
      <c r="E2774" s="5" t="s">
        <v>544</v>
      </c>
      <c r="F2774" s="5" t="s">
        <v>61</v>
      </c>
      <c r="H2774" s="9">
        <v>4705</v>
      </c>
      <c r="I2774" s="10"/>
      <c r="J2774" s="10">
        <v>44374</v>
      </c>
      <c r="K2774" s="5" t="s">
        <v>64</v>
      </c>
      <c r="L2774" s="5" t="s">
        <v>82</v>
      </c>
      <c r="M2774" s="11">
        <v>0.115</v>
      </c>
      <c r="N2774" s="5" t="e">
        <f>IF(AND(M2774&gt;#REF!,Cartera!O2774="Guaraníes"),"Rendimiento significativo",IF(AND(M2774&gt;#REF!,Cartera!O2774="Dólares americanos"),"Rendimiento significativo","Rendimiento no significativo"))</f>
        <v>#REF!</v>
      </c>
      <c r="O2774" s="5" t="s">
        <v>41</v>
      </c>
      <c r="P2774" s="12">
        <v>2893151</v>
      </c>
      <c r="Q2774" s="12">
        <f>IF(O2774="Guaraníes",P2774,P2774*#REF!)</f>
        <v>2893151</v>
      </c>
      <c r="R2774" s="12" t="e">
        <f>IF(O2774="Guaraníes",P2774/#REF!,P2774)</f>
        <v>#REF!</v>
      </c>
      <c r="S2774" s="5" t="s">
        <v>52</v>
      </c>
      <c r="V2774" s="5">
        <v>2893151</v>
      </c>
      <c r="W2774" s="5" t="s">
        <v>627</v>
      </c>
      <c r="AC2774" s="5" t="str">
        <f t="shared" si="133"/>
        <v>CDA</v>
      </c>
      <c r="AD2774" s="5" t="s">
        <v>43</v>
      </c>
      <c r="AE2774" s="5">
        <f t="shared" si="134"/>
        <v>6</v>
      </c>
      <c r="AF2774" s="5">
        <f t="shared" si="135"/>
        <v>2021</v>
      </c>
    </row>
    <row r="2775" s="5" customFormat="1" ht="13">
      <c r="A2775" s="5" t="s">
        <v>544</v>
      </c>
      <c r="B2775" s="5" t="s">
        <v>544</v>
      </c>
      <c r="C2775" s="5" t="s">
        <v>624</v>
      </c>
      <c r="D2775" s="5" t="s">
        <v>21</v>
      </c>
      <c r="E2775" s="5" t="s">
        <v>544</v>
      </c>
      <c r="F2775" s="5" t="s">
        <v>35</v>
      </c>
      <c r="H2775" s="9">
        <v>1550</v>
      </c>
      <c r="I2775" s="10"/>
      <c r="J2775" s="10">
        <v>44375</v>
      </c>
      <c r="K2775" s="5" t="s">
        <v>509</v>
      </c>
      <c r="L2775" s="5" t="s">
        <v>82</v>
      </c>
      <c r="M2775" s="11">
        <v>0.089999999999999997</v>
      </c>
      <c r="N2775" s="5" t="e">
        <f>IF(AND(M2775&gt;#REF!,Cartera!O2775="Guaraníes"),"Rendimiento significativo",IF(AND(M2775&gt;#REF!,Cartera!O2775="Dólares americanos"),"Rendimiento significativo","Rendimiento no significativo"))</f>
        <v>#REF!</v>
      </c>
      <c r="O2775" s="5" t="s">
        <v>41</v>
      </c>
      <c r="P2775" s="12">
        <v>2243836</v>
      </c>
      <c r="Q2775" s="12">
        <f>IF(O2775="Guaraníes",P2775,P2775*#REF!)</f>
        <v>2243836</v>
      </c>
      <c r="R2775" s="12" t="e">
        <f>IF(O2775="Guaraníes",P2775/#REF!,P2775)</f>
        <v>#REF!</v>
      </c>
      <c r="S2775" s="5" t="s">
        <v>52</v>
      </c>
      <c r="V2775" s="5">
        <v>2243836</v>
      </c>
      <c r="W2775" s="5" t="s">
        <v>632</v>
      </c>
      <c r="AC2775" s="5" t="str">
        <f t="shared" si="133"/>
        <v>CDA</v>
      </c>
      <c r="AD2775" s="5" t="s">
        <v>43</v>
      </c>
      <c r="AE2775" s="5">
        <f t="shared" si="134"/>
        <v>6</v>
      </c>
      <c r="AF2775" s="5">
        <f t="shared" si="135"/>
        <v>2021</v>
      </c>
    </row>
    <row r="2776" s="5" customFormat="1" ht="13">
      <c r="A2776" s="5" t="s">
        <v>544</v>
      </c>
      <c r="B2776" s="5" t="s">
        <v>544</v>
      </c>
      <c r="C2776" s="5" t="s">
        <v>227</v>
      </c>
      <c r="D2776" s="5" t="s">
        <v>21</v>
      </c>
      <c r="E2776" s="5" t="s">
        <v>544</v>
      </c>
      <c r="F2776" s="5" t="s">
        <v>68</v>
      </c>
      <c r="H2776" s="9">
        <v>163</v>
      </c>
      <c r="I2776" s="10"/>
      <c r="J2776" s="10">
        <v>44378</v>
      </c>
      <c r="K2776" s="5" t="s">
        <v>77</v>
      </c>
      <c r="L2776" s="5" t="s">
        <v>82</v>
      </c>
      <c r="M2776" s="11">
        <v>0</v>
      </c>
      <c r="N2776" s="5" t="e">
        <f>IF(AND(M2776&gt;#REF!,Cartera!O2776="Guaraníes"),"Rendimiento significativo",IF(AND(M2776&gt;#REF!,Cartera!O2776="Dólares americanos"),"Rendimiento significativo","Rendimiento no significativo"))</f>
        <v>#REF!</v>
      </c>
      <c r="O2776" s="5" t="s">
        <v>41</v>
      </c>
      <c r="P2776" s="12">
        <v>12080000</v>
      </c>
      <c r="Q2776" s="12">
        <f>IF(O2776="Guaraníes",P2776,P2776*#REF!)</f>
        <v>12080000</v>
      </c>
      <c r="R2776" s="12" t="e">
        <f>IF(O2776="Guaraníes",P2776/#REF!,P2776)</f>
        <v>#REF!</v>
      </c>
      <c r="S2776" s="5" t="s">
        <v>52</v>
      </c>
      <c r="V2776" s="5">
        <v>12080000</v>
      </c>
      <c r="W2776" s="5" t="s">
        <v>641</v>
      </c>
      <c r="AC2776" s="5" t="str">
        <f t="shared" si="133"/>
        <v>CDA</v>
      </c>
      <c r="AD2776" s="5" t="s">
        <v>43</v>
      </c>
      <c r="AE2776" s="5">
        <f t="shared" si="134"/>
        <v>7</v>
      </c>
      <c r="AF2776" s="5">
        <f t="shared" si="135"/>
        <v>2021</v>
      </c>
    </row>
    <row r="2777" s="5" customFormat="1" ht="13">
      <c r="A2777" s="5" t="s">
        <v>544</v>
      </c>
      <c r="B2777" s="5" t="s">
        <v>544</v>
      </c>
      <c r="C2777" s="5" t="s">
        <v>114</v>
      </c>
      <c r="D2777" s="5" t="s">
        <v>21</v>
      </c>
      <c r="E2777" s="5" t="s">
        <v>544</v>
      </c>
      <c r="F2777" s="5" t="s">
        <v>68</v>
      </c>
      <c r="H2777" s="9">
        <v>820</v>
      </c>
      <c r="I2777" s="10"/>
      <c r="J2777" s="10">
        <v>44379</v>
      </c>
      <c r="K2777" s="5" t="s">
        <v>77</v>
      </c>
      <c r="L2777" s="5" t="s">
        <v>82</v>
      </c>
      <c r="M2777" s="11">
        <v>0.14999999999999999</v>
      </c>
      <c r="N2777" s="5" t="e">
        <f>IF(AND(M2777&gt;#REF!,Cartera!O2777="Guaraníes"),"Rendimiento significativo",IF(AND(M2777&gt;#REF!,Cartera!O2777="Dólares americanos"),"Rendimiento significativo","Rendimiento no significativo"))</f>
        <v>#REF!</v>
      </c>
      <c r="O2777" s="5" t="s">
        <v>41</v>
      </c>
      <c r="P2777" s="12">
        <v>1541096</v>
      </c>
      <c r="Q2777" s="12">
        <f>IF(O2777="Guaraníes",P2777,P2777*#REF!)</f>
        <v>1541096</v>
      </c>
      <c r="R2777" s="12" t="e">
        <f>IF(O2777="Guaraníes",P2777/#REF!,P2777)</f>
        <v>#REF!</v>
      </c>
      <c r="S2777" s="5" t="s">
        <v>52</v>
      </c>
      <c r="V2777" s="5">
        <v>1541096</v>
      </c>
      <c r="W2777" s="5" t="s">
        <v>642</v>
      </c>
      <c r="AC2777" s="5" t="str">
        <f t="shared" si="133"/>
        <v>CDA</v>
      </c>
      <c r="AD2777" s="5" t="s">
        <v>43</v>
      </c>
      <c r="AE2777" s="5">
        <f t="shared" si="134"/>
        <v>7</v>
      </c>
      <c r="AF2777" s="5">
        <f t="shared" si="135"/>
        <v>2021</v>
      </c>
    </row>
    <row r="2778" s="5" customFormat="1" ht="13">
      <c r="A2778" s="5" t="s">
        <v>544</v>
      </c>
      <c r="B2778" s="5" t="s">
        <v>544</v>
      </c>
      <c r="C2778" s="5" t="s">
        <v>111</v>
      </c>
      <c r="D2778" s="5" t="s">
        <v>21</v>
      </c>
      <c r="E2778" s="5" t="s">
        <v>544</v>
      </c>
      <c r="F2778" s="5" t="s">
        <v>68</v>
      </c>
      <c r="H2778" s="9">
        <v>364</v>
      </c>
      <c r="I2778" s="10"/>
      <c r="J2778" s="10">
        <v>44382</v>
      </c>
      <c r="K2778" s="5" t="s">
        <v>140</v>
      </c>
      <c r="L2778" s="5" t="s">
        <v>82</v>
      </c>
      <c r="M2778" s="11">
        <v>0.0625</v>
      </c>
      <c r="N2778" s="5" t="e">
        <f>IF(AND(M2778&gt;#REF!,Cartera!O2778="Guaraníes"),"Rendimiento significativo",IF(AND(M2778&gt;#REF!,Cartera!O2778="Dólares americanos"),"Rendimiento significativo","Rendimiento no significativo"))</f>
        <v>#REF!</v>
      </c>
      <c r="O2778" s="5" t="s">
        <v>51</v>
      </c>
      <c r="P2778" s="13">
        <v>389.55000000000001</v>
      </c>
      <c r="Q2778" s="12" t="e">
        <f>IF(O2778="Guaraníes",P2778,P2778*#REF!)</f>
        <v>#REF!</v>
      </c>
      <c r="R2778" s="12">
        <f>IF(O2778="Guaraníes",P2778/#REF!,P2778)</f>
        <v>389.55000000000001</v>
      </c>
      <c r="S2778" s="5" t="s">
        <v>52</v>
      </c>
      <c r="V2778" s="5">
        <v>389.55000000000001</v>
      </c>
      <c r="W2778" s="5" t="s">
        <v>631</v>
      </c>
      <c r="AC2778" s="5" t="str">
        <f t="shared" si="133"/>
        <v>CDA</v>
      </c>
      <c r="AD2778" s="5" t="s">
        <v>43</v>
      </c>
      <c r="AE2778" s="5">
        <f t="shared" si="134"/>
        <v>7</v>
      </c>
      <c r="AF2778" s="5">
        <f t="shared" si="135"/>
        <v>2021</v>
      </c>
    </row>
    <row r="2779" s="5" customFormat="1" ht="13">
      <c r="A2779" s="5" t="s">
        <v>544</v>
      </c>
      <c r="B2779" s="5" t="s">
        <v>544</v>
      </c>
      <c r="C2779" s="5" t="s">
        <v>60</v>
      </c>
      <c r="D2779" s="5" t="s">
        <v>21</v>
      </c>
      <c r="E2779" s="5" t="s">
        <v>544</v>
      </c>
      <c r="F2779" s="5" t="s">
        <v>61</v>
      </c>
      <c r="H2779" s="9">
        <v>116</v>
      </c>
      <c r="I2779" s="10"/>
      <c r="J2779" s="10">
        <v>44384</v>
      </c>
      <c r="K2779" s="5" t="s">
        <v>64</v>
      </c>
      <c r="L2779" s="5" t="s">
        <v>82</v>
      </c>
      <c r="M2779" s="11">
        <v>0.064000000000000001</v>
      </c>
      <c r="N2779" s="5" t="e">
        <f>IF(AND(M2779&gt;#REF!,Cartera!O2779="Guaraníes"),"Rendimiento significativo",IF(AND(M2779&gt;#REF!,Cartera!O2779="Dólares americanos"),"Rendimiento significativo","Rendimiento no significativo"))</f>
        <v>#REF!</v>
      </c>
      <c r="O2779" s="5" t="s">
        <v>41</v>
      </c>
      <c r="P2779" s="12">
        <v>2431840</v>
      </c>
      <c r="Q2779" s="12">
        <f>IF(O2779="Guaraníes",P2779,P2779*#REF!)</f>
        <v>2431840</v>
      </c>
      <c r="R2779" s="12" t="e">
        <f>IF(O2779="Guaraníes",P2779/#REF!,P2779)</f>
        <v>#REF!</v>
      </c>
      <c r="S2779" s="5" t="s">
        <v>52</v>
      </c>
      <c r="V2779" s="5">
        <v>2431840</v>
      </c>
      <c r="W2779" s="5" t="s">
        <v>611</v>
      </c>
      <c r="AC2779" s="5" t="str">
        <f t="shared" si="133"/>
        <v>CDA</v>
      </c>
      <c r="AD2779" s="5" t="s">
        <v>43</v>
      </c>
      <c r="AE2779" s="5">
        <f t="shared" si="134"/>
        <v>7</v>
      </c>
      <c r="AF2779" s="5">
        <f t="shared" si="135"/>
        <v>2021</v>
      </c>
    </row>
    <row r="2780" s="5" customFormat="1" ht="13">
      <c r="A2780" s="5" t="s">
        <v>544</v>
      </c>
      <c r="B2780" s="5" t="s">
        <v>544</v>
      </c>
      <c r="C2780" s="5" t="s">
        <v>227</v>
      </c>
      <c r="D2780" s="5" t="s">
        <v>21</v>
      </c>
      <c r="E2780" s="5" t="s">
        <v>544</v>
      </c>
      <c r="F2780" s="5" t="s">
        <v>68</v>
      </c>
      <c r="H2780" s="9">
        <v>122</v>
      </c>
      <c r="I2780" s="10"/>
      <c r="J2780" s="10">
        <v>44384</v>
      </c>
      <c r="K2780" s="5" t="s">
        <v>77</v>
      </c>
      <c r="L2780" s="5" t="s">
        <v>82</v>
      </c>
      <c r="M2780" s="11">
        <v>0</v>
      </c>
      <c r="N2780" s="5" t="e">
        <f>IF(AND(M2780&gt;#REF!,Cartera!O2780="Guaraníes"),"Rendimiento significativo",IF(AND(M2780&gt;#REF!,Cartera!O2780="Dólares americanos"),"Rendimiento significativo","Rendimiento no significativo"))</f>
        <v>#REF!</v>
      </c>
      <c r="O2780" s="5" t="s">
        <v>41</v>
      </c>
      <c r="P2780" s="12">
        <v>3564941</v>
      </c>
      <c r="Q2780" s="12">
        <f>IF(O2780="Guaraníes",P2780,P2780*#REF!)</f>
        <v>3564941</v>
      </c>
      <c r="R2780" s="12" t="e">
        <f>IF(O2780="Guaraníes",P2780/#REF!,P2780)</f>
        <v>#REF!</v>
      </c>
      <c r="S2780" s="5" t="s">
        <v>52</v>
      </c>
      <c r="V2780" s="5">
        <v>3564941</v>
      </c>
      <c r="W2780" s="5" t="s">
        <v>370</v>
      </c>
      <c r="AC2780" s="5" t="str">
        <f t="shared" si="133"/>
        <v>CDA</v>
      </c>
      <c r="AD2780" s="5" t="s">
        <v>43</v>
      </c>
      <c r="AE2780" s="5">
        <f t="shared" si="134"/>
        <v>7</v>
      </c>
      <c r="AF2780" s="5">
        <f t="shared" si="135"/>
        <v>2021</v>
      </c>
    </row>
    <row r="2781" s="5" customFormat="1" ht="13">
      <c r="A2781" s="5" t="s">
        <v>544</v>
      </c>
      <c r="B2781" s="5" t="s">
        <v>544</v>
      </c>
      <c r="C2781" s="5" t="s">
        <v>60</v>
      </c>
      <c r="D2781" s="5" t="s">
        <v>21</v>
      </c>
      <c r="E2781" s="5" t="s">
        <v>544</v>
      </c>
      <c r="F2781" s="5" t="s">
        <v>68</v>
      </c>
      <c r="H2781" s="9">
        <v>869</v>
      </c>
      <c r="I2781" s="10"/>
      <c r="J2781" s="10">
        <v>44403</v>
      </c>
      <c r="K2781" s="5" t="s">
        <v>64</v>
      </c>
      <c r="L2781" s="5" t="s">
        <v>82</v>
      </c>
      <c r="M2781" s="11">
        <v>0.12</v>
      </c>
      <c r="N2781" s="5" t="e">
        <f>IF(AND(M2781&gt;#REF!,Cartera!O2781="Guaraníes"),"Rendimiento significativo",IF(AND(M2781&gt;#REF!,Cartera!O2781="Dólares americanos"),"Rendimiento significativo","Rendimiento no significativo"))</f>
        <v>#REF!</v>
      </c>
      <c r="O2781" s="5" t="s">
        <v>51</v>
      </c>
      <c r="P2781" s="13">
        <v>1609</v>
      </c>
      <c r="Q2781" s="12" t="e">
        <f>IF(O2781="Guaraníes",P2781,P2781*#REF!)</f>
        <v>#REF!</v>
      </c>
      <c r="R2781" s="12">
        <f>IF(O2781="Guaraníes",P2781/#REF!,P2781)</f>
        <v>1609</v>
      </c>
      <c r="S2781" s="5" t="s">
        <v>52</v>
      </c>
      <c r="V2781" s="5">
        <v>1609</v>
      </c>
      <c r="W2781" s="5" t="s">
        <v>622</v>
      </c>
      <c r="AC2781" s="5" t="str">
        <f t="shared" si="133"/>
        <v>CDA</v>
      </c>
      <c r="AD2781" s="5" t="s">
        <v>43</v>
      </c>
      <c r="AE2781" s="5">
        <f t="shared" si="134"/>
        <v>7</v>
      </c>
      <c r="AF2781" s="5">
        <f t="shared" si="135"/>
        <v>2021</v>
      </c>
    </row>
    <row r="2782" s="5" customFormat="1" ht="13">
      <c r="A2782" s="5" t="s">
        <v>544</v>
      </c>
      <c r="B2782" s="5" t="s">
        <v>544</v>
      </c>
      <c r="C2782" s="5" t="s">
        <v>60</v>
      </c>
      <c r="D2782" s="5" t="s">
        <v>21</v>
      </c>
      <c r="E2782" s="5" t="s">
        <v>544</v>
      </c>
      <c r="F2782" s="5" t="s">
        <v>61</v>
      </c>
      <c r="H2782" s="9">
        <v>4067</v>
      </c>
      <c r="I2782" s="10"/>
      <c r="J2782" s="10">
        <v>44407</v>
      </c>
      <c r="K2782" s="5" t="s">
        <v>64</v>
      </c>
      <c r="L2782" s="5" t="s">
        <v>82</v>
      </c>
      <c r="M2782" s="11">
        <v>0.070000000000000007</v>
      </c>
      <c r="N2782" s="5" t="e">
        <f>IF(AND(M2782&gt;#REF!,Cartera!O2782="Guaraníes"),"Rendimiento significativo",IF(AND(M2782&gt;#REF!,Cartera!O2782="Dólares americanos"),"Rendimiento significativo","Rendimiento no significativo"))</f>
        <v>#REF!</v>
      </c>
      <c r="O2782" s="5" t="s">
        <v>41</v>
      </c>
      <c r="P2782" s="12">
        <v>2772603</v>
      </c>
      <c r="Q2782" s="12">
        <f>IF(O2782="Guaraníes",P2782,P2782*#REF!)</f>
        <v>2772603</v>
      </c>
      <c r="R2782" s="12" t="e">
        <f>IF(O2782="Guaraníes",P2782/#REF!,P2782)</f>
        <v>#REF!</v>
      </c>
      <c r="S2782" s="5" t="s">
        <v>52</v>
      </c>
      <c r="V2782" s="5">
        <v>2772603</v>
      </c>
      <c r="W2782" s="5" t="s">
        <v>643</v>
      </c>
      <c r="AC2782" s="5" t="str">
        <f t="shared" si="133"/>
        <v>CDA</v>
      </c>
      <c r="AD2782" s="5" t="s">
        <v>43</v>
      </c>
      <c r="AE2782" s="5">
        <f t="shared" si="134"/>
        <v>7</v>
      </c>
      <c r="AF2782" s="5">
        <f t="shared" si="135"/>
        <v>2021</v>
      </c>
    </row>
    <row r="2783" s="5" customFormat="1" ht="13">
      <c r="A2783" s="5" t="s">
        <v>544</v>
      </c>
      <c r="B2783" s="5" t="s">
        <v>544</v>
      </c>
      <c r="C2783" s="5" t="s">
        <v>114</v>
      </c>
      <c r="D2783" s="5" t="s">
        <v>21</v>
      </c>
      <c r="E2783" s="5" t="s">
        <v>544</v>
      </c>
      <c r="F2783" s="5" t="s">
        <v>68</v>
      </c>
      <c r="H2783" s="9">
        <v>820</v>
      </c>
      <c r="I2783" s="10"/>
      <c r="J2783" s="10">
        <v>44410</v>
      </c>
      <c r="K2783" s="5" t="s">
        <v>77</v>
      </c>
      <c r="L2783" s="5" t="s">
        <v>82</v>
      </c>
      <c r="M2783" s="11">
        <v>0.14999999999999999</v>
      </c>
      <c r="N2783" s="5" t="e">
        <f>IF(AND(M2783&gt;#REF!,Cartera!O2783="Guaraníes"),"Rendimiento significativo",IF(AND(M2783&gt;#REF!,Cartera!O2783="Dólares americanos"),"Rendimiento significativo","Rendimiento no significativo"))</f>
        <v>#REF!</v>
      </c>
      <c r="O2783" s="5" t="s">
        <v>41</v>
      </c>
      <c r="P2783" s="12">
        <v>1592466</v>
      </c>
      <c r="Q2783" s="12">
        <f>IF(O2783="Guaraníes",P2783,P2783*#REF!)</f>
        <v>1592466</v>
      </c>
      <c r="R2783" s="12" t="e">
        <f>IF(O2783="Guaraníes",P2783/#REF!,P2783)</f>
        <v>#REF!</v>
      </c>
      <c r="S2783" s="5" t="s">
        <v>52</v>
      </c>
      <c r="V2783" s="5">
        <v>1592466</v>
      </c>
      <c r="W2783" s="5" t="s">
        <v>644</v>
      </c>
      <c r="AC2783" s="5" t="str">
        <f t="shared" si="133"/>
        <v>CDA</v>
      </c>
      <c r="AD2783" s="5" t="s">
        <v>43</v>
      </c>
      <c r="AE2783" s="5">
        <f t="shared" si="134"/>
        <v>8</v>
      </c>
      <c r="AF2783" s="5">
        <f t="shared" si="135"/>
        <v>2021</v>
      </c>
    </row>
    <row r="2784" s="5" customFormat="1" ht="13">
      <c r="A2784" s="5" t="s">
        <v>544</v>
      </c>
      <c r="B2784" s="5" t="s">
        <v>544</v>
      </c>
      <c r="C2784" s="5" t="s">
        <v>116</v>
      </c>
      <c r="D2784" s="5" t="s">
        <v>21</v>
      </c>
      <c r="E2784" s="5" t="s">
        <v>544</v>
      </c>
      <c r="F2784" s="5" t="s">
        <v>68</v>
      </c>
      <c r="H2784" s="9">
        <v>3009</v>
      </c>
      <c r="I2784" s="10"/>
      <c r="J2784" s="10">
        <v>44427</v>
      </c>
      <c r="K2784" s="5" t="s">
        <v>118</v>
      </c>
      <c r="L2784" s="5" t="s">
        <v>82</v>
      </c>
      <c r="M2784" s="11">
        <v>0.074999999999999997</v>
      </c>
      <c r="N2784" s="5" t="e">
        <f>IF(AND(M2784&gt;#REF!,Cartera!O2784="Guaraníes"),"Rendimiento significativo",IF(AND(M2784&gt;#REF!,Cartera!O2784="Dólares americanos"),"Rendimiento significativo","Rendimiento no significativo"))</f>
        <v>#REF!</v>
      </c>
      <c r="O2784" s="5" t="s">
        <v>41</v>
      </c>
      <c r="P2784" s="12">
        <v>2673041</v>
      </c>
      <c r="Q2784" s="12">
        <f>IF(O2784="Guaraníes",P2784,P2784*#REF!)</f>
        <v>2673041</v>
      </c>
      <c r="R2784" s="12" t="e">
        <f>IF(O2784="Guaraníes",P2784/#REF!,P2784)</f>
        <v>#REF!</v>
      </c>
      <c r="S2784" s="5" t="s">
        <v>52</v>
      </c>
      <c r="V2784" s="5">
        <v>2673041</v>
      </c>
      <c r="W2784" s="5" t="s">
        <v>283</v>
      </c>
      <c r="AC2784" s="5" t="str">
        <f t="shared" si="133"/>
        <v>CDA</v>
      </c>
      <c r="AD2784" s="5" t="s">
        <v>43</v>
      </c>
      <c r="AE2784" s="5">
        <f t="shared" si="134"/>
        <v>8</v>
      </c>
      <c r="AF2784" s="5">
        <f t="shared" si="135"/>
        <v>2021</v>
      </c>
    </row>
    <row r="2785" s="5" customFormat="1" ht="13">
      <c r="A2785" s="5" t="s">
        <v>544</v>
      </c>
      <c r="B2785" s="5" t="s">
        <v>544</v>
      </c>
      <c r="C2785" s="5" t="s">
        <v>114</v>
      </c>
      <c r="D2785" s="5" t="s">
        <v>21</v>
      </c>
      <c r="E2785" s="5" t="s">
        <v>544</v>
      </c>
      <c r="F2785" s="5" t="s">
        <v>68</v>
      </c>
      <c r="H2785" s="9">
        <v>820</v>
      </c>
      <c r="I2785" s="10"/>
      <c r="J2785" s="10">
        <v>44440</v>
      </c>
      <c r="K2785" s="5" t="s">
        <v>77</v>
      </c>
      <c r="L2785" s="5" t="s">
        <v>82</v>
      </c>
      <c r="M2785" s="11">
        <v>0.14999999999999999</v>
      </c>
      <c r="N2785" s="5" t="e">
        <f>IF(AND(M2785&gt;#REF!,Cartera!O2785="Guaraníes"),"Rendimiento significativo",IF(AND(M2785&gt;#REF!,Cartera!O2785="Dólares americanos"),"Rendimiento significativo","Rendimiento no significativo"))</f>
        <v>#REF!</v>
      </c>
      <c r="O2785" s="5" t="s">
        <v>41</v>
      </c>
      <c r="P2785" s="12">
        <v>1541096</v>
      </c>
      <c r="Q2785" s="12">
        <f>IF(O2785="Guaraníes",P2785,P2785*#REF!)</f>
        <v>1541096</v>
      </c>
      <c r="R2785" s="12" t="e">
        <f>IF(O2785="Guaraníes",P2785/#REF!,P2785)</f>
        <v>#REF!</v>
      </c>
      <c r="S2785" s="5" t="s">
        <v>52</v>
      </c>
      <c r="V2785" s="5">
        <v>1541096</v>
      </c>
      <c r="W2785" s="5" t="s">
        <v>645</v>
      </c>
      <c r="AC2785" s="5" t="str">
        <f t="shared" si="133"/>
        <v>CDA</v>
      </c>
      <c r="AD2785" s="5" t="s">
        <v>43</v>
      </c>
      <c r="AE2785" s="5">
        <f t="shared" si="134"/>
        <v>9</v>
      </c>
      <c r="AF2785" s="5">
        <f t="shared" si="135"/>
        <v>2021</v>
      </c>
    </row>
    <row r="2786" s="5" customFormat="1" ht="13">
      <c r="A2786" s="5" t="s">
        <v>544</v>
      </c>
      <c r="B2786" s="5" t="s">
        <v>544</v>
      </c>
      <c r="C2786" s="5" t="s">
        <v>183</v>
      </c>
      <c r="D2786" s="5" t="s">
        <v>21</v>
      </c>
      <c r="E2786" s="5" t="s">
        <v>544</v>
      </c>
      <c r="F2786" s="5" t="s">
        <v>184</v>
      </c>
      <c r="H2786" s="9">
        <v>6217</v>
      </c>
      <c r="I2786" s="10"/>
      <c r="J2786" s="10">
        <v>44446</v>
      </c>
      <c r="K2786" s="5" t="s">
        <v>124</v>
      </c>
      <c r="L2786" s="5" t="s">
        <v>82</v>
      </c>
      <c r="M2786" s="11">
        <v>0.072499999999999995</v>
      </c>
      <c r="N2786" s="5" t="e">
        <f>IF(AND(M2786&gt;#REF!,Cartera!O2786="Guaraníes"),"Rendimiento significativo",IF(AND(M2786&gt;#REF!,Cartera!O2786="Dólares americanos"),"Rendimiento significativo","Rendimiento no significativo"))</f>
        <v>#REF!</v>
      </c>
      <c r="O2786" s="5" t="s">
        <v>41</v>
      </c>
      <c r="P2786" s="12">
        <v>17063100</v>
      </c>
      <c r="Q2786" s="12">
        <f>IF(O2786="Guaraníes",P2786,P2786*#REF!)</f>
        <v>17063100</v>
      </c>
      <c r="R2786" s="12" t="e">
        <f>IF(O2786="Guaraníes",P2786/#REF!,P2786)</f>
        <v>#REF!</v>
      </c>
      <c r="S2786" s="5" t="s">
        <v>52</v>
      </c>
      <c r="V2786" s="5">
        <v>17063100</v>
      </c>
      <c r="W2786" s="5" t="s">
        <v>646</v>
      </c>
      <c r="AC2786" s="5" t="str">
        <f t="shared" si="133"/>
        <v>CDA</v>
      </c>
      <c r="AD2786" s="5" t="s">
        <v>43</v>
      </c>
      <c r="AE2786" s="5">
        <f t="shared" si="134"/>
        <v>9</v>
      </c>
      <c r="AF2786" s="5">
        <f t="shared" si="135"/>
        <v>2021</v>
      </c>
    </row>
    <row r="2787" s="5" customFormat="1" ht="13">
      <c r="A2787" s="5" t="s">
        <v>544</v>
      </c>
      <c r="B2787" s="5" t="s">
        <v>544</v>
      </c>
      <c r="C2787" s="5" t="s">
        <v>607</v>
      </c>
      <c r="D2787" s="5" t="s">
        <v>21</v>
      </c>
      <c r="E2787" s="5" t="s">
        <v>544</v>
      </c>
      <c r="F2787" s="5" t="s">
        <v>68</v>
      </c>
      <c r="H2787" s="9">
        <v>1587</v>
      </c>
      <c r="I2787" s="10"/>
      <c r="J2787" s="10">
        <v>44452</v>
      </c>
      <c r="K2787" s="5" t="s">
        <v>140</v>
      </c>
      <c r="L2787" s="5" t="s">
        <v>82</v>
      </c>
      <c r="M2787" s="11">
        <v>0.065000000000000002</v>
      </c>
      <c r="N2787" s="5" t="e">
        <f>IF(AND(M2787&gt;#REF!,Cartera!O2787="Guaraníes"),"Rendimiento significativo",IF(AND(M2787&gt;#REF!,Cartera!O2787="Dólares americanos"),"Rendimiento significativo","Rendimiento no significativo"))</f>
        <v>#REF!</v>
      </c>
      <c r="O2787" s="5" t="s">
        <v>41</v>
      </c>
      <c r="P2787" s="12">
        <v>2205046</v>
      </c>
      <c r="Q2787" s="12">
        <f>IF(O2787="Guaraníes",P2787,P2787*#REF!)</f>
        <v>2205046</v>
      </c>
      <c r="R2787" s="12" t="e">
        <f>IF(O2787="Guaraníes",P2787/#REF!,P2787)</f>
        <v>#REF!</v>
      </c>
      <c r="S2787" s="5" t="s">
        <v>52</v>
      </c>
      <c r="V2787" s="5">
        <v>2205046</v>
      </c>
      <c r="W2787" s="5">
        <v>2</v>
      </c>
      <c r="AC2787" s="5" t="str">
        <f t="shared" si="133"/>
        <v>CDA</v>
      </c>
      <c r="AD2787" s="5" t="s">
        <v>43</v>
      </c>
      <c r="AE2787" s="5">
        <f t="shared" si="134"/>
        <v>9</v>
      </c>
      <c r="AF2787" s="5">
        <f t="shared" si="135"/>
        <v>2021</v>
      </c>
    </row>
    <row r="2788" s="5" customFormat="1" ht="13">
      <c r="A2788" s="5" t="s">
        <v>544</v>
      </c>
      <c r="B2788" s="5" t="s">
        <v>544</v>
      </c>
      <c r="C2788" s="5" t="s">
        <v>94</v>
      </c>
      <c r="D2788" s="5" t="s">
        <v>21</v>
      </c>
      <c r="E2788" s="5" t="s">
        <v>544</v>
      </c>
      <c r="F2788" s="5" t="s">
        <v>68</v>
      </c>
      <c r="H2788" s="9">
        <v>1897</v>
      </c>
      <c r="I2788" s="10"/>
      <c r="J2788" s="10">
        <v>44457</v>
      </c>
      <c r="K2788" s="5" t="s">
        <v>96</v>
      </c>
      <c r="L2788" s="5" t="s">
        <v>82</v>
      </c>
      <c r="M2788" s="11">
        <v>0.080000000000000002</v>
      </c>
      <c r="N2788" s="5" t="e">
        <f>IF(AND(M2788&gt;#REF!,Cartera!O2788="Guaraníes"),"Rendimiento significativo",IF(AND(M2788&gt;#REF!,Cartera!O2788="Dólares americanos"),"Rendimiento significativo","Rendimiento no significativo"))</f>
        <v>#REF!</v>
      </c>
      <c r="O2788" s="5" t="s">
        <v>41</v>
      </c>
      <c r="P2788" s="12">
        <v>2669635</v>
      </c>
      <c r="Q2788" s="12">
        <f>IF(O2788="Guaraníes",P2788,P2788*#REF!)</f>
        <v>2669635</v>
      </c>
      <c r="R2788" s="12" t="e">
        <f>IF(O2788="Guaraníes",P2788/#REF!,P2788)</f>
        <v>#REF!</v>
      </c>
      <c r="S2788" s="5" t="s">
        <v>52</v>
      </c>
      <c r="V2788" s="5">
        <v>2669635</v>
      </c>
      <c r="W2788" s="5" t="s">
        <v>647</v>
      </c>
      <c r="AC2788" s="5" t="str">
        <f t="shared" si="133"/>
        <v>CDA</v>
      </c>
      <c r="AD2788" s="5" t="s">
        <v>43</v>
      </c>
      <c r="AE2788" s="5">
        <f t="shared" si="134"/>
        <v>9</v>
      </c>
      <c r="AF2788" s="5">
        <f t="shared" si="135"/>
        <v>2021</v>
      </c>
    </row>
    <row r="2789" s="5" customFormat="1" ht="13">
      <c r="A2789" s="5" t="s">
        <v>544</v>
      </c>
      <c r="B2789" s="5" t="s">
        <v>544</v>
      </c>
      <c r="C2789" s="5" t="s">
        <v>116</v>
      </c>
      <c r="D2789" s="5" t="s">
        <v>21</v>
      </c>
      <c r="E2789" s="5" t="s">
        <v>544</v>
      </c>
      <c r="F2789" s="5" t="s">
        <v>68</v>
      </c>
      <c r="H2789" s="9">
        <v>4643</v>
      </c>
      <c r="I2789" s="10"/>
      <c r="J2789" s="10">
        <v>44460</v>
      </c>
      <c r="K2789" s="5" t="s">
        <v>118</v>
      </c>
      <c r="L2789" s="5" t="s">
        <v>82</v>
      </c>
      <c r="M2789" s="11">
        <v>0.10000000000000001</v>
      </c>
      <c r="N2789" s="5" t="e">
        <f>IF(AND(M2789&gt;#REF!,Cartera!O2789="Guaraníes"),"Rendimiento significativo",IF(AND(M2789&gt;#REF!,Cartera!O2789="Dólares americanos"),"Rendimiento significativo","Rendimiento no significativo"))</f>
        <v>#REF!</v>
      </c>
      <c r="O2789" s="5" t="s">
        <v>41</v>
      </c>
      <c r="P2789" s="12">
        <v>2520548</v>
      </c>
      <c r="Q2789" s="12">
        <f>IF(O2789="Guaraníes",P2789,P2789*#REF!)</f>
        <v>2520548</v>
      </c>
      <c r="R2789" s="12" t="e">
        <f>IF(O2789="Guaraníes",P2789/#REF!,P2789)</f>
        <v>#REF!</v>
      </c>
      <c r="S2789" s="5" t="s">
        <v>52</v>
      </c>
      <c r="V2789" s="5">
        <v>2520548</v>
      </c>
      <c r="W2789" s="5" t="s">
        <v>648</v>
      </c>
      <c r="AC2789" s="5" t="str">
        <f t="shared" si="133"/>
        <v>CDA</v>
      </c>
      <c r="AD2789" s="5" t="s">
        <v>43</v>
      </c>
      <c r="AE2789" s="5">
        <f t="shared" si="134"/>
        <v>9</v>
      </c>
      <c r="AF2789" s="5">
        <f t="shared" si="135"/>
        <v>2021</v>
      </c>
    </row>
    <row r="2790" s="5" customFormat="1" ht="13">
      <c r="A2790" s="5" t="s">
        <v>544</v>
      </c>
      <c r="B2790" s="5" t="s">
        <v>544</v>
      </c>
      <c r="C2790" s="5" t="s">
        <v>60</v>
      </c>
      <c r="D2790" s="5" t="s">
        <v>21</v>
      </c>
      <c r="E2790" s="5" t="s">
        <v>544</v>
      </c>
      <c r="F2790" s="5" t="s">
        <v>61</v>
      </c>
      <c r="H2790" s="9">
        <v>4705</v>
      </c>
      <c r="I2790" s="10"/>
      <c r="J2790" s="10">
        <v>44462</v>
      </c>
      <c r="K2790" s="5" t="s">
        <v>64</v>
      </c>
      <c r="L2790" s="5" t="s">
        <v>82</v>
      </c>
      <c r="M2790" s="11">
        <v>0.115</v>
      </c>
      <c r="N2790" s="5" t="e">
        <f>IF(AND(M2790&gt;#REF!,Cartera!O2790="Guaraníes"),"Rendimiento significativo",IF(AND(M2790&gt;#REF!,Cartera!O2790="Dólares americanos"),"Rendimiento significativo","Rendimiento no significativo"))</f>
        <v>#REF!</v>
      </c>
      <c r="O2790" s="5" t="s">
        <v>41</v>
      </c>
      <c r="P2790" s="12">
        <v>2893151</v>
      </c>
      <c r="Q2790" s="12">
        <f>IF(O2790="Guaraníes",P2790,P2790*#REF!)</f>
        <v>2893151</v>
      </c>
      <c r="R2790" s="12" t="e">
        <f>IF(O2790="Guaraníes",P2790/#REF!,P2790)</f>
        <v>#REF!</v>
      </c>
      <c r="S2790" s="5" t="s">
        <v>52</v>
      </c>
      <c r="V2790" s="5">
        <v>2893151</v>
      </c>
      <c r="W2790" s="5" t="s">
        <v>635</v>
      </c>
      <c r="AC2790" s="5" t="str">
        <f t="shared" si="133"/>
        <v>CDA</v>
      </c>
      <c r="AD2790" s="5" t="s">
        <v>43</v>
      </c>
      <c r="AE2790" s="5">
        <f t="shared" si="134"/>
        <v>9</v>
      </c>
      <c r="AF2790" s="5">
        <f t="shared" si="135"/>
        <v>2021</v>
      </c>
    </row>
    <row r="2791" s="5" customFormat="1" ht="13">
      <c r="A2791" s="5" t="s">
        <v>544</v>
      </c>
      <c r="B2791" s="5" t="s">
        <v>544</v>
      </c>
      <c r="C2791" s="5" t="s">
        <v>624</v>
      </c>
      <c r="D2791" s="5" t="s">
        <v>21</v>
      </c>
      <c r="E2791" s="5" t="s">
        <v>544</v>
      </c>
      <c r="F2791" s="5" t="s">
        <v>35</v>
      </c>
      <c r="H2791" s="9">
        <v>1550</v>
      </c>
      <c r="I2791" s="10"/>
      <c r="J2791" s="10">
        <v>44466</v>
      </c>
      <c r="K2791" s="5" t="s">
        <v>509</v>
      </c>
      <c r="L2791" s="5" t="s">
        <v>82</v>
      </c>
      <c r="M2791" s="11">
        <v>0.089999999999999997</v>
      </c>
      <c r="N2791" s="5" t="e">
        <f>IF(AND(M2791&gt;#REF!,Cartera!O2791="Guaraníes"),"Rendimiento significativo",IF(AND(M2791&gt;#REF!,Cartera!O2791="Dólares americanos"),"Rendimiento significativo","Rendimiento no significativo"))</f>
        <v>#REF!</v>
      </c>
      <c r="O2791" s="5" t="s">
        <v>41</v>
      </c>
      <c r="P2791" s="12">
        <v>2243836</v>
      </c>
      <c r="Q2791" s="12">
        <f>IF(O2791="Guaraníes",P2791,P2791*#REF!)</f>
        <v>2243836</v>
      </c>
      <c r="R2791" s="12" t="e">
        <f>IF(O2791="Guaraníes",P2791/#REF!,P2791)</f>
        <v>#REF!</v>
      </c>
      <c r="S2791" s="5" t="s">
        <v>52</v>
      </c>
      <c r="V2791" s="5">
        <v>2243836</v>
      </c>
      <c r="W2791" s="5" t="s">
        <v>640</v>
      </c>
      <c r="AC2791" s="5" t="str">
        <f t="shared" si="133"/>
        <v>CDA</v>
      </c>
      <c r="AD2791" s="5" t="s">
        <v>43</v>
      </c>
      <c r="AE2791" s="5">
        <f t="shared" si="134"/>
        <v>9</v>
      </c>
      <c r="AF2791" s="5">
        <f t="shared" si="135"/>
        <v>2021</v>
      </c>
    </row>
    <row r="2792" s="5" customFormat="1" ht="13">
      <c r="A2792" s="5" t="s">
        <v>544</v>
      </c>
      <c r="B2792" s="5" t="s">
        <v>544</v>
      </c>
      <c r="C2792" s="5" t="s">
        <v>111</v>
      </c>
      <c r="D2792" s="5" t="s">
        <v>21</v>
      </c>
      <c r="E2792" s="5" t="s">
        <v>544</v>
      </c>
      <c r="F2792" s="5" t="s">
        <v>68</v>
      </c>
      <c r="H2792" s="9">
        <v>364</v>
      </c>
      <c r="I2792" s="10"/>
      <c r="J2792" s="10">
        <v>44470</v>
      </c>
      <c r="K2792" s="5" t="s">
        <v>140</v>
      </c>
      <c r="L2792" s="5" t="s">
        <v>82</v>
      </c>
      <c r="M2792" s="11">
        <v>0.0625</v>
      </c>
      <c r="N2792" s="5" t="e">
        <f>IF(AND(M2792&gt;#REF!,Cartera!O2792="Guaraníes"),"Rendimiento significativo",IF(AND(M2792&gt;#REF!,Cartera!O2792="Dólares americanos"),"Rendimiento significativo","Rendimiento no significativo"))</f>
        <v>#REF!</v>
      </c>
      <c r="O2792" s="5" t="s">
        <v>51</v>
      </c>
      <c r="P2792" s="13">
        <v>376.70999999999998</v>
      </c>
      <c r="Q2792" s="12" t="e">
        <f>IF(O2792="Guaraníes",P2792,P2792*#REF!)</f>
        <v>#REF!</v>
      </c>
      <c r="R2792" s="12">
        <f>IF(O2792="Guaraníes",P2792/#REF!,P2792)</f>
        <v>376.70999999999998</v>
      </c>
      <c r="S2792" s="5" t="s">
        <v>52</v>
      </c>
      <c r="V2792" s="5">
        <v>376.70999999999998</v>
      </c>
      <c r="W2792" s="5" t="s">
        <v>639</v>
      </c>
      <c r="AC2792" s="5" t="str">
        <f t="shared" si="133"/>
        <v>CDA</v>
      </c>
      <c r="AD2792" s="5" t="s">
        <v>43</v>
      </c>
      <c r="AE2792" s="5">
        <f t="shared" si="134"/>
        <v>10</v>
      </c>
      <c r="AF2792" s="5">
        <f t="shared" si="135"/>
        <v>2021</v>
      </c>
    </row>
    <row r="2793" s="5" customFormat="1" ht="13">
      <c r="A2793" s="5" t="s">
        <v>544</v>
      </c>
      <c r="B2793" s="5" t="s">
        <v>544</v>
      </c>
      <c r="C2793" s="5" t="s">
        <v>114</v>
      </c>
      <c r="D2793" s="5" t="s">
        <v>21</v>
      </c>
      <c r="E2793" s="5" t="s">
        <v>544</v>
      </c>
      <c r="F2793" s="5" t="s">
        <v>68</v>
      </c>
      <c r="H2793" s="9">
        <v>820</v>
      </c>
      <c r="I2793" s="10"/>
      <c r="J2793" s="10">
        <v>44470</v>
      </c>
      <c r="K2793" s="5" t="s">
        <v>77</v>
      </c>
      <c r="L2793" s="5" t="s">
        <v>82</v>
      </c>
      <c r="M2793" s="11">
        <v>0.14999999999999999</v>
      </c>
      <c r="N2793" s="5" t="e">
        <f>IF(AND(M2793&gt;#REF!,Cartera!O2793="Guaraníes"),"Rendimiento significativo",IF(AND(M2793&gt;#REF!,Cartera!O2793="Dólares americanos"),"Rendimiento significativo","Rendimiento no significativo"))</f>
        <v>#REF!</v>
      </c>
      <c r="O2793" s="5" t="s">
        <v>41</v>
      </c>
      <c r="P2793" s="12">
        <v>1541096</v>
      </c>
      <c r="Q2793" s="12">
        <f>IF(O2793="Guaraníes",P2793,P2793*#REF!)</f>
        <v>1541096</v>
      </c>
      <c r="R2793" s="12" t="e">
        <f>IF(O2793="Guaraníes",P2793/#REF!,P2793)</f>
        <v>#REF!</v>
      </c>
      <c r="S2793" s="5" t="s">
        <v>52</v>
      </c>
      <c r="V2793" s="5">
        <v>1541096</v>
      </c>
      <c r="W2793" s="5" t="s">
        <v>649</v>
      </c>
      <c r="AC2793" s="5" t="str">
        <f t="shared" si="133"/>
        <v>CDA</v>
      </c>
      <c r="AD2793" s="5" t="s">
        <v>43</v>
      </c>
      <c r="AE2793" s="5">
        <f t="shared" si="134"/>
        <v>10</v>
      </c>
      <c r="AF2793" s="5">
        <f t="shared" si="135"/>
        <v>2021</v>
      </c>
    </row>
    <row r="2794" s="5" customFormat="1" ht="13">
      <c r="A2794" s="5" t="s">
        <v>44</v>
      </c>
      <c r="B2794" s="5" t="s">
        <v>44</v>
      </c>
      <c r="C2794" s="5" t="s">
        <v>60</v>
      </c>
      <c r="D2794" s="5" t="s">
        <v>20</v>
      </c>
      <c r="E2794" s="5" t="s">
        <v>44</v>
      </c>
      <c r="F2794" s="5" t="s">
        <v>61</v>
      </c>
      <c r="H2794" s="9">
        <v>116</v>
      </c>
      <c r="I2794" s="10">
        <v>43924</v>
      </c>
      <c r="J2794" s="10">
        <v>44474</v>
      </c>
      <c r="K2794" s="5" t="s">
        <v>64</v>
      </c>
      <c r="L2794" s="5" t="s">
        <v>82</v>
      </c>
      <c r="M2794" s="11">
        <v>0.064000000000000001</v>
      </c>
      <c r="N2794" s="5" t="e">
        <f>IF(AND(M2794&gt;#REF!,Cartera!O2794="Guaraníes"),"Rendimiento significativo",IF(AND(M2794&gt;#REF!,Cartera!O2794="Dólares americanos"),"Rendimiento significativo","Rendimiento no significativo"))</f>
        <v>#REF!</v>
      </c>
      <c r="O2794" s="5" t="s">
        <v>41</v>
      </c>
      <c r="P2794" s="12">
        <v>137829451</v>
      </c>
      <c r="Q2794" s="12">
        <f>IF(O2794="Guaraníes",P2794,P2794*#REF!)</f>
        <v>137829451</v>
      </c>
      <c r="R2794" s="12" t="e">
        <f>IF(O2794="Guaraníes",P2794/#REF!,P2794)</f>
        <v>#REF!</v>
      </c>
      <c r="S2794" s="5" t="s">
        <v>52</v>
      </c>
      <c r="AC2794" s="5" t="str">
        <f t="shared" si="133"/>
        <v>CDA</v>
      </c>
      <c r="AD2794" s="5" t="s">
        <v>43</v>
      </c>
      <c r="AE2794" s="5">
        <f t="shared" si="134"/>
        <v>10</v>
      </c>
      <c r="AF2794" s="5">
        <f t="shared" si="135"/>
        <v>2021</v>
      </c>
    </row>
    <row r="2795" s="5" customFormat="1" ht="13">
      <c r="A2795" s="5" t="s">
        <v>544</v>
      </c>
      <c r="B2795" s="5" t="s">
        <v>544</v>
      </c>
      <c r="C2795" s="5" t="s">
        <v>60</v>
      </c>
      <c r="D2795" s="5" t="s">
        <v>21</v>
      </c>
      <c r="E2795" s="5" t="s">
        <v>544</v>
      </c>
      <c r="F2795" s="5" t="s">
        <v>61</v>
      </c>
      <c r="H2795" s="9">
        <v>116</v>
      </c>
      <c r="I2795" s="10"/>
      <c r="J2795" s="10">
        <v>44474</v>
      </c>
      <c r="K2795" s="5" t="s">
        <v>64</v>
      </c>
      <c r="L2795" s="5" t="s">
        <v>82</v>
      </c>
      <c r="M2795" s="11">
        <v>0.064000000000000001</v>
      </c>
      <c r="N2795" s="5" t="e">
        <f>IF(AND(M2795&gt;#REF!,Cartera!O2795="Guaraníes"),"Rendimiento significativo",IF(AND(M2795&gt;#REF!,Cartera!O2795="Dólares americanos"),"Rendimiento significativo","Rendimiento no significativo"))</f>
        <v>#REF!</v>
      </c>
      <c r="O2795" s="5" t="s">
        <v>41</v>
      </c>
      <c r="P2795" s="12">
        <v>2378975</v>
      </c>
      <c r="Q2795" s="12">
        <f>IF(O2795="Guaraníes",P2795,P2795*#REF!)</f>
        <v>2378975</v>
      </c>
      <c r="R2795" s="12" t="e">
        <f>IF(O2795="Guaraníes",P2795/#REF!,P2795)</f>
        <v>#REF!</v>
      </c>
      <c r="S2795" s="5" t="s">
        <v>52</v>
      </c>
      <c r="V2795" s="5">
        <v>2378975</v>
      </c>
      <c r="W2795" s="5" t="s">
        <v>274</v>
      </c>
      <c r="AC2795" s="5" t="str">
        <f t="shared" si="133"/>
        <v>CDA</v>
      </c>
      <c r="AD2795" s="5" t="s">
        <v>43</v>
      </c>
      <c r="AE2795" s="5">
        <f t="shared" si="134"/>
        <v>10</v>
      </c>
      <c r="AF2795" s="5">
        <f t="shared" si="135"/>
        <v>2021</v>
      </c>
    </row>
    <row r="2796" s="5" customFormat="1" ht="13">
      <c r="A2796" s="5" t="s">
        <v>44</v>
      </c>
      <c r="B2796" s="5" t="s">
        <v>44</v>
      </c>
      <c r="C2796" s="5" t="s">
        <v>60</v>
      </c>
      <c r="D2796" s="5" t="s">
        <v>20</v>
      </c>
      <c r="E2796" s="5" t="s">
        <v>44</v>
      </c>
      <c r="F2796" s="5" t="s">
        <v>61</v>
      </c>
      <c r="H2796" s="9">
        <v>4067</v>
      </c>
      <c r="I2796" s="10">
        <v>42647</v>
      </c>
      <c r="J2796" s="10">
        <v>44497</v>
      </c>
      <c r="K2796" s="5" t="s">
        <v>64</v>
      </c>
      <c r="L2796" s="5" t="s">
        <v>82</v>
      </c>
      <c r="M2796" s="11">
        <v>0.070000000000000007</v>
      </c>
      <c r="N2796" s="5" t="e">
        <f>IF(AND(M2796&gt;#REF!,Cartera!O2796="Guaraníes"),"Rendimiento significativo",IF(AND(M2796&gt;#REF!,Cartera!O2796="Dólares americanos"),"Rendimiento significativo","Rendimiento no significativo"))</f>
        <v>#REF!</v>
      </c>
      <c r="O2796" s="5" t="s">
        <v>41</v>
      </c>
      <c r="P2796" s="12">
        <v>100000000</v>
      </c>
      <c r="Q2796" s="12">
        <f>IF(O2796="Guaraníes",P2796,P2796*#REF!)</f>
        <v>100000000</v>
      </c>
      <c r="R2796" s="12" t="e">
        <f>IF(O2796="Guaraníes",P2796/#REF!,P2796)</f>
        <v>#REF!</v>
      </c>
      <c r="S2796" s="5" t="s">
        <v>52</v>
      </c>
      <c r="AC2796" s="5" t="str">
        <f t="shared" si="133"/>
        <v>CDA</v>
      </c>
      <c r="AD2796" s="5" t="s">
        <v>43</v>
      </c>
      <c r="AE2796" s="5">
        <f t="shared" si="134"/>
        <v>10</v>
      </c>
      <c r="AF2796" s="5">
        <f t="shared" si="135"/>
        <v>2021</v>
      </c>
    </row>
    <row r="2797" s="5" customFormat="1" ht="13">
      <c r="A2797" s="5" t="s">
        <v>544</v>
      </c>
      <c r="B2797" s="5" t="s">
        <v>544</v>
      </c>
      <c r="C2797" s="5" t="s">
        <v>60</v>
      </c>
      <c r="D2797" s="5" t="s">
        <v>21</v>
      </c>
      <c r="E2797" s="5" t="s">
        <v>544</v>
      </c>
      <c r="F2797" s="5" t="s">
        <v>61</v>
      </c>
      <c r="H2797" s="9">
        <v>4067</v>
      </c>
      <c r="I2797" s="10"/>
      <c r="J2797" s="10">
        <v>44497</v>
      </c>
      <c r="K2797" s="5" t="s">
        <v>64</v>
      </c>
      <c r="L2797" s="5" t="s">
        <v>82</v>
      </c>
      <c r="M2797" s="11">
        <v>0.070000000000000007</v>
      </c>
      <c r="N2797" s="5" t="e">
        <f>IF(AND(M2797&gt;#REF!,Cartera!O2797="Guaraníes"),"Rendimiento significativo",IF(AND(M2797&gt;#REF!,Cartera!O2797="Dólares americanos"),"Rendimiento significativo","Rendimiento no significativo"))</f>
        <v>#REF!</v>
      </c>
      <c r="O2797" s="5" t="s">
        <v>41</v>
      </c>
      <c r="P2797" s="12">
        <v>2835611</v>
      </c>
      <c r="Q2797" s="12">
        <f>IF(O2797="Guaraníes",P2797,P2797*#REF!)</f>
        <v>2835611</v>
      </c>
      <c r="R2797" s="12" t="e">
        <f>IF(O2797="Guaraníes",P2797/#REF!,P2797)</f>
        <v>#REF!</v>
      </c>
      <c r="S2797" s="5" t="s">
        <v>52</v>
      </c>
      <c r="V2797" s="5">
        <v>2835611</v>
      </c>
      <c r="W2797" s="5" t="s">
        <v>650</v>
      </c>
      <c r="AC2797" s="5" t="str">
        <f t="shared" si="133"/>
        <v>CDA</v>
      </c>
      <c r="AD2797" s="5" t="s">
        <v>43</v>
      </c>
      <c r="AE2797" s="5">
        <f t="shared" si="134"/>
        <v>10</v>
      </c>
      <c r="AF2797" s="5">
        <f t="shared" si="135"/>
        <v>2021</v>
      </c>
    </row>
    <row r="2798" s="5" customFormat="1" ht="13">
      <c r="A2798" s="5" t="s">
        <v>544</v>
      </c>
      <c r="B2798" s="5" t="s">
        <v>544</v>
      </c>
      <c r="C2798" s="5" t="s">
        <v>114</v>
      </c>
      <c r="D2798" s="5" t="s">
        <v>21</v>
      </c>
      <c r="E2798" s="5" t="s">
        <v>544</v>
      </c>
      <c r="F2798" s="5" t="s">
        <v>68</v>
      </c>
      <c r="H2798" s="9">
        <v>820</v>
      </c>
      <c r="I2798" s="10"/>
      <c r="J2798" s="10">
        <v>44501</v>
      </c>
      <c r="K2798" s="5" t="s">
        <v>77</v>
      </c>
      <c r="L2798" s="5" t="s">
        <v>82</v>
      </c>
      <c r="M2798" s="11">
        <v>0.14999999999999999</v>
      </c>
      <c r="N2798" s="5" t="e">
        <f>IF(AND(M2798&gt;#REF!,Cartera!O2798="Guaraníes"),"Rendimiento significativo",IF(AND(M2798&gt;#REF!,Cartera!O2798="Dólares americanos"),"Rendimiento significativo","Rendimiento no significativo"))</f>
        <v>#REF!</v>
      </c>
      <c r="O2798" s="5" t="s">
        <v>41</v>
      </c>
      <c r="P2798" s="12">
        <v>1592466</v>
      </c>
      <c r="Q2798" s="12">
        <f>IF(O2798="Guaraníes",P2798,P2798*#REF!)</f>
        <v>1592466</v>
      </c>
      <c r="R2798" s="12" t="e">
        <f>IF(O2798="Guaraníes",P2798/#REF!,P2798)</f>
        <v>#REF!</v>
      </c>
      <c r="S2798" s="5" t="s">
        <v>52</v>
      </c>
      <c r="V2798" s="5">
        <v>1592466</v>
      </c>
      <c r="W2798" s="5" t="s">
        <v>651</v>
      </c>
      <c r="AC2798" s="5" t="str">
        <f t="shared" si="133"/>
        <v>CDA</v>
      </c>
      <c r="AD2798" s="5" t="s">
        <v>43</v>
      </c>
      <c r="AE2798" s="5">
        <f t="shared" si="134"/>
        <v>11</v>
      </c>
      <c r="AF2798" s="5">
        <f t="shared" si="135"/>
        <v>2021</v>
      </c>
    </row>
    <row r="2799" s="5" customFormat="1" ht="13">
      <c r="A2799" s="5" t="s">
        <v>44</v>
      </c>
      <c r="B2799" s="5" t="s">
        <v>44</v>
      </c>
      <c r="C2799" s="5" t="s">
        <v>116</v>
      </c>
      <c r="D2799" s="5" t="s">
        <v>20</v>
      </c>
      <c r="E2799" s="5" t="s">
        <v>44</v>
      </c>
      <c r="F2799" s="5" t="s">
        <v>68</v>
      </c>
      <c r="H2799" s="9">
        <v>3009</v>
      </c>
      <c r="I2799" s="10">
        <v>43060</v>
      </c>
      <c r="J2799" s="10">
        <v>44522</v>
      </c>
      <c r="K2799" s="5" t="s">
        <v>118</v>
      </c>
      <c r="L2799" s="5" t="s">
        <v>82</v>
      </c>
      <c r="M2799" s="11">
        <v>0.074999999999999997</v>
      </c>
      <c r="N2799" s="5" t="e">
        <f>IF(AND(M2799&gt;#REF!,Cartera!O2799="Guaraníes"),"Rendimiento significativo",IF(AND(M2799&gt;#REF!,Cartera!O2799="Dólares americanos"),"Rendimiento significativo","Rendimiento no significativo"))</f>
        <v>#REF!</v>
      </c>
      <c r="O2799" s="5" t="s">
        <v>41</v>
      </c>
      <c r="P2799" s="12">
        <v>101000000</v>
      </c>
      <c r="Q2799" s="12">
        <f>IF(O2799="Guaraníes",P2799,P2799*#REF!)</f>
        <v>101000000</v>
      </c>
      <c r="R2799" s="12" t="e">
        <f>IF(O2799="Guaraníes",P2799/#REF!,P2799)</f>
        <v>#REF!</v>
      </c>
      <c r="S2799" s="5" t="s">
        <v>52</v>
      </c>
      <c r="AC2799" s="5" t="str">
        <f t="shared" si="133"/>
        <v>CDA</v>
      </c>
      <c r="AD2799" s="5" t="s">
        <v>43</v>
      </c>
      <c r="AE2799" s="5">
        <f t="shared" si="134"/>
        <v>11</v>
      </c>
      <c r="AF2799" s="5">
        <f t="shared" si="135"/>
        <v>2021</v>
      </c>
    </row>
    <row r="2800" s="5" customFormat="1" ht="13">
      <c r="A2800" s="5" t="s">
        <v>544</v>
      </c>
      <c r="B2800" s="5" t="s">
        <v>544</v>
      </c>
      <c r="C2800" s="5" t="s">
        <v>116</v>
      </c>
      <c r="D2800" s="5" t="s">
        <v>21</v>
      </c>
      <c r="E2800" s="5" t="s">
        <v>544</v>
      </c>
      <c r="F2800" s="5" t="s">
        <v>68</v>
      </c>
      <c r="H2800" s="9">
        <v>3009</v>
      </c>
      <c r="I2800" s="10"/>
      <c r="J2800" s="10">
        <v>44522</v>
      </c>
      <c r="K2800" s="5" t="s">
        <v>118</v>
      </c>
      <c r="L2800" s="5" t="s">
        <v>82</v>
      </c>
      <c r="M2800" s="11">
        <v>0.074999999999999997</v>
      </c>
      <c r="N2800" s="5" t="e">
        <f>IF(AND(M2800&gt;#REF!,Cartera!O2800="Guaraníes"),"Rendimiento significativo",IF(AND(M2800&gt;#REF!,Cartera!O2800="Dólares americanos"),"Rendimiento significativo","Rendimiento no significativo"))</f>
        <v>#REF!</v>
      </c>
      <c r="O2800" s="5" t="s">
        <v>41</v>
      </c>
      <c r="P2800" s="12">
        <v>2760206</v>
      </c>
      <c r="Q2800" s="12">
        <f>IF(O2800="Guaraníes",P2800,P2800*#REF!)</f>
        <v>2760206</v>
      </c>
      <c r="R2800" s="12" t="e">
        <f>IF(O2800="Guaraníes",P2800/#REF!,P2800)</f>
        <v>#REF!</v>
      </c>
      <c r="S2800" s="5" t="s">
        <v>52</v>
      </c>
      <c r="V2800" s="5">
        <v>2760206</v>
      </c>
      <c r="W2800" s="5" t="s">
        <v>370</v>
      </c>
      <c r="AC2800" s="5" t="str">
        <f t="shared" si="133"/>
        <v>CDA</v>
      </c>
      <c r="AD2800" s="5" t="s">
        <v>43</v>
      </c>
      <c r="AE2800" s="5">
        <f t="shared" si="134"/>
        <v>11</v>
      </c>
      <c r="AF2800" s="5">
        <f t="shared" si="135"/>
        <v>2021</v>
      </c>
    </row>
    <row r="2801" s="5" customFormat="1" ht="13">
      <c r="A2801" s="5" t="s">
        <v>544</v>
      </c>
      <c r="B2801" s="5" t="s">
        <v>544</v>
      </c>
      <c r="C2801" s="5" t="s">
        <v>116</v>
      </c>
      <c r="D2801" s="5" t="s">
        <v>21</v>
      </c>
      <c r="E2801" s="5" t="s">
        <v>544</v>
      </c>
      <c r="F2801" s="5" t="s">
        <v>68</v>
      </c>
      <c r="H2801" s="9">
        <v>1519</v>
      </c>
      <c r="I2801" s="10"/>
      <c r="J2801" s="10">
        <v>44524</v>
      </c>
      <c r="K2801" s="5" t="s">
        <v>118</v>
      </c>
      <c r="L2801" s="5" t="s">
        <v>82</v>
      </c>
      <c r="M2801" s="11">
        <v>0.105</v>
      </c>
      <c r="N2801" s="5" t="e">
        <f>IF(AND(M2801&gt;#REF!,Cartera!O2801="Guaraníes"),"Rendimiento significativo",IF(AND(M2801&gt;#REF!,Cartera!O2801="Dólares americanos"),"Rendimiento significativo","Rendimiento no significativo"))</f>
        <v>#REF!</v>
      </c>
      <c r="O2801" s="5" t="s">
        <v>51</v>
      </c>
      <c r="P2801" s="13">
        <v>882.19000000000005</v>
      </c>
      <c r="Q2801" s="12" t="e">
        <f>IF(O2801="Guaraníes",P2801,P2801*#REF!)</f>
        <v>#REF!</v>
      </c>
      <c r="R2801" s="12">
        <f>IF(O2801="Guaraníes",P2801/#REF!,P2801)</f>
        <v>882.19000000000005</v>
      </c>
      <c r="S2801" s="5" t="s">
        <v>52</v>
      </c>
      <c r="V2801" s="5">
        <v>882.19000000000005</v>
      </c>
      <c r="W2801" s="5" t="s">
        <v>652</v>
      </c>
      <c r="AC2801" s="5" t="str">
        <f t="shared" si="133"/>
        <v>CDA</v>
      </c>
      <c r="AD2801" s="5" t="s">
        <v>43</v>
      </c>
      <c r="AE2801" s="5">
        <f t="shared" si="134"/>
        <v>11</v>
      </c>
      <c r="AF2801" s="5">
        <f t="shared" si="135"/>
        <v>2021</v>
      </c>
    </row>
    <row r="2802" s="5" customFormat="1" ht="13">
      <c r="A2802" s="5" t="s">
        <v>544</v>
      </c>
      <c r="B2802" s="5" t="s">
        <v>544</v>
      </c>
      <c r="C2802" s="5" t="s">
        <v>114</v>
      </c>
      <c r="D2802" s="5" t="s">
        <v>21</v>
      </c>
      <c r="E2802" s="5" t="s">
        <v>544</v>
      </c>
      <c r="F2802" s="5" t="s">
        <v>68</v>
      </c>
      <c r="H2802" s="9">
        <v>820</v>
      </c>
      <c r="I2802" s="10"/>
      <c r="J2802" s="10">
        <v>44531</v>
      </c>
      <c r="K2802" s="5" t="s">
        <v>77</v>
      </c>
      <c r="L2802" s="5" t="s">
        <v>82</v>
      </c>
      <c r="M2802" s="11">
        <v>0.14999999999999999</v>
      </c>
      <c r="N2802" s="5" t="e">
        <f>IF(AND(M2802&gt;#REF!,Cartera!O2802="Guaraníes"),"Rendimiento significativo",IF(AND(M2802&gt;#REF!,Cartera!O2802="Dólares americanos"),"Rendimiento significativo","Rendimiento no significativo"))</f>
        <v>#REF!</v>
      </c>
      <c r="O2802" s="5" t="s">
        <v>41</v>
      </c>
      <c r="P2802" s="12">
        <v>1541096</v>
      </c>
      <c r="Q2802" s="12">
        <f>IF(O2802="Guaraníes",P2802,P2802*#REF!)</f>
        <v>1541096</v>
      </c>
      <c r="R2802" s="12" t="e">
        <f>IF(O2802="Guaraníes",P2802/#REF!,P2802)</f>
        <v>#REF!</v>
      </c>
      <c r="S2802" s="5" t="s">
        <v>52</v>
      </c>
      <c r="V2802" s="5">
        <v>1541096</v>
      </c>
      <c r="W2802" s="5" t="s">
        <v>653</v>
      </c>
      <c r="AC2802" s="5" t="str">
        <f t="shared" si="133"/>
        <v>CDA</v>
      </c>
      <c r="AD2802" s="5" t="s">
        <v>43</v>
      </c>
      <c r="AE2802" s="5">
        <f t="shared" si="134"/>
        <v>12</v>
      </c>
      <c r="AF2802" s="5">
        <f t="shared" si="135"/>
        <v>2021</v>
      </c>
    </row>
    <row r="2803" s="5" customFormat="1" ht="13">
      <c r="A2803" s="5" t="s">
        <v>544</v>
      </c>
      <c r="B2803" s="5" t="s">
        <v>544</v>
      </c>
      <c r="C2803" s="5" t="s">
        <v>227</v>
      </c>
      <c r="D2803" s="5" t="s">
        <v>21</v>
      </c>
      <c r="E2803" s="5" t="s">
        <v>544</v>
      </c>
      <c r="F2803" s="5" t="s">
        <v>68</v>
      </c>
      <c r="H2803" s="9">
        <v>301</v>
      </c>
      <c r="I2803" s="10"/>
      <c r="J2803" s="10">
        <v>44540</v>
      </c>
      <c r="K2803" s="5" t="s">
        <v>77</v>
      </c>
      <c r="L2803" s="5" t="s">
        <v>82</v>
      </c>
      <c r="M2803" s="11">
        <v>0.059999999999999998</v>
      </c>
      <c r="N2803" s="5" t="e">
        <f>IF(AND(M2803&gt;#REF!,Cartera!O2803="Guaraníes"),"Rendimiento significativo",IF(AND(M2803&gt;#REF!,Cartera!O2803="Dólares americanos"),"Rendimiento significativo","Rendimiento no significativo"))</f>
        <v>#REF!</v>
      </c>
      <c r="O2803" s="5" t="s">
        <v>41</v>
      </c>
      <c r="P2803" s="12">
        <v>3002740</v>
      </c>
      <c r="Q2803" s="12">
        <f>IF(O2803="Guaraníes",P2803,P2803*#REF!)</f>
        <v>3002740</v>
      </c>
      <c r="R2803" s="12" t="e">
        <f>IF(O2803="Guaraníes",P2803/#REF!,P2803)</f>
        <v>#REF!</v>
      </c>
      <c r="S2803" s="5" t="s">
        <v>52</v>
      </c>
      <c r="V2803" s="5">
        <v>3002740</v>
      </c>
      <c r="W2803" s="5" t="s">
        <v>264</v>
      </c>
      <c r="AC2803" s="5" t="str">
        <f t="shared" si="133"/>
        <v>CDA</v>
      </c>
      <c r="AD2803" s="5" t="s">
        <v>43</v>
      </c>
      <c r="AE2803" s="5">
        <f t="shared" si="134"/>
        <v>12</v>
      </c>
      <c r="AF2803" s="5">
        <f t="shared" si="135"/>
        <v>2021</v>
      </c>
    </row>
    <row r="2804" s="5" customFormat="1" ht="13">
      <c r="A2804" s="5" t="s">
        <v>544</v>
      </c>
      <c r="B2804" s="5" t="s">
        <v>544</v>
      </c>
      <c r="C2804" s="5" t="s">
        <v>607</v>
      </c>
      <c r="D2804" s="5" t="s">
        <v>21</v>
      </c>
      <c r="E2804" s="5" t="s">
        <v>544</v>
      </c>
      <c r="F2804" s="5" t="s">
        <v>68</v>
      </c>
      <c r="H2804" s="9">
        <v>1587</v>
      </c>
      <c r="I2804" s="10"/>
      <c r="J2804" s="10">
        <v>44542</v>
      </c>
      <c r="K2804" s="5" t="s">
        <v>140</v>
      </c>
      <c r="L2804" s="5" t="s">
        <v>82</v>
      </c>
      <c r="M2804" s="11">
        <v>0.065000000000000002</v>
      </c>
      <c r="N2804" s="5" t="e">
        <f>IF(AND(M2804&gt;#REF!,Cartera!O2804="Guaraníes"),"Rendimiento significativo",IF(AND(M2804&gt;#REF!,Cartera!O2804="Dólares americanos"),"Rendimiento significativo","Rendimiento no significativo"))</f>
        <v>#REF!</v>
      </c>
      <c r="O2804" s="5" t="s">
        <v>41</v>
      </c>
      <c r="P2804" s="12">
        <v>2205046</v>
      </c>
      <c r="Q2804" s="12">
        <f>IF(O2804="Guaraníes",P2804,P2804*#REF!)</f>
        <v>2205046</v>
      </c>
      <c r="R2804" s="12" t="e">
        <f>IF(O2804="Guaraníes",P2804/#REF!,P2804)</f>
        <v>#REF!</v>
      </c>
      <c r="S2804" s="5" t="s">
        <v>52</v>
      </c>
      <c r="V2804" s="5">
        <v>2205046</v>
      </c>
      <c r="W2804" s="5">
        <v>3</v>
      </c>
      <c r="AC2804" s="5" t="str">
        <f t="shared" si="133"/>
        <v>CDA</v>
      </c>
      <c r="AD2804" s="5" t="s">
        <v>43</v>
      </c>
      <c r="AE2804" s="5">
        <f t="shared" si="134"/>
        <v>12</v>
      </c>
      <c r="AF2804" s="5">
        <f t="shared" si="135"/>
        <v>2021</v>
      </c>
    </row>
    <row r="2805" s="5" customFormat="1" ht="13">
      <c r="A2805" s="5" t="s">
        <v>544</v>
      </c>
      <c r="B2805" s="5" t="s">
        <v>544</v>
      </c>
      <c r="C2805" s="5" t="s">
        <v>94</v>
      </c>
      <c r="D2805" s="5" t="s">
        <v>21</v>
      </c>
      <c r="E2805" s="5" t="s">
        <v>544</v>
      </c>
      <c r="F2805" s="5" t="s">
        <v>68</v>
      </c>
      <c r="H2805" s="9">
        <v>1897</v>
      </c>
      <c r="I2805" s="10"/>
      <c r="J2805" s="10">
        <v>44547</v>
      </c>
      <c r="K2805" s="5" t="s">
        <v>96</v>
      </c>
      <c r="L2805" s="5" t="s">
        <v>82</v>
      </c>
      <c r="M2805" s="11">
        <v>0.080000000000000002</v>
      </c>
      <c r="N2805" s="5" t="e">
        <f>IF(AND(M2805&gt;#REF!,Cartera!O2805="Guaraníes"),"Rendimiento significativo",IF(AND(M2805&gt;#REF!,Cartera!O2805="Dólares americanos"),"Rendimiento significativo","Rendimiento no significativo"))</f>
        <v>#REF!</v>
      </c>
      <c r="O2805" s="5" t="s">
        <v>41</v>
      </c>
      <c r="P2805" s="12">
        <v>2669635</v>
      </c>
      <c r="Q2805" s="12">
        <f>IF(O2805="Guaraníes",P2805,P2805*#REF!)</f>
        <v>2669635</v>
      </c>
      <c r="R2805" s="12" t="e">
        <f>IF(O2805="Guaraníes",P2805/#REF!,P2805)</f>
        <v>#REF!</v>
      </c>
      <c r="S2805" s="5" t="s">
        <v>52</v>
      </c>
      <c r="V2805" s="5">
        <v>2669635</v>
      </c>
      <c r="W2805" s="5" t="s">
        <v>522</v>
      </c>
      <c r="AC2805" s="5" t="str">
        <f t="shared" si="133"/>
        <v>CDA</v>
      </c>
      <c r="AD2805" s="5" t="s">
        <v>43</v>
      </c>
      <c r="AE2805" s="5">
        <f t="shared" si="134"/>
        <v>12</v>
      </c>
      <c r="AF2805" s="5">
        <f t="shared" si="135"/>
        <v>2021</v>
      </c>
    </row>
    <row r="2806" s="5" customFormat="1" ht="13">
      <c r="A2806" s="5" t="s">
        <v>544</v>
      </c>
      <c r="B2806" s="5" t="s">
        <v>544</v>
      </c>
      <c r="C2806" s="5" t="s">
        <v>60</v>
      </c>
      <c r="D2806" s="5" t="s">
        <v>21</v>
      </c>
      <c r="E2806" s="5" t="s">
        <v>544</v>
      </c>
      <c r="F2806" s="5" t="s">
        <v>61</v>
      </c>
      <c r="H2806" s="9">
        <v>4705</v>
      </c>
      <c r="I2806" s="10"/>
      <c r="J2806" s="10">
        <v>44550</v>
      </c>
      <c r="K2806" s="5" t="s">
        <v>64</v>
      </c>
      <c r="L2806" s="5" t="s">
        <v>82</v>
      </c>
      <c r="M2806" s="11">
        <v>0.115</v>
      </c>
      <c r="N2806" s="5" t="e">
        <f>IF(AND(M2806&gt;#REF!,Cartera!O2806="Guaraníes"),"Rendimiento significativo",IF(AND(M2806&gt;#REF!,Cartera!O2806="Dólares americanos"),"Rendimiento significativo","Rendimiento no significativo"))</f>
        <v>#REF!</v>
      </c>
      <c r="O2806" s="5" t="s">
        <v>41</v>
      </c>
      <c r="P2806" s="12">
        <v>2893151</v>
      </c>
      <c r="Q2806" s="12">
        <f>IF(O2806="Guaraníes",P2806,P2806*#REF!)</f>
        <v>2893151</v>
      </c>
      <c r="R2806" s="12" t="e">
        <f>IF(O2806="Guaraníes",P2806/#REF!,P2806)</f>
        <v>#REF!</v>
      </c>
      <c r="S2806" s="5" t="s">
        <v>52</v>
      </c>
      <c r="V2806" s="5">
        <v>2893151</v>
      </c>
      <c r="W2806" s="5" t="s">
        <v>643</v>
      </c>
      <c r="AC2806" s="5" t="str">
        <f t="shared" si="133"/>
        <v>CDA</v>
      </c>
      <c r="AD2806" s="5" t="s">
        <v>43</v>
      </c>
      <c r="AE2806" s="5">
        <f t="shared" si="134"/>
        <v>12</v>
      </c>
      <c r="AF2806" s="5">
        <f t="shared" si="135"/>
        <v>2021</v>
      </c>
    </row>
    <row r="2807" s="5" customFormat="1" ht="13">
      <c r="A2807" s="5" t="s">
        <v>544</v>
      </c>
      <c r="B2807" s="5" t="s">
        <v>544</v>
      </c>
      <c r="C2807" s="5" t="s">
        <v>116</v>
      </c>
      <c r="D2807" s="5" t="s">
        <v>21</v>
      </c>
      <c r="E2807" s="5" t="s">
        <v>544</v>
      </c>
      <c r="F2807" s="5" t="s">
        <v>68</v>
      </c>
      <c r="H2807" s="9">
        <v>4643</v>
      </c>
      <c r="I2807" s="10"/>
      <c r="J2807" s="10">
        <v>44551</v>
      </c>
      <c r="K2807" s="5" t="s">
        <v>118</v>
      </c>
      <c r="L2807" s="5" t="s">
        <v>82</v>
      </c>
      <c r="M2807" s="11">
        <v>0.10000000000000001</v>
      </c>
      <c r="N2807" s="5" t="e">
        <f>IF(AND(M2807&gt;#REF!,Cartera!O2807="Guaraníes"),"Rendimiento significativo",IF(AND(M2807&gt;#REF!,Cartera!O2807="Dólares americanos"),"Rendimiento significativo","Rendimiento no significativo"))</f>
        <v>#REF!</v>
      </c>
      <c r="O2807" s="5" t="s">
        <v>41</v>
      </c>
      <c r="P2807" s="12">
        <v>2493151</v>
      </c>
      <c r="Q2807" s="12">
        <f>IF(O2807="Guaraníes",P2807,P2807*#REF!)</f>
        <v>2493151</v>
      </c>
      <c r="R2807" s="12" t="e">
        <f>IF(O2807="Guaraníes",P2807/#REF!,P2807)</f>
        <v>#REF!</v>
      </c>
      <c r="S2807" s="5" t="s">
        <v>52</v>
      </c>
      <c r="V2807" s="5">
        <v>2493151</v>
      </c>
      <c r="W2807" s="5" t="s">
        <v>654</v>
      </c>
      <c r="AC2807" s="5" t="str">
        <f t="shared" ref="AC2807:AC2870" si="136">IF(ISNUMBER(SEARCH("Acciones",L2807)),"Acciones",IF(ISNUMBER(SEARCH("Bono",L2807)),"Bonos",IF(ISNUMBER(SEARCH("CDA",L2807)),"CDA",IF(ISNUMBER(SEARCH("Fondo",L2807)),"Fondo",0))))</f>
        <v>CDA</v>
      </c>
      <c r="AD2807" s="5" t="s">
        <v>43</v>
      </c>
      <c r="AE2807" s="5">
        <f t="shared" si="134"/>
        <v>12</v>
      </c>
      <c r="AF2807" s="5">
        <f t="shared" si="135"/>
        <v>2021</v>
      </c>
    </row>
    <row r="2808" s="5" customFormat="1" ht="13">
      <c r="A2808" s="5" t="s">
        <v>544</v>
      </c>
      <c r="B2808" s="5" t="s">
        <v>544</v>
      </c>
      <c r="C2808" s="5" t="s">
        <v>624</v>
      </c>
      <c r="D2808" s="5" t="s">
        <v>21</v>
      </c>
      <c r="E2808" s="5" t="s">
        <v>544</v>
      </c>
      <c r="F2808" s="5" t="s">
        <v>35</v>
      </c>
      <c r="H2808" s="9">
        <v>1550</v>
      </c>
      <c r="I2808" s="10"/>
      <c r="J2808" s="10">
        <v>44554</v>
      </c>
      <c r="K2808" s="5" t="s">
        <v>509</v>
      </c>
      <c r="L2808" s="5" t="s">
        <v>82</v>
      </c>
      <c r="M2808" s="11">
        <v>0.089999999999999997</v>
      </c>
      <c r="N2808" s="5" t="e">
        <f>IF(AND(M2808&gt;#REF!,Cartera!O2808="Guaraníes"),"Rendimiento significativo",IF(AND(M2808&gt;#REF!,Cartera!O2808="Dólares americanos"),"Rendimiento significativo","Rendimiento no significativo"))</f>
        <v>#REF!</v>
      </c>
      <c r="O2808" s="5" t="s">
        <v>41</v>
      </c>
      <c r="P2808" s="12">
        <v>2169863</v>
      </c>
      <c r="Q2808" s="12">
        <f>IF(O2808="Guaraníes",P2808,P2808*#REF!)</f>
        <v>2169863</v>
      </c>
      <c r="R2808" s="12" t="e">
        <f>IF(O2808="Guaraníes",P2808/#REF!,P2808)</f>
        <v>#REF!</v>
      </c>
      <c r="S2808" s="5" t="s">
        <v>52</v>
      </c>
      <c r="V2808" s="5">
        <v>2169863</v>
      </c>
      <c r="W2808" s="5" t="s">
        <v>648</v>
      </c>
      <c r="AC2808" s="5" t="str">
        <f t="shared" si="136"/>
        <v>CDA</v>
      </c>
      <c r="AD2808" s="5" t="s">
        <v>43</v>
      </c>
      <c r="AE2808" s="5">
        <f t="shared" si="134"/>
        <v>12</v>
      </c>
      <c r="AF2808" s="5">
        <f t="shared" si="135"/>
        <v>2021</v>
      </c>
    </row>
    <row r="2809" s="5" customFormat="1" ht="13">
      <c r="A2809" s="5" t="s">
        <v>544</v>
      </c>
      <c r="B2809" s="5" t="s">
        <v>544</v>
      </c>
      <c r="C2809" s="5" t="s">
        <v>111</v>
      </c>
      <c r="D2809" s="5" t="s">
        <v>21</v>
      </c>
      <c r="E2809" s="5" t="s">
        <v>544</v>
      </c>
      <c r="F2809" s="5" t="s">
        <v>68</v>
      </c>
      <c r="H2809" s="9">
        <v>364</v>
      </c>
      <c r="I2809" s="10"/>
      <c r="J2809" s="10">
        <v>44560</v>
      </c>
      <c r="K2809" s="5" t="s">
        <v>140</v>
      </c>
      <c r="L2809" s="5" t="s">
        <v>82</v>
      </c>
      <c r="M2809" s="11">
        <v>0.0625</v>
      </c>
      <c r="N2809" s="5" t="e">
        <f>IF(AND(M2809&gt;#REF!,Cartera!O2809="Guaraníes"),"Rendimiento significativo",IF(AND(M2809&gt;#REF!,Cartera!O2809="Dólares americanos"),"Rendimiento significativo","Rendimiento no significativo"))</f>
        <v>#REF!</v>
      </c>
      <c r="O2809" s="5" t="s">
        <v>51</v>
      </c>
      <c r="P2809" s="13">
        <v>385.26999999999998</v>
      </c>
      <c r="Q2809" s="12" t="e">
        <f>IF(O2809="Guaraníes",P2809,P2809*#REF!)</f>
        <v>#REF!</v>
      </c>
      <c r="R2809" s="12">
        <f>IF(O2809="Guaraníes",P2809/#REF!,P2809)</f>
        <v>385.26999999999998</v>
      </c>
      <c r="S2809" s="5" t="s">
        <v>52</v>
      </c>
      <c r="V2809" s="5">
        <v>385.26999999999998</v>
      </c>
      <c r="W2809" s="5" t="s">
        <v>647</v>
      </c>
      <c r="AC2809" s="5" t="str">
        <f t="shared" si="136"/>
        <v>CDA</v>
      </c>
      <c r="AD2809" s="5" t="s">
        <v>43</v>
      </c>
      <c r="AE2809" s="5">
        <f t="shared" si="134"/>
        <v>12</v>
      </c>
      <c r="AF2809" s="5">
        <f t="shared" si="135"/>
        <v>2021</v>
      </c>
    </row>
    <row r="2810" s="5" customFormat="1" ht="13">
      <c r="A2810" s="5" t="s">
        <v>544</v>
      </c>
      <c r="B2810" s="5" t="s">
        <v>544</v>
      </c>
      <c r="C2810" s="5" t="s">
        <v>114</v>
      </c>
      <c r="D2810" s="5" t="s">
        <v>21</v>
      </c>
      <c r="E2810" s="5" t="s">
        <v>544</v>
      </c>
      <c r="F2810" s="5" t="s">
        <v>68</v>
      </c>
      <c r="H2810" s="9">
        <v>820</v>
      </c>
      <c r="I2810" s="10"/>
      <c r="J2810" s="10">
        <v>44561</v>
      </c>
      <c r="K2810" s="5" t="s">
        <v>77</v>
      </c>
      <c r="L2810" s="5" t="s">
        <v>82</v>
      </c>
      <c r="M2810" s="11">
        <v>0.14999999999999999</v>
      </c>
      <c r="N2810" s="5" t="e">
        <f>IF(AND(M2810&gt;#REF!,Cartera!O2810="Guaraníes"),"Rendimiento significativo",IF(AND(M2810&gt;#REF!,Cartera!O2810="Dólares americanos"),"Rendimiento significativo","Rendimiento no significativo"))</f>
        <v>#REF!</v>
      </c>
      <c r="O2810" s="5" t="s">
        <v>41</v>
      </c>
      <c r="P2810" s="12">
        <v>1541096</v>
      </c>
      <c r="Q2810" s="12">
        <f>IF(O2810="Guaraníes",P2810,P2810*#REF!)</f>
        <v>1541096</v>
      </c>
      <c r="R2810" s="12" t="e">
        <f>IF(O2810="Guaraníes",P2810/#REF!,P2810)</f>
        <v>#REF!</v>
      </c>
      <c r="S2810" s="5" t="s">
        <v>52</v>
      </c>
      <c r="V2810" s="5">
        <v>1541096</v>
      </c>
      <c r="W2810" s="5" t="s">
        <v>655</v>
      </c>
      <c r="AC2810" s="5" t="str">
        <f t="shared" si="136"/>
        <v>CDA</v>
      </c>
      <c r="AD2810" s="5" t="s">
        <v>43</v>
      </c>
      <c r="AE2810" s="5">
        <f t="shared" si="134"/>
        <v>12</v>
      </c>
      <c r="AF2810" s="5">
        <f t="shared" si="135"/>
        <v>2021</v>
      </c>
    </row>
    <row r="2811" s="5" customFormat="1" ht="13">
      <c r="A2811" s="5" t="s">
        <v>544</v>
      </c>
      <c r="B2811" s="5" t="s">
        <v>544</v>
      </c>
      <c r="C2811" s="5" t="s">
        <v>60</v>
      </c>
      <c r="D2811" s="5" t="s">
        <v>21</v>
      </c>
      <c r="E2811" s="5" t="s">
        <v>544</v>
      </c>
      <c r="F2811" s="5" t="s">
        <v>61</v>
      </c>
      <c r="H2811" s="9">
        <v>1044</v>
      </c>
      <c r="I2811" s="10"/>
      <c r="J2811" s="10">
        <v>44582</v>
      </c>
      <c r="K2811" s="5" t="s">
        <v>64</v>
      </c>
      <c r="L2811" s="5" t="s">
        <v>82</v>
      </c>
      <c r="M2811" s="11">
        <v>0.065000000000000002</v>
      </c>
      <c r="N2811" s="5" t="e">
        <f>IF(AND(M2811&gt;#REF!,Cartera!O2811="Guaraníes"),"Rendimiento significativo",IF(AND(M2811&gt;#REF!,Cartera!O2811="Dólares americanos"),"Rendimiento significativo","Rendimiento no significativo"))</f>
        <v>#REF!</v>
      </c>
      <c r="O2811" s="5" t="s">
        <v>41</v>
      </c>
      <c r="P2811" s="12">
        <v>3043866</v>
      </c>
      <c r="Q2811" s="12">
        <f>IF(O2811="Guaraníes",P2811,P2811*#REF!)</f>
        <v>3043866</v>
      </c>
      <c r="R2811" s="12" t="e">
        <f>IF(O2811="Guaraníes",P2811/#REF!,P2811)</f>
        <v>#REF!</v>
      </c>
      <c r="S2811" s="5" t="s">
        <v>52</v>
      </c>
      <c r="V2811" s="5">
        <v>3043866</v>
      </c>
      <c r="W2811" s="5" t="s">
        <v>264</v>
      </c>
      <c r="AC2811" s="5" t="str">
        <f t="shared" si="136"/>
        <v>CDA</v>
      </c>
      <c r="AD2811" s="5" t="s">
        <v>43</v>
      </c>
      <c r="AE2811" s="5">
        <f t="shared" si="134"/>
        <v>1</v>
      </c>
      <c r="AF2811" s="5">
        <f t="shared" si="135"/>
        <v>2022</v>
      </c>
    </row>
    <row r="2812" s="5" customFormat="1" ht="13">
      <c r="A2812" s="5" t="s">
        <v>544</v>
      </c>
      <c r="B2812" s="5" t="s">
        <v>544</v>
      </c>
      <c r="C2812" s="5" t="s">
        <v>74</v>
      </c>
      <c r="D2812" s="5" t="s">
        <v>21</v>
      </c>
      <c r="E2812" s="5" t="s">
        <v>544</v>
      </c>
      <c r="F2812" s="5" t="s">
        <v>68</v>
      </c>
      <c r="H2812" s="9">
        <v>1093</v>
      </c>
      <c r="I2812" s="10"/>
      <c r="J2812" s="10">
        <v>44587</v>
      </c>
      <c r="K2812" s="5" t="s">
        <v>77</v>
      </c>
      <c r="L2812" s="5" t="s">
        <v>82</v>
      </c>
      <c r="M2812" s="11">
        <v>0.065000000000000002</v>
      </c>
      <c r="N2812" s="5" t="e">
        <f>IF(AND(M2812&gt;#REF!,Cartera!O2812="Guaraníes"),"Rendimiento significativo",IF(AND(M2812&gt;#REF!,Cartera!O2812="Dólares americanos"),"Rendimiento significativo","Rendimiento no significativo"))</f>
        <v>#REF!</v>
      </c>
      <c r="O2812" s="5" t="s">
        <v>41</v>
      </c>
      <c r="P2812" s="12">
        <v>3205479</v>
      </c>
      <c r="Q2812" s="12">
        <f>IF(O2812="Guaraníes",P2812,P2812*#REF!)</f>
        <v>3205479</v>
      </c>
      <c r="R2812" s="12" t="e">
        <f>IF(O2812="Guaraníes",P2812/#REF!,P2812)</f>
        <v>#REF!</v>
      </c>
      <c r="S2812" s="5" t="s">
        <v>52</v>
      </c>
      <c r="V2812" s="5">
        <v>3205479</v>
      </c>
      <c r="W2812" s="5" t="s">
        <v>656</v>
      </c>
      <c r="AC2812" s="5" t="str">
        <f t="shared" si="136"/>
        <v>CDA</v>
      </c>
      <c r="AD2812" s="5" t="s">
        <v>43</v>
      </c>
      <c r="AE2812" s="5">
        <f t="shared" si="134"/>
        <v>1</v>
      </c>
      <c r="AF2812" s="5">
        <f t="shared" si="135"/>
        <v>2022</v>
      </c>
    </row>
    <row r="2813" s="5" customFormat="1" ht="13">
      <c r="A2813" s="5" t="s">
        <v>544</v>
      </c>
      <c r="B2813" s="5" t="s">
        <v>544</v>
      </c>
      <c r="C2813" s="5" t="s">
        <v>114</v>
      </c>
      <c r="D2813" s="5" t="s">
        <v>21</v>
      </c>
      <c r="E2813" s="5" t="s">
        <v>544</v>
      </c>
      <c r="F2813" s="5" t="s">
        <v>68</v>
      </c>
      <c r="H2813" s="9">
        <v>820</v>
      </c>
      <c r="I2813" s="10"/>
      <c r="J2813" s="10">
        <v>44592</v>
      </c>
      <c r="K2813" s="5" t="s">
        <v>77</v>
      </c>
      <c r="L2813" s="5" t="s">
        <v>82</v>
      </c>
      <c r="M2813" s="11">
        <v>0.14999999999999999</v>
      </c>
      <c r="N2813" s="5" t="e">
        <f>IF(AND(M2813&gt;#REF!,Cartera!O2813="Guaraníes"),"Rendimiento significativo",IF(AND(M2813&gt;#REF!,Cartera!O2813="Dólares americanos"),"Rendimiento significativo","Rendimiento no significativo"))</f>
        <v>#REF!</v>
      </c>
      <c r="O2813" s="5" t="s">
        <v>41</v>
      </c>
      <c r="P2813" s="12">
        <v>1592466</v>
      </c>
      <c r="Q2813" s="12">
        <f>IF(O2813="Guaraníes",P2813,P2813*#REF!)</f>
        <v>1592466</v>
      </c>
      <c r="R2813" s="12" t="e">
        <f>IF(O2813="Guaraníes",P2813/#REF!,P2813)</f>
        <v>#REF!</v>
      </c>
      <c r="S2813" s="5" t="s">
        <v>52</v>
      </c>
      <c r="V2813" s="5">
        <v>1592466</v>
      </c>
      <c r="W2813" s="5" t="s">
        <v>657</v>
      </c>
      <c r="AC2813" s="5" t="str">
        <f t="shared" si="136"/>
        <v>CDA</v>
      </c>
      <c r="AD2813" s="5" t="s">
        <v>43</v>
      </c>
      <c r="AE2813" s="5">
        <f t="shared" si="134"/>
        <v>1</v>
      </c>
      <c r="AF2813" s="5">
        <f t="shared" si="135"/>
        <v>2022</v>
      </c>
    </row>
    <row r="2814" s="5" customFormat="1" ht="13">
      <c r="A2814" s="5" t="s">
        <v>544</v>
      </c>
      <c r="B2814" s="5" t="s">
        <v>544</v>
      </c>
      <c r="C2814" s="5" t="s">
        <v>33</v>
      </c>
      <c r="D2814" s="5" t="s">
        <v>21</v>
      </c>
      <c r="E2814" s="5" t="s">
        <v>544</v>
      </c>
      <c r="F2814" s="5" t="s">
        <v>35</v>
      </c>
      <c r="H2814" s="9">
        <v>4441</v>
      </c>
      <c r="I2814" s="10"/>
      <c r="J2814" s="10">
        <v>44599</v>
      </c>
      <c r="K2814" s="5" t="s">
        <v>39</v>
      </c>
      <c r="L2814" s="5" t="s">
        <v>82</v>
      </c>
      <c r="M2814" s="11">
        <v>0.065000000000000002</v>
      </c>
      <c r="N2814" s="5" t="e">
        <f>IF(AND(M2814&gt;#REF!,Cartera!O2814="Guaraníes"),"Rendimiento significativo",IF(AND(M2814&gt;#REF!,Cartera!O2814="Dólares americanos"),"Rendimiento significativo","Rendimiento no significativo"))</f>
        <v>#REF!</v>
      </c>
      <c r="O2814" s="5" t="s">
        <v>41</v>
      </c>
      <c r="P2814" s="12">
        <v>4834932</v>
      </c>
      <c r="Q2814" s="12">
        <f>IF(O2814="Guaraníes",P2814,P2814*#REF!)</f>
        <v>4834932</v>
      </c>
      <c r="R2814" s="12" t="e">
        <f>IF(O2814="Guaraníes",P2814/#REF!,P2814)</f>
        <v>#REF!</v>
      </c>
      <c r="S2814" s="5" t="s">
        <v>52</v>
      </c>
      <c r="V2814" s="5">
        <v>4834932</v>
      </c>
      <c r="W2814" s="5" t="s">
        <v>252</v>
      </c>
      <c r="AC2814" s="5" t="str">
        <f t="shared" si="136"/>
        <v>CDA</v>
      </c>
      <c r="AD2814" s="5" t="s">
        <v>43</v>
      </c>
      <c r="AE2814" s="5">
        <f t="shared" si="134"/>
        <v>2</v>
      </c>
      <c r="AF2814" s="5">
        <f t="shared" si="135"/>
        <v>2022</v>
      </c>
    </row>
    <row r="2815" s="5" customFormat="1" ht="13">
      <c r="A2815" s="5" t="s">
        <v>544</v>
      </c>
      <c r="B2815" s="5" t="s">
        <v>544</v>
      </c>
      <c r="C2815" s="5" t="s">
        <v>114</v>
      </c>
      <c r="D2815" s="5" t="s">
        <v>20</v>
      </c>
      <c r="E2815" s="5" t="s">
        <v>544</v>
      </c>
      <c r="F2815" s="5" t="s">
        <v>68</v>
      </c>
      <c r="H2815" s="9">
        <v>820</v>
      </c>
      <c r="I2815" s="10">
        <v>42775</v>
      </c>
      <c r="J2815" s="10">
        <v>44602</v>
      </c>
      <c r="K2815" s="5" t="s">
        <v>77</v>
      </c>
      <c r="L2815" s="5" t="s">
        <v>82</v>
      </c>
      <c r="M2815" s="11">
        <v>0.14999999999999999</v>
      </c>
      <c r="N2815" s="5" t="e">
        <f>IF(AND(M2815&gt;#REF!,Cartera!O2815="Guaraníes"),"Rendimiento significativo",IF(AND(M2815&gt;#REF!,Cartera!O2815="Dólares americanos"),"Rendimiento significativo","Rendimiento no significativo"))</f>
        <v>#REF!</v>
      </c>
      <c r="O2815" s="5" t="s">
        <v>41</v>
      </c>
      <c r="P2815" s="12">
        <v>150000000</v>
      </c>
      <c r="Q2815" s="12">
        <f>IF(O2815="Guaraníes",P2815,P2815*#REF!)</f>
        <v>150000000</v>
      </c>
      <c r="R2815" s="12" t="e">
        <f>IF(O2815="Guaraníes",P2815/#REF!,P2815)</f>
        <v>#REF!</v>
      </c>
      <c r="S2815" s="5" t="s">
        <v>52</v>
      </c>
      <c r="AC2815" s="5" t="str">
        <f t="shared" si="136"/>
        <v>CDA</v>
      </c>
      <c r="AD2815" s="5" t="s">
        <v>43</v>
      </c>
      <c r="AE2815" s="5">
        <f t="shared" si="134"/>
        <v>2</v>
      </c>
      <c r="AF2815" s="5">
        <f t="shared" si="135"/>
        <v>2022</v>
      </c>
    </row>
    <row r="2816" s="5" customFormat="1" ht="13">
      <c r="A2816" s="5" t="s">
        <v>544</v>
      </c>
      <c r="B2816" s="5" t="s">
        <v>544</v>
      </c>
      <c r="C2816" s="5" t="s">
        <v>114</v>
      </c>
      <c r="D2816" s="5" t="s">
        <v>21</v>
      </c>
      <c r="E2816" s="5" t="s">
        <v>544</v>
      </c>
      <c r="F2816" s="5" t="s">
        <v>68</v>
      </c>
      <c r="H2816" s="9">
        <v>820</v>
      </c>
      <c r="I2816" s="10"/>
      <c r="J2816" s="10">
        <v>44602</v>
      </c>
      <c r="K2816" s="5" t="s">
        <v>77</v>
      </c>
      <c r="L2816" s="5" t="s">
        <v>82</v>
      </c>
      <c r="M2816" s="11">
        <v>0.14999999999999999</v>
      </c>
      <c r="N2816" s="5" t="e">
        <f>IF(AND(M2816&gt;#REF!,Cartera!O2816="Guaraníes"),"Rendimiento significativo",IF(AND(M2816&gt;#REF!,Cartera!O2816="Dólares americanos"),"Rendimiento significativo","Rendimiento no significativo"))</f>
        <v>#REF!</v>
      </c>
      <c r="O2816" s="5" t="s">
        <v>41</v>
      </c>
      <c r="P2816" s="12">
        <v>513689</v>
      </c>
      <c r="Q2816" s="12">
        <f>IF(O2816="Guaraníes",P2816,P2816*#REF!)</f>
        <v>513689</v>
      </c>
      <c r="R2816" s="12" t="e">
        <f>IF(O2816="Guaraníes",P2816/#REF!,P2816)</f>
        <v>#REF!</v>
      </c>
      <c r="S2816" s="5" t="s">
        <v>52</v>
      </c>
      <c r="V2816" s="5">
        <v>513689</v>
      </c>
      <c r="W2816" s="5" t="s">
        <v>658</v>
      </c>
      <c r="AC2816" s="5" t="str">
        <f t="shared" si="136"/>
        <v>CDA</v>
      </c>
      <c r="AD2816" s="5" t="s">
        <v>43</v>
      </c>
      <c r="AE2816" s="5">
        <f t="shared" si="134"/>
        <v>2</v>
      </c>
      <c r="AF2816" s="5">
        <f t="shared" si="135"/>
        <v>2022</v>
      </c>
    </row>
    <row r="2817" s="5" customFormat="1" ht="13">
      <c r="A2817" s="5" t="s">
        <v>544</v>
      </c>
      <c r="B2817" s="5" t="s">
        <v>544</v>
      </c>
      <c r="C2817" s="5" t="s">
        <v>116</v>
      </c>
      <c r="D2817" s="5" t="s">
        <v>21</v>
      </c>
      <c r="E2817" s="5" t="s">
        <v>544</v>
      </c>
      <c r="F2817" s="5" t="s">
        <v>68</v>
      </c>
      <c r="H2817" s="9">
        <v>6208</v>
      </c>
      <c r="I2817" s="10"/>
      <c r="J2817" s="10">
        <v>44615</v>
      </c>
      <c r="K2817" s="5" t="s">
        <v>118</v>
      </c>
      <c r="L2817" s="5" t="s">
        <v>82</v>
      </c>
      <c r="M2817" s="11">
        <v>0.080000000000000002</v>
      </c>
      <c r="N2817" s="5" t="e">
        <f>IF(AND(M2817&gt;#REF!,Cartera!O2817="Guaraníes"),"Rendimiento significativo",IF(AND(M2817&gt;#REF!,Cartera!O2817="Dólares americanos"),"Rendimiento significativo","Rendimiento no significativo"))</f>
        <v>#REF!</v>
      </c>
      <c r="O2817" s="5" t="s">
        <v>41</v>
      </c>
      <c r="P2817" s="12">
        <v>1992329</v>
      </c>
      <c r="Q2817" s="12">
        <f>IF(O2817="Guaraníes",P2817,P2817*#REF!)</f>
        <v>1992329</v>
      </c>
      <c r="R2817" s="12" t="e">
        <f>IF(O2817="Guaraníes",P2817/#REF!,P2817)</f>
        <v>#REF!</v>
      </c>
      <c r="S2817" s="5" t="s">
        <v>52</v>
      </c>
      <c r="V2817" s="5">
        <v>1992329</v>
      </c>
      <c r="W2817" s="5" t="s">
        <v>241</v>
      </c>
      <c r="AC2817" s="5" t="str">
        <f t="shared" si="136"/>
        <v>CDA</v>
      </c>
      <c r="AD2817" s="5" t="s">
        <v>43</v>
      </c>
      <c r="AE2817" s="5">
        <f t="shared" si="134"/>
        <v>2</v>
      </c>
      <c r="AF2817" s="5">
        <f t="shared" si="135"/>
        <v>2022</v>
      </c>
    </row>
    <row r="2818" s="5" customFormat="1" ht="13">
      <c r="A2818" s="5" t="s">
        <v>544</v>
      </c>
      <c r="B2818" s="5" t="s">
        <v>544</v>
      </c>
      <c r="C2818" s="5" t="s">
        <v>183</v>
      </c>
      <c r="D2818" s="5" t="s">
        <v>21</v>
      </c>
      <c r="E2818" s="5" t="s">
        <v>544</v>
      </c>
      <c r="F2818" s="5" t="s">
        <v>184</v>
      </c>
      <c r="H2818" s="9">
        <v>6217</v>
      </c>
      <c r="I2818" s="10"/>
      <c r="J2818" s="10">
        <v>44627</v>
      </c>
      <c r="K2818" s="5" t="s">
        <v>124</v>
      </c>
      <c r="L2818" s="5" t="s">
        <v>82</v>
      </c>
      <c r="M2818" s="11">
        <v>0.072499999999999995</v>
      </c>
      <c r="N2818" s="5" t="e">
        <f>IF(AND(M2818&gt;#REF!,Cartera!O2818="Guaraníes"),"Rendimiento significativo",IF(AND(M2818&gt;#REF!,Cartera!O2818="Dólares americanos"),"Rendimiento significativo","Rendimiento no significativo"))</f>
        <v>#REF!</v>
      </c>
      <c r="O2818" s="5" t="s">
        <v>41</v>
      </c>
      <c r="P2818" s="12">
        <v>17157895</v>
      </c>
      <c r="Q2818" s="12">
        <f>IF(O2818="Guaraníes",P2818,P2818*#REF!)</f>
        <v>17157895</v>
      </c>
      <c r="R2818" s="12" t="e">
        <f>IF(O2818="Guaraníes",P2818/#REF!,P2818)</f>
        <v>#REF!</v>
      </c>
      <c r="S2818" s="5" t="s">
        <v>52</v>
      </c>
      <c r="V2818" s="5">
        <v>17157895</v>
      </c>
      <c r="W2818" s="5" t="s">
        <v>659</v>
      </c>
      <c r="AC2818" s="5" t="str">
        <f t="shared" si="136"/>
        <v>CDA</v>
      </c>
      <c r="AD2818" s="5" t="s">
        <v>43</v>
      </c>
      <c r="AE2818" s="5">
        <f t="shared" si="134"/>
        <v>3</v>
      </c>
      <c r="AF2818" s="5">
        <f t="shared" si="135"/>
        <v>2022</v>
      </c>
    </row>
    <row r="2819" s="5" customFormat="1" ht="13">
      <c r="A2819" s="5" t="s">
        <v>544</v>
      </c>
      <c r="B2819" s="5" t="s">
        <v>544</v>
      </c>
      <c r="C2819" s="5" t="s">
        <v>227</v>
      </c>
      <c r="D2819" s="5" t="s">
        <v>21</v>
      </c>
      <c r="E2819" s="5" t="s">
        <v>544</v>
      </c>
      <c r="F2819" s="5" t="s">
        <v>68</v>
      </c>
      <c r="H2819" s="9">
        <v>301</v>
      </c>
      <c r="I2819" s="10"/>
      <c r="J2819" s="10">
        <v>44630</v>
      </c>
      <c r="K2819" s="5" t="s">
        <v>77</v>
      </c>
      <c r="L2819" s="5" t="s">
        <v>82</v>
      </c>
      <c r="M2819" s="11">
        <v>0.059999999999999998</v>
      </c>
      <c r="N2819" s="5" t="e">
        <f>IF(AND(M2819&gt;#REF!,Cartera!O2819="Guaraníes"),"Rendimiento significativo",IF(AND(M2819&gt;#REF!,Cartera!O2819="Dólares americanos"),"Rendimiento significativo","Rendimiento no significativo"))</f>
        <v>#REF!</v>
      </c>
      <c r="O2819" s="5" t="s">
        <v>41</v>
      </c>
      <c r="P2819" s="12">
        <v>3002740</v>
      </c>
      <c r="Q2819" s="12">
        <f>IF(O2819="Guaraníes",P2819,P2819*#REF!)</f>
        <v>3002740</v>
      </c>
      <c r="R2819" s="12" t="e">
        <f>IF(O2819="Guaraníes",P2819/#REF!,P2819)</f>
        <v>#REF!</v>
      </c>
      <c r="S2819" s="5" t="s">
        <v>52</v>
      </c>
      <c r="V2819" s="5">
        <v>3002740</v>
      </c>
      <c r="W2819" s="5" t="s">
        <v>200</v>
      </c>
      <c r="AC2819" s="5" t="str">
        <f t="shared" si="136"/>
        <v>CDA</v>
      </c>
      <c r="AD2819" s="5" t="s">
        <v>43</v>
      </c>
      <c r="AE2819" s="5">
        <f t="shared" si="134"/>
        <v>3</v>
      </c>
      <c r="AF2819" s="5">
        <f t="shared" si="135"/>
        <v>2022</v>
      </c>
    </row>
    <row r="2820" s="5" customFormat="1" ht="13">
      <c r="A2820" s="5" t="s">
        <v>544</v>
      </c>
      <c r="B2820" s="5" t="s">
        <v>544</v>
      </c>
      <c r="C2820" s="5" t="s">
        <v>607</v>
      </c>
      <c r="D2820" s="5" t="s">
        <v>21</v>
      </c>
      <c r="E2820" s="5" t="s">
        <v>544</v>
      </c>
      <c r="F2820" s="5" t="s">
        <v>68</v>
      </c>
      <c r="H2820" s="9">
        <v>1587</v>
      </c>
      <c r="I2820" s="10"/>
      <c r="J2820" s="10">
        <v>44632</v>
      </c>
      <c r="K2820" s="5" t="s">
        <v>140</v>
      </c>
      <c r="L2820" s="5" t="s">
        <v>82</v>
      </c>
      <c r="M2820" s="11">
        <v>0.065000000000000002</v>
      </c>
      <c r="N2820" s="5" t="e">
        <f>IF(AND(M2820&gt;#REF!,Cartera!O2820="Guaraníes"),"Rendimiento significativo",IF(AND(M2820&gt;#REF!,Cartera!O2820="Dólares americanos"),"Rendimiento significativo","Rendimiento no significativo"))</f>
        <v>#REF!</v>
      </c>
      <c r="O2820" s="5" t="s">
        <v>41</v>
      </c>
      <c r="P2820" s="12">
        <v>2205046</v>
      </c>
      <c r="Q2820" s="12">
        <f>IF(O2820="Guaraníes",P2820,P2820*#REF!)</f>
        <v>2205046</v>
      </c>
      <c r="R2820" s="12" t="e">
        <f>IF(O2820="Guaraníes",P2820/#REF!,P2820)</f>
        <v>#REF!</v>
      </c>
      <c r="S2820" s="5" t="s">
        <v>52</v>
      </c>
      <c r="V2820" s="5">
        <v>2205046</v>
      </c>
      <c r="W2820" s="5">
        <v>4</v>
      </c>
      <c r="AC2820" s="5" t="str">
        <f t="shared" si="136"/>
        <v>CDA</v>
      </c>
      <c r="AD2820" s="5" t="s">
        <v>43</v>
      </c>
      <c r="AE2820" s="5">
        <f t="shared" si="134"/>
        <v>3</v>
      </c>
      <c r="AF2820" s="5">
        <f t="shared" si="135"/>
        <v>2022</v>
      </c>
    </row>
    <row r="2821" s="5" customFormat="1" ht="13">
      <c r="A2821" s="5" t="s">
        <v>544</v>
      </c>
      <c r="B2821" s="5" t="s">
        <v>544</v>
      </c>
      <c r="C2821" s="5" t="s">
        <v>94</v>
      </c>
      <c r="D2821" s="5" t="s">
        <v>21</v>
      </c>
      <c r="E2821" s="5" t="s">
        <v>544</v>
      </c>
      <c r="F2821" s="5" t="s">
        <v>68</v>
      </c>
      <c r="H2821" s="9">
        <v>1897</v>
      </c>
      <c r="I2821" s="10"/>
      <c r="J2821" s="10">
        <v>44637</v>
      </c>
      <c r="K2821" s="5" t="s">
        <v>96</v>
      </c>
      <c r="L2821" s="5" t="s">
        <v>82</v>
      </c>
      <c r="M2821" s="11">
        <v>0.080000000000000002</v>
      </c>
      <c r="N2821" s="5" t="e">
        <f>IF(AND(M2821&gt;#REF!,Cartera!O2821="Guaraníes"),"Rendimiento significativo",IF(AND(M2821&gt;#REF!,Cartera!O2821="Dólares americanos"),"Rendimiento significativo","Rendimiento no significativo"))</f>
        <v>#REF!</v>
      </c>
      <c r="O2821" s="5" t="s">
        <v>41</v>
      </c>
      <c r="P2821" s="12">
        <v>2669635</v>
      </c>
      <c r="Q2821" s="12">
        <f>IF(O2821="Guaraníes",P2821,P2821*#REF!)</f>
        <v>2669635</v>
      </c>
      <c r="R2821" s="12" t="e">
        <f>IF(O2821="Guaraníes",P2821/#REF!,P2821)</f>
        <v>#REF!</v>
      </c>
      <c r="S2821" s="5" t="s">
        <v>52</v>
      </c>
      <c r="V2821" s="5">
        <v>2669635</v>
      </c>
      <c r="W2821" s="5" t="s">
        <v>660</v>
      </c>
      <c r="AC2821" s="5" t="str">
        <f t="shared" si="136"/>
        <v>CDA</v>
      </c>
      <c r="AD2821" s="5" t="s">
        <v>43</v>
      </c>
      <c r="AE2821" s="5">
        <f t="shared" si="134"/>
        <v>3</v>
      </c>
      <c r="AF2821" s="5">
        <f t="shared" si="135"/>
        <v>2022</v>
      </c>
    </row>
    <row r="2822" s="5" customFormat="1" ht="13">
      <c r="A2822" s="5" t="s">
        <v>544</v>
      </c>
      <c r="B2822" s="5" t="s">
        <v>544</v>
      </c>
      <c r="C2822" s="5" t="s">
        <v>60</v>
      </c>
      <c r="D2822" s="5" t="s">
        <v>20</v>
      </c>
      <c r="E2822" s="5" t="s">
        <v>544</v>
      </c>
      <c r="F2822" s="5" t="s">
        <v>61</v>
      </c>
      <c r="H2822" s="9">
        <v>4705</v>
      </c>
      <c r="I2822" s="10">
        <v>42790</v>
      </c>
      <c r="J2822" s="10">
        <v>44641</v>
      </c>
      <c r="K2822" s="5" t="s">
        <v>64</v>
      </c>
      <c r="L2822" s="5" t="s">
        <v>82</v>
      </c>
      <c r="M2822" s="11">
        <v>0.115</v>
      </c>
      <c r="N2822" s="5" t="e">
        <f>IF(AND(M2822&gt;#REF!,Cartera!O2822="Guaraníes"),"Rendimiento significativo",IF(AND(M2822&gt;#REF!,Cartera!O2822="Dólares americanos"),"Rendimiento significativo","Rendimiento no significativo"))</f>
        <v>#REF!</v>
      </c>
      <c r="O2822" s="5" t="s">
        <v>41</v>
      </c>
      <c r="P2822" s="12">
        <v>100000000</v>
      </c>
      <c r="Q2822" s="12">
        <f>IF(O2822="Guaraníes",P2822,P2822*#REF!)</f>
        <v>100000000</v>
      </c>
      <c r="R2822" s="12" t="e">
        <f>IF(O2822="Guaraníes",P2822/#REF!,P2822)</f>
        <v>#REF!</v>
      </c>
      <c r="S2822" s="5" t="s">
        <v>52</v>
      </c>
      <c r="AC2822" s="5" t="str">
        <f t="shared" si="136"/>
        <v>CDA</v>
      </c>
      <c r="AD2822" s="5" t="s">
        <v>43</v>
      </c>
      <c r="AE2822" s="5">
        <f t="shared" si="134"/>
        <v>3</v>
      </c>
      <c r="AF2822" s="5">
        <f t="shared" si="135"/>
        <v>2022</v>
      </c>
    </row>
    <row r="2823" s="5" customFormat="1" ht="13">
      <c r="A2823" s="5" t="s">
        <v>544</v>
      </c>
      <c r="B2823" s="5" t="s">
        <v>544</v>
      </c>
      <c r="C2823" s="5" t="s">
        <v>60</v>
      </c>
      <c r="D2823" s="5" t="s">
        <v>21</v>
      </c>
      <c r="E2823" s="5" t="s">
        <v>544</v>
      </c>
      <c r="F2823" s="5" t="s">
        <v>61</v>
      </c>
      <c r="H2823" s="9">
        <v>4705</v>
      </c>
      <c r="I2823" s="10"/>
      <c r="J2823" s="10">
        <v>44641</v>
      </c>
      <c r="K2823" s="5" t="s">
        <v>64</v>
      </c>
      <c r="L2823" s="5" t="s">
        <v>82</v>
      </c>
      <c r="M2823" s="11">
        <v>0.115</v>
      </c>
      <c r="N2823" s="5" t="e">
        <f>IF(AND(M2823&gt;#REF!,Cartera!O2823="Guaraníes"),"Rendimiento significativo",IF(AND(M2823&gt;#REF!,Cartera!O2823="Dólares americanos"),"Rendimiento significativo","Rendimiento no significativo"))</f>
        <v>#REF!</v>
      </c>
      <c r="O2823" s="5" t="s">
        <v>41</v>
      </c>
      <c r="P2823" s="12">
        <v>2991775</v>
      </c>
      <c r="Q2823" s="12">
        <f>IF(O2823="Guaraníes",P2823,P2823*#REF!)</f>
        <v>2991775</v>
      </c>
      <c r="R2823" s="12" t="e">
        <f>IF(O2823="Guaraníes",P2823/#REF!,P2823)</f>
        <v>#REF!</v>
      </c>
      <c r="S2823" s="5" t="s">
        <v>52</v>
      </c>
      <c r="V2823" s="5">
        <v>2991775</v>
      </c>
      <c r="W2823" s="5" t="s">
        <v>650</v>
      </c>
      <c r="AC2823" s="5" t="str">
        <f t="shared" si="136"/>
        <v>CDA</v>
      </c>
      <c r="AD2823" s="5" t="s">
        <v>43</v>
      </c>
      <c r="AE2823" s="5">
        <f t="shared" si="134"/>
        <v>3</v>
      </c>
      <c r="AF2823" s="5">
        <f t="shared" si="135"/>
        <v>2022</v>
      </c>
    </row>
    <row r="2824" s="5" customFormat="1" ht="13">
      <c r="A2824" s="5" t="s">
        <v>544</v>
      </c>
      <c r="B2824" s="5" t="s">
        <v>544</v>
      </c>
      <c r="C2824" s="5" t="s">
        <v>116</v>
      </c>
      <c r="D2824" s="5" t="s">
        <v>21</v>
      </c>
      <c r="E2824" s="5" t="s">
        <v>544</v>
      </c>
      <c r="F2824" s="5" t="s">
        <v>68</v>
      </c>
      <c r="H2824" s="9">
        <v>4643</v>
      </c>
      <c r="I2824" s="10"/>
      <c r="J2824" s="10">
        <v>44641</v>
      </c>
      <c r="K2824" s="5" t="s">
        <v>118</v>
      </c>
      <c r="L2824" s="5" t="s">
        <v>82</v>
      </c>
      <c r="M2824" s="11">
        <v>0.10000000000000001</v>
      </c>
      <c r="N2824" s="5" t="e">
        <f>IF(AND(M2824&gt;#REF!,Cartera!O2824="Guaraníes"),"Rendimiento significativo",IF(AND(M2824&gt;#REF!,Cartera!O2824="Dólares americanos"),"Rendimiento significativo","Rendimiento no significativo"))</f>
        <v>#REF!</v>
      </c>
      <c r="O2824" s="5" t="s">
        <v>41</v>
      </c>
      <c r="P2824" s="12">
        <v>2465753</v>
      </c>
      <c r="Q2824" s="12">
        <f>IF(O2824="Guaraníes",P2824,P2824*#REF!)</f>
        <v>2465753</v>
      </c>
      <c r="R2824" s="12" t="e">
        <f>IF(O2824="Guaraníes",P2824/#REF!,P2824)</f>
        <v>#REF!</v>
      </c>
      <c r="S2824" s="5" t="s">
        <v>52</v>
      </c>
      <c r="V2824" s="5">
        <v>2465753</v>
      </c>
      <c r="W2824" s="5" t="s">
        <v>661</v>
      </c>
      <c r="AC2824" s="5" t="str">
        <f t="shared" si="136"/>
        <v>CDA</v>
      </c>
      <c r="AD2824" s="5" t="s">
        <v>43</v>
      </c>
      <c r="AE2824" s="5">
        <f t="shared" si="134"/>
        <v>3</v>
      </c>
      <c r="AF2824" s="5">
        <f t="shared" si="135"/>
        <v>2022</v>
      </c>
    </row>
    <row r="2825" s="5" customFormat="1" ht="13">
      <c r="A2825" s="5" t="s">
        <v>44</v>
      </c>
      <c r="B2825" s="5" t="s">
        <v>44</v>
      </c>
      <c r="C2825" s="5" t="s">
        <v>79</v>
      </c>
      <c r="D2825" s="5" t="s">
        <v>21</v>
      </c>
      <c r="E2825" s="5" t="s">
        <v>44</v>
      </c>
      <c r="F2825" s="5" t="s">
        <v>68</v>
      </c>
      <c r="H2825" s="9">
        <v>6281</v>
      </c>
      <c r="I2825" s="10"/>
      <c r="J2825" s="10">
        <v>44641</v>
      </c>
      <c r="K2825" s="5" t="s">
        <v>81</v>
      </c>
      <c r="L2825" s="5" t="s">
        <v>82</v>
      </c>
      <c r="M2825" s="11">
        <v>0.0625</v>
      </c>
      <c r="N2825" s="5" t="e">
        <f>IF(AND(M2825&gt;#REF!,Cartera!O2825="Guaraníes"),"Rendimiento significativo",IF(AND(M2825&gt;#REF!,Cartera!O2825="Dólares americanos"),"Rendimiento significativo","Rendimiento no significativo"))</f>
        <v>#REF!</v>
      </c>
      <c r="O2825" s="5" t="s">
        <v>41</v>
      </c>
      <c r="P2825" s="12">
        <v>1575342</v>
      </c>
      <c r="Q2825" s="12">
        <f>IF(O2825="Guaraníes",P2825,P2825*#REF!)</f>
        <v>1575342</v>
      </c>
      <c r="R2825" s="12" t="e">
        <f>IF(O2825="Guaraníes",P2825/#REF!,P2825)</f>
        <v>#REF!</v>
      </c>
      <c r="S2825" s="5" t="s">
        <v>52</v>
      </c>
      <c r="V2825" s="5">
        <v>1575342</v>
      </c>
      <c r="W2825" s="5">
        <v>0.33333333333333331</v>
      </c>
      <c r="AC2825" s="5" t="str">
        <f t="shared" si="136"/>
        <v>CDA</v>
      </c>
      <c r="AD2825" s="5" t="s">
        <v>43</v>
      </c>
      <c r="AE2825" s="5">
        <f t="shared" si="134"/>
        <v>3</v>
      </c>
      <c r="AF2825" s="5">
        <f t="shared" si="135"/>
        <v>2022</v>
      </c>
    </row>
    <row r="2826" s="5" customFormat="1" ht="13">
      <c r="A2826" s="5" t="s">
        <v>544</v>
      </c>
      <c r="B2826" s="5" t="s">
        <v>544</v>
      </c>
      <c r="C2826" s="5" t="s">
        <v>624</v>
      </c>
      <c r="D2826" s="5" t="s">
        <v>21</v>
      </c>
      <c r="E2826" s="5" t="s">
        <v>544</v>
      </c>
      <c r="F2826" s="5" t="s">
        <v>35</v>
      </c>
      <c r="H2826" s="9">
        <v>1550</v>
      </c>
      <c r="I2826" s="10"/>
      <c r="J2826" s="10">
        <v>44644</v>
      </c>
      <c r="K2826" s="5" t="s">
        <v>509</v>
      </c>
      <c r="L2826" s="5" t="s">
        <v>82</v>
      </c>
      <c r="M2826" s="11">
        <v>0.089999999999999997</v>
      </c>
      <c r="N2826" s="5" t="e">
        <f>IF(AND(M2826&gt;#REF!,Cartera!O2826="Guaraníes"),"Rendimiento significativo",IF(AND(M2826&gt;#REF!,Cartera!O2826="Dólares americanos"),"Rendimiento significativo","Rendimiento no significativo"))</f>
        <v>#REF!</v>
      </c>
      <c r="O2826" s="5" t="s">
        <v>41</v>
      </c>
      <c r="P2826" s="12">
        <v>2219178</v>
      </c>
      <c r="Q2826" s="12">
        <f>IF(O2826="Guaraníes",P2826,P2826*#REF!)</f>
        <v>2219178</v>
      </c>
      <c r="R2826" s="12" t="e">
        <f>IF(O2826="Guaraníes",P2826/#REF!,P2826)</f>
        <v>#REF!</v>
      </c>
      <c r="S2826" s="5" t="s">
        <v>52</v>
      </c>
      <c r="V2826" s="5">
        <v>2219178</v>
      </c>
      <c r="W2826" s="5" t="s">
        <v>654</v>
      </c>
      <c r="AC2826" s="5" t="str">
        <f t="shared" si="136"/>
        <v>CDA</v>
      </c>
      <c r="AD2826" s="5" t="s">
        <v>43</v>
      </c>
      <c r="AE2826" s="5">
        <f t="shared" si="134"/>
        <v>3</v>
      </c>
      <c r="AF2826" s="5">
        <f t="shared" si="135"/>
        <v>2022</v>
      </c>
    </row>
    <row r="2827" s="5" customFormat="1" ht="13">
      <c r="A2827" s="5" t="s">
        <v>544</v>
      </c>
      <c r="B2827" s="5" t="s">
        <v>544</v>
      </c>
      <c r="C2827" s="5" t="s">
        <v>111</v>
      </c>
      <c r="D2827" s="5" t="s">
        <v>21</v>
      </c>
      <c r="E2827" s="5" t="s">
        <v>544</v>
      </c>
      <c r="F2827" s="5" t="s">
        <v>68</v>
      </c>
      <c r="H2827" s="9">
        <v>364</v>
      </c>
      <c r="I2827" s="10"/>
      <c r="J2827" s="10">
        <v>44650</v>
      </c>
      <c r="K2827" s="5" t="s">
        <v>140</v>
      </c>
      <c r="L2827" s="5" t="s">
        <v>82</v>
      </c>
      <c r="M2827" s="11">
        <v>0.0625</v>
      </c>
      <c r="N2827" s="5" t="e">
        <f>IF(AND(M2827&gt;#REF!,Cartera!O2827="Guaraníes"),"Rendimiento significativo",IF(AND(M2827&gt;#REF!,Cartera!O2827="Dólares americanos"),"Rendimiento significativo","Rendimiento no significativo"))</f>
        <v>#REF!</v>
      </c>
      <c r="O2827" s="5" t="s">
        <v>51</v>
      </c>
      <c r="P2827" s="13">
        <v>385.26999999999998</v>
      </c>
      <c r="Q2827" s="12" t="e">
        <f>IF(O2827="Guaraníes",P2827,P2827*#REF!)</f>
        <v>#REF!</v>
      </c>
      <c r="R2827" s="12">
        <f>IF(O2827="Guaraníes",P2827/#REF!,P2827)</f>
        <v>385.26999999999998</v>
      </c>
      <c r="S2827" s="5" t="s">
        <v>52</v>
      </c>
      <c r="V2827" s="5">
        <v>385.26999999999998</v>
      </c>
      <c r="W2827" s="5" t="s">
        <v>522</v>
      </c>
      <c r="AC2827" s="5" t="str">
        <f t="shared" si="136"/>
        <v>CDA</v>
      </c>
      <c r="AD2827" s="5" t="s">
        <v>43</v>
      </c>
      <c r="AE2827" s="5">
        <f t="shared" si="134"/>
        <v>3</v>
      </c>
      <c r="AF2827" s="5">
        <f t="shared" si="135"/>
        <v>2022</v>
      </c>
    </row>
    <row r="2828" s="5" customFormat="1" ht="13">
      <c r="A2828" s="5" t="s">
        <v>544</v>
      </c>
      <c r="B2828" s="5" t="s">
        <v>544</v>
      </c>
      <c r="C2828" s="5" t="s">
        <v>60</v>
      </c>
      <c r="D2828" s="5" t="s">
        <v>21</v>
      </c>
      <c r="E2828" s="5" t="s">
        <v>544</v>
      </c>
      <c r="F2828" s="5" t="s">
        <v>61</v>
      </c>
      <c r="H2828" s="9">
        <v>1044</v>
      </c>
      <c r="I2828" s="10"/>
      <c r="J2828" s="10">
        <v>44673</v>
      </c>
      <c r="K2828" s="5" t="s">
        <v>64</v>
      </c>
      <c r="L2828" s="5" t="s">
        <v>82</v>
      </c>
      <c r="M2828" s="11">
        <v>0.065000000000000002</v>
      </c>
      <c r="N2828" s="5" t="e">
        <f>IF(AND(M2828&gt;#REF!,Cartera!O2828="Guaraníes"),"Rendimiento significativo",IF(AND(M2828&gt;#REF!,Cartera!O2828="Dólares americanos"),"Rendimiento significativo","Rendimiento no significativo"))</f>
        <v>#REF!</v>
      </c>
      <c r="O2828" s="5" t="s">
        <v>41</v>
      </c>
      <c r="P2828" s="12">
        <v>3043866</v>
      </c>
      <c r="Q2828" s="12">
        <f>IF(O2828="Guaraníes",P2828,P2828*#REF!)</f>
        <v>3043866</v>
      </c>
      <c r="R2828" s="12" t="e">
        <f>IF(O2828="Guaraníes",P2828/#REF!,P2828)</f>
        <v>#REF!</v>
      </c>
      <c r="S2828" s="5" t="s">
        <v>52</v>
      </c>
      <c r="V2828" s="5">
        <v>3043866</v>
      </c>
      <c r="W2828" s="5" t="s">
        <v>200</v>
      </c>
      <c r="AC2828" s="5" t="str">
        <f t="shared" si="136"/>
        <v>CDA</v>
      </c>
      <c r="AD2828" s="5" t="s">
        <v>43</v>
      </c>
      <c r="AE2828" s="5">
        <f t="shared" si="134"/>
        <v>4</v>
      </c>
      <c r="AF2828" s="5">
        <f t="shared" si="135"/>
        <v>2022</v>
      </c>
    </row>
    <row r="2829" s="5" customFormat="1" ht="13">
      <c r="A2829" s="5" t="s">
        <v>544</v>
      </c>
      <c r="B2829" s="5" t="s">
        <v>544</v>
      </c>
      <c r="C2829" s="5" t="s">
        <v>74</v>
      </c>
      <c r="D2829" s="5" t="s">
        <v>21</v>
      </c>
      <c r="E2829" s="5" t="s">
        <v>544</v>
      </c>
      <c r="F2829" s="5" t="s">
        <v>68</v>
      </c>
      <c r="H2829" s="9">
        <v>1093</v>
      </c>
      <c r="I2829" s="10"/>
      <c r="J2829" s="10">
        <v>44677</v>
      </c>
      <c r="K2829" s="5" t="s">
        <v>77</v>
      </c>
      <c r="L2829" s="5" t="s">
        <v>82</v>
      </c>
      <c r="M2829" s="11">
        <v>0.065000000000000002</v>
      </c>
      <c r="N2829" s="5" t="e">
        <f>IF(AND(M2829&gt;#REF!,Cartera!O2829="Guaraníes"),"Rendimiento significativo",IF(AND(M2829&gt;#REF!,Cartera!O2829="Dólares americanos"),"Rendimiento significativo","Rendimiento no significativo"))</f>
        <v>#REF!</v>
      </c>
      <c r="O2829" s="5" t="s">
        <v>41</v>
      </c>
      <c r="P2829" s="12">
        <v>3205479</v>
      </c>
      <c r="Q2829" s="12">
        <f>IF(O2829="Guaraníes",P2829,P2829*#REF!)</f>
        <v>3205479</v>
      </c>
      <c r="R2829" s="12" t="e">
        <f>IF(O2829="Guaraníes",P2829/#REF!,P2829)</f>
        <v>#REF!</v>
      </c>
      <c r="S2829" s="5" t="s">
        <v>52</v>
      </c>
      <c r="V2829" s="5">
        <v>3205479</v>
      </c>
      <c r="W2829" s="5" t="s">
        <v>662</v>
      </c>
      <c r="AC2829" s="5" t="str">
        <f t="shared" si="136"/>
        <v>CDA</v>
      </c>
      <c r="AD2829" s="5" t="s">
        <v>43</v>
      </c>
      <c r="AE2829" s="5">
        <f t="shared" si="134"/>
        <v>4</v>
      </c>
      <c r="AF2829" s="5">
        <f t="shared" si="135"/>
        <v>2022</v>
      </c>
    </row>
    <row r="2830" s="5" customFormat="1" ht="13">
      <c r="A2830" s="5" t="s">
        <v>544</v>
      </c>
      <c r="B2830" s="5" t="s">
        <v>544</v>
      </c>
      <c r="C2830" s="5" t="s">
        <v>183</v>
      </c>
      <c r="D2830" s="5" t="s">
        <v>21</v>
      </c>
      <c r="E2830" s="5" t="s">
        <v>544</v>
      </c>
      <c r="F2830" s="5" t="s">
        <v>184</v>
      </c>
      <c r="H2830" s="9">
        <v>6388</v>
      </c>
      <c r="I2830" s="10"/>
      <c r="J2830" s="10">
        <v>44690</v>
      </c>
      <c r="K2830" s="5" t="s">
        <v>124</v>
      </c>
      <c r="L2830" s="5" t="s">
        <v>82</v>
      </c>
      <c r="M2830" s="11">
        <v>0.079000000000000001</v>
      </c>
      <c r="N2830" s="5" t="e">
        <f>IF(AND(M2830&gt;#REF!,Cartera!O2830="Guaraníes"),"Rendimiento significativo",IF(AND(M2830&gt;#REF!,Cartera!O2830="Dólares americanos"),"Rendimiento significativo","Rendimiento no significativo"))</f>
        <v>#REF!</v>
      </c>
      <c r="O2830" s="5" t="s">
        <v>41</v>
      </c>
      <c r="P2830" s="12">
        <v>9848020</v>
      </c>
      <c r="Q2830" s="12">
        <f>IF(O2830="Guaraníes",P2830,P2830*#REF!)</f>
        <v>9848020</v>
      </c>
      <c r="R2830" s="12" t="e">
        <f>IF(O2830="Guaraníes",P2830/#REF!,P2830)</f>
        <v>#REF!</v>
      </c>
      <c r="S2830" s="5" t="s">
        <v>52</v>
      </c>
      <c r="V2830" s="5">
        <v>9848020</v>
      </c>
      <c r="W2830" s="5" t="s">
        <v>218</v>
      </c>
      <c r="AC2830" s="5" t="str">
        <f t="shared" si="136"/>
        <v>CDA</v>
      </c>
      <c r="AD2830" s="5" t="s">
        <v>43</v>
      </c>
      <c r="AE2830" s="5">
        <f t="shared" si="134"/>
        <v>5</v>
      </c>
      <c r="AF2830" s="5">
        <f t="shared" si="135"/>
        <v>2022</v>
      </c>
    </row>
    <row r="2831" s="5" customFormat="1" ht="13">
      <c r="A2831" s="5" t="s">
        <v>544</v>
      </c>
      <c r="B2831" s="5" t="s">
        <v>544</v>
      </c>
      <c r="C2831" s="5" t="s">
        <v>183</v>
      </c>
      <c r="D2831" s="5" t="s">
        <v>21</v>
      </c>
      <c r="E2831" s="5" t="s">
        <v>544</v>
      </c>
      <c r="F2831" s="5" t="s">
        <v>184</v>
      </c>
      <c r="H2831" s="9">
        <v>6389</v>
      </c>
      <c r="I2831" s="10"/>
      <c r="J2831" s="10">
        <v>44690</v>
      </c>
      <c r="K2831" s="5" t="s">
        <v>124</v>
      </c>
      <c r="L2831" s="5" t="s">
        <v>82</v>
      </c>
      <c r="M2831" s="11">
        <v>0.079000000000000001</v>
      </c>
      <c r="N2831" s="5" t="e">
        <f>IF(AND(M2831&gt;#REF!,Cartera!O2831="Guaraníes"),"Rendimiento significativo",IF(AND(M2831&gt;#REF!,Cartera!O2831="Dólares americanos"),"Rendimiento significativo","Rendimiento no significativo"))</f>
        <v>#REF!</v>
      </c>
      <c r="O2831" s="5" t="s">
        <v>41</v>
      </c>
      <c r="P2831" s="12">
        <v>9848020</v>
      </c>
      <c r="Q2831" s="12">
        <f>IF(O2831="Guaraníes",P2831,P2831*#REF!)</f>
        <v>9848020</v>
      </c>
      <c r="R2831" s="12" t="e">
        <f>IF(O2831="Guaraníes",P2831/#REF!,P2831)</f>
        <v>#REF!</v>
      </c>
      <c r="S2831" s="5" t="s">
        <v>52</v>
      </c>
      <c r="V2831" s="5">
        <v>9848020</v>
      </c>
      <c r="W2831" s="5" t="s">
        <v>218</v>
      </c>
      <c r="AC2831" s="5" t="str">
        <f t="shared" si="136"/>
        <v>CDA</v>
      </c>
      <c r="AD2831" s="5" t="s">
        <v>43</v>
      </c>
      <c r="AE2831" s="5">
        <f t="shared" si="134"/>
        <v>5</v>
      </c>
      <c r="AF2831" s="5">
        <f t="shared" si="135"/>
        <v>2022</v>
      </c>
    </row>
    <row r="2832" s="5" customFormat="1" ht="13">
      <c r="A2832" s="5" t="s">
        <v>544</v>
      </c>
      <c r="B2832" s="5" t="s">
        <v>544</v>
      </c>
      <c r="C2832" s="5" t="s">
        <v>183</v>
      </c>
      <c r="D2832" s="5" t="s">
        <v>21</v>
      </c>
      <c r="E2832" s="5" t="s">
        <v>544</v>
      </c>
      <c r="F2832" s="5" t="s">
        <v>184</v>
      </c>
      <c r="H2832" s="9">
        <v>6390</v>
      </c>
      <c r="I2832" s="10"/>
      <c r="J2832" s="10">
        <v>44690</v>
      </c>
      <c r="K2832" s="5" t="s">
        <v>124</v>
      </c>
      <c r="L2832" s="5" t="s">
        <v>82</v>
      </c>
      <c r="M2832" s="11">
        <v>0.079000000000000001</v>
      </c>
      <c r="N2832" s="5" t="e">
        <f>IF(AND(M2832&gt;#REF!,Cartera!O2832="Guaraníes"),"Rendimiento significativo",IF(AND(M2832&gt;#REF!,Cartera!O2832="Dólares americanos"),"Rendimiento significativo","Rendimiento no significativo"))</f>
        <v>#REF!</v>
      </c>
      <c r="O2832" s="5" t="s">
        <v>41</v>
      </c>
      <c r="P2832" s="12">
        <v>9848020</v>
      </c>
      <c r="Q2832" s="12">
        <f>IF(O2832="Guaraníes",P2832,P2832*#REF!)</f>
        <v>9848020</v>
      </c>
      <c r="R2832" s="12" t="e">
        <f>IF(O2832="Guaraníes",P2832/#REF!,P2832)</f>
        <v>#REF!</v>
      </c>
      <c r="S2832" s="5" t="s">
        <v>52</v>
      </c>
      <c r="V2832" s="5">
        <v>9848020</v>
      </c>
      <c r="W2832" s="5" t="s">
        <v>218</v>
      </c>
      <c r="AC2832" s="5" t="str">
        <f t="shared" si="136"/>
        <v>CDA</v>
      </c>
      <c r="AD2832" s="5" t="s">
        <v>43</v>
      </c>
      <c r="AE2832" s="5">
        <f t="shared" si="134"/>
        <v>5</v>
      </c>
      <c r="AF2832" s="5">
        <f t="shared" si="135"/>
        <v>2022</v>
      </c>
    </row>
    <row r="2833" s="5" customFormat="1" ht="13">
      <c r="A2833" s="5" t="s">
        <v>544</v>
      </c>
      <c r="B2833" s="5" t="s">
        <v>544</v>
      </c>
      <c r="C2833" s="5" t="s">
        <v>183</v>
      </c>
      <c r="D2833" s="5" t="s">
        <v>21</v>
      </c>
      <c r="E2833" s="5" t="s">
        <v>544</v>
      </c>
      <c r="F2833" s="5" t="s">
        <v>184</v>
      </c>
      <c r="H2833" s="9">
        <v>6391</v>
      </c>
      <c r="I2833" s="10"/>
      <c r="J2833" s="10">
        <v>44690</v>
      </c>
      <c r="K2833" s="5" t="s">
        <v>124</v>
      </c>
      <c r="L2833" s="5" t="s">
        <v>82</v>
      </c>
      <c r="M2833" s="11">
        <v>0.079000000000000001</v>
      </c>
      <c r="N2833" s="5" t="e">
        <f>IF(AND(M2833&gt;#REF!,Cartera!O2833="Guaraníes"),"Rendimiento significativo",IF(AND(M2833&gt;#REF!,Cartera!O2833="Dólares americanos"),"Rendimiento significativo","Rendimiento no significativo"))</f>
        <v>#REF!</v>
      </c>
      <c r="O2833" s="5" t="s">
        <v>41</v>
      </c>
      <c r="P2833" s="12">
        <v>9848020</v>
      </c>
      <c r="Q2833" s="12">
        <f>IF(O2833="Guaraníes",P2833,P2833*#REF!)</f>
        <v>9848020</v>
      </c>
      <c r="R2833" s="12" t="e">
        <f>IF(O2833="Guaraníes",P2833/#REF!,P2833)</f>
        <v>#REF!</v>
      </c>
      <c r="S2833" s="5" t="s">
        <v>52</v>
      </c>
      <c r="V2833" s="5">
        <v>9848020</v>
      </c>
      <c r="W2833" s="5" t="s">
        <v>218</v>
      </c>
      <c r="AC2833" s="5" t="str">
        <f t="shared" si="136"/>
        <v>CDA</v>
      </c>
      <c r="AD2833" s="5" t="s">
        <v>43</v>
      </c>
      <c r="AE2833" s="5">
        <f t="shared" si="134"/>
        <v>5</v>
      </c>
      <c r="AF2833" s="5">
        <f t="shared" si="135"/>
        <v>2022</v>
      </c>
    </row>
    <row r="2834" s="5" customFormat="1" ht="13">
      <c r="A2834" s="5" t="s">
        <v>544</v>
      </c>
      <c r="B2834" s="5" t="s">
        <v>544</v>
      </c>
      <c r="C2834" s="5" t="s">
        <v>116</v>
      </c>
      <c r="D2834" s="5" t="s">
        <v>21</v>
      </c>
      <c r="E2834" s="5" t="s">
        <v>544</v>
      </c>
      <c r="F2834" s="5" t="s">
        <v>68</v>
      </c>
      <c r="H2834" s="9">
        <v>1519</v>
      </c>
      <c r="I2834" s="10"/>
      <c r="J2834" s="10">
        <v>44705</v>
      </c>
      <c r="K2834" s="5" t="s">
        <v>118</v>
      </c>
      <c r="L2834" s="5" t="s">
        <v>82</v>
      </c>
      <c r="M2834" s="11">
        <v>0.105</v>
      </c>
      <c r="N2834" s="5" t="e">
        <f>IF(AND(M2834&gt;#REF!,Cartera!O2834="Guaraníes"),"Rendimiento significativo",IF(AND(M2834&gt;#REF!,Cartera!O2834="Dólares americanos"),"Rendimiento significativo","Rendimiento no significativo"))</f>
        <v>#REF!</v>
      </c>
      <c r="O2834" s="5" t="s">
        <v>51</v>
      </c>
      <c r="P2834" s="13">
        <v>867.79999999999995</v>
      </c>
      <c r="Q2834" s="12" t="e">
        <f>IF(O2834="Guaraníes",P2834,P2834*#REF!)</f>
        <v>#REF!</v>
      </c>
      <c r="R2834" s="12">
        <f>IF(O2834="Guaraníes",P2834/#REF!,P2834)</f>
        <v>867.79999999999995</v>
      </c>
      <c r="S2834" s="5" t="s">
        <v>52</v>
      </c>
      <c r="V2834" s="5">
        <v>867.79999999999995</v>
      </c>
      <c r="W2834" s="5" t="s">
        <v>663</v>
      </c>
      <c r="AC2834" s="5" t="str">
        <f t="shared" si="136"/>
        <v>CDA</v>
      </c>
      <c r="AD2834" s="5" t="s">
        <v>43</v>
      </c>
      <c r="AE2834" s="5">
        <f t="shared" ref="AE2834:AE2897" si="137">IFERROR((MONTH(J2834)),0)</f>
        <v>5</v>
      </c>
      <c r="AF2834" s="5">
        <f t="shared" ref="AF2834:AF2897" si="138">IFERROR((YEAR(J2834)),0)</f>
        <v>2022</v>
      </c>
    </row>
    <row r="2835" s="5" customFormat="1" ht="13">
      <c r="A2835" s="5" t="s">
        <v>544</v>
      </c>
      <c r="B2835" s="5" t="s">
        <v>544</v>
      </c>
      <c r="C2835" s="5" t="s">
        <v>116</v>
      </c>
      <c r="D2835" s="5" t="s">
        <v>21</v>
      </c>
      <c r="E2835" s="5" t="s">
        <v>544</v>
      </c>
      <c r="F2835" s="5" t="s">
        <v>68</v>
      </c>
      <c r="H2835" s="9">
        <v>6208</v>
      </c>
      <c r="I2835" s="10"/>
      <c r="J2835" s="10">
        <v>44705</v>
      </c>
      <c r="K2835" s="5" t="s">
        <v>118</v>
      </c>
      <c r="L2835" s="5" t="s">
        <v>82</v>
      </c>
      <c r="M2835" s="11">
        <v>0.080000000000000002</v>
      </c>
      <c r="N2835" s="5" t="e">
        <f>IF(AND(M2835&gt;#REF!,Cartera!O2835="Guaraníes"),"Rendimiento significativo",IF(AND(M2835&gt;#REF!,Cartera!O2835="Dólares americanos"),"Rendimiento significativo","Rendimiento no significativo"))</f>
        <v>#REF!</v>
      </c>
      <c r="O2835" s="5" t="s">
        <v>41</v>
      </c>
      <c r="P2835" s="12">
        <v>1992329</v>
      </c>
      <c r="Q2835" s="12">
        <f>IF(O2835="Guaraníes",P2835,P2835*#REF!)</f>
        <v>1992329</v>
      </c>
      <c r="R2835" s="12" t="e">
        <f>IF(O2835="Guaraníes",P2835/#REF!,P2835)</f>
        <v>#REF!</v>
      </c>
      <c r="S2835" s="5" t="s">
        <v>52</v>
      </c>
      <c r="V2835" s="5">
        <v>1992329</v>
      </c>
      <c r="W2835" s="5" t="s">
        <v>245</v>
      </c>
      <c r="AC2835" s="5" t="str">
        <f t="shared" si="136"/>
        <v>CDA</v>
      </c>
      <c r="AD2835" s="5" t="s">
        <v>43</v>
      </c>
      <c r="AE2835" s="5">
        <f t="shared" si="137"/>
        <v>5</v>
      </c>
      <c r="AF2835" s="5">
        <f t="shared" si="138"/>
        <v>2022</v>
      </c>
    </row>
    <row r="2836" s="5" customFormat="1" ht="13">
      <c r="A2836" s="5" t="s">
        <v>544</v>
      </c>
      <c r="B2836" s="5" t="s">
        <v>544</v>
      </c>
      <c r="C2836" s="5" t="s">
        <v>607</v>
      </c>
      <c r="D2836" s="5" t="s">
        <v>21</v>
      </c>
      <c r="E2836" s="5" t="s">
        <v>544</v>
      </c>
      <c r="F2836" s="5" t="s">
        <v>68</v>
      </c>
      <c r="H2836" s="9">
        <v>1587</v>
      </c>
      <c r="I2836" s="10"/>
      <c r="J2836" s="10">
        <v>44722</v>
      </c>
      <c r="K2836" s="5" t="s">
        <v>140</v>
      </c>
      <c r="L2836" s="5" t="s">
        <v>82</v>
      </c>
      <c r="M2836" s="11">
        <v>0.065000000000000002</v>
      </c>
      <c r="N2836" s="5" t="e">
        <f>IF(AND(M2836&gt;#REF!,Cartera!O2836="Guaraníes"),"Rendimiento significativo",IF(AND(M2836&gt;#REF!,Cartera!O2836="Dólares americanos"),"Rendimiento significativo","Rendimiento no significativo"))</f>
        <v>#REF!</v>
      </c>
      <c r="O2836" s="5" t="s">
        <v>41</v>
      </c>
      <c r="P2836" s="12">
        <v>2205046</v>
      </c>
      <c r="Q2836" s="12">
        <f>IF(O2836="Guaraníes",P2836,P2836*#REF!)</f>
        <v>2205046</v>
      </c>
      <c r="R2836" s="12" t="e">
        <f>IF(O2836="Guaraníes",P2836/#REF!,P2836)</f>
        <v>#REF!</v>
      </c>
      <c r="S2836" s="5" t="s">
        <v>52</v>
      </c>
      <c r="V2836" s="5">
        <v>2205046</v>
      </c>
      <c r="W2836" s="5">
        <v>5</v>
      </c>
      <c r="AC2836" s="5" t="str">
        <f t="shared" si="136"/>
        <v>CDA</v>
      </c>
      <c r="AD2836" s="5" t="s">
        <v>43</v>
      </c>
      <c r="AE2836" s="5">
        <f t="shared" si="137"/>
        <v>6</v>
      </c>
      <c r="AF2836" s="5">
        <f t="shared" si="138"/>
        <v>2022</v>
      </c>
    </row>
    <row r="2837" s="5" customFormat="1" ht="13">
      <c r="A2837" s="5" t="s">
        <v>544</v>
      </c>
      <c r="B2837" s="5" t="s">
        <v>544</v>
      </c>
      <c r="C2837" s="5" t="s">
        <v>227</v>
      </c>
      <c r="D2837" s="5" t="s">
        <v>21</v>
      </c>
      <c r="E2837" s="5" t="s">
        <v>544</v>
      </c>
      <c r="F2837" s="5" t="s">
        <v>68</v>
      </c>
      <c r="H2837" s="9">
        <v>301</v>
      </c>
      <c r="I2837" s="10"/>
      <c r="J2837" s="10">
        <v>44722</v>
      </c>
      <c r="K2837" s="5" t="s">
        <v>77</v>
      </c>
      <c r="L2837" s="5" t="s">
        <v>82</v>
      </c>
      <c r="M2837" s="11">
        <v>0.059999999999999998</v>
      </c>
      <c r="N2837" s="5" t="e">
        <f>IF(AND(M2837&gt;#REF!,Cartera!O2837="Guaraníes"),"Rendimiento significativo",IF(AND(M2837&gt;#REF!,Cartera!O2837="Dólares americanos"),"Rendimiento significativo","Rendimiento no significativo"))</f>
        <v>#REF!</v>
      </c>
      <c r="O2837" s="5" t="s">
        <v>41</v>
      </c>
      <c r="P2837" s="12">
        <v>3002740</v>
      </c>
      <c r="Q2837" s="12">
        <f>IF(O2837="Guaraníes",P2837,P2837*#REF!)</f>
        <v>3002740</v>
      </c>
      <c r="R2837" s="12" t="e">
        <f>IF(O2837="Guaraníes",P2837/#REF!,P2837)</f>
        <v>#REF!</v>
      </c>
      <c r="S2837" s="5" t="s">
        <v>52</v>
      </c>
      <c r="V2837" s="5">
        <v>3002740</v>
      </c>
      <c r="W2837" s="5" t="s">
        <v>266</v>
      </c>
      <c r="AC2837" s="5" t="str">
        <f t="shared" si="136"/>
        <v>CDA</v>
      </c>
      <c r="AD2837" s="5" t="s">
        <v>43</v>
      </c>
      <c r="AE2837" s="5">
        <f t="shared" si="137"/>
        <v>6</v>
      </c>
      <c r="AF2837" s="5">
        <f t="shared" si="138"/>
        <v>2022</v>
      </c>
    </row>
    <row r="2838" s="5" customFormat="1" ht="13">
      <c r="A2838" s="5" t="s">
        <v>544</v>
      </c>
      <c r="B2838" s="5" t="s">
        <v>544</v>
      </c>
      <c r="C2838" s="5" t="s">
        <v>94</v>
      </c>
      <c r="D2838" s="5" t="s">
        <v>21</v>
      </c>
      <c r="E2838" s="5" t="s">
        <v>544</v>
      </c>
      <c r="F2838" s="5" t="s">
        <v>68</v>
      </c>
      <c r="H2838" s="9">
        <v>1897</v>
      </c>
      <c r="I2838" s="10"/>
      <c r="J2838" s="10">
        <v>44727</v>
      </c>
      <c r="K2838" s="5" t="s">
        <v>96</v>
      </c>
      <c r="L2838" s="5" t="s">
        <v>82</v>
      </c>
      <c r="M2838" s="11">
        <v>0.080000000000000002</v>
      </c>
      <c r="N2838" s="5" t="e">
        <f>IF(AND(M2838&gt;#REF!,Cartera!O2838="Guaraníes"),"Rendimiento significativo",IF(AND(M2838&gt;#REF!,Cartera!O2838="Dólares americanos"),"Rendimiento significativo","Rendimiento no significativo"))</f>
        <v>#REF!</v>
      </c>
      <c r="O2838" s="5" t="s">
        <v>41</v>
      </c>
      <c r="P2838" s="12">
        <v>2669635</v>
      </c>
      <c r="Q2838" s="12">
        <f>IF(O2838="Guaraníes",P2838,P2838*#REF!)</f>
        <v>2669635</v>
      </c>
      <c r="R2838" s="12" t="e">
        <f>IF(O2838="Guaraníes",P2838/#REF!,P2838)</f>
        <v>#REF!</v>
      </c>
      <c r="S2838" s="5" t="s">
        <v>52</v>
      </c>
      <c r="V2838" s="5">
        <v>2669635</v>
      </c>
      <c r="W2838" s="5" t="s">
        <v>664</v>
      </c>
      <c r="AC2838" s="5" t="str">
        <f t="shared" si="136"/>
        <v>CDA</v>
      </c>
      <c r="AD2838" s="5" t="s">
        <v>43</v>
      </c>
      <c r="AE2838" s="5">
        <f t="shared" si="137"/>
        <v>6</v>
      </c>
      <c r="AF2838" s="5">
        <f t="shared" si="138"/>
        <v>2022</v>
      </c>
    </row>
    <row r="2839" s="5" customFormat="1" ht="13">
      <c r="A2839" s="5" t="s">
        <v>544</v>
      </c>
      <c r="B2839" s="5" t="s">
        <v>544</v>
      </c>
      <c r="C2839" s="5" t="s">
        <v>116</v>
      </c>
      <c r="D2839" s="5" t="s">
        <v>21</v>
      </c>
      <c r="E2839" s="5" t="s">
        <v>544</v>
      </c>
      <c r="F2839" s="5" t="s">
        <v>68</v>
      </c>
      <c r="H2839" s="9">
        <v>4643</v>
      </c>
      <c r="I2839" s="10"/>
      <c r="J2839" s="10">
        <v>44733</v>
      </c>
      <c r="K2839" s="5" t="s">
        <v>118</v>
      </c>
      <c r="L2839" s="5" t="s">
        <v>82</v>
      </c>
      <c r="M2839" s="11">
        <v>0.10000000000000001</v>
      </c>
      <c r="N2839" s="5" t="e">
        <f>IF(AND(M2839&gt;#REF!,Cartera!O2839="Guaraníes"),"Rendimiento significativo",IF(AND(M2839&gt;#REF!,Cartera!O2839="Dólares americanos"),"Rendimiento significativo","Rendimiento no significativo"))</f>
        <v>#REF!</v>
      </c>
      <c r="O2839" s="5" t="s">
        <v>41</v>
      </c>
      <c r="P2839" s="12">
        <v>2520548</v>
      </c>
      <c r="Q2839" s="12">
        <f>IF(O2839="Guaraníes",P2839,P2839*#REF!)</f>
        <v>2520548</v>
      </c>
      <c r="R2839" s="12" t="e">
        <f>IF(O2839="Guaraníes",P2839/#REF!,P2839)</f>
        <v>#REF!</v>
      </c>
      <c r="S2839" s="5" t="s">
        <v>52</v>
      </c>
      <c r="V2839" s="5">
        <v>2520548</v>
      </c>
      <c r="W2839" s="5" t="s">
        <v>665</v>
      </c>
      <c r="AC2839" s="5" t="str">
        <f t="shared" si="136"/>
        <v>CDA</v>
      </c>
      <c r="AD2839" s="5" t="s">
        <v>43</v>
      </c>
      <c r="AE2839" s="5">
        <f t="shared" si="137"/>
        <v>6</v>
      </c>
      <c r="AF2839" s="5">
        <f t="shared" si="138"/>
        <v>2022</v>
      </c>
    </row>
    <row r="2840" s="5" customFormat="1" ht="13">
      <c r="A2840" s="5" t="s">
        <v>544</v>
      </c>
      <c r="B2840" s="5" t="s">
        <v>544</v>
      </c>
      <c r="C2840" s="5" t="s">
        <v>624</v>
      </c>
      <c r="D2840" s="5" t="s">
        <v>21</v>
      </c>
      <c r="E2840" s="5" t="s">
        <v>544</v>
      </c>
      <c r="F2840" s="5" t="s">
        <v>35</v>
      </c>
      <c r="H2840" s="9">
        <v>1550</v>
      </c>
      <c r="I2840" s="10"/>
      <c r="J2840" s="10">
        <v>44734</v>
      </c>
      <c r="K2840" s="5" t="s">
        <v>509</v>
      </c>
      <c r="L2840" s="5" t="s">
        <v>82</v>
      </c>
      <c r="M2840" s="11">
        <v>0.089999999999999997</v>
      </c>
      <c r="N2840" s="5" t="e">
        <f>IF(AND(M2840&gt;#REF!,Cartera!O2840="Guaraníes"),"Rendimiento significativo",IF(AND(M2840&gt;#REF!,Cartera!O2840="Dólares americanos"),"Rendimiento significativo","Rendimiento no significativo"))</f>
        <v>#REF!</v>
      </c>
      <c r="O2840" s="5" t="s">
        <v>41</v>
      </c>
      <c r="P2840" s="12">
        <v>2219178</v>
      </c>
      <c r="Q2840" s="12">
        <f>IF(O2840="Guaraníes",P2840,P2840*#REF!)</f>
        <v>2219178</v>
      </c>
      <c r="R2840" s="12" t="e">
        <f>IF(O2840="Guaraníes",P2840/#REF!,P2840)</f>
        <v>#REF!</v>
      </c>
      <c r="S2840" s="5" t="s">
        <v>52</v>
      </c>
      <c r="V2840" s="5">
        <v>2219178</v>
      </c>
      <c r="W2840" s="5" t="s">
        <v>661</v>
      </c>
      <c r="AC2840" s="5" t="str">
        <f t="shared" si="136"/>
        <v>CDA</v>
      </c>
      <c r="AD2840" s="5" t="s">
        <v>43</v>
      </c>
      <c r="AE2840" s="5">
        <f t="shared" si="137"/>
        <v>6</v>
      </c>
      <c r="AF2840" s="5">
        <f t="shared" si="138"/>
        <v>2022</v>
      </c>
    </row>
    <row r="2841" s="5" customFormat="1" ht="13">
      <c r="A2841" s="5" t="s">
        <v>544</v>
      </c>
      <c r="B2841" s="5" t="s">
        <v>544</v>
      </c>
      <c r="C2841" s="5" t="s">
        <v>111</v>
      </c>
      <c r="D2841" s="5" t="s">
        <v>21</v>
      </c>
      <c r="E2841" s="5" t="s">
        <v>544</v>
      </c>
      <c r="F2841" s="5" t="s">
        <v>68</v>
      </c>
      <c r="H2841" s="9">
        <v>364</v>
      </c>
      <c r="I2841" s="10"/>
      <c r="J2841" s="10">
        <v>44740</v>
      </c>
      <c r="K2841" s="5" t="s">
        <v>140</v>
      </c>
      <c r="L2841" s="5" t="s">
        <v>82</v>
      </c>
      <c r="M2841" s="11">
        <v>0.0625</v>
      </c>
      <c r="N2841" s="5" t="e">
        <f>IF(AND(M2841&gt;#REF!,Cartera!O2841="Guaraníes"),"Rendimiento significativo",IF(AND(M2841&gt;#REF!,Cartera!O2841="Dólares americanos"),"Rendimiento significativo","Rendimiento no significativo"))</f>
        <v>#REF!</v>
      </c>
      <c r="O2841" s="5" t="s">
        <v>51</v>
      </c>
      <c r="P2841" s="13">
        <v>385.26999999999998</v>
      </c>
      <c r="Q2841" s="12" t="e">
        <f>IF(O2841="Guaraníes",P2841,P2841*#REF!)</f>
        <v>#REF!</v>
      </c>
      <c r="R2841" s="12">
        <f>IF(O2841="Guaraníes",P2841/#REF!,P2841)</f>
        <v>385.26999999999998</v>
      </c>
      <c r="S2841" s="5" t="s">
        <v>52</v>
      </c>
      <c r="V2841" s="5">
        <v>385.26999999999998</v>
      </c>
      <c r="W2841" s="5" t="s">
        <v>660</v>
      </c>
      <c r="AC2841" s="5" t="str">
        <f t="shared" si="136"/>
        <v>CDA</v>
      </c>
      <c r="AD2841" s="5" t="s">
        <v>43</v>
      </c>
      <c r="AE2841" s="5">
        <f t="shared" si="137"/>
        <v>6</v>
      </c>
      <c r="AF2841" s="5">
        <f t="shared" si="138"/>
        <v>2022</v>
      </c>
    </row>
    <row r="2842" s="5" customFormat="1" ht="13">
      <c r="A2842" s="5" t="s">
        <v>544</v>
      </c>
      <c r="B2842" s="5" t="s">
        <v>544</v>
      </c>
      <c r="C2842" s="5" t="s">
        <v>60</v>
      </c>
      <c r="D2842" s="5" t="s">
        <v>21</v>
      </c>
      <c r="E2842" s="5" t="s">
        <v>544</v>
      </c>
      <c r="F2842" s="5" t="s">
        <v>61</v>
      </c>
      <c r="H2842" s="9">
        <v>1044</v>
      </c>
      <c r="I2842" s="10"/>
      <c r="J2842" s="10">
        <v>44764</v>
      </c>
      <c r="K2842" s="5" t="s">
        <v>64</v>
      </c>
      <c r="L2842" s="5" t="s">
        <v>82</v>
      </c>
      <c r="M2842" s="11">
        <v>0.065000000000000002</v>
      </c>
      <c r="N2842" s="5" t="e">
        <f>IF(AND(M2842&gt;#REF!,Cartera!O2842="Guaraníes"),"Rendimiento significativo",IF(AND(M2842&gt;#REF!,Cartera!O2842="Dólares americanos"),"Rendimiento significativo","Rendimiento no significativo"))</f>
        <v>#REF!</v>
      </c>
      <c r="O2842" s="5" t="s">
        <v>41</v>
      </c>
      <c r="P2842" s="12">
        <v>3043866</v>
      </c>
      <c r="Q2842" s="12">
        <f>IF(O2842="Guaraníes",P2842,P2842*#REF!)</f>
        <v>3043866</v>
      </c>
      <c r="R2842" s="12" t="e">
        <f>IF(O2842="Guaraníes",P2842/#REF!,P2842)</f>
        <v>#REF!</v>
      </c>
      <c r="S2842" s="5" t="s">
        <v>52</v>
      </c>
      <c r="V2842" s="5">
        <v>3043866</v>
      </c>
      <c r="W2842" s="5" t="s">
        <v>266</v>
      </c>
      <c r="AC2842" s="5" t="str">
        <f t="shared" si="136"/>
        <v>CDA</v>
      </c>
      <c r="AD2842" s="5" t="s">
        <v>43</v>
      </c>
      <c r="AE2842" s="5">
        <f t="shared" si="137"/>
        <v>7</v>
      </c>
      <c r="AF2842" s="5">
        <f t="shared" si="138"/>
        <v>2022</v>
      </c>
    </row>
    <row r="2843" s="5" customFormat="1" ht="13">
      <c r="A2843" s="5" t="s">
        <v>544</v>
      </c>
      <c r="B2843" s="5" t="s">
        <v>544</v>
      </c>
      <c r="C2843" s="5" t="s">
        <v>33</v>
      </c>
      <c r="D2843" s="5" t="s">
        <v>21</v>
      </c>
      <c r="E2843" s="5" t="s">
        <v>544</v>
      </c>
      <c r="F2843" s="5" t="s">
        <v>35</v>
      </c>
      <c r="H2843" s="9">
        <v>4441</v>
      </c>
      <c r="I2843" s="10"/>
      <c r="J2843" s="10">
        <v>44778</v>
      </c>
      <c r="K2843" s="5" t="s">
        <v>39</v>
      </c>
      <c r="L2843" s="5" t="s">
        <v>82</v>
      </c>
      <c r="M2843" s="11">
        <v>0.065000000000000002</v>
      </c>
      <c r="N2843" s="5" t="e">
        <f>IF(AND(M2843&gt;#REF!,Cartera!O2843="Guaraníes"),"Rendimiento significativo",IF(AND(M2843&gt;#REF!,Cartera!O2843="Dólares americanos"),"Rendimiento significativo","Rendimiento no significativo"))</f>
        <v>#REF!</v>
      </c>
      <c r="O2843" s="5" t="s">
        <v>41</v>
      </c>
      <c r="P2843" s="12">
        <v>4781507</v>
      </c>
      <c r="Q2843" s="12">
        <f>IF(O2843="Guaraníes",P2843,P2843*#REF!)</f>
        <v>4781507</v>
      </c>
      <c r="R2843" s="12" t="e">
        <f>IF(O2843="Guaraníes",P2843/#REF!,P2843)</f>
        <v>#REF!</v>
      </c>
      <c r="S2843" s="5" t="s">
        <v>52</v>
      </c>
      <c r="V2843" s="5">
        <v>4781507</v>
      </c>
      <c r="W2843" s="5" t="s">
        <v>258</v>
      </c>
      <c r="AC2843" s="5" t="str">
        <f t="shared" si="136"/>
        <v>CDA</v>
      </c>
      <c r="AD2843" s="5" t="s">
        <v>43</v>
      </c>
      <c r="AE2843" s="5">
        <f t="shared" si="137"/>
        <v>8</v>
      </c>
      <c r="AF2843" s="5">
        <f t="shared" si="138"/>
        <v>2022</v>
      </c>
    </row>
    <row r="2844" s="5" customFormat="1" ht="13">
      <c r="A2844" s="5" t="s">
        <v>544</v>
      </c>
      <c r="B2844" s="5" t="s">
        <v>544</v>
      </c>
      <c r="C2844" s="5" t="s">
        <v>116</v>
      </c>
      <c r="D2844" s="5" t="s">
        <v>21</v>
      </c>
      <c r="E2844" s="5" t="s">
        <v>544</v>
      </c>
      <c r="F2844" s="5" t="s">
        <v>68</v>
      </c>
      <c r="H2844" s="9">
        <v>6208</v>
      </c>
      <c r="I2844" s="10"/>
      <c r="J2844" s="10">
        <v>44795</v>
      </c>
      <c r="K2844" s="5" t="s">
        <v>118</v>
      </c>
      <c r="L2844" s="5" t="s">
        <v>82</v>
      </c>
      <c r="M2844" s="11">
        <v>0.080000000000000002</v>
      </c>
      <c r="N2844" s="5" t="e">
        <f>IF(AND(M2844&gt;#REF!,Cartera!O2844="Guaraníes"),"Rendimiento significativo",IF(AND(M2844&gt;#REF!,Cartera!O2844="Dólares americanos"),"Rendimiento significativo","Rendimiento no significativo"))</f>
        <v>#REF!</v>
      </c>
      <c r="O2844" s="5" t="s">
        <v>41</v>
      </c>
      <c r="P2844" s="12">
        <v>1992329</v>
      </c>
      <c r="Q2844" s="12">
        <f>IF(O2844="Guaraníes",P2844,P2844*#REF!)</f>
        <v>1992329</v>
      </c>
      <c r="R2844" s="12" t="e">
        <f>IF(O2844="Guaraníes",P2844/#REF!,P2844)</f>
        <v>#REF!</v>
      </c>
      <c r="S2844" s="5" t="s">
        <v>52</v>
      </c>
      <c r="V2844" s="5">
        <v>1992329</v>
      </c>
      <c r="W2844" s="5" t="s">
        <v>253</v>
      </c>
      <c r="AC2844" s="5" t="str">
        <f t="shared" si="136"/>
        <v>CDA</v>
      </c>
      <c r="AD2844" s="5" t="s">
        <v>43</v>
      </c>
      <c r="AE2844" s="5">
        <f t="shared" si="137"/>
        <v>8</v>
      </c>
      <c r="AF2844" s="5">
        <f t="shared" si="138"/>
        <v>2022</v>
      </c>
    </row>
    <row r="2845" s="5" customFormat="1" ht="13">
      <c r="A2845" s="5" t="s">
        <v>544</v>
      </c>
      <c r="B2845" s="5" t="s">
        <v>544</v>
      </c>
      <c r="C2845" s="5" t="s">
        <v>183</v>
      </c>
      <c r="D2845" s="5" t="s">
        <v>21</v>
      </c>
      <c r="E2845" s="5" t="s">
        <v>544</v>
      </c>
      <c r="F2845" s="5" t="s">
        <v>184</v>
      </c>
      <c r="H2845" s="9">
        <v>6217</v>
      </c>
      <c r="I2845" s="10"/>
      <c r="J2845" s="10">
        <v>44811</v>
      </c>
      <c r="K2845" s="5" t="s">
        <v>124</v>
      </c>
      <c r="L2845" s="5" t="s">
        <v>82</v>
      </c>
      <c r="M2845" s="11">
        <v>0.072499999999999995</v>
      </c>
      <c r="N2845" s="5" t="e">
        <f>IF(AND(M2845&gt;#REF!,Cartera!O2845="Guaraníes"),"Rendimiento significativo",IF(AND(M2845&gt;#REF!,Cartera!O2845="Dólares americanos"),"Rendimiento significativo","Rendimiento no significativo"))</f>
        <v>#REF!</v>
      </c>
      <c r="O2845" s="5" t="s">
        <v>41</v>
      </c>
      <c r="P2845" s="12">
        <v>17442280</v>
      </c>
      <c r="Q2845" s="12">
        <f>IF(O2845="Guaraníes",P2845,P2845*#REF!)</f>
        <v>17442280</v>
      </c>
      <c r="R2845" s="12" t="e">
        <f>IF(O2845="Guaraníes",P2845/#REF!,P2845)</f>
        <v>#REF!</v>
      </c>
      <c r="S2845" s="5" t="s">
        <v>52</v>
      </c>
      <c r="V2845" s="5">
        <v>17442280</v>
      </c>
      <c r="W2845" s="5" t="s">
        <v>666</v>
      </c>
      <c r="AC2845" s="5" t="str">
        <f t="shared" si="136"/>
        <v>CDA</v>
      </c>
      <c r="AD2845" s="5" t="s">
        <v>43</v>
      </c>
      <c r="AE2845" s="5">
        <f t="shared" si="137"/>
        <v>9</v>
      </c>
      <c r="AF2845" s="5">
        <f t="shared" si="138"/>
        <v>2022</v>
      </c>
    </row>
    <row r="2846" s="5" customFormat="1" ht="13">
      <c r="A2846" s="5" t="s">
        <v>544</v>
      </c>
      <c r="B2846" s="5" t="s">
        <v>544</v>
      </c>
      <c r="C2846" s="5" t="s">
        <v>607</v>
      </c>
      <c r="D2846" s="5" t="s">
        <v>21</v>
      </c>
      <c r="E2846" s="5" t="s">
        <v>544</v>
      </c>
      <c r="F2846" s="5" t="s">
        <v>68</v>
      </c>
      <c r="H2846" s="9">
        <v>1587</v>
      </c>
      <c r="I2846" s="10"/>
      <c r="J2846" s="10">
        <v>44812</v>
      </c>
      <c r="K2846" s="5" t="s">
        <v>140</v>
      </c>
      <c r="L2846" s="5" t="s">
        <v>82</v>
      </c>
      <c r="M2846" s="11">
        <v>0.065000000000000002</v>
      </c>
      <c r="N2846" s="5" t="e">
        <f>IF(AND(M2846&gt;#REF!,Cartera!O2846="Guaraníes"),"Rendimiento significativo",IF(AND(M2846&gt;#REF!,Cartera!O2846="Dólares americanos"),"Rendimiento significativo","Rendimiento no significativo"))</f>
        <v>#REF!</v>
      </c>
      <c r="O2846" s="5" t="s">
        <v>41</v>
      </c>
      <c r="P2846" s="12">
        <v>2205046</v>
      </c>
      <c r="Q2846" s="12">
        <f>IF(O2846="Guaraníes",P2846,P2846*#REF!)</f>
        <v>2205046</v>
      </c>
      <c r="R2846" s="12" t="e">
        <f>IF(O2846="Guaraníes",P2846/#REF!,P2846)</f>
        <v>#REF!</v>
      </c>
      <c r="S2846" s="5" t="s">
        <v>52</v>
      </c>
      <c r="V2846" s="5">
        <v>2205046</v>
      </c>
      <c r="W2846" s="5">
        <v>6</v>
      </c>
      <c r="AC2846" s="5" t="str">
        <f t="shared" si="136"/>
        <v>CDA</v>
      </c>
      <c r="AD2846" s="5" t="s">
        <v>43</v>
      </c>
      <c r="AE2846" s="5">
        <f t="shared" si="137"/>
        <v>9</v>
      </c>
      <c r="AF2846" s="5">
        <f t="shared" si="138"/>
        <v>2022</v>
      </c>
    </row>
    <row r="2847" s="5" customFormat="1" ht="13">
      <c r="A2847" s="5" t="s">
        <v>544</v>
      </c>
      <c r="B2847" s="5" t="s">
        <v>544</v>
      </c>
      <c r="C2847" s="5" t="s">
        <v>227</v>
      </c>
      <c r="D2847" s="5" t="s">
        <v>21</v>
      </c>
      <c r="E2847" s="5" t="s">
        <v>544</v>
      </c>
      <c r="F2847" s="5" t="s">
        <v>68</v>
      </c>
      <c r="H2847" s="9">
        <v>301</v>
      </c>
      <c r="I2847" s="10"/>
      <c r="J2847" s="10">
        <v>44814</v>
      </c>
      <c r="K2847" s="5" t="s">
        <v>77</v>
      </c>
      <c r="L2847" s="5" t="s">
        <v>82</v>
      </c>
      <c r="M2847" s="11">
        <v>0.059999999999999998</v>
      </c>
      <c r="N2847" s="5" t="e">
        <f>IF(AND(M2847&gt;#REF!,Cartera!O2847="Guaraníes"),"Rendimiento significativo",IF(AND(M2847&gt;#REF!,Cartera!O2847="Dólares americanos"),"Rendimiento significativo","Rendimiento no significativo"))</f>
        <v>#REF!</v>
      </c>
      <c r="O2847" s="5" t="s">
        <v>41</v>
      </c>
      <c r="P2847" s="12">
        <v>3002740</v>
      </c>
      <c r="Q2847" s="12">
        <f>IF(O2847="Guaraníes",P2847,P2847*#REF!)</f>
        <v>3002740</v>
      </c>
      <c r="R2847" s="12" t="e">
        <f>IF(O2847="Guaraníes",P2847/#REF!,P2847)</f>
        <v>#REF!</v>
      </c>
      <c r="S2847" s="5" t="s">
        <v>52</v>
      </c>
      <c r="V2847" s="5">
        <v>3002740</v>
      </c>
      <c r="W2847" s="5" t="s">
        <v>267</v>
      </c>
      <c r="AC2847" s="5" t="str">
        <f t="shared" si="136"/>
        <v>CDA</v>
      </c>
      <c r="AD2847" s="5" t="s">
        <v>43</v>
      </c>
      <c r="AE2847" s="5">
        <f t="shared" si="137"/>
        <v>9</v>
      </c>
      <c r="AF2847" s="5">
        <f t="shared" si="138"/>
        <v>2022</v>
      </c>
    </row>
    <row r="2848" s="5" customFormat="1" ht="13">
      <c r="A2848" s="5" t="s">
        <v>544</v>
      </c>
      <c r="B2848" s="5" t="s">
        <v>544</v>
      </c>
      <c r="C2848" s="5" t="s">
        <v>94</v>
      </c>
      <c r="D2848" s="5" t="s">
        <v>21</v>
      </c>
      <c r="E2848" s="5" t="s">
        <v>544</v>
      </c>
      <c r="F2848" s="5" t="s">
        <v>68</v>
      </c>
      <c r="H2848" s="9">
        <v>1897</v>
      </c>
      <c r="I2848" s="10"/>
      <c r="J2848" s="10">
        <v>44817</v>
      </c>
      <c r="K2848" s="5" t="s">
        <v>96</v>
      </c>
      <c r="L2848" s="5" t="s">
        <v>82</v>
      </c>
      <c r="M2848" s="11">
        <v>0.080000000000000002</v>
      </c>
      <c r="N2848" s="5" t="e">
        <f>IF(AND(M2848&gt;#REF!,Cartera!O2848="Guaraníes"),"Rendimiento significativo",IF(AND(M2848&gt;#REF!,Cartera!O2848="Dólares americanos"),"Rendimiento significativo","Rendimiento no significativo"))</f>
        <v>#REF!</v>
      </c>
      <c r="O2848" s="5" t="s">
        <v>41</v>
      </c>
      <c r="P2848" s="12">
        <v>2669635</v>
      </c>
      <c r="Q2848" s="12">
        <f>IF(O2848="Guaraníes",P2848,P2848*#REF!)</f>
        <v>2669635</v>
      </c>
      <c r="R2848" s="12" t="e">
        <f>IF(O2848="Guaraníes",P2848/#REF!,P2848)</f>
        <v>#REF!</v>
      </c>
      <c r="S2848" s="5" t="s">
        <v>52</v>
      </c>
      <c r="V2848" s="5">
        <v>2669635</v>
      </c>
      <c r="W2848" s="5" t="s">
        <v>530</v>
      </c>
      <c r="AC2848" s="5" t="str">
        <f t="shared" si="136"/>
        <v>CDA</v>
      </c>
      <c r="AD2848" s="5" t="s">
        <v>43</v>
      </c>
      <c r="AE2848" s="5">
        <f t="shared" si="137"/>
        <v>9</v>
      </c>
      <c r="AF2848" s="5">
        <f t="shared" si="138"/>
        <v>2022</v>
      </c>
    </row>
    <row r="2849" s="5" customFormat="1" ht="13">
      <c r="A2849" s="5" t="s">
        <v>544</v>
      </c>
      <c r="B2849" s="5" t="s">
        <v>544</v>
      </c>
      <c r="C2849" s="5" t="s">
        <v>624</v>
      </c>
      <c r="D2849" s="5" t="s">
        <v>21</v>
      </c>
      <c r="E2849" s="5" t="s">
        <v>544</v>
      </c>
      <c r="F2849" s="5" t="s">
        <v>35</v>
      </c>
      <c r="H2849" s="9">
        <v>1550</v>
      </c>
      <c r="I2849" s="10"/>
      <c r="J2849" s="10">
        <v>44824</v>
      </c>
      <c r="K2849" s="5" t="s">
        <v>509</v>
      </c>
      <c r="L2849" s="5" t="s">
        <v>82</v>
      </c>
      <c r="M2849" s="11">
        <v>0.089999999999999997</v>
      </c>
      <c r="N2849" s="5" t="e">
        <f>IF(AND(M2849&gt;#REF!,Cartera!O2849="Guaraníes"),"Rendimiento significativo",IF(AND(M2849&gt;#REF!,Cartera!O2849="Dólares americanos"),"Rendimiento significativo","Rendimiento no significativo"))</f>
        <v>#REF!</v>
      </c>
      <c r="O2849" s="5" t="s">
        <v>41</v>
      </c>
      <c r="P2849" s="12">
        <v>2219178</v>
      </c>
      <c r="Q2849" s="12">
        <f>IF(O2849="Guaraníes",P2849,P2849*#REF!)</f>
        <v>2219178</v>
      </c>
      <c r="R2849" s="12" t="e">
        <f>IF(O2849="Guaraníes",P2849/#REF!,P2849)</f>
        <v>#REF!</v>
      </c>
      <c r="S2849" s="5" t="s">
        <v>52</v>
      </c>
      <c r="V2849" s="5">
        <v>2219178</v>
      </c>
      <c r="W2849" s="5" t="s">
        <v>665</v>
      </c>
      <c r="AC2849" s="5" t="str">
        <f t="shared" si="136"/>
        <v>CDA</v>
      </c>
      <c r="AD2849" s="5" t="s">
        <v>43</v>
      </c>
      <c r="AE2849" s="5">
        <f t="shared" si="137"/>
        <v>9</v>
      </c>
      <c r="AF2849" s="5">
        <f t="shared" si="138"/>
        <v>2022</v>
      </c>
    </row>
    <row r="2850" s="5" customFormat="1" ht="13">
      <c r="A2850" s="5" t="s">
        <v>544</v>
      </c>
      <c r="B2850" s="5" t="s">
        <v>544</v>
      </c>
      <c r="C2850" s="5" t="s">
        <v>116</v>
      </c>
      <c r="D2850" s="5" t="s">
        <v>21</v>
      </c>
      <c r="E2850" s="5" t="s">
        <v>544</v>
      </c>
      <c r="F2850" s="5" t="s">
        <v>68</v>
      </c>
      <c r="H2850" s="9">
        <v>4643</v>
      </c>
      <c r="I2850" s="10"/>
      <c r="J2850" s="10">
        <v>44825</v>
      </c>
      <c r="K2850" s="5" t="s">
        <v>118</v>
      </c>
      <c r="L2850" s="5" t="s">
        <v>82</v>
      </c>
      <c r="M2850" s="11">
        <v>0.10000000000000001</v>
      </c>
      <c r="N2850" s="5" t="e">
        <f>IF(AND(M2850&gt;#REF!,Cartera!O2850="Guaraníes"),"Rendimiento significativo",IF(AND(M2850&gt;#REF!,Cartera!O2850="Dólares americanos"),"Rendimiento significativo","Rendimiento no significativo"))</f>
        <v>#REF!</v>
      </c>
      <c r="O2850" s="5" t="s">
        <v>41</v>
      </c>
      <c r="P2850" s="12">
        <v>2520548</v>
      </c>
      <c r="Q2850" s="12">
        <f>IF(O2850="Guaraníes",P2850,P2850*#REF!)</f>
        <v>2520548</v>
      </c>
      <c r="R2850" s="12" t="e">
        <f>IF(O2850="Guaraníes",P2850/#REF!,P2850)</f>
        <v>#REF!</v>
      </c>
      <c r="S2850" s="5" t="s">
        <v>52</v>
      </c>
      <c r="V2850" s="5">
        <v>2520548</v>
      </c>
      <c r="W2850" s="5" t="s">
        <v>667</v>
      </c>
      <c r="AC2850" s="5" t="str">
        <f t="shared" si="136"/>
        <v>CDA</v>
      </c>
      <c r="AD2850" s="5" t="s">
        <v>43</v>
      </c>
      <c r="AE2850" s="5">
        <f t="shared" si="137"/>
        <v>9</v>
      </c>
      <c r="AF2850" s="5">
        <f t="shared" si="138"/>
        <v>2022</v>
      </c>
    </row>
    <row r="2851" s="5" customFormat="1" ht="13">
      <c r="A2851" s="5" t="s">
        <v>44</v>
      </c>
      <c r="B2851" s="5" t="s">
        <v>44</v>
      </c>
      <c r="C2851" s="5" t="s">
        <v>79</v>
      </c>
      <c r="D2851" s="5" t="s">
        <v>21</v>
      </c>
      <c r="E2851" s="5" t="s">
        <v>44</v>
      </c>
      <c r="F2851" s="5" t="s">
        <v>68</v>
      </c>
      <c r="H2851" s="9">
        <v>6281</v>
      </c>
      <c r="I2851" s="10"/>
      <c r="J2851" s="10">
        <v>44825</v>
      </c>
      <c r="K2851" s="5" t="s">
        <v>81</v>
      </c>
      <c r="L2851" s="5" t="s">
        <v>82</v>
      </c>
      <c r="M2851" s="11">
        <v>0.0625</v>
      </c>
      <c r="N2851" s="5" t="e">
        <f>IF(AND(M2851&gt;#REF!,Cartera!O2851="Guaraníes"),"Rendimiento significativo",IF(AND(M2851&gt;#REF!,Cartera!O2851="Dólares americanos"),"Rendimiento significativo","Rendimiento no significativo"))</f>
        <v>#REF!</v>
      </c>
      <c r="O2851" s="5" t="s">
        <v>41</v>
      </c>
      <c r="P2851" s="12">
        <v>1575342</v>
      </c>
      <c r="Q2851" s="12">
        <f>IF(O2851="Guaraníes",P2851,P2851*#REF!)</f>
        <v>1575342</v>
      </c>
      <c r="R2851" s="12" t="e">
        <f>IF(O2851="Guaraníes",P2851/#REF!,P2851)</f>
        <v>#REF!</v>
      </c>
      <c r="S2851" s="5" t="s">
        <v>52</v>
      </c>
      <c r="V2851" s="5">
        <v>1575342</v>
      </c>
      <c r="W2851" s="5">
        <v>0.66666666666666663</v>
      </c>
      <c r="AC2851" s="5" t="str">
        <f t="shared" si="136"/>
        <v>CDA</v>
      </c>
      <c r="AD2851" s="5" t="s">
        <v>43</v>
      </c>
      <c r="AE2851" s="5">
        <f t="shared" si="137"/>
        <v>9</v>
      </c>
      <c r="AF2851" s="5">
        <f t="shared" si="138"/>
        <v>2022</v>
      </c>
    </row>
    <row r="2852" s="5" customFormat="1" ht="13">
      <c r="A2852" s="5" t="s">
        <v>544</v>
      </c>
      <c r="B2852" s="5" t="s">
        <v>544</v>
      </c>
      <c r="C2852" s="5" t="s">
        <v>111</v>
      </c>
      <c r="D2852" s="5" t="s">
        <v>21</v>
      </c>
      <c r="E2852" s="5" t="s">
        <v>544</v>
      </c>
      <c r="F2852" s="5" t="s">
        <v>68</v>
      </c>
      <c r="H2852" s="9">
        <v>364</v>
      </c>
      <c r="I2852" s="10"/>
      <c r="J2852" s="10">
        <v>44830</v>
      </c>
      <c r="K2852" s="5" t="s">
        <v>140</v>
      </c>
      <c r="L2852" s="5" t="s">
        <v>82</v>
      </c>
      <c r="M2852" s="11">
        <v>0.0625</v>
      </c>
      <c r="N2852" s="5" t="e">
        <f>IF(AND(M2852&gt;#REF!,Cartera!O2852="Guaraníes"),"Rendimiento significativo",IF(AND(M2852&gt;#REF!,Cartera!O2852="Dólares americanos"),"Rendimiento significativo","Rendimiento no significativo"))</f>
        <v>#REF!</v>
      </c>
      <c r="O2852" s="5" t="s">
        <v>51</v>
      </c>
      <c r="P2852" s="13">
        <v>385.26999999999998</v>
      </c>
      <c r="Q2852" s="12" t="e">
        <f>IF(O2852="Guaraníes",P2852,P2852*#REF!)</f>
        <v>#REF!</v>
      </c>
      <c r="R2852" s="12">
        <f>IF(O2852="Guaraníes",P2852/#REF!,P2852)</f>
        <v>385.26999999999998</v>
      </c>
      <c r="S2852" s="5" t="s">
        <v>52</v>
      </c>
      <c r="V2852" s="5">
        <v>385.26999999999998</v>
      </c>
      <c r="W2852" s="5" t="s">
        <v>664</v>
      </c>
      <c r="AC2852" s="5" t="str">
        <f t="shared" si="136"/>
        <v>CDA</v>
      </c>
      <c r="AD2852" s="5" t="s">
        <v>43</v>
      </c>
      <c r="AE2852" s="5">
        <f t="shared" si="137"/>
        <v>9</v>
      </c>
      <c r="AF2852" s="5">
        <f t="shared" si="138"/>
        <v>2022</v>
      </c>
    </row>
    <row r="2853" s="5" customFormat="1" ht="13">
      <c r="A2853" s="5" t="s">
        <v>544</v>
      </c>
      <c r="B2853" s="5" t="s">
        <v>544</v>
      </c>
      <c r="C2853" s="5" t="s">
        <v>607</v>
      </c>
      <c r="D2853" s="5" t="s">
        <v>20</v>
      </c>
      <c r="E2853" s="5" t="s">
        <v>544</v>
      </c>
      <c r="F2853" s="5" t="s">
        <v>68</v>
      </c>
      <c r="H2853" s="9">
        <v>1587</v>
      </c>
      <c r="I2853" s="10">
        <v>44272</v>
      </c>
      <c r="J2853" s="10">
        <v>44841</v>
      </c>
      <c r="K2853" s="5" t="s">
        <v>140</v>
      </c>
      <c r="L2853" s="5" t="s">
        <v>82</v>
      </c>
      <c r="M2853" s="11">
        <v>0.065000000000000002</v>
      </c>
      <c r="N2853" s="5" t="e">
        <f>IF(AND(M2853&gt;#REF!,Cartera!O2853="Guaraníes"),"Rendimiento significativo",IF(AND(M2853&gt;#REF!,Cartera!O2853="Dólares americanos"),"Rendimiento significativo","Rendimiento no significativo"))</f>
        <v>#REF!</v>
      </c>
      <c r="O2853" s="5" t="s">
        <v>41</v>
      </c>
      <c r="P2853" s="12">
        <v>137579795</v>
      </c>
      <c r="Q2853" s="12">
        <f>IF(O2853="Guaraníes",P2853,P2853*#REF!)</f>
        <v>137579795</v>
      </c>
      <c r="R2853" s="12" t="e">
        <f>IF(O2853="Guaraníes",P2853/#REF!,P2853)</f>
        <v>#REF!</v>
      </c>
      <c r="S2853" s="5" t="s">
        <v>52</v>
      </c>
      <c r="AC2853" s="5" t="str">
        <f t="shared" si="136"/>
        <v>CDA</v>
      </c>
      <c r="AD2853" s="5" t="s">
        <v>43</v>
      </c>
      <c r="AE2853" s="5">
        <f t="shared" si="137"/>
        <v>10</v>
      </c>
      <c r="AF2853" s="5">
        <f t="shared" si="138"/>
        <v>2022</v>
      </c>
    </row>
    <row r="2854" s="5" customFormat="1" ht="13">
      <c r="A2854" s="5" t="s">
        <v>544</v>
      </c>
      <c r="B2854" s="5" t="s">
        <v>544</v>
      </c>
      <c r="C2854" s="5" t="s">
        <v>607</v>
      </c>
      <c r="D2854" s="5" t="s">
        <v>21</v>
      </c>
      <c r="E2854" s="5" t="s">
        <v>544</v>
      </c>
      <c r="F2854" s="5" t="s">
        <v>68</v>
      </c>
      <c r="H2854" s="9">
        <v>1587</v>
      </c>
      <c r="I2854" s="10"/>
      <c r="J2854" s="10">
        <v>44841</v>
      </c>
      <c r="K2854" s="5" t="s">
        <v>140</v>
      </c>
      <c r="L2854" s="5" t="s">
        <v>82</v>
      </c>
      <c r="M2854" s="11">
        <v>0.065000000000000002</v>
      </c>
      <c r="N2854" s="5" t="e">
        <f>IF(AND(M2854&gt;#REF!,Cartera!O2854="Guaraníes"),"Rendimiento significativo",IF(AND(M2854&gt;#REF!,Cartera!O2854="Dólares americanos"),"Rendimiento significativo","Rendimiento no significativo"))</f>
        <v>#REF!</v>
      </c>
      <c r="O2854" s="5" t="s">
        <v>41</v>
      </c>
      <c r="P2854" s="12">
        <v>710515</v>
      </c>
      <c r="Q2854" s="12">
        <f>IF(O2854="Guaraníes",P2854,P2854*#REF!)</f>
        <v>710515</v>
      </c>
      <c r="R2854" s="12" t="e">
        <f>IF(O2854="Guaraníes",P2854/#REF!,P2854)</f>
        <v>#REF!</v>
      </c>
      <c r="S2854" s="5" t="s">
        <v>52</v>
      </c>
      <c r="V2854" s="5">
        <v>710515</v>
      </c>
      <c r="W2854" s="5">
        <v>7</v>
      </c>
      <c r="AC2854" s="5" t="str">
        <f t="shared" si="136"/>
        <v>CDA</v>
      </c>
      <c r="AD2854" s="5" t="s">
        <v>43</v>
      </c>
      <c r="AE2854" s="5">
        <f t="shared" si="137"/>
        <v>10</v>
      </c>
      <c r="AF2854" s="5">
        <f t="shared" si="138"/>
        <v>2022</v>
      </c>
    </row>
    <row r="2855" s="5" customFormat="1" ht="13">
      <c r="A2855" s="5" t="s">
        <v>544</v>
      </c>
      <c r="B2855" s="5" t="s">
        <v>544</v>
      </c>
      <c r="C2855" s="5" t="s">
        <v>60</v>
      </c>
      <c r="D2855" s="5" t="s">
        <v>21</v>
      </c>
      <c r="E2855" s="5" t="s">
        <v>544</v>
      </c>
      <c r="F2855" s="5" t="s">
        <v>61</v>
      </c>
      <c r="H2855" s="9">
        <v>1044</v>
      </c>
      <c r="I2855" s="10"/>
      <c r="J2855" s="10">
        <v>44855</v>
      </c>
      <c r="K2855" s="5" t="s">
        <v>64</v>
      </c>
      <c r="L2855" s="5" t="s">
        <v>82</v>
      </c>
      <c r="M2855" s="11">
        <v>0.065000000000000002</v>
      </c>
      <c r="N2855" s="5" t="e">
        <f>IF(AND(M2855&gt;#REF!,Cartera!O2855="Guaraníes"),"Rendimiento significativo",IF(AND(M2855&gt;#REF!,Cartera!O2855="Dólares americanos"),"Rendimiento significativo","Rendimiento no significativo"))</f>
        <v>#REF!</v>
      </c>
      <c r="O2855" s="5" t="s">
        <v>41</v>
      </c>
      <c r="P2855" s="12">
        <v>3043866</v>
      </c>
      <c r="Q2855" s="12">
        <f>IF(O2855="Guaraníes",P2855,P2855*#REF!)</f>
        <v>3043866</v>
      </c>
      <c r="R2855" s="12" t="e">
        <f>IF(O2855="Guaraníes",P2855/#REF!,P2855)</f>
        <v>#REF!</v>
      </c>
      <c r="S2855" s="5" t="s">
        <v>52</v>
      </c>
      <c r="V2855" s="5">
        <v>3043866</v>
      </c>
      <c r="W2855" s="5" t="s">
        <v>267</v>
      </c>
      <c r="AC2855" s="5" t="str">
        <f t="shared" si="136"/>
        <v>CDA</v>
      </c>
      <c r="AD2855" s="5" t="s">
        <v>43</v>
      </c>
      <c r="AE2855" s="5">
        <f t="shared" si="137"/>
        <v>10</v>
      </c>
      <c r="AF2855" s="5">
        <f t="shared" si="138"/>
        <v>2022</v>
      </c>
    </row>
    <row r="2856" s="5" customFormat="1" ht="13">
      <c r="A2856" s="5" t="s">
        <v>544</v>
      </c>
      <c r="B2856" s="5" t="s">
        <v>544</v>
      </c>
      <c r="C2856" s="5" t="s">
        <v>74</v>
      </c>
      <c r="D2856" s="5" t="s">
        <v>21</v>
      </c>
      <c r="E2856" s="5" t="s">
        <v>544</v>
      </c>
      <c r="F2856" s="5" t="s">
        <v>68</v>
      </c>
      <c r="H2856" s="9">
        <v>1093</v>
      </c>
      <c r="I2856" s="10"/>
      <c r="J2856" s="10">
        <v>44858</v>
      </c>
      <c r="K2856" s="5" t="s">
        <v>77</v>
      </c>
      <c r="L2856" s="5" t="s">
        <v>82</v>
      </c>
      <c r="M2856" s="11">
        <v>0.065000000000000002</v>
      </c>
      <c r="N2856" s="5" t="e">
        <f>IF(AND(M2856&gt;#REF!,Cartera!O2856="Guaraníes"),"Rendimiento significativo",IF(AND(M2856&gt;#REF!,Cartera!O2856="Dólares americanos"),"Rendimiento significativo","Rendimiento no significativo"))</f>
        <v>#REF!</v>
      </c>
      <c r="O2856" s="5" t="s">
        <v>41</v>
      </c>
      <c r="P2856" s="12">
        <v>3241096</v>
      </c>
      <c r="Q2856" s="12">
        <f>IF(O2856="Guaraníes",P2856,P2856*#REF!)</f>
        <v>3241096</v>
      </c>
      <c r="R2856" s="12" t="e">
        <f>IF(O2856="Guaraníes",P2856/#REF!,P2856)</f>
        <v>#REF!</v>
      </c>
      <c r="S2856" s="5" t="s">
        <v>52</v>
      </c>
      <c r="V2856" s="5">
        <v>3241096</v>
      </c>
      <c r="W2856" s="5" t="s">
        <v>668</v>
      </c>
      <c r="AC2856" s="5" t="str">
        <f t="shared" si="136"/>
        <v>CDA</v>
      </c>
      <c r="AD2856" s="5" t="s">
        <v>43</v>
      </c>
      <c r="AE2856" s="5">
        <f t="shared" si="137"/>
        <v>10</v>
      </c>
      <c r="AF2856" s="5">
        <f t="shared" si="138"/>
        <v>2022</v>
      </c>
    </row>
    <row r="2857" s="5" customFormat="1" ht="13">
      <c r="A2857" s="5" t="s">
        <v>544</v>
      </c>
      <c r="B2857" s="5" t="s">
        <v>544</v>
      </c>
      <c r="C2857" s="5" t="s">
        <v>183</v>
      </c>
      <c r="D2857" s="5" t="s">
        <v>21</v>
      </c>
      <c r="E2857" s="5" t="s">
        <v>544</v>
      </c>
      <c r="F2857" s="5" t="s">
        <v>184</v>
      </c>
      <c r="H2857" s="9">
        <v>6388</v>
      </c>
      <c r="I2857" s="10"/>
      <c r="J2857" s="10">
        <v>44874</v>
      </c>
      <c r="K2857" s="5" t="s">
        <v>124</v>
      </c>
      <c r="L2857" s="5" t="s">
        <v>82</v>
      </c>
      <c r="M2857" s="11">
        <v>0.079000000000000001</v>
      </c>
      <c r="N2857" s="5" t="e">
        <f>IF(AND(M2857&gt;#REF!,Cartera!O2857="Guaraníes"),"Rendimiento significativo",IF(AND(M2857&gt;#REF!,Cartera!O2857="Dólares americanos"),"Rendimiento significativo","Rendimiento no significativo"))</f>
        <v>#REF!</v>
      </c>
      <c r="O2857" s="5" t="s">
        <v>41</v>
      </c>
      <c r="P2857" s="12">
        <v>9956240</v>
      </c>
      <c r="Q2857" s="12">
        <f>IF(O2857="Guaraníes",P2857,P2857*#REF!)</f>
        <v>9956240</v>
      </c>
      <c r="R2857" s="12" t="e">
        <f>IF(O2857="Guaraníes",P2857/#REF!,P2857)</f>
        <v>#REF!</v>
      </c>
      <c r="S2857" s="5" t="s">
        <v>52</v>
      </c>
      <c r="V2857" s="5">
        <v>9956240</v>
      </c>
      <c r="W2857" s="5" t="s">
        <v>195</v>
      </c>
      <c r="AC2857" s="5" t="str">
        <f t="shared" si="136"/>
        <v>CDA</v>
      </c>
      <c r="AD2857" s="5" t="s">
        <v>43</v>
      </c>
      <c r="AE2857" s="5">
        <f t="shared" si="137"/>
        <v>11</v>
      </c>
      <c r="AF2857" s="5">
        <f t="shared" si="138"/>
        <v>2022</v>
      </c>
    </row>
    <row r="2858" s="5" customFormat="1" ht="13">
      <c r="A2858" s="5" t="s">
        <v>544</v>
      </c>
      <c r="B2858" s="5" t="s">
        <v>544</v>
      </c>
      <c r="C2858" s="5" t="s">
        <v>183</v>
      </c>
      <c r="D2858" s="5" t="s">
        <v>21</v>
      </c>
      <c r="E2858" s="5" t="s">
        <v>544</v>
      </c>
      <c r="F2858" s="5" t="s">
        <v>184</v>
      </c>
      <c r="H2858" s="9">
        <v>6389</v>
      </c>
      <c r="I2858" s="10"/>
      <c r="J2858" s="10">
        <v>44874</v>
      </c>
      <c r="K2858" s="5" t="s">
        <v>124</v>
      </c>
      <c r="L2858" s="5" t="s">
        <v>82</v>
      </c>
      <c r="M2858" s="11">
        <v>0.079000000000000001</v>
      </c>
      <c r="N2858" s="5" t="e">
        <f>IF(AND(M2858&gt;#REF!,Cartera!O2858="Guaraníes"),"Rendimiento significativo",IF(AND(M2858&gt;#REF!,Cartera!O2858="Dólares americanos"),"Rendimiento significativo","Rendimiento no significativo"))</f>
        <v>#REF!</v>
      </c>
      <c r="O2858" s="5" t="s">
        <v>41</v>
      </c>
      <c r="P2858" s="12">
        <v>9956240</v>
      </c>
      <c r="Q2858" s="12">
        <f>IF(O2858="Guaraníes",P2858,P2858*#REF!)</f>
        <v>9956240</v>
      </c>
      <c r="R2858" s="12" t="e">
        <f>IF(O2858="Guaraníes",P2858/#REF!,P2858)</f>
        <v>#REF!</v>
      </c>
      <c r="S2858" s="5" t="s">
        <v>52</v>
      </c>
      <c r="V2858" s="5">
        <v>9956240</v>
      </c>
      <c r="W2858" s="5" t="s">
        <v>195</v>
      </c>
      <c r="AC2858" s="5" t="str">
        <f t="shared" si="136"/>
        <v>CDA</v>
      </c>
      <c r="AD2858" s="5" t="s">
        <v>43</v>
      </c>
      <c r="AE2858" s="5">
        <f t="shared" si="137"/>
        <v>11</v>
      </c>
      <c r="AF2858" s="5">
        <f t="shared" si="138"/>
        <v>2022</v>
      </c>
    </row>
    <row r="2859" s="5" customFormat="1" ht="13">
      <c r="A2859" s="5" t="s">
        <v>544</v>
      </c>
      <c r="B2859" s="5" t="s">
        <v>544</v>
      </c>
      <c r="C2859" s="5" t="s">
        <v>183</v>
      </c>
      <c r="D2859" s="5" t="s">
        <v>21</v>
      </c>
      <c r="E2859" s="5" t="s">
        <v>544</v>
      </c>
      <c r="F2859" s="5" t="s">
        <v>184</v>
      </c>
      <c r="H2859" s="9">
        <v>6390</v>
      </c>
      <c r="I2859" s="10"/>
      <c r="J2859" s="10">
        <v>44874</v>
      </c>
      <c r="K2859" s="5" t="s">
        <v>124</v>
      </c>
      <c r="L2859" s="5" t="s">
        <v>82</v>
      </c>
      <c r="M2859" s="11">
        <v>0.079000000000000001</v>
      </c>
      <c r="N2859" s="5" t="e">
        <f>IF(AND(M2859&gt;#REF!,Cartera!O2859="Guaraníes"),"Rendimiento significativo",IF(AND(M2859&gt;#REF!,Cartera!O2859="Dólares americanos"),"Rendimiento significativo","Rendimiento no significativo"))</f>
        <v>#REF!</v>
      </c>
      <c r="O2859" s="5" t="s">
        <v>41</v>
      </c>
      <c r="P2859" s="12">
        <v>9956240</v>
      </c>
      <c r="Q2859" s="12">
        <f>IF(O2859="Guaraníes",P2859,P2859*#REF!)</f>
        <v>9956240</v>
      </c>
      <c r="R2859" s="12" t="e">
        <f>IF(O2859="Guaraníes",P2859/#REF!,P2859)</f>
        <v>#REF!</v>
      </c>
      <c r="S2859" s="5" t="s">
        <v>52</v>
      </c>
      <c r="V2859" s="5">
        <v>9956240</v>
      </c>
      <c r="W2859" s="5" t="s">
        <v>195</v>
      </c>
      <c r="AC2859" s="5" t="str">
        <f t="shared" si="136"/>
        <v>CDA</v>
      </c>
      <c r="AD2859" s="5" t="s">
        <v>43</v>
      </c>
      <c r="AE2859" s="5">
        <f t="shared" si="137"/>
        <v>11</v>
      </c>
      <c r="AF2859" s="5">
        <f t="shared" si="138"/>
        <v>2022</v>
      </c>
    </row>
    <row r="2860" s="5" customFormat="1" ht="13">
      <c r="A2860" s="5" t="s">
        <v>544</v>
      </c>
      <c r="B2860" s="5" t="s">
        <v>544</v>
      </c>
      <c r="C2860" s="5" t="s">
        <v>183</v>
      </c>
      <c r="D2860" s="5" t="s">
        <v>21</v>
      </c>
      <c r="E2860" s="5" t="s">
        <v>544</v>
      </c>
      <c r="F2860" s="5" t="s">
        <v>184</v>
      </c>
      <c r="H2860" s="9">
        <v>6391</v>
      </c>
      <c r="I2860" s="10"/>
      <c r="J2860" s="10">
        <v>44874</v>
      </c>
      <c r="K2860" s="5" t="s">
        <v>124</v>
      </c>
      <c r="L2860" s="5" t="s">
        <v>82</v>
      </c>
      <c r="M2860" s="11">
        <v>0.079000000000000001</v>
      </c>
      <c r="N2860" s="5" t="e">
        <f>IF(AND(M2860&gt;#REF!,Cartera!O2860="Guaraníes"),"Rendimiento significativo",IF(AND(M2860&gt;#REF!,Cartera!O2860="Dólares americanos"),"Rendimiento significativo","Rendimiento no significativo"))</f>
        <v>#REF!</v>
      </c>
      <c r="O2860" s="5" t="s">
        <v>41</v>
      </c>
      <c r="P2860" s="12">
        <v>9956240</v>
      </c>
      <c r="Q2860" s="12">
        <f>IF(O2860="Guaraníes",P2860,P2860*#REF!)</f>
        <v>9956240</v>
      </c>
      <c r="R2860" s="12" t="e">
        <f>IF(O2860="Guaraníes",P2860/#REF!,P2860)</f>
        <v>#REF!</v>
      </c>
      <c r="S2860" s="5" t="s">
        <v>52</v>
      </c>
      <c r="V2860" s="5">
        <v>9956240</v>
      </c>
      <c r="W2860" s="5" t="s">
        <v>195</v>
      </c>
      <c r="AC2860" s="5" t="str">
        <f t="shared" si="136"/>
        <v>CDA</v>
      </c>
      <c r="AD2860" s="5" t="s">
        <v>43</v>
      </c>
      <c r="AE2860" s="5">
        <f t="shared" si="137"/>
        <v>11</v>
      </c>
      <c r="AF2860" s="5">
        <f t="shared" si="138"/>
        <v>2022</v>
      </c>
    </row>
    <row r="2861" s="5" customFormat="1" ht="13">
      <c r="A2861" s="5" t="s">
        <v>544</v>
      </c>
      <c r="B2861" s="5" t="s">
        <v>544</v>
      </c>
      <c r="C2861" s="5" t="s">
        <v>116</v>
      </c>
      <c r="D2861" s="5" t="s">
        <v>21</v>
      </c>
      <c r="E2861" s="5" t="s">
        <v>544</v>
      </c>
      <c r="F2861" s="5" t="s">
        <v>68</v>
      </c>
      <c r="H2861" s="9">
        <v>6208</v>
      </c>
      <c r="I2861" s="10"/>
      <c r="J2861" s="10">
        <v>44886</v>
      </c>
      <c r="K2861" s="5" t="s">
        <v>118</v>
      </c>
      <c r="L2861" s="5" t="s">
        <v>82</v>
      </c>
      <c r="M2861" s="11">
        <v>0.080000000000000002</v>
      </c>
      <c r="N2861" s="5" t="e">
        <f>IF(AND(M2861&gt;#REF!,Cartera!O2861="Guaraníes"),"Rendimiento significativo",IF(AND(M2861&gt;#REF!,Cartera!O2861="Dólares americanos"),"Rendimiento significativo","Rendimiento no significativo"))</f>
        <v>#REF!</v>
      </c>
      <c r="O2861" s="5" t="s">
        <v>41</v>
      </c>
      <c r="P2861" s="12">
        <v>2014466</v>
      </c>
      <c r="Q2861" s="12">
        <f>IF(O2861="Guaraníes",P2861,P2861*#REF!)</f>
        <v>2014466</v>
      </c>
      <c r="R2861" s="12" t="e">
        <f>IF(O2861="Guaraníes",P2861/#REF!,P2861)</f>
        <v>#REF!</v>
      </c>
      <c r="S2861" s="5" t="s">
        <v>52</v>
      </c>
      <c r="V2861" s="5">
        <v>2014466</v>
      </c>
      <c r="W2861" s="5" t="s">
        <v>260</v>
      </c>
      <c r="AC2861" s="5" t="str">
        <f t="shared" si="136"/>
        <v>CDA</v>
      </c>
      <c r="AD2861" s="5" t="s">
        <v>43</v>
      </c>
      <c r="AE2861" s="5">
        <f t="shared" si="137"/>
        <v>11</v>
      </c>
      <c r="AF2861" s="5">
        <f t="shared" si="138"/>
        <v>2022</v>
      </c>
    </row>
    <row r="2862" s="5" customFormat="1" ht="13">
      <c r="A2862" s="5" t="s">
        <v>544</v>
      </c>
      <c r="B2862" s="5" t="s">
        <v>544</v>
      </c>
      <c r="C2862" s="5" t="s">
        <v>116</v>
      </c>
      <c r="D2862" s="5" t="s">
        <v>21</v>
      </c>
      <c r="E2862" s="5" t="s">
        <v>544</v>
      </c>
      <c r="F2862" s="5" t="s">
        <v>68</v>
      </c>
      <c r="H2862" s="9">
        <v>1519</v>
      </c>
      <c r="I2862" s="10"/>
      <c r="J2862" s="10">
        <v>44889</v>
      </c>
      <c r="K2862" s="5" t="s">
        <v>118</v>
      </c>
      <c r="L2862" s="5" t="s">
        <v>82</v>
      </c>
      <c r="M2862" s="11">
        <v>0.105</v>
      </c>
      <c r="N2862" s="5" t="e">
        <f>IF(AND(M2862&gt;#REF!,Cartera!O2862="Guaraníes"),"Rendimiento significativo",IF(AND(M2862&gt;#REF!,Cartera!O2862="Dólares americanos"),"Rendimiento significativo","Rendimiento no significativo"))</f>
        <v>#REF!</v>
      </c>
      <c r="O2862" s="5" t="s">
        <v>51</v>
      </c>
      <c r="P2862" s="13">
        <v>882.19000000000005</v>
      </c>
      <c r="Q2862" s="12" t="e">
        <f>IF(O2862="Guaraníes",P2862,P2862*#REF!)</f>
        <v>#REF!</v>
      </c>
      <c r="R2862" s="12">
        <f>IF(O2862="Guaraníes",P2862/#REF!,P2862)</f>
        <v>882.19000000000005</v>
      </c>
      <c r="S2862" s="5" t="s">
        <v>52</v>
      </c>
      <c r="V2862" s="5">
        <v>882.19000000000005</v>
      </c>
      <c r="W2862" s="5" t="s">
        <v>669</v>
      </c>
      <c r="AC2862" s="5" t="str">
        <f t="shared" si="136"/>
        <v>CDA</v>
      </c>
      <c r="AD2862" s="5" t="s">
        <v>43</v>
      </c>
      <c r="AE2862" s="5">
        <f t="shared" si="137"/>
        <v>11</v>
      </c>
      <c r="AF2862" s="5">
        <f t="shared" si="138"/>
        <v>2022</v>
      </c>
    </row>
    <row r="2863" s="5" customFormat="1" ht="13">
      <c r="A2863" s="5" t="s">
        <v>544</v>
      </c>
      <c r="B2863" s="5" t="s">
        <v>544</v>
      </c>
      <c r="C2863" s="5" t="s">
        <v>227</v>
      </c>
      <c r="D2863" s="5" t="s">
        <v>21</v>
      </c>
      <c r="E2863" s="5" t="s">
        <v>544</v>
      </c>
      <c r="F2863" s="5" t="s">
        <v>68</v>
      </c>
      <c r="H2863" s="9">
        <v>301</v>
      </c>
      <c r="I2863" s="10"/>
      <c r="J2863" s="10">
        <v>44905</v>
      </c>
      <c r="K2863" s="5" t="s">
        <v>77</v>
      </c>
      <c r="L2863" s="5" t="s">
        <v>82</v>
      </c>
      <c r="M2863" s="11">
        <v>0.059999999999999998</v>
      </c>
      <c r="N2863" s="5" t="e">
        <f>IF(AND(M2863&gt;#REF!,Cartera!O2863="Guaraníes"),"Rendimiento significativo",IF(AND(M2863&gt;#REF!,Cartera!O2863="Dólares americanos"),"Rendimiento significativo","Rendimiento no significativo"))</f>
        <v>#REF!</v>
      </c>
      <c r="O2863" s="5" t="s">
        <v>41</v>
      </c>
      <c r="P2863" s="12">
        <v>3002740</v>
      </c>
      <c r="Q2863" s="12">
        <f>IF(O2863="Guaraníes",P2863,P2863*#REF!)</f>
        <v>3002740</v>
      </c>
      <c r="R2863" s="12" t="e">
        <f>IF(O2863="Guaraníes",P2863/#REF!,P2863)</f>
        <v>#REF!</v>
      </c>
      <c r="S2863" s="5" t="s">
        <v>52</v>
      </c>
      <c r="V2863" s="5">
        <v>3002740</v>
      </c>
      <c r="W2863" s="5" t="s">
        <v>670</v>
      </c>
      <c r="AC2863" s="5" t="str">
        <f t="shared" si="136"/>
        <v>CDA</v>
      </c>
      <c r="AD2863" s="5" t="s">
        <v>43</v>
      </c>
      <c r="AE2863" s="5">
        <f t="shared" si="137"/>
        <v>12</v>
      </c>
      <c r="AF2863" s="5">
        <f t="shared" si="138"/>
        <v>2022</v>
      </c>
    </row>
    <row r="2864" s="5" customFormat="1" ht="13">
      <c r="A2864" s="5" t="s">
        <v>544</v>
      </c>
      <c r="B2864" s="5" t="s">
        <v>544</v>
      </c>
      <c r="C2864" s="5" t="s">
        <v>94</v>
      </c>
      <c r="D2864" s="5" t="s">
        <v>21</v>
      </c>
      <c r="E2864" s="5" t="s">
        <v>544</v>
      </c>
      <c r="F2864" s="5" t="s">
        <v>68</v>
      </c>
      <c r="H2864" s="9">
        <v>1897</v>
      </c>
      <c r="I2864" s="10"/>
      <c r="J2864" s="10">
        <v>44907</v>
      </c>
      <c r="K2864" s="5" t="s">
        <v>96</v>
      </c>
      <c r="L2864" s="5" t="s">
        <v>82</v>
      </c>
      <c r="M2864" s="11">
        <v>0.080000000000000002</v>
      </c>
      <c r="N2864" s="5" t="e">
        <f>IF(AND(M2864&gt;#REF!,Cartera!O2864="Guaraníes"),"Rendimiento significativo",IF(AND(M2864&gt;#REF!,Cartera!O2864="Dólares americanos"),"Rendimiento significativo","Rendimiento no significativo"))</f>
        <v>#REF!</v>
      </c>
      <c r="O2864" s="5" t="s">
        <v>41</v>
      </c>
      <c r="P2864" s="12">
        <v>2669635</v>
      </c>
      <c r="Q2864" s="12">
        <f>IF(O2864="Guaraníes",P2864,P2864*#REF!)</f>
        <v>2669635</v>
      </c>
      <c r="R2864" s="12" t="e">
        <f>IF(O2864="Guaraníes",P2864/#REF!,P2864)</f>
        <v>#REF!</v>
      </c>
      <c r="S2864" s="5" t="s">
        <v>52</v>
      </c>
      <c r="V2864" s="5">
        <v>2669635</v>
      </c>
      <c r="W2864" s="5" t="s">
        <v>671</v>
      </c>
      <c r="AC2864" s="5" t="str">
        <f t="shared" si="136"/>
        <v>CDA</v>
      </c>
      <c r="AD2864" s="5" t="s">
        <v>43</v>
      </c>
      <c r="AE2864" s="5">
        <f t="shared" si="137"/>
        <v>12</v>
      </c>
      <c r="AF2864" s="5">
        <f t="shared" si="138"/>
        <v>2022</v>
      </c>
    </row>
    <row r="2865" s="5" customFormat="1" ht="13">
      <c r="A2865" s="5" t="s">
        <v>544</v>
      </c>
      <c r="B2865" s="5" t="s">
        <v>544</v>
      </c>
      <c r="C2865" s="5" t="s">
        <v>116</v>
      </c>
      <c r="D2865" s="5" t="s">
        <v>21</v>
      </c>
      <c r="E2865" s="5" t="s">
        <v>544</v>
      </c>
      <c r="F2865" s="5" t="s">
        <v>68</v>
      </c>
      <c r="H2865" s="9">
        <v>4643</v>
      </c>
      <c r="I2865" s="10"/>
      <c r="J2865" s="10">
        <v>44916</v>
      </c>
      <c r="K2865" s="5" t="s">
        <v>118</v>
      </c>
      <c r="L2865" s="5" t="s">
        <v>82</v>
      </c>
      <c r="M2865" s="11">
        <v>0.10000000000000001</v>
      </c>
      <c r="N2865" s="5" t="e">
        <f>IF(AND(M2865&gt;#REF!,Cartera!O2865="Guaraníes"),"Rendimiento significativo",IF(AND(M2865&gt;#REF!,Cartera!O2865="Dólares americanos"),"Rendimiento significativo","Rendimiento no significativo"))</f>
        <v>#REF!</v>
      </c>
      <c r="O2865" s="5" t="s">
        <v>41</v>
      </c>
      <c r="P2865" s="12">
        <v>2493151</v>
      </c>
      <c r="Q2865" s="12">
        <f>IF(O2865="Guaraníes",P2865,P2865*#REF!)</f>
        <v>2493151</v>
      </c>
      <c r="R2865" s="12" t="e">
        <f>IF(O2865="Guaraníes",P2865/#REF!,P2865)</f>
        <v>#REF!</v>
      </c>
      <c r="S2865" s="5" t="s">
        <v>52</v>
      </c>
      <c r="V2865" s="5">
        <v>2493151</v>
      </c>
      <c r="W2865" s="5" t="s">
        <v>672</v>
      </c>
      <c r="AC2865" s="5" t="str">
        <f t="shared" si="136"/>
        <v>CDA</v>
      </c>
      <c r="AD2865" s="5" t="s">
        <v>43</v>
      </c>
      <c r="AE2865" s="5">
        <f t="shared" si="137"/>
        <v>12</v>
      </c>
      <c r="AF2865" s="5">
        <f t="shared" si="138"/>
        <v>2022</v>
      </c>
    </row>
    <row r="2866" s="5" customFormat="1" ht="13">
      <c r="A2866" s="5" t="s">
        <v>544</v>
      </c>
      <c r="B2866" s="5" t="s">
        <v>544</v>
      </c>
      <c r="C2866" s="5" t="s">
        <v>111</v>
      </c>
      <c r="D2866" s="5" t="s">
        <v>21</v>
      </c>
      <c r="E2866" s="5" t="s">
        <v>544</v>
      </c>
      <c r="F2866" s="5" t="s">
        <v>68</v>
      </c>
      <c r="H2866" s="9">
        <v>364</v>
      </c>
      <c r="I2866" s="10"/>
      <c r="J2866" s="10">
        <v>44921</v>
      </c>
      <c r="K2866" s="5" t="s">
        <v>140</v>
      </c>
      <c r="L2866" s="5" t="s">
        <v>82</v>
      </c>
      <c r="M2866" s="11">
        <v>0.0625</v>
      </c>
      <c r="N2866" s="5" t="e">
        <f>IF(AND(M2866&gt;#REF!,Cartera!O2866="Guaraníes"),"Rendimiento significativo",IF(AND(M2866&gt;#REF!,Cartera!O2866="Dólares americanos"),"Rendimiento significativo","Rendimiento no significativo"))</f>
        <v>#REF!</v>
      </c>
      <c r="O2866" s="5" t="s">
        <v>51</v>
      </c>
      <c r="P2866" s="13">
        <v>389.55000000000001</v>
      </c>
      <c r="Q2866" s="12" t="e">
        <f>IF(O2866="Guaraníes",P2866,P2866*#REF!)</f>
        <v>#REF!</v>
      </c>
      <c r="R2866" s="12">
        <f>IF(O2866="Guaraníes",P2866/#REF!,P2866)</f>
        <v>389.55000000000001</v>
      </c>
      <c r="S2866" s="5" t="s">
        <v>52</v>
      </c>
      <c r="V2866" s="5">
        <v>389.55000000000001</v>
      </c>
      <c r="W2866" s="5" t="s">
        <v>530</v>
      </c>
      <c r="AC2866" s="5" t="str">
        <f t="shared" si="136"/>
        <v>CDA</v>
      </c>
      <c r="AD2866" s="5" t="s">
        <v>43</v>
      </c>
      <c r="AE2866" s="5">
        <f t="shared" si="137"/>
        <v>12</v>
      </c>
      <c r="AF2866" s="5">
        <f t="shared" si="138"/>
        <v>2022</v>
      </c>
    </row>
    <row r="2867" s="5" customFormat="1" ht="13">
      <c r="A2867" s="5" t="s">
        <v>544</v>
      </c>
      <c r="B2867" s="5" t="s">
        <v>544</v>
      </c>
      <c r="C2867" s="5" t="s">
        <v>60</v>
      </c>
      <c r="D2867" s="5" t="s">
        <v>21</v>
      </c>
      <c r="E2867" s="5" t="s">
        <v>544</v>
      </c>
      <c r="F2867" s="5" t="s">
        <v>61</v>
      </c>
      <c r="H2867" s="9">
        <v>1044</v>
      </c>
      <c r="I2867" s="10"/>
      <c r="J2867" s="10">
        <v>44946</v>
      </c>
      <c r="K2867" s="5" t="s">
        <v>64</v>
      </c>
      <c r="L2867" s="5" t="s">
        <v>82</v>
      </c>
      <c r="M2867" s="11">
        <v>0.065000000000000002</v>
      </c>
      <c r="N2867" s="5" t="e">
        <f>IF(AND(M2867&gt;#REF!,Cartera!O2867="Guaraníes"),"Rendimiento significativo",IF(AND(M2867&gt;#REF!,Cartera!O2867="Dólares americanos"),"Rendimiento significativo","Rendimiento no significativo"))</f>
        <v>#REF!</v>
      </c>
      <c r="O2867" s="5" t="s">
        <v>41</v>
      </c>
      <c r="P2867" s="12">
        <v>3043866</v>
      </c>
      <c r="Q2867" s="12">
        <f>IF(O2867="Guaraníes",P2867,P2867*#REF!)</f>
        <v>3043866</v>
      </c>
      <c r="R2867" s="12" t="e">
        <f>IF(O2867="Guaraníes",P2867/#REF!,P2867)</f>
        <v>#REF!</v>
      </c>
      <c r="S2867" s="5" t="s">
        <v>52</v>
      </c>
      <c r="V2867" s="5">
        <v>3043866</v>
      </c>
      <c r="W2867" s="5" t="s">
        <v>670</v>
      </c>
      <c r="AC2867" s="5" t="str">
        <f t="shared" si="136"/>
        <v>CDA</v>
      </c>
      <c r="AD2867" s="5" t="s">
        <v>43</v>
      </c>
      <c r="AE2867" s="5">
        <f t="shared" si="137"/>
        <v>1</v>
      </c>
      <c r="AF2867" s="5">
        <f t="shared" si="138"/>
        <v>2023</v>
      </c>
    </row>
    <row r="2868" s="5" customFormat="1" ht="13">
      <c r="A2868" s="5" t="s">
        <v>544</v>
      </c>
      <c r="B2868" s="5" t="s">
        <v>544</v>
      </c>
      <c r="C2868" s="5" t="s">
        <v>74</v>
      </c>
      <c r="D2868" s="5" t="s">
        <v>21</v>
      </c>
      <c r="E2868" s="5" t="s">
        <v>544</v>
      </c>
      <c r="F2868" s="5" t="s">
        <v>68</v>
      </c>
      <c r="H2868" s="9">
        <v>1093</v>
      </c>
      <c r="I2868" s="10"/>
      <c r="J2868" s="10">
        <v>44949</v>
      </c>
      <c r="K2868" s="5" t="s">
        <v>77</v>
      </c>
      <c r="L2868" s="5" t="s">
        <v>82</v>
      </c>
      <c r="M2868" s="11">
        <v>0.065000000000000002</v>
      </c>
      <c r="N2868" s="5" t="e">
        <f>IF(AND(M2868&gt;#REF!,Cartera!O2868="Guaraníes"),"Rendimiento significativo",IF(AND(M2868&gt;#REF!,Cartera!O2868="Dólares americanos"),"Rendimiento significativo","Rendimiento no significativo"))</f>
        <v>#REF!</v>
      </c>
      <c r="O2868" s="5" t="s">
        <v>41</v>
      </c>
      <c r="P2868" s="12">
        <v>3241096</v>
      </c>
      <c r="Q2868" s="12">
        <f>IF(O2868="Guaraníes",P2868,P2868*#REF!)</f>
        <v>3241096</v>
      </c>
      <c r="R2868" s="12" t="e">
        <f>IF(O2868="Guaraníes",P2868/#REF!,P2868)</f>
        <v>#REF!</v>
      </c>
      <c r="S2868" s="5" t="s">
        <v>52</v>
      </c>
      <c r="V2868" s="5">
        <v>3241096</v>
      </c>
      <c r="W2868" s="5" t="s">
        <v>673</v>
      </c>
      <c r="AC2868" s="5" t="str">
        <f t="shared" si="136"/>
        <v>CDA</v>
      </c>
      <c r="AD2868" s="5" t="s">
        <v>43</v>
      </c>
      <c r="AE2868" s="5">
        <f t="shared" si="137"/>
        <v>1</v>
      </c>
      <c r="AF2868" s="5">
        <f t="shared" si="138"/>
        <v>2023</v>
      </c>
    </row>
    <row r="2869" s="5" customFormat="1" ht="13">
      <c r="A2869" s="5" t="s">
        <v>544</v>
      </c>
      <c r="B2869" s="5" t="s">
        <v>544</v>
      </c>
      <c r="C2869" s="5" t="s">
        <v>33</v>
      </c>
      <c r="D2869" s="5" t="s">
        <v>21</v>
      </c>
      <c r="E2869" s="5" t="s">
        <v>544</v>
      </c>
      <c r="F2869" s="5" t="s">
        <v>35</v>
      </c>
      <c r="H2869" s="9">
        <v>4441</v>
      </c>
      <c r="I2869" s="10"/>
      <c r="J2869" s="10">
        <v>44958</v>
      </c>
      <c r="K2869" s="5" t="s">
        <v>39</v>
      </c>
      <c r="L2869" s="5" t="s">
        <v>82</v>
      </c>
      <c r="M2869" s="11">
        <v>0.065000000000000002</v>
      </c>
      <c r="N2869" s="5" t="e">
        <f>IF(AND(M2869&gt;#REF!,Cartera!O2869="Guaraníes"),"Rendimiento significativo",IF(AND(M2869&gt;#REF!,Cartera!O2869="Dólares americanos"),"Rendimiento significativo","Rendimiento no significativo"))</f>
        <v>#REF!</v>
      </c>
      <c r="O2869" s="5" t="s">
        <v>41</v>
      </c>
      <c r="P2869" s="12">
        <v>4808219</v>
      </c>
      <c r="Q2869" s="12">
        <f>IF(O2869="Guaraníes",P2869,P2869*#REF!)</f>
        <v>4808219</v>
      </c>
      <c r="R2869" s="12" t="e">
        <f>IF(O2869="Guaraníes",P2869/#REF!,P2869)</f>
        <v>#REF!</v>
      </c>
      <c r="S2869" s="5" t="s">
        <v>52</v>
      </c>
      <c r="V2869" s="5">
        <v>4808219</v>
      </c>
      <c r="W2869" s="5" t="s">
        <v>588</v>
      </c>
      <c r="AC2869" s="5" t="str">
        <f t="shared" si="136"/>
        <v>CDA</v>
      </c>
      <c r="AD2869" s="5" t="s">
        <v>43</v>
      </c>
      <c r="AE2869" s="5">
        <f t="shared" si="137"/>
        <v>2</v>
      </c>
      <c r="AF2869" s="5">
        <f t="shared" si="138"/>
        <v>2023</v>
      </c>
    </row>
    <row r="2870" s="5" customFormat="1" ht="13">
      <c r="A2870" s="5" t="s">
        <v>544</v>
      </c>
      <c r="B2870" s="5" t="s">
        <v>544</v>
      </c>
      <c r="C2870" s="5" t="s">
        <v>116</v>
      </c>
      <c r="D2870" s="5" t="s">
        <v>21</v>
      </c>
      <c r="E2870" s="5" t="s">
        <v>544</v>
      </c>
      <c r="F2870" s="5" t="s">
        <v>68</v>
      </c>
      <c r="H2870" s="9">
        <v>6208</v>
      </c>
      <c r="I2870" s="10"/>
      <c r="J2870" s="10">
        <v>44977</v>
      </c>
      <c r="K2870" s="5" t="s">
        <v>118</v>
      </c>
      <c r="L2870" s="5" t="s">
        <v>82</v>
      </c>
      <c r="M2870" s="11">
        <v>0.080000000000000002</v>
      </c>
      <c r="N2870" s="5" t="e">
        <f>IF(AND(M2870&gt;#REF!,Cartera!O2870="Guaraníes"),"Rendimiento significativo",IF(AND(M2870&gt;#REF!,Cartera!O2870="Dólares americanos"),"Rendimiento significativo","Rendimiento no significativo"))</f>
        <v>#REF!</v>
      </c>
      <c r="O2870" s="5" t="s">
        <v>41</v>
      </c>
      <c r="P2870" s="12">
        <v>2014466</v>
      </c>
      <c r="Q2870" s="12">
        <f>IF(O2870="Guaraníes",P2870,P2870*#REF!)</f>
        <v>2014466</v>
      </c>
      <c r="R2870" s="12" t="e">
        <f>IF(O2870="Guaraníes",P2870/#REF!,P2870)</f>
        <v>#REF!</v>
      </c>
      <c r="S2870" s="5" t="s">
        <v>52</v>
      </c>
      <c r="V2870" s="5">
        <v>2014466</v>
      </c>
      <c r="W2870" s="5" t="s">
        <v>268</v>
      </c>
      <c r="AC2870" s="5" t="str">
        <f t="shared" si="136"/>
        <v>CDA</v>
      </c>
      <c r="AD2870" s="5" t="s">
        <v>43</v>
      </c>
      <c r="AE2870" s="5">
        <f t="shared" si="137"/>
        <v>2</v>
      </c>
      <c r="AF2870" s="5">
        <f t="shared" si="138"/>
        <v>2023</v>
      </c>
    </row>
    <row r="2871" s="5" customFormat="1" ht="13">
      <c r="A2871" s="5" t="s">
        <v>544</v>
      </c>
      <c r="B2871" s="5" t="s">
        <v>544</v>
      </c>
      <c r="C2871" s="5" t="s">
        <v>183</v>
      </c>
      <c r="D2871" s="5" t="s">
        <v>21</v>
      </c>
      <c r="E2871" s="5" t="s">
        <v>544</v>
      </c>
      <c r="F2871" s="5" t="s">
        <v>184</v>
      </c>
      <c r="H2871" s="9">
        <v>6217</v>
      </c>
      <c r="I2871" s="10"/>
      <c r="J2871" s="10">
        <v>44992</v>
      </c>
      <c r="K2871" s="5" t="s">
        <v>124</v>
      </c>
      <c r="L2871" s="5" t="s">
        <v>82</v>
      </c>
      <c r="M2871" s="11">
        <v>0.072499999999999995</v>
      </c>
      <c r="N2871" s="5" t="e">
        <f>IF(AND(M2871&gt;#REF!,Cartera!O2871="Guaraníes"),"Rendimiento significativo",IF(AND(M2871&gt;#REF!,Cartera!O2871="Dólares americanos"),"Rendimiento significativo","Rendimiento no significativo"))</f>
        <v>#REF!</v>
      </c>
      <c r="O2871" s="5" t="s">
        <v>41</v>
      </c>
      <c r="P2871" s="12">
        <v>17157895</v>
      </c>
      <c r="Q2871" s="12">
        <f>IF(O2871="Guaraníes",P2871,P2871*#REF!)</f>
        <v>17157895</v>
      </c>
      <c r="R2871" s="12" t="e">
        <f>IF(O2871="Guaraníes",P2871/#REF!,P2871)</f>
        <v>#REF!</v>
      </c>
      <c r="S2871" s="5" t="s">
        <v>52</v>
      </c>
      <c r="V2871" s="5">
        <v>17157895</v>
      </c>
      <c r="W2871" s="5" t="s">
        <v>674</v>
      </c>
      <c r="AC2871" s="5" t="str">
        <f t="shared" ref="AC2871:AC2934" si="139">IF(ISNUMBER(SEARCH("Acciones",L2871)),"Acciones",IF(ISNUMBER(SEARCH("Bono",L2871)),"Bonos",IF(ISNUMBER(SEARCH("CDA",L2871)),"CDA",IF(ISNUMBER(SEARCH("Fondo",L2871)),"Fondo",0))))</f>
        <v>CDA</v>
      </c>
      <c r="AD2871" s="5" t="s">
        <v>43</v>
      </c>
      <c r="AE2871" s="5">
        <f t="shared" si="137"/>
        <v>3</v>
      </c>
      <c r="AF2871" s="5">
        <f t="shared" si="138"/>
        <v>2023</v>
      </c>
    </row>
    <row r="2872" s="5" customFormat="1" ht="13">
      <c r="A2872" s="5" t="s">
        <v>544</v>
      </c>
      <c r="B2872" s="5" t="s">
        <v>544</v>
      </c>
      <c r="C2872" s="5" t="s">
        <v>227</v>
      </c>
      <c r="D2872" s="5" t="s">
        <v>21</v>
      </c>
      <c r="E2872" s="5" t="s">
        <v>544</v>
      </c>
      <c r="F2872" s="5" t="s">
        <v>68</v>
      </c>
      <c r="H2872" s="9">
        <v>301</v>
      </c>
      <c r="I2872" s="10"/>
      <c r="J2872" s="10">
        <v>44995</v>
      </c>
      <c r="K2872" s="5" t="s">
        <v>77</v>
      </c>
      <c r="L2872" s="5" t="s">
        <v>82</v>
      </c>
      <c r="M2872" s="11">
        <v>0.059999999999999998</v>
      </c>
      <c r="N2872" s="5" t="e">
        <f>IF(AND(M2872&gt;#REF!,Cartera!O2872="Guaraníes"),"Rendimiento significativo",IF(AND(M2872&gt;#REF!,Cartera!O2872="Dólares americanos"),"Rendimiento significativo","Rendimiento no significativo"))</f>
        <v>#REF!</v>
      </c>
      <c r="O2872" s="5" t="s">
        <v>41</v>
      </c>
      <c r="P2872" s="12">
        <v>3002740</v>
      </c>
      <c r="Q2872" s="12">
        <f>IF(O2872="Guaraníes",P2872,P2872*#REF!)</f>
        <v>3002740</v>
      </c>
      <c r="R2872" s="12" t="e">
        <f>IF(O2872="Guaraníes",P2872/#REF!,P2872)</f>
        <v>#REF!</v>
      </c>
      <c r="S2872" s="5" t="s">
        <v>52</v>
      </c>
      <c r="V2872" s="5">
        <v>3002740</v>
      </c>
      <c r="W2872" s="5" t="s">
        <v>349</v>
      </c>
      <c r="AC2872" s="5" t="str">
        <f t="shared" si="139"/>
        <v>CDA</v>
      </c>
      <c r="AD2872" s="5" t="s">
        <v>43</v>
      </c>
      <c r="AE2872" s="5">
        <f t="shared" si="137"/>
        <v>3</v>
      </c>
      <c r="AF2872" s="5">
        <f t="shared" si="138"/>
        <v>2023</v>
      </c>
    </row>
    <row r="2873" s="5" customFormat="1" ht="13">
      <c r="A2873" s="5" t="s">
        <v>544</v>
      </c>
      <c r="B2873" s="5" t="s">
        <v>544</v>
      </c>
      <c r="C2873" s="5" t="s">
        <v>94</v>
      </c>
      <c r="D2873" s="5" t="s">
        <v>21</v>
      </c>
      <c r="E2873" s="5" t="s">
        <v>544</v>
      </c>
      <c r="F2873" s="5" t="s">
        <v>68</v>
      </c>
      <c r="H2873" s="9">
        <v>1897</v>
      </c>
      <c r="I2873" s="10"/>
      <c r="J2873" s="10">
        <v>44997</v>
      </c>
      <c r="K2873" s="5" t="s">
        <v>96</v>
      </c>
      <c r="L2873" s="5" t="s">
        <v>82</v>
      </c>
      <c r="M2873" s="11">
        <v>0.080000000000000002</v>
      </c>
      <c r="N2873" s="5" t="e">
        <f>IF(AND(M2873&gt;#REF!,Cartera!O2873="Guaraníes"),"Rendimiento significativo",IF(AND(M2873&gt;#REF!,Cartera!O2873="Dólares americanos"),"Rendimiento significativo","Rendimiento no significativo"))</f>
        <v>#REF!</v>
      </c>
      <c r="O2873" s="5" t="s">
        <v>41</v>
      </c>
      <c r="P2873" s="12">
        <v>2669635</v>
      </c>
      <c r="Q2873" s="12">
        <f>IF(O2873="Guaraníes",P2873,P2873*#REF!)</f>
        <v>2669635</v>
      </c>
      <c r="R2873" s="12" t="e">
        <f>IF(O2873="Guaraníes",P2873/#REF!,P2873)</f>
        <v>#REF!</v>
      </c>
      <c r="S2873" s="5" t="s">
        <v>52</v>
      </c>
      <c r="V2873" s="5">
        <v>2669635</v>
      </c>
      <c r="W2873" s="5" t="s">
        <v>675</v>
      </c>
      <c r="AC2873" s="5" t="str">
        <f t="shared" si="139"/>
        <v>CDA</v>
      </c>
      <c r="AD2873" s="5" t="s">
        <v>43</v>
      </c>
      <c r="AE2873" s="5">
        <f t="shared" si="137"/>
        <v>3</v>
      </c>
      <c r="AF2873" s="5">
        <f t="shared" si="138"/>
        <v>2023</v>
      </c>
    </row>
    <row r="2874" s="5" customFormat="1" ht="13">
      <c r="A2874" s="5" t="s">
        <v>544</v>
      </c>
      <c r="B2874" s="5" t="s">
        <v>544</v>
      </c>
      <c r="C2874" s="5" t="s">
        <v>116</v>
      </c>
      <c r="D2874" s="5" t="s">
        <v>21</v>
      </c>
      <c r="E2874" s="5" t="s">
        <v>544</v>
      </c>
      <c r="F2874" s="5" t="s">
        <v>68</v>
      </c>
      <c r="H2874" s="9">
        <v>4643</v>
      </c>
      <c r="I2874" s="10"/>
      <c r="J2874" s="10">
        <v>45006</v>
      </c>
      <c r="K2874" s="5" t="s">
        <v>118</v>
      </c>
      <c r="L2874" s="5" t="s">
        <v>82</v>
      </c>
      <c r="M2874" s="11">
        <v>0.10000000000000001</v>
      </c>
      <c r="N2874" s="5" t="e">
        <f>IF(AND(M2874&gt;#REF!,Cartera!O2874="Guaraníes"),"Rendimiento significativo",IF(AND(M2874&gt;#REF!,Cartera!O2874="Dólares americanos"),"Rendimiento significativo","Rendimiento no significativo"))</f>
        <v>#REF!</v>
      </c>
      <c r="O2874" s="5" t="s">
        <v>41</v>
      </c>
      <c r="P2874" s="12">
        <v>2465753</v>
      </c>
      <c r="Q2874" s="12">
        <f>IF(O2874="Guaraníes",P2874,P2874*#REF!)</f>
        <v>2465753</v>
      </c>
      <c r="R2874" s="12" t="e">
        <f>IF(O2874="Guaraníes",P2874/#REF!,P2874)</f>
        <v>#REF!</v>
      </c>
      <c r="S2874" s="5" t="s">
        <v>52</v>
      </c>
      <c r="V2874" s="5">
        <v>2465753</v>
      </c>
      <c r="W2874" s="5" t="s">
        <v>676</v>
      </c>
      <c r="AC2874" s="5" t="str">
        <f t="shared" si="139"/>
        <v>CDA</v>
      </c>
      <c r="AD2874" s="5" t="s">
        <v>43</v>
      </c>
      <c r="AE2874" s="5">
        <f t="shared" si="137"/>
        <v>3</v>
      </c>
      <c r="AF2874" s="5">
        <f t="shared" si="138"/>
        <v>2023</v>
      </c>
    </row>
    <row r="2875" s="5" customFormat="1" ht="13">
      <c r="A2875" s="5" t="s">
        <v>544</v>
      </c>
      <c r="B2875" s="5" t="s">
        <v>544</v>
      </c>
      <c r="C2875" s="5" t="s">
        <v>94</v>
      </c>
      <c r="D2875" s="5" t="s">
        <v>20</v>
      </c>
      <c r="E2875" s="5" t="s">
        <v>544</v>
      </c>
      <c r="F2875" s="5" t="s">
        <v>68</v>
      </c>
      <c r="H2875" s="9">
        <v>1897</v>
      </c>
      <c r="I2875" s="10">
        <v>43917</v>
      </c>
      <c r="J2875" s="10">
        <v>45012</v>
      </c>
      <c r="K2875" s="5" t="s">
        <v>96</v>
      </c>
      <c r="L2875" s="5" t="s">
        <v>82</v>
      </c>
      <c r="M2875" s="11">
        <v>0.080000000000000002</v>
      </c>
      <c r="N2875" s="5" t="e">
        <f>IF(AND(M2875&gt;#REF!,Cartera!O2875="Guaraníes"),"Rendimiento significativo",IF(AND(M2875&gt;#REF!,Cartera!O2875="Dólares americanos"),"Rendimiento significativo","Rendimiento no significativo"))</f>
        <v>#REF!</v>
      </c>
      <c r="O2875" s="5" t="s">
        <v>41</v>
      </c>
      <c r="P2875" s="12">
        <v>135335658</v>
      </c>
      <c r="Q2875" s="12">
        <f>IF(O2875="Guaraníes",P2875,P2875*#REF!)</f>
        <v>135335658</v>
      </c>
      <c r="R2875" s="12" t="e">
        <f>IF(O2875="Guaraníes",P2875/#REF!,P2875)</f>
        <v>#REF!</v>
      </c>
      <c r="S2875" s="5" t="s">
        <v>52</v>
      </c>
      <c r="AC2875" s="5" t="str">
        <f t="shared" si="139"/>
        <v>CDA</v>
      </c>
      <c r="AD2875" s="5" t="s">
        <v>43</v>
      </c>
      <c r="AE2875" s="5">
        <f t="shared" si="137"/>
        <v>3</v>
      </c>
      <c r="AF2875" s="5">
        <f t="shared" si="138"/>
        <v>2023</v>
      </c>
    </row>
    <row r="2876" s="5" customFormat="1" ht="13">
      <c r="A2876" s="5" t="s">
        <v>44</v>
      </c>
      <c r="B2876" s="5" t="s">
        <v>44</v>
      </c>
      <c r="C2876" s="5" t="s">
        <v>79</v>
      </c>
      <c r="D2876" s="5" t="s">
        <v>20</v>
      </c>
      <c r="E2876" s="5" t="s">
        <v>44</v>
      </c>
      <c r="F2876" s="5" t="s">
        <v>68</v>
      </c>
      <c r="H2876" s="9">
        <v>6281</v>
      </c>
      <c r="I2876" s="10">
        <v>44460</v>
      </c>
      <c r="J2876" s="10">
        <v>45012</v>
      </c>
      <c r="K2876" s="5" t="s">
        <v>81</v>
      </c>
      <c r="L2876" s="5" t="s">
        <v>82</v>
      </c>
      <c r="M2876" s="11">
        <v>0.0625</v>
      </c>
      <c r="N2876" s="5" t="e">
        <f>IF(AND(M2876&gt;#REF!,Cartera!O2876="Guaraníes"),"Rendimiento significativo",IF(AND(M2876&gt;#REF!,Cartera!O2876="Dólares americanos"),"Rendimiento significativo","Rendimiento no significativo"))</f>
        <v>#REF!</v>
      </c>
      <c r="O2876" s="5" t="s">
        <v>41</v>
      </c>
      <c r="P2876" s="12">
        <v>50000000</v>
      </c>
      <c r="Q2876" s="12">
        <f>IF(O2876="Guaraníes",P2876,P2876*#REF!)</f>
        <v>50000000</v>
      </c>
      <c r="R2876" s="12" t="e">
        <f>IF(O2876="Guaraníes",P2876/#REF!,P2876)</f>
        <v>#REF!</v>
      </c>
      <c r="S2876" s="5" t="s">
        <v>52</v>
      </c>
      <c r="AC2876" s="5" t="str">
        <f t="shared" si="139"/>
        <v>CDA</v>
      </c>
      <c r="AD2876" s="5" t="s">
        <v>43</v>
      </c>
      <c r="AE2876" s="5">
        <f t="shared" si="137"/>
        <v>3</v>
      </c>
      <c r="AF2876" s="5">
        <f t="shared" si="138"/>
        <v>2023</v>
      </c>
    </row>
    <row r="2877" s="5" customFormat="1" ht="13">
      <c r="A2877" s="5" t="s">
        <v>544</v>
      </c>
      <c r="B2877" s="5" t="s">
        <v>544</v>
      </c>
      <c r="C2877" s="5" t="s">
        <v>111</v>
      </c>
      <c r="D2877" s="5" t="s">
        <v>21</v>
      </c>
      <c r="E2877" s="5" t="s">
        <v>544</v>
      </c>
      <c r="F2877" s="5" t="s">
        <v>68</v>
      </c>
      <c r="H2877" s="9">
        <v>364</v>
      </c>
      <c r="I2877" s="10"/>
      <c r="J2877" s="10">
        <v>45012</v>
      </c>
      <c r="K2877" s="5" t="s">
        <v>140</v>
      </c>
      <c r="L2877" s="5" t="s">
        <v>82</v>
      </c>
      <c r="M2877" s="11">
        <v>0.0625</v>
      </c>
      <c r="N2877" s="5" t="e">
        <f>IF(AND(M2877&gt;#REF!,Cartera!O2877="Guaraníes"),"Rendimiento significativo",IF(AND(M2877&gt;#REF!,Cartera!O2877="Dólares americanos"),"Rendimiento significativo","Rendimiento no significativo"))</f>
        <v>#REF!</v>
      </c>
      <c r="O2877" s="5" t="s">
        <v>51</v>
      </c>
      <c r="P2877" s="13">
        <v>389.55000000000001</v>
      </c>
      <c r="Q2877" s="12" t="e">
        <f>IF(O2877="Guaraníes",P2877,P2877*#REF!)</f>
        <v>#REF!</v>
      </c>
      <c r="R2877" s="12">
        <f>IF(O2877="Guaraníes",P2877/#REF!,P2877)</f>
        <v>389.55000000000001</v>
      </c>
      <c r="S2877" s="5" t="s">
        <v>52</v>
      </c>
      <c r="V2877" s="5">
        <v>389.55000000000001</v>
      </c>
      <c r="W2877" s="5" t="s">
        <v>671</v>
      </c>
      <c r="AC2877" s="5" t="str">
        <f t="shared" si="139"/>
        <v>CDA</v>
      </c>
      <c r="AD2877" s="5" t="s">
        <v>43</v>
      </c>
      <c r="AE2877" s="5">
        <f t="shared" si="137"/>
        <v>3</v>
      </c>
      <c r="AF2877" s="5">
        <f t="shared" si="138"/>
        <v>2023</v>
      </c>
    </row>
    <row r="2878" s="5" customFormat="1" ht="13">
      <c r="A2878" s="5" t="s">
        <v>544</v>
      </c>
      <c r="B2878" s="5" t="s">
        <v>544</v>
      </c>
      <c r="C2878" s="5" t="s">
        <v>94</v>
      </c>
      <c r="D2878" s="5" t="s">
        <v>21</v>
      </c>
      <c r="E2878" s="5" t="s">
        <v>544</v>
      </c>
      <c r="F2878" s="5" t="s">
        <v>68</v>
      </c>
      <c r="H2878" s="9">
        <v>1897</v>
      </c>
      <c r="I2878" s="10"/>
      <c r="J2878" s="10">
        <v>45012</v>
      </c>
      <c r="K2878" s="5" t="s">
        <v>96</v>
      </c>
      <c r="L2878" s="5" t="s">
        <v>82</v>
      </c>
      <c r="M2878" s="11">
        <v>0.080000000000000002</v>
      </c>
      <c r="N2878" s="5" t="e">
        <f>IF(AND(M2878&gt;#REF!,Cartera!O2878="Guaraníes"),"Rendimiento significativo",IF(AND(M2878&gt;#REF!,Cartera!O2878="Dólares americanos"),"Rendimiento significativo","Rendimiento no significativo"))</f>
        <v>#REF!</v>
      </c>
      <c r="O2878" s="5" t="s">
        <v>41</v>
      </c>
      <c r="P2878" s="12">
        <v>444938</v>
      </c>
      <c r="Q2878" s="12">
        <f>IF(O2878="Guaraníes",P2878,P2878*#REF!)</f>
        <v>444938</v>
      </c>
      <c r="R2878" s="12" t="e">
        <f>IF(O2878="Guaraníes",P2878/#REF!,P2878)</f>
        <v>#REF!</v>
      </c>
      <c r="S2878" s="5" t="s">
        <v>52</v>
      </c>
      <c r="V2878" s="5">
        <v>444938</v>
      </c>
      <c r="W2878" s="5" t="s">
        <v>677</v>
      </c>
      <c r="AC2878" s="5" t="str">
        <f t="shared" si="139"/>
        <v>CDA</v>
      </c>
      <c r="AD2878" s="5" t="s">
        <v>43</v>
      </c>
      <c r="AE2878" s="5">
        <f t="shared" si="137"/>
        <v>3</v>
      </c>
      <c r="AF2878" s="5">
        <f t="shared" si="138"/>
        <v>2023</v>
      </c>
    </row>
    <row r="2879" s="5" customFormat="1" ht="13">
      <c r="A2879" s="5" t="s">
        <v>44</v>
      </c>
      <c r="B2879" s="5" t="s">
        <v>44</v>
      </c>
      <c r="C2879" s="5" t="s">
        <v>79</v>
      </c>
      <c r="D2879" s="5" t="s">
        <v>21</v>
      </c>
      <c r="E2879" s="5" t="s">
        <v>44</v>
      </c>
      <c r="F2879" s="5" t="s">
        <v>68</v>
      </c>
      <c r="H2879" s="9">
        <v>6281</v>
      </c>
      <c r="I2879" s="10"/>
      <c r="J2879" s="10">
        <v>45012</v>
      </c>
      <c r="K2879" s="5" t="s">
        <v>81</v>
      </c>
      <c r="L2879" s="5" t="s">
        <v>82</v>
      </c>
      <c r="M2879" s="11">
        <v>0.0625</v>
      </c>
      <c r="N2879" s="5" t="e">
        <f>IF(AND(M2879&gt;#REF!,Cartera!O2879="Guaraníes"),"Rendimiento significativo",IF(AND(M2879&gt;#REF!,Cartera!O2879="Dólares americanos"),"Rendimiento significativo","Rendimiento no significativo"))</f>
        <v>#REF!</v>
      </c>
      <c r="O2879" s="5" t="s">
        <v>41</v>
      </c>
      <c r="P2879" s="12">
        <v>1575342</v>
      </c>
      <c r="Q2879" s="12">
        <f>IF(O2879="Guaraníes",P2879,P2879*#REF!)</f>
        <v>1575342</v>
      </c>
      <c r="R2879" s="12" t="e">
        <f>IF(O2879="Guaraníes",P2879/#REF!,P2879)</f>
        <v>#REF!</v>
      </c>
      <c r="S2879" s="5" t="s">
        <v>52</v>
      </c>
      <c r="V2879" s="5">
        <v>1575342</v>
      </c>
      <c r="W2879" s="5" t="s">
        <v>641</v>
      </c>
      <c r="AC2879" s="5" t="str">
        <f t="shared" si="139"/>
        <v>CDA</v>
      </c>
      <c r="AD2879" s="5" t="s">
        <v>43</v>
      </c>
      <c r="AE2879" s="5">
        <f t="shared" si="137"/>
        <v>3</v>
      </c>
      <c r="AF2879" s="5">
        <f t="shared" si="138"/>
        <v>2023</v>
      </c>
    </row>
    <row r="2880" s="5" customFormat="1" ht="13">
      <c r="A2880" s="5" t="s">
        <v>544</v>
      </c>
      <c r="B2880" s="5" t="s">
        <v>544</v>
      </c>
      <c r="C2880" s="5" t="s">
        <v>60</v>
      </c>
      <c r="D2880" s="5" t="s">
        <v>21</v>
      </c>
      <c r="E2880" s="5" t="s">
        <v>544</v>
      </c>
      <c r="F2880" s="5" t="s">
        <v>61</v>
      </c>
      <c r="H2880" s="9">
        <v>1044</v>
      </c>
      <c r="I2880" s="10"/>
      <c r="J2880" s="10">
        <v>45037</v>
      </c>
      <c r="K2880" s="5" t="s">
        <v>64</v>
      </c>
      <c r="L2880" s="5" t="s">
        <v>82</v>
      </c>
      <c r="M2880" s="11">
        <v>0.065000000000000002</v>
      </c>
      <c r="N2880" s="5" t="e">
        <f>IF(AND(M2880&gt;#REF!,Cartera!O2880="Guaraníes"),"Rendimiento significativo",IF(AND(M2880&gt;#REF!,Cartera!O2880="Dólares americanos"),"Rendimiento significativo","Rendimiento no significativo"))</f>
        <v>#REF!</v>
      </c>
      <c r="O2880" s="5" t="s">
        <v>41</v>
      </c>
      <c r="P2880" s="12">
        <v>3043866</v>
      </c>
      <c r="Q2880" s="12">
        <f>IF(O2880="Guaraníes",P2880,P2880*#REF!)</f>
        <v>3043866</v>
      </c>
      <c r="R2880" s="12" t="e">
        <f>IF(O2880="Guaraníes",P2880/#REF!,P2880)</f>
        <v>#REF!</v>
      </c>
      <c r="S2880" s="5" t="s">
        <v>52</v>
      </c>
      <c r="V2880" s="5">
        <v>3043866</v>
      </c>
      <c r="W2880" s="5" t="s">
        <v>349</v>
      </c>
      <c r="AC2880" s="5" t="str">
        <f t="shared" si="139"/>
        <v>CDA</v>
      </c>
      <c r="AD2880" s="5" t="s">
        <v>43</v>
      </c>
      <c r="AE2880" s="5">
        <f t="shared" si="137"/>
        <v>4</v>
      </c>
      <c r="AF2880" s="5">
        <f t="shared" si="138"/>
        <v>2023</v>
      </c>
    </row>
    <row r="2881" s="5" customFormat="1" ht="13">
      <c r="A2881" s="5" t="s">
        <v>544</v>
      </c>
      <c r="B2881" s="5" t="s">
        <v>544</v>
      </c>
      <c r="C2881" s="5" t="s">
        <v>74</v>
      </c>
      <c r="D2881" s="5" t="s">
        <v>21</v>
      </c>
      <c r="E2881" s="5" t="s">
        <v>544</v>
      </c>
      <c r="F2881" s="5" t="s">
        <v>68</v>
      </c>
      <c r="H2881" s="9">
        <v>1093</v>
      </c>
      <c r="I2881" s="10"/>
      <c r="J2881" s="10">
        <v>45037</v>
      </c>
      <c r="K2881" s="5" t="s">
        <v>77</v>
      </c>
      <c r="L2881" s="5" t="s">
        <v>82</v>
      </c>
      <c r="M2881" s="11">
        <v>0.065000000000000002</v>
      </c>
      <c r="N2881" s="5" t="e">
        <f>IF(AND(M2881&gt;#REF!,Cartera!O2881="Guaraníes"),"Rendimiento significativo",IF(AND(M2881&gt;#REF!,Cartera!O2881="Dólares americanos"),"Rendimiento significativo","Rendimiento no significativo"))</f>
        <v>#REF!</v>
      </c>
      <c r="O2881" s="5" t="s">
        <v>41</v>
      </c>
      <c r="P2881" s="12">
        <v>3134247</v>
      </c>
      <c r="Q2881" s="12">
        <f>IF(O2881="Guaraníes",P2881,P2881*#REF!)</f>
        <v>3134247</v>
      </c>
      <c r="R2881" s="12" t="e">
        <f>IF(O2881="Guaraníes",P2881/#REF!,P2881)</f>
        <v>#REF!</v>
      </c>
      <c r="S2881" s="5" t="s">
        <v>52</v>
      </c>
      <c r="V2881" s="5">
        <v>3134247</v>
      </c>
      <c r="W2881" s="5" t="s">
        <v>678</v>
      </c>
      <c r="AC2881" s="5" t="str">
        <f t="shared" si="139"/>
        <v>CDA</v>
      </c>
      <c r="AD2881" s="5" t="s">
        <v>43</v>
      </c>
      <c r="AE2881" s="5">
        <f t="shared" si="137"/>
        <v>4</v>
      </c>
      <c r="AF2881" s="5">
        <f t="shared" si="138"/>
        <v>2023</v>
      </c>
    </row>
    <row r="2882" s="5" customFormat="1" ht="13">
      <c r="A2882" s="5" t="s">
        <v>544</v>
      </c>
      <c r="B2882" s="5" t="s">
        <v>544</v>
      </c>
      <c r="C2882" s="5" t="s">
        <v>183</v>
      </c>
      <c r="D2882" s="5" t="s">
        <v>21</v>
      </c>
      <c r="E2882" s="5" t="s">
        <v>544</v>
      </c>
      <c r="F2882" s="5" t="s">
        <v>184</v>
      </c>
      <c r="H2882" s="9">
        <v>6388</v>
      </c>
      <c r="I2882" s="10"/>
      <c r="J2882" s="10">
        <v>45055</v>
      </c>
      <c r="K2882" s="5" t="s">
        <v>124</v>
      </c>
      <c r="L2882" s="5" t="s">
        <v>82</v>
      </c>
      <c r="M2882" s="11">
        <v>0.079000000000000001</v>
      </c>
      <c r="N2882" s="5" t="e">
        <f>IF(AND(M2882&gt;#REF!,Cartera!O2882="Guaraníes"),"Rendimiento significativo",IF(AND(M2882&gt;#REF!,Cartera!O2882="Dólares americanos"),"Rendimiento significativo","Rendimiento no significativo"))</f>
        <v>#REF!</v>
      </c>
      <c r="O2882" s="5" t="s">
        <v>41</v>
      </c>
      <c r="P2882" s="12">
        <v>9793910</v>
      </c>
      <c r="Q2882" s="12">
        <f>IF(O2882="Guaraníes",P2882,P2882*#REF!)</f>
        <v>9793910</v>
      </c>
      <c r="R2882" s="12" t="e">
        <f>IF(O2882="Guaraníes",P2882/#REF!,P2882)</f>
        <v>#REF!</v>
      </c>
      <c r="S2882" s="5" t="s">
        <v>52</v>
      </c>
      <c r="V2882" s="5">
        <v>9793910</v>
      </c>
      <c r="W2882" s="5" t="s">
        <v>346</v>
      </c>
      <c r="AC2882" s="5" t="str">
        <f t="shared" si="139"/>
        <v>CDA</v>
      </c>
      <c r="AD2882" s="5" t="s">
        <v>43</v>
      </c>
      <c r="AE2882" s="5">
        <f t="shared" si="137"/>
        <v>5</v>
      </c>
      <c r="AF2882" s="5">
        <f t="shared" si="138"/>
        <v>2023</v>
      </c>
    </row>
    <row r="2883" s="5" customFormat="1" ht="13">
      <c r="A2883" s="5" t="s">
        <v>544</v>
      </c>
      <c r="B2883" s="5" t="s">
        <v>544</v>
      </c>
      <c r="C2883" s="5" t="s">
        <v>183</v>
      </c>
      <c r="D2883" s="5" t="s">
        <v>21</v>
      </c>
      <c r="E2883" s="5" t="s">
        <v>544</v>
      </c>
      <c r="F2883" s="5" t="s">
        <v>184</v>
      </c>
      <c r="H2883" s="9">
        <v>6389</v>
      </c>
      <c r="I2883" s="10"/>
      <c r="J2883" s="10">
        <v>45055</v>
      </c>
      <c r="K2883" s="5" t="s">
        <v>124</v>
      </c>
      <c r="L2883" s="5" t="s">
        <v>82</v>
      </c>
      <c r="M2883" s="11">
        <v>0.079000000000000001</v>
      </c>
      <c r="N2883" s="5" t="e">
        <f>IF(AND(M2883&gt;#REF!,Cartera!O2883="Guaraníes"),"Rendimiento significativo",IF(AND(M2883&gt;#REF!,Cartera!O2883="Dólares americanos"),"Rendimiento significativo","Rendimiento no significativo"))</f>
        <v>#REF!</v>
      </c>
      <c r="O2883" s="5" t="s">
        <v>41</v>
      </c>
      <c r="P2883" s="12">
        <v>9793910</v>
      </c>
      <c r="Q2883" s="12">
        <f>IF(O2883="Guaraníes",P2883,P2883*#REF!)</f>
        <v>9793910</v>
      </c>
      <c r="R2883" s="12" t="e">
        <f>IF(O2883="Guaraníes",P2883/#REF!,P2883)</f>
        <v>#REF!</v>
      </c>
      <c r="S2883" s="5" t="s">
        <v>52</v>
      </c>
      <c r="V2883" s="5">
        <v>9793910</v>
      </c>
      <c r="W2883" s="5" t="s">
        <v>346</v>
      </c>
      <c r="AC2883" s="5" t="str">
        <f t="shared" si="139"/>
        <v>CDA</v>
      </c>
      <c r="AD2883" s="5" t="s">
        <v>43</v>
      </c>
      <c r="AE2883" s="5">
        <f t="shared" si="137"/>
        <v>5</v>
      </c>
      <c r="AF2883" s="5">
        <f t="shared" si="138"/>
        <v>2023</v>
      </c>
    </row>
    <row r="2884" s="5" customFormat="1" ht="13">
      <c r="A2884" s="5" t="s">
        <v>544</v>
      </c>
      <c r="B2884" s="5" t="s">
        <v>544</v>
      </c>
      <c r="C2884" s="5" t="s">
        <v>183</v>
      </c>
      <c r="D2884" s="5" t="s">
        <v>21</v>
      </c>
      <c r="E2884" s="5" t="s">
        <v>544</v>
      </c>
      <c r="F2884" s="5" t="s">
        <v>184</v>
      </c>
      <c r="H2884" s="9">
        <v>6390</v>
      </c>
      <c r="I2884" s="10"/>
      <c r="J2884" s="10">
        <v>45055</v>
      </c>
      <c r="K2884" s="5" t="s">
        <v>124</v>
      </c>
      <c r="L2884" s="5" t="s">
        <v>82</v>
      </c>
      <c r="M2884" s="11">
        <v>0.079000000000000001</v>
      </c>
      <c r="N2884" s="5" t="e">
        <f>IF(AND(M2884&gt;#REF!,Cartera!O2884="Guaraníes"),"Rendimiento significativo",IF(AND(M2884&gt;#REF!,Cartera!O2884="Dólares americanos"),"Rendimiento significativo","Rendimiento no significativo"))</f>
        <v>#REF!</v>
      </c>
      <c r="O2884" s="5" t="s">
        <v>41</v>
      </c>
      <c r="P2884" s="12">
        <v>9793910</v>
      </c>
      <c r="Q2884" s="12">
        <f>IF(O2884="Guaraníes",P2884,P2884*#REF!)</f>
        <v>9793910</v>
      </c>
      <c r="R2884" s="12" t="e">
        <f>IF(O2884="Guaraníes",P2884/#REF!,P2884)</f>
        <v>#REF!</v>
      </c>
      <c r="S2884" s="5" t="s">
        <v>52</v>
      </c>
      <c r="V2884" s="5">
        <v>9793910</v>
      </c>
      <c r="W2884" s="5" t="s">
        <v>346</v>
      </c>
      <c r="AC2884" s="5" t="str">
        <f t="shared" si="139"/>
        <v>CDA</v>
      </c>
      <c r="AD2884" s="5" t="s">
        <v>43</v>
      </c>
      <c r="AE2884" s="5">
        <f t="shared" si="137"/>
        <v>5</v>
      </c>
      <c r="AF2884" s="5">
        <f t="shared" si="138"/>
        <v>2023</v>
      </c>
    </row>
    <row r="2885" s="5" customFormat="1" ht="13">
      <c r="A2885" s="5" t="s">
        <v>544</v>
      </c>
      <c r="B2885" s="5" t="s">
        <v>544</v>
      </c>
      <c r="C2885" s="5" t="s">
        <v>183</v>
      </c>
      <c r="D2885" s="5" t="s">
        <v>21</v>
      </c>
      <c r="E2885" s="5" t="s">
        <v>544</v>
      </c>
      <c r="F2885" s="5" t="s">
        <v>184</v>
      </c>
      <c r="H2885" s="9">
        <v>6391</v>
      </c>
      <c r="I2885" s="10"/>
      <c r="J2885" s="10">
        <v>45055</v>
      </c>
      <c r="K2885" s="5" t="s">
        <v>124</v>
      </c>
      <c r="L2885" s="5" t="s">
        <v>82</v>
      </c>
      <c r="M2885" s="11">
        <v>0.079000000000000001</v>
      </c>
      <c r="N2885" s="5" t="e">
        <f>IF(AND(M2885&gt;#REF!,Cartera!O2885="Guaraníes"),"Rendimiento significativo",IF(AND(M2885&gt;#REF!,Cartera!O2885="Dólares americanos"),"Rendimiento significativo","Rendimiento no significativo"))</f>
        <v>#REF!</v>
      </c>
      <c r="O2885" s="5" t="s">
        <v>41</v>
      </c>
      <c r="P2885" s="12">
        <v>9793910</v>
      </c>
      <c r="Q2885" s="12">
        <f>IF(O2885="Guaraníes",P2885,P2885*#REF!)</f>
        <v>9793910</v>
      </c>
      <c r="R2885" s="12" t="e">
        <f>IF(O2885="Guaraníes",P2885/#REF!,P2885)</f>
        <v>#REF!</v>
      </c>
      <c r="S2885" s="5" t="s">
        <v>52</v>
      </c>
      <c r="V2885" s="5">
        <v>9793910</v>
      </c>
      <c r="W2885" s="5" t="s">
        <v>346</v>
      </c>
      <c r="AC2885" s="5" t="str">
        <f t="shared" si="139"/>
        <v>CDA</v>
      </c>
      <c r="AD2885" s="5" t="s">
        <v>43</v>
      </c>
      <c r="AE2885" s="5">
        <f t="shared" si="137"/>
        <v>5</v>
      </c>
      <c r="AF2885" s="5">
        <f t="shared" si="138"/>
        <v>2023</v>
      </c>
    </row>
    <row r="2886" s="5" customFormat="1" ht="13">
      <c r="A2886" s="5" t="s">
        <v>544</v>
      </c>
      <c r="B2886" s="5" t="s">
        <v>544</v>
      </c>
      <c r="C2886" s="5" t="s">
        <v>116</v>
      </c>
      <c r="D2886" s="5" t="s">
        <v>21</v>
      </c>
      <c r="E2886" s="5" t="s">
        <v>544</v>
      </c>
      <c r="F2886" s="5" t="s">
        <v>68</v>
      </c>
      <c r="H2886" s="9">
        <v>6208</v>
      </c>
      <c r="I2886" s="10"/>
      <c r="J2886" s="10">
        <v>45065</v>
      </c>
      <c r="K2886" s="5" t="s">
        <v>118</v>
      </c>
      <c r="L2886" s="5" t="s">
        <v>82</v>
      </c>
      <c r="M2886" s="11">
        <v>0.080000000000000002</v>
      </c>
      <c r="N2886" s="5" t="e">
        <f>IF(AND(M2886&gt;#REF!,Cartera!O2886="Guaraníes"),"Rendimiento significativo",IF(AND(M2886&gt;#REF!,Cartera!O2886="Dólares americanos"),"Rendimiento significativo","Rendimiento no significativo"))</f>
        <v>#REF!</v>
      </c>
      <c r="O2886" s="5" t="s">
        <v>41</v>
      </c>
      <c r="P2886" s="12">
        <v>1948055</v>
      </c>
      <c r="Q2886" s="12">
        <f>IF(O2886="Guaraníes",P2886,P2886*#REF!)</f>
        <v>1948055</v>
      </c>
      <c r="R2886" s="12" t="e">
        <f>IF(O2886="Guaraníes",P2886/#REF!,P2886)</f>
        <v>#REF!</v>
      </c>
      <c r="S2886" s="5" t="s">
        <v>52</v>
      </c>
      <c r="V2886" s="5">
        <v>1948055</v>
      </c>
      <c r="W2886" s="5" t="s">
        <v>577</v>
      </c>
      <c r="AC2886" s="5" t="str">
        <f t="shared" si="139"/>
        <v>CDA</v>
      </c>
      <c r="AD2886" s="5" t="s">
        <v>43</v>
      </c>
      <c r="AE2886" s="5">
        <f t="shared" si="137"/>
        <v>5</v>
      </c>
      <c r="AF2886" s="5">
        <f t="shared" si="138"/>
        <v>2023</v>
      </c>
    </row>
    <row r="2887" s="5" customFormat="1" ht="13">
      <c r="A2887" s="5" t="s">
        <v>544</v>
      </c>
      <c r="B2887" s="5" t="s">
        <v>544</v>
      </c>
      <c r="C2887" s="5" t="s">
        <v>116</v>
      </c>
      <c r="D2887" s="5" t="s">
        <v>21</v>
      </c>
      <c r="E2887" s="5" t="s">
        <v>544</v>
      </c>
      <c r="F2887" s="5" t="s">
        <v>68</v>
      </c>
      <c r="H2887" s="9">
        <v>1519</v>
      </c>
      <c r="I2887" s="10"/>
      <c r="J2887" s="10">
        <v>45070</v>
      </c>
      <c r="K2887" s="5" t="s">
        <v>118</v>
      </c>
      <c r="L2887" s="5" t="s">
        <v>82</v>
      </c>
      <c r="M2887" s="11">
        <v>0.105</v>
      </c>
      <c r="N2887" s="5" t="e">
        <f>IF(AND(M2887&gt;#REF!,Cartera!O2887="Guaraníes"),"Rendimiento significativo",IF(AND(M2887&gt;#REF!,Cartera!O2887="Dólares americanos"),"Rendimiento significativo","Rendimiento no significativo"))</f>
        <v>#REF!</v>
      </c>
      <c r="O2887" s="5" t="s">
        <v>51</v>
      </c>
      <c r="P2887" s="13">
        <v>867.79999999999995</v>
      </c>
      <c r="Q2887" s="12" t="e">
        <f>IF(O2887="Guaraníes",P2887,P2887*#REF!)</f>
        <v>#REF!</v>
      </c>
      <c r="R2887" s="12">
        <f>IF(O2887="Guaraníes",P2887/#REF!,P2887)</f>
        <v>867.79999999999995</v>
      </c>
      <c r="S2887" s="5" t="s">
        <v>52</v>
      </c>
      <c r="V2887" s="5">
        <v>867.79999999999995</v>
      </c>
      <c r="W2887" s="5" t="s">
        <v>679</v>
      </c>
      <c r="AC2887" s="5" t="str">
        <f t="shared" si="139"/>
        <v>CDA</v>
      </c>
      <c r="AD2887" s="5" t="s">
        <v>43</v>
      </c>
      <c r="AE2887" s="5">
        <f t="shared" si="137"/>
        <v>5</v>
      </c>
      <c r="AF2887" s="5">
        <f t="shared" si="138"/>
        <v>2023</v>
      </c>
    </row>
    <row r="2888" s="5" customFormat="1" ht="13">
      <c r="A2888" s="5" t="s">
        <v>44</v>
      </c>
      <c r="B2888" s="5" t="s">
        <v>44</v>
      </c>
      <c r="C2888" s="5" t="s">
        <v>356</v>
      </c>
      <c r="D2888" s="5" t="s">
        <v>21</v>
      </c>
      <c r="E2888" s="5" t="s">
        <v>44</v>
      </c>
      <c r="F2888" s="5" t="s">
        <v>90</v>
      </c>
      <c r="H2888" s="9">
        <v>924</v>
      </c>
      <c r="I2888" s="10"/>
      <c r="J2888" s="10">
        <v>45087</v>
      </c>
      <c r="K2888" s="5" t="s">
        <v>77</v>
      </c>
      <c r="L2888" s="5" t="s">
        <v>82</v>
      </c>
      <c r="M2888" s="11">
        <v>0.055</v>
      </c>
      <c r="N2888" s="5" t="e">
        <f>IF(AND(M2888&gt;#REF!,Cartera!O2888="Guaraníes"),"Rendimiento significativo",IF(AND(M2888&gt;#REF!,Cartera!O2888="Dólares americanos"),"Rendimiento significativo","Rendimiento no significativo"))</f>
        <v>#REF!</v>
      </c>
      <c r="O2888" s="5" t="s">
        <v>51</v>
      </c>
      <c r="P2888" s="13">
        <v>3300</v>
      </c>
      <c r="Q2888" s="12" t="e">
        <f>IF(O2888="Guaraníes",P2888,P2888*#REF!)</f>
        <v>#REF!</v>
      </c>
      <c r="R2888" s="12">
        <f>IF(O2888="Guaraníes",P2888/#REF!,P2888)</f>
        <v>3300</v>
      </c>
      <c r="S2888" s="5" t="s">
        <v>52</v>
      </c>
      <c r="V2888" s="5">
        <v>3300</v>
      </c>
      <c r="W2888" s="5" t="s">
        <v>270</v>
      </c>
      <c r="AC2888" s="5" t="str">
        <f t="shared" si="139"/>
        <v>CDA</v>
      </c>
      <c r="AD2888" s="5" t="s">
        <v>43</v>
      </c>
      <c r="AE2888" s="5">
        <f t="shared" si="137"/>
        <v>6</v>
      </c>
      <c r="AF2888" s="5">
        <f t="shared" si="138"/>
        <v>2023</v>
      </c>
    </row>
    <row r="2889" s="5" customFormat="1" ht="13">
      <c r="A2889" s="5" t="s">
        <v>44</v>
      </c>
      <c r="B2889" s="5" t="s">
        <v>44</v>
      </c>
      <c r="C2889" s="5" t="s">
        <v>356</v>
      </c>
      <c r="D2889" s="5" t="s">
        <v>20</v>
      </c>
      <c r="E2889" s="5" t="s">
        <v>44</v>
      </c>
      <c r="F2889" s="5" t="s">
        <v>90</v>
      </c>
      <c r="H2889" s="9">
        <v>924</v>
      </c>
      <c r="I2889" s="10">
        <v>44357</v>
      </c>
      <c r="J2889" s="10">
        <v>45087</v>
      </c>
      <c r="K2889" s="5" t="s">
        <v>77</v>
      </c>
      <c r="L2889" s="5" t="s">
        <v>82</v>
      </c>
      <c r="M2889" s="11">
        <v>0.055</v>
      </c>
      <c r="N2889" s="5" t="e">
        <f>IF(AND(M2889&gt;#REF!,Cartera!O2889="Guaraníes"),"Rendimiento significativo",IF(AND(M2889&gt;#REF!,Cartera!O2889="Dólares americanos"),"Rendimiento significativo","Rendimiento no significativo"))</f>
        <v>#REF!</v>
      </c>
      <c r="O2889" s="5" t="s">
        <v>51</v>
      </c>
      <c r="P2889" s="13">
        <v>30000</v>
      </c>
      <c r="Q2889" s="12" t="e">
        <f>IF(O2889="Guaraníes",P2889,P2889*#REF!)</f>
        <v>#REF!</v>
      </c>
      <c r="R2889" s="12">
        <f>IF(O2889="Guaraníes",P2889/#REF!,P2889)</f>
        <v>30000</v>
      </c>
      <c r="S2889" s="5" t="s">
        <v>52</v>
      </c>
      <c r="AC2889" s="5" t="str">
        <f t="shared" si="139"/>
        <v>CDA</v>
      </c>
      <c r="AD2889" s="5" t="s">
        <v>43</v>
      </c>
      <c r="AE2889" s="5">
        <f t="shared" si="137"/>
        <v>6</v>
      </c>
      <c r="AF2889" s="5">
        <f t="shared" si="138"/>
        <v>2023</v>
      </c>
    </row>
    <row r="2890" s="5" customFormat="1" ht="13">
      <c r="A2890" s="5" t="s">
        <v>544</v>
      </c>
      <c r="B2890" s="5" t="s">
        <v>544</v>
      </c>
      <c r="C2890" s="5" t="s">
        <v>227</v>
      </c>
      <c r="D2890" s="5" t="s">
        <v>21</v>
      </c>
      <c r="E2890" s="5" t="s">
        <v>544</v>
      </c>
      <c r="F2890" s="5" t="s">
        <v>68</v>
      </c>
      <c r="H2890" s="9">
        <v>301</v>
      </c>
      <c r="I2890" s="10"/>
      <c r="J2890" s="10">
        <v>45087</v>
      </c>
      <c r="K2890" s="5" t="s">
        <v>77</v>
      </c>
      <c r="L2890" s="5" t="s">
        <v>82</v>
      </c>
      <c r="M2890" s="11">
        <v>0.059999999999999998</v>
      </c>
      <c r="N2890" s="5" t="e">
        <f>IF(AND(M2890&gt;#REF!,Cartera!O2890="Guaraníes"),"Rendimiento significativo",IF(AND(M2890&gt;#REF!,Cartera!O2890="Dólares americanos"),"Rendimiento significativo","Rendimiento no significativo"))</f>
        <v>#REF!</v>
      </c>
      <c r="O2890" s="5" t="s">
        <v>41</v>
      </c>
      <c r="P2890" s="12">
        <v>3002740</v>
      </c>
      <c r="Q2890" s="12">
        <f>IF(O2890="Guaraníes",P2890,P2890*#REF!)</f>
        <v>3002740</v>
      </c>
      <c r="R2890" s="12" t="e">
        <f>IF(O2890="Guaraníes",P2890/#REF!,P2890)</f>
        <v>#REF!</v>
      </c>
      <c r="S2890" s="5" t="s">
        <v>52</v>
      </c>
      <c r="V2890" s="5">
        <v>3002740</v>
      </c>
      <c r="W2890" s="5" t="s">
        <v>680</v>
      </c>
      <c r="AC2890" s="5" t="str">
        <f t="shared" si="139"/>
        <v>CDA</v>
      </c>
      <c r="AD2890" s="5" t="s">
        <v>43</v>
      </c>
      <c r="AE2890" s="5">
        <f t="shared" si="137"/>
        <v>6</v>
      </c>
      <c r="AF2890" s="5">
        <f t="shared" si="138"/>
        <v>2023</v>
      </c>
    </row>
    <row r="2891" s="5" customFormat="1" ht="13">
      <c r="A2891" s="5" t="s">
        <v>544</v>
      </c>
      <c r="B2891" s="5" t="s">
        <v>544</v>
      </c>
      <c r="C2891" s="5" t="s">
        <v>111</v>
      </c>
      <c r="D2891" s="5" t="s">
        <v>21</v>
      </c>
      <c r="E2891" s="5" t="s">
        <v>544</v>
      </c>
      <c r="F2891" s="5" t="s">
        <v>68</v>
      </c>
      <c r="H2891" s="9">
        <v>364</v>
      </c>
      <c r="I2891" s="10"/>
      <c r="J2891" s="10">
        <v>45100</v>
      </c>
      <c r="K2891" s="5" t="s">
        <v>140</v>
      </c>
      <c r="L2891" s="5" t="s">
        <v>82</v>
      </c>
      <c r="M2891" s="11">
        <v>0.0625</v>
      </c>
      <c r="N2891" s="5" t="e">
        <f>IF(AND(M2891&gt;#REF!,Cartera!O2891="Guaraníes"),"Rendimiento significativo",IF(AND(M2891&gt;#REF!,Cartera!O2891="Dólares americanos"),"Rendimiento significativo","Rendimiento no significativo"))</f>
        <v>#REF!</v>
      </c>
      <c r="O2891" s="5" t="s">
        <v>51</v>
      </c>
      <c r="P2891" s="13">
        <v>376.70999999999998</v>
      </c>
      <c r="Q2891" s="12" t="e">
        <f>IF(O2891="Guaraníes",P2891,P2891*#REF!)</f>
        <v>#REF!</v>
      </c>
      <c r="R2891" s="12">
        <f>IF(O2891="Guaraníes",P2891/#REF!,P2891)</f>
        <v>376.70999999999998</v>
      </c>
      <c r="S2891" s="5" t="s">
        <v>52</v>
      </c>
      <c r="V2891" s="5">
        <v>376.70999999999998</v>
      </c>
      <c r="W2891" s="5" t="s">
        <v>675</v>
      </c>
      <c r="AC2891" s="5" t="str">
        <f t="shared" si="139"/>
        <v>CDA</v>
      </c>
      <c r="AD2891" s="5" t="s">
        <v>43</v>
      </c>
      <c r="AE2891" s="5">
        <f t="shared" si="137"/>
        <v>6</v>
      </c>
      <c r="AF2891" s="5">
        <f t="shared" si="138"/>
        <v>2023</v>
      </c>
    </row>
    <row r="2892" s="5" customFormat="1" ht="13">
      <c r="A2892" s="5" t="s">
        <v>544</v>
      </c>
      <c r="B2892" s="5" t="s">
        <v>544</v>
      </c>
      <c r="C2892" s="5" t="s">
        <v>116</v>
      </c>
      <c r="D2892" s="5" t="s">
        <v>20</v>
      </c>
      <c r="E2892" s="5" t="s">
        <v>544</v>
      </c>
      <c r="F2892" s="5" t="s">
        <v>68</v>
      </c>
      <c r="H2892" s="9">
        <v>4643</v>
      </c>
      <c r="I2892" s="10">
        <v>44026</v>
      </c>
      <c r="J2892" s="10">
        <v>45100</v>
      </c>
      <c r="K2892" s="5" t="s">
        <v>118</v>
      </c>
      <c r="L2892" s="5" t="s">
        <v>82</v>
      </c>
      <c r="M2892" s="11">
        <v>0.10000000000000001</v>
      </c>
      <c r="N2892" s="5" t="e">
        <f>IF(AND(M2892&gt;#REF!,Cartera!O2892="Guaraníes"),"Rendimiento significativo",IF(AND(M2892&gt;#REF!,Cartera!O2892="Dólares americanos"),"Rendimiento significativo","Rendimiento no significativo"))</f>
        <v>#REF!</v>
      </c>
      <c r="O2892" s="5" t="s">
        <v>41</v>
      </c>
      <c r="P2892" s="12">
        <v>100000000</v>
      </c>
      <c r="Q2892" s="12">
        <f>IF(O2892="Guaraníes",P2892,P2892*#REF!)</f>
        <v>100000000</v>
      </c>
      <c r="R2892" s="12" t="e">
        <f>IF(O2892="Guaraníes",P2892/#REF!,P2892)</f>
        <v>#REF!</v>
      </c>
      <c r="S2892" s="5" t="s">
        <v>52</v>
      </c>
      <c r="AC2892" s="5" t="str">
        <f t="shared" si="139"/>
        <v>CDA</v>
      </c>
      <c r="AD2892" s="5" t="s">
        <v>43</v>
      </c>
      <c r="AE2892" s="5">
        <f t="shared" si="137"/>
        <v>6</v>
      </c>
      <c r="AF2892" s="5">
        <f t="shared" si="138"/>
        <v>2023</v>
      </c>
    </row>
    <row r="2893" s="5" customFormat="1" ht="13">
      <c r="A2893" s="5" t="s">
        <v>544</v>
      </c>
      <c r="B2893" s="5" t="s">
        <v>544</v>
      </c>
      <c r="C2893" s="5" t="s">
        <v>116</v>
      </c>
      <c r="D2893" s="5" t="s">
        <v>21</v>
      </c>
      <c r="E2893" s="5" t="s">
        <v>544</v>
      </c>
      <c r="F2893" s="5" t="s">
        <v>68</v>
      </c>
      <c r="H2893" s="9">
        <v>4643</v>
      </c>
      <c r="I2893" s="10"/>
      <c r="J2893" s="10">
        <v>45100</v>
      </c>
      <c r="K2893" s="5" t="s">
        <v>118</v>
      </c>
      <c r="L2893" s="5" t="s">
        <v>82</v>
      </c>
      <c r="M2893" s="11">
        <v>0.10000000000000001</v>
      </c>
      <c r="N2893" s="5" t="e">
        <f>IF(AND(M2893&gt;#REF!,Cartera!O2893="Guaraníes"),"Rendimiento significativo",IF(AND(M2893&gt;#REF!,Cartera!O2893="Dólares americanos"),"Rendimiento significativo","Rendimiento no significativo"))</f>
        <v>#REF!</v>
      </c>
      <c r="O2893" s="5" t="s">
        <v>41</v>
      </c>
      <c r="P2893" s="12">
        <v>2575342</v>
      </c>
      <c r="Q2893" s="12">
        <f>IF(O2893="Guaraníes",P2893,P2893*#REF!)</f>
        <v>2575342</v>
      </c>
      <c r="R2893" s="12" t="e">
        <f>IF(O2893="Guaraníes",P2893/#REF!,P2893)</f>
        <v>#REF!</v>
      </c>
      <c r="S2893" s="5" t="s">
        <v>52</v>
      </c>
      <c r="V2893" s="5">
        <v>2575342</v>
      </c>
      <c r="W2893" s="5" t="s">
        <v>681</v>
      </c>
      <c r="AC2893" s="5" t="str">
        <f t="shared" si="139"/>
        <v>CDA</v>
      </c>
      <c r="AD2893" s="5" t="s">
        <v>43</v>
      </c>
      <c r="AE2893" s="5">
        <f t="shared" si="137"/>
        <v>6</v>
      </c>
      <c r="AF2893" s="5">
        <f t="shared" si="138"/>
        <v>2023</v>
      </c>
    </row>
    <row r="2894" s="5" customFormat="1" ht="13">
      <c r="A2894" s="5" t="s">
        <v>544</v>
      </c>
      <c r="B2894" s="5" t="s">
        <v>544</v>
      </c>
      <c r="C2894" s="5" t="s">
        <v>111</v>
      </c>
      <c r="D2894" s="5" t="s">
        <v>21</v>
      </c>
      <c r="E2894" s="5" t="s">
        <v>544</v>
      </c>
      <c r="F2894" s="5" t="s">
        <v>68</v>
      </c>
      <c r="H2894" s="9">
        <v>364</v>
      </c>
      <c r="I2894" s="10"/>
      <c r="J2894" s="10">
        <v>45117</v>
      </c>
      <c r="K2894" s="5" t="s">
        <v>140</v>
      </c>
      <c r="L2894" s="5" t="s">
        <v>82</v>
      </c>
      <c r="M2894" s="11">
        <v>0.0625</v>
      </c>
      <c r="N2894" s="5" t="e">
        <f>IF(AND(M2894&gt;#REF!,Cartera!O2894="Guaraníes"),"Rendimiento significativo",IF(AND(M2894&gt;#REF!,Cartera!O2894="Dólares americanos"),"Rendimiento significativo","Rendimiento no significativo"))</f>
        <v>#REF!</v>
      </c>
      <c r="O2894" s="5" t="s">
        <v>51</v>
      </c>
      <c r="P2894" s="13">
        <v>72.819999999999993</v>
      </c>
      <c r="Q2894" s="12" t="e">
        <f>IF(O2894="Guaraníes",P2894,P2894*#REF!)</f>
        <v>#REF!</v>
      </c>
      <c r="R2894" s="12">
        <f>IF(O2894="Guaraníes",P2894/#REF!,P2894)</f>
        <v>72.819999999999993</v>
      </c>
      <c r="S2894" s="5" t="s">
        <v>52</v>
      </c>
      <c r="V2894" s="5">
        <v>72.819999999999993</v>
      </c>
      <c r="W2894" s="5" t="s">
        <v>677</v>
      </c>
      <c r="AC2894" s="5" t="str">
        <f t="shared" si="139"/>
        <v>CDA</v>
      </c>
      <c r="AD2894" s="5" t="s">
        <v>43</v>
      </c>
      <c r="AE2894" s="5">
        <f t="shared" si="137"/>
        <v>7</v>
      </c>
      <c r="AF2894" s="5">
        <f t="shared" si="138"/>
        <v>2023</v>
      </c>
    </row>
    <row r="2895" s="5" customFormat="1" ht="13">
      <c r="A2895" s="5" t="s">
        <v>544</v>
      </c>
      <c r="B2895" s="5" t="s">
        <v>544</v>
      </c>
      <c r="C2895" s="5" t="s">
        <v>111</v>
      </c>
      <c r="D2895" s="5" t="s">
        <v>20</v>
      </c>
      <c r="E2895" s="5" t="s">
        <v>544</v>
      </c>
      <c r="F2895" s="5" t="s">
        <v>68</v>
      </c>
      <c r="H2895" s="9">
        <v>364</v>
      </c>
      <c r="I2895" s="10">
        <v>44110</v>
      </c>
      <c r="J2895" s="10">
        <v>45117</v>
      </c>
      <c r="K2895" s="5" t="s">
        <v>140</v>
      </c>
      <c r="L2895" s="5" t="s">
        <v>82</v>
      </c>
      <c r="M2895" s="11">
        <v>0.0625</v>
      </c>
      <c r="N2895" s="5" t="e">
        <f>IF(AND(M2895&gt;#REF!,Cartera!O2895="Guaraníes"),"Rendimiento significativo",IF(AND(M2895&gt;#REF!,Cartera!O2895="Dólares americanos"),"Rendimiento significativo","Rendimiento no significativo"))</f>
        <v>#REF!</v>
      </c>
      <c r="O2895" s="5" t="s">
        <v>51</v>
      </c>
      <c r="P2895" s="13">
        <v>25000</v>
      </c>
      <c r="Q2895" s="12" t="e">
        <f>IF(O2895="Guaraníes",P2895,P2895*#REF!)</f>
        <v>#REF!</v>
      </c>
      <c r="R2895" s="12">
        <f>IF(O2895="Guaraníes",P2895/#REF!,P2895)</f>
        <v>25000</v>
      </c>
      <c r="S2895" s="5" t="s">
        <v>52</v>
      </c>
      <c r="AC2895" s="5" t="str">
        <f t="shared" si="139"/>
        <v>CDA</v>
      </c>
      <c r="AD2895" s="5" t="s">
        <v>43</v>
      </c>
      <c r="AE2895" s="5">
        <f t="shared" si="137"/>
        <v>7</v>
      </c>
      <c r="AF2895" s="5">
        <f t="shared" si="138"/>
        <v>2023</v>
      </c>
    </row>
    <row r="2896" s="5" customFormat="1" ht="13">
      <c r="A2896" s="5" t="s">
        <v>544</v>
      </c>
      <c r="B2896" s="5" t="s">
        <v>544</v>
      </c>
      <c r="C2896" s="5" t="s">
        <v>74</v>
      </c>
      <c r="D2896" s="5" t="s">
        <v>21</v>
      </c>
      <c r="E2896" s="5" t="s">
        <v>544</v>
      </c>
      <c r="F2896" s="5" t="s">
        <v>68</v>
      </c>
      <c r="H2896" s="9">
        <v>1093</v>
      </c>
      <c r="I2896" s="10"/>
      <c r="J2896" s="10">
        <v>45127</v>
      </c>
      <c r="K2896" s="5" t="s">
        <v>77</v>
      </c>
      <c r="L2896" s="5" t="s">
        <v>82</v>
      </c>
      <c r="M2896" s="11">
        <v>0.065000000000000002</v>
      </c>
      <c r="N2896" s="5" t="e">
        <f>IF(AND(M2896&gt;#REF!,Cartera!O2896="Guaraníes"),"Rendimiento significativo",IF(AND(M2896&gt;#REF!,Cartera!O2896="Dólares americanos"),"Rendimiento significativo","Rendimiento no significativo"))</f>
        <v>#REF!</v>
      </c>
      <c r="O2896" s="5" t="s">
        <v>41</v>
      </c>
      <c r="P2896" s="12">
        <v>3205479</v>
      </c>
      <c r="Q2896" s="12">
        <f>IF(O2896="Guaraníes",P2896,P2896*#REF!)</f>
        <v>3205479</v>
      </c>
      <c r="R2896" s="12" t="e">
        <f>IF(O2896="Guaraníes",P2896/#REF!,P2896)</f>
        <v>#REF!</v>
      </c>
      <c r="S2896" s="5" t="s">
        <v>52</v>
      </c>
      <c r="V2896" s="5">
        <v>3205479</v>
      </c>
      <c r="W2896" s="5" t="s">
        <v>682</v>
      </c>
      <c r="AC2896" s="5" t="str">
        <f t="shared" si="139"/>
        <v>CDA</v>
      </c>
      <c r="AD2896" s="5" t="s">
        <v>43</v>
      </c>
      <c r="AE2896" s="5">
        <f t="shared" si="137"/>
        <v>7</v>
      </c>
      <c r="AF2896" s="5">
        <f t="shared" si="138"/>
        <v>2023</v>
      </c>
    </row>
    <row r="2897" s="5" customFormat="1" ht="13">
      <c r="A2897" s="5" t="s">
        <v>544</v>
      </c>
      <c r="B2897" s="5" t="s">
        <v>544</v>
      </c>
      <c r="C2897" s="5" t="s">
        <v>60</v>
      </c>
      <c r="D2897" s="5" t="s">
        <v>21</v>
      </c>
      <c r="E2897" s="5" t="s">
        <v>544</v>
      </c>
      <c r="F2897" s="5" t="s">
        <v>61</v>
      </c>
      <c r="H2897" s="9">
        <v>1044</v>
      </c>
      <c r="I2897" s="10"/>
      <c r="J2897" s="10">
        <v>45128</v>
      </c>
      <c r="K2897" s="5" t="s">
        <v>64</v>
      </c>
      <c r="L2897" s="5" t="s">
        <v>82</v>
      </c>
      <c r="M2897" s="11">
        <v>0.065000000000000002</v>
      </c>
      <c r="N2897" s="5" t="e">
        <f>IF(AND(M2897&gt;#REF!,Cartera!O2897="Guaraníes"),"Rendimiento significativo",IF(AND(M2897&gt;#REF!,Cartera!O2897="Dólares americanos"),"Rendimiento significativo","Rendimiento no significativo"))</f>
        <v>#REF!</v>
      </c>
      <c r="O2897" s="5" t="s">
        <v>41</v>
      </c>
      <c r="P2897" s="12">
        <v>3043866</v>
      </c>
      <c r="Q2897" s="12">
        <f>IF(O2897="Guaraníes",P2897,P2897*#REF!)</f>
        <v>3043866</v>
      </c>
      <c r="R2897" s="12" t="e">
        <f>IF(O2897="Guaraníes",P2897/#REF!,P2897)</f>
        <v>#REF!</v>
      </c>
      <c r="S2897" s="5" t="s">
        <v>52</v>
      </c>
      <c r="V2897" s="5">
        <v>3043866</v>
      </c>
      <c r="W2897" s="5" t="s">
        <v>680</v>
      </c>
      <c r="AC2897" s="5" t="str">
        <f t="shared" si="139"/>
        <v>CDA</v>
      </c>
      <c r="AD2897" s="5" t="s">
        <v>43</v>
      </c>
      <c r="AE2897" s="5">
        <f t="shared" si="137"/>
        <v>7</v>
      </c>
      <c r="AF2897" s="5">
        <f t="shared" si="138"/>
        <v>2023</v>
      </c>
    </row>
    <row r="2898" s="5" customFormat="1" ht="13">
      <c r="A2898" s="5" t="s">
        <v>544</v>
      </c>
      <c r="B2898" s="5" t="s">
        <v>544</v>
      </c>
      <c r="C2898" s="5" t="s">
        <v>60</v>
      </c>
      <c r="D2898" s="5" t="s">
        <v>21</v>
      </c>
      <c r="E2898" s="5" t="s">
        <v>544</v>
      </c>
      <c r="F2898" s="5" t="s">
        <v>68</v>
      </c>
      <c r="H2898" s="9">
        <v>869</v>
      </c>
      <c r="I2898" s="10"/>
      <c r="J2898" s="10">
        <v>45131</v>
      </c>
      <c r="K2898" s="5" t="s">
        <v>64</v>
      </c>
      <c r="L2898" s="5" t="s">
        <v>82</v>
      </c>
      <c r="M2898" s="11">
        <v>0.12</v>
      </c>
      <c r="N2898" s="5" t="e">
        <f>IF(AND(M2898&gt;#REF!,Cartera!O2898="Guaraníes"),"Rendimiento significativo",IF(AND(M2898&gt;#REF!,Cartera!O2898="Dólares americanos"),"Rendimiento significativo","Rendimiento no significativo"))</f>
        <v>#REF!</v>
      </c>
      <c r="O2898" s="5" t="s">
        <v>51</v>
      </c>
      <c r="P2898" s="13">
        <v>1595</v>
      </c>
      <c r="Q2898" s="12" t="e">
        <f>IF(O2898="Guaraníes",P2898,P2898*#REF!)</f>
        <v>#REF!</v>
      </c>
      <c r="R2898" s="12">
        <f>IF(O2898="Guaraníes",P2898/#REF!,P2898)</f>
        <v>1595</v>
      </c>
      <c r="S2898" s="5" t="s">
        <v>52</v>
      </c>
      <c r="V2898" s="5">
        <v>1595</v>
      </c>
      <c r="W2898" s="5" t="s">
        <v>630</v>
      </c>
      <c r="AC2898" s="5" t="str">
        <f t="shared" si="139"/>
        <v>CDA</v>
      </c>
      <c r="AD2898" s="5" t="s">
        <v>43</v>
      </c>
      <c r="AE2898" s="5">
        <f t="shared" ref="AE2898:AE2961" si="140">IFERROR((MONTH(J2898)),0)</f>
        <v>7</v>
      </c>
      <c r="AF2898" s="5">
        <f t="shared" ref="AF2898:AF2961" si="141">IFERROR((YEAR(J2898)),0)</f>
        <v>2023</v>
      </c>
    </row>
    <row r="2899" s="5" customFormat="1" ht="13">
      <c r="A2899" s="5" t="s">
        <v>544</v>
      </c>
      <c r="B2899" s="5" t="s">
        <v>544</v>
      </c>
      <c r="C2899" s="5" t="s">
        <v>60</v>
      </c>
      <c r="D2899" s="5" t="s">
        <v>20</v>
      </c>
      <c r="E2899" s="5" t="s">
        <v>544</v>
      </c>
      <c r="F2899" s="5" t="s">
        <v>61</v>
      </c>
      <c r="H2899" s="9">
        <v>869</v>
      </c>
      <c r="I2899" s="10">
        <v>43671</v>
      </c>
      <c r="J2899" s="10">
        <v>45131</v>
      </c>
      <c r="K2899" s="5" t="s">
        <v>64</v>
      </c>
      <c r="L2899" s="5" t="s">
        <v>82</v>
      </c>
      <c r="M2899" s="11">
        <v>0.12</v>
      </c>
      <c r="N2899" s="5" t="e">
        <f>IF(AND(M2899&gt;#REF!,Cartera!O2899="Guaraníes"),"Rendimiento significativo",IF(AND(M2899&gt;#REF!,Cartera!O2899="Dólares americanos"),"Rendimiento significativo","Rendimiento no significativo"))</f>
        <v>#REF!</v>
      </c>
      <c r="O2899" s="5" t="s">
        <v>51</v>
      </c>
      <c r="P2899" s="13">
        <v>25000</v>
      </c>
      <c r="Q2899" s="12" t="e">
        <f>IF(O2899="Guaraníes",P2899,P2899*#REF!)</f>
        <v>#REF!</v>
      </c>
      <c r="R2899" s="12">
        <f>IF(O2899="Guaraníes",P2899/#REF!,P2899)</f>
        <v>25000</v>
      </c>
      <c r="S2899" s="5" t="s">
        <v>52</v>
      </c>
      <c r="AC2899" s="5" t="str">
        <f t="shared" si="139"/>
        <v>CDA</v>
      </c>
      <c r="AD2899" s="5" t="s">
        <v>43</v>
      </c>
      <c r="AE2899" s="5">
        <f t="shared" si="140"/>
        <v>7</v>
      </c>
      <c r="AF2899" s="5">
        <f t="shared" si="141"/>
        <v>2023</v>
      </c>
    </row>
    <row r="2900" s="5" customFormat="1" ht="13">
      <c r="A2900" s="5" t="s">
        <v>544</v>
      </c>
      <c r="B2900" s="5" t="s">
        <v>544</v>
      </c>
      <c r="C2900" s="5" t="s">
        <v>33</v>
      </c>
      <c r="D2900" s="5" t="s">
        <v>21</v>
      </c>
      <c r="E2900" s="5" t="s">
        <v>544</v>
      </c>
      <c r="F2900" s="5" t="s">
        <v>35</v>
      </c>
      <c r="H2900" s="9">
        <v>4441</v>
      </c>
      <c r="I2900" s="10"/>
      <c r="J2900" s="10">
        <v>45138</v>
      </c>
      <c r="K2900" s="5" t="s">
        <v>39</v>
      </c>
      <c r="L2900" s="5" t="s">
        <v>82</v>
      </c>
      <c r="M2900" s="11">
        <v>0.065000000000000002</v>
      </c>
      <c r="N2900" s="5" t="e">
        <f>IF(AND(M2900&gt;#REF!,Cartera!O2900="Guaraníes"),"Rendimiento significativo",IF(AND(M2900&gt;#REF!,Cartera!O2900="Dólares americanos"),"Rendimiento significativo","Rendimiento no significativo"))</f>
        <v>#REF!</v>
      </c>
      <c r="O2900" s="5" t="s">
        <v>41</v>
      </c>
      <c r="P2900" s="12">
        <v>4808219</v>
      </c>
      <c r="Q2900" s="12">
        <f>IF(O2900="Guaraníes",P2900,P2900*#REF!)</f>
        <v>4808219</v>
      </c>
      <c r="R2900" s="12" t="e">
        <f>IF(O2900="Guaraníes",P2900/#REF!,P2900)</f>
        <v>#REF!</v>
      </c>
      <c r="S2900" s="5" t="s">
        <v>52</v>
      </c>
      <c r="V2900" s="5">
        <v>4808219</v>
      </c>
      <c r="W2900" s="5" t="s">
        <v>599</v>
      </c>
      <c r="AC2900" s="5" t="str">
        <f t="shared" si="139"/>
        <v>CDA</v>
      </c>
      <c r="AD2900" s="5" t="s">
        <v>43</v>
      </c>
      <c r="AE2900" s="5">
        <f t="shared" si="140"/>
        <v>7</v>
      </c>
      <c r="AF2900" s="5">
        <f t="shared" si="141"/>
        <v>2023</v>
      </c>
    </row>
    <row r="2901" s="5" customFormat="1" ht="13">
      <c r="A2901" s="5" t="s">
        <v>544</v>
      </c>
      <c r="B2901" s="5" t="s">
        <v>544</v>
      </c>
      <c r="C2901" s="5" t="s">
        <v>116</v>
      </c>
      <c r="D2901" s="5" t="s">
        <v>21</v>
      </c>
      <c r="E2901" s="5" t="s">
        <v>544</v>
      </c>
      <c r="F2901" s="5" t="s">
        <v>68</v>
      </c>
      <c r="H2901" s="9">
        <v>6208</v>
      </c>
      <c r="I2901" s="10"/>
      <c r="J2901" s="10">
        <v>45155</v>
      </c>
      <c r="K2901" s="5" t="s">
        <v>118</v>
      </c>
      <c r="L2901" s="5" t="s">
        <v>82</v>
      </c>
      <c r="M2901" s="11">
        <v>0.080000000000000002</v>
      </c>
      <c r="N2901" s="5" t="e">
        <f>IF(AND(M2901&gt;#REF!,Cartera!O2901="Guaraníes"),"Rendimiento significativo",IF(AND(M2901&gt;#REF!,Cartera!O2901="Dólares americanos"),"Rendimiento significativo","Rendimiento no significativo"))</f>
        <v>#REF!</v>
      </c>
      <c r="O2901" s="5" t="s">
        <v>41</v>
      </c>
      <c r="P2901" s="12">
        <v>1992329</v>
      </c>
      <c r="Q2901" s="12">
        <f>IF(O2901="Guaraníes",P2901,P2901*#REF!)</f>
        <v>1992329</v>
      </c>
      <c r="R2901" s="12" t="e">
        <f>IF(O2901="Guaraníes",P2901/#REF!,P2901)</f>
        <v>#REF!</v>
      </c>
      <c r="S2901" s="5" t="s">
        <v>52</v>
      </c>
      <c r="V2901" s="5">
        <v>1992329</v>
      </c>
      <c r="W2901" s="5" t="s">
        <v>582</v>
      </c>
      <c r="AC2901" s="5" t="str">
        <f t="shared" si="139"/>
        <v>CDA</v>
      </c>
      <c r="AD2901" s="5" t="s">
        <v>43</v>
      </c>
      <c r="AE2901" s="5">
        <f t="shared" si="140"/>
        <v>8</v>
      </c>
      <c r="AF2901" s="5">
        <f t="shared" si="141"/>
        <v>2023</v>
      </c>
    </row>
    <row r="2902" s="5" customFormat="1" ht="13">
      <c r="A2902" s="5" t="s">
        <v>544</v>
      </c>
      <c r="B2902" s="5" t="s">
        <v>544</v>
      </c>
      <c r="C2902" s="5" t="s">
        <v>183</v>
      </c>
      <c r="D2902" s="5" t="s">
        <v>21</v>
      </c>
      <c r="E2902" s="5" t="s">
        <v>544</v>
      </c>
      <c r="F2902" s="5" t="s">
        <v>184</v>
      </c>
      <c r="H2902" s="9">
        <v>6217</v>
      </c>
      <c r="I2902" s="10"/>
      <c r="J2902" s="10">
        <v>45176</v>
      </c>
      <c r="K2902" s="5" t="s">
        <v>124</v>
      </c>
      <c r="L2902" s="5" t="s">
        <v>82</v>
      </c>
      <c r="M2902" s="11">
        <v>0.072499999999999995</v>
      </c>
      <c r="N2902" s="5" t="e">
        <f>IF(AND(M2902&gt;#REF!,Cartera!O2902="Guaraníes"),"Rendimiento significativo",IF(AND(M2902&gt;#REF!,Cartera!O2902="Dólares americanos"),"Rendimiento significativo","Rendimiento no significativo"))</f>
        <v>#REF!</v>
      </c>
      <c r="O2902" s="5" t="s">
        <v>41</v>
      </c>
      <c r="P2902" s="12">
        <v>17442280</v>
      </c>
      <c r="Q2902" s="12">
        <f>IF(O2902="Guaraníes",P2902,P2902*#REF!)</f>
        <v>17442280</v>
      </c>
      <c r="R2902" s="12" t="e">
        <f>IF(O2902="Guaraníes",P2902/#REF!,P2902)</f>
        <v>#REF!</v>
      </c>
      <c r="S2902" s="5" t="s">
        <v>52</v>
      </c>
      <c r="V2902" s="5">
        <v>17442280</v>
      </c>
      <c r="W2902" s="5" t="s">
        <v>683</v>
      </c>
      <c r="AC2902" s="5" t="str">
        <f t="shared" si="139"/>
        <v>CDA</v>
      </c>
      <c r="AD2902" s="5" t="s">
        <v>43</v>
      </c>
      <c r="AE2902" s="5">
        <f t="shared" si="140"/>
        <v>9</v>
      </c>
      <c r="AF2902" s="5">
        <f t="shared" si="141"/>
        <v>2023</v>
      </c>
    </row>
    <row r="2903" s="5" customFormat="1" ht="13">
      <c r="A2903" s="5" t="s">
        <v>544</v>
      </c>
      <c r="B2903" s="5" t="s">
        <v>544</v>
      </c>
      <c r="C2903" s="5" t="s">
        <v>227</v>
      </c>
      <c r="D2903" s="5" t="s">
        <v>21</v>
      </c>
      <c r="E2903" s="5" t="s">
        <v>544</v>
      </c>
      <c r="F2903" s="5" t="s">
        <v>68</v>
      </c>
      <c r="H2903" s="9">
        <v>301</v>
      </c>
      <c r="I2903" s="10"/>
      <c r="J2903" s="10">
        <v>45180</v>
      </c>
      <c r="K2903" s="5" t="s">
        <v>77</v>
      </c>
      <c r="L2903" s="5" t="s">
        <v>82</v>
      </c>
      <c r="M2903" s="11">
        <v>0.059999999999999998</v>
      </c>
      <c r="N2903" s="5" t="e">
        <f>IF(AND(M2903&gt;#REF!,Cartera!O2903="Guaraníes"),"Rendimiento significativo",IF(AND(M2903&gt;#REF!,Cartera!O2903="Dólares americanos"),"Rendimiento significativo","Rendimiento no significativo"))</f>
        <v>#REF!</v>
      </c>
      <c r="O2903" s="5" t="s">
        <v>41</v>
      </c>
      <c r="P2903" s="12">
        <v>3002740</v>
      </c>
      <c r="Q2903" s="12">
        <f>IF(O2903="Guaraníes",P2903,P2903*#REF!)</f>
        <v>3002740</v>
      </c>
      <c r="R2903" s="12" t="e">
        <f>IF(O2903="Guaraníes",P2903/#REF!,P2903)</f>
        <v>#REF!</v>
      </c>
      <c r="S2903" s="5" t="s">
        <v>52</v>
      </c>
      <c r="V2903" s="5">
        <v>3002740</v>
      </c>
      <c r="W2903" s="5" t="s">
        <v>684</v>
      </c>
      <c r="AC2903" s="5" t="str">
        <f t="shared" si="139"/>
        <v>CDA</v>
      </c>
      <c r="AD2903" s="5" t="s">
        <v>43</v>
      </c>
      <c r="AE2903" s="5">
        <f t="shared" si="140"/>
        <v>9</v>
      </c>
      <c r="AF2903" s="5">
        <f t="shared" si="141"/>
        <v>2023</v>
      </c>
    </row>
    <row r="2904" s="5" customFormat="1" ht="13">
      <c r="A2904" s="5" t="s">
        <v>44</v>
      </c>
      <c r="B2904" s="5" t="s">
        <v>44</v>
      </c>
      <c r="C2904" s="5" t="s">
        <v>74</v>
      </c>
      <c r="D2904" s="5" t="s">
        <v>21</v>
      </c>
      <c r="E2904" s="5" t="s">
        <v>44</v>
      </c>
      <c r="F2904" s="5" t="s">
        <v>68</v>
      </c>
      <c r="H2904" s="9">
        <v>1093</v>
      </c>
      <c r="I2904" s="10"/>
      <c r="J2904" s="10">
        <v>45217</v>
      </c>
      <c r="K2904" s="5" t="s">
        <v>77</v>
      </c>
      <c r="L2904" s="5" t="s">
        <v>82</v>
      </c>
      <c r="M2904" s="11">
        <v>0.065000000000000002</v>
      </c>
      <c r="N2904" s="5" t="e">
        <f>IF(AND(M2904&gt;#REF!,Cartera!O2904="Guaraníes"),"Rendimiento significativo",IF(AND(M2904&gt;#REF!,Cartera!O2904="Dólares americanos"),"Rendimiento significativo","Rendimiento no significativo"))</f>
        <v>#REF!</v>
      </c>
      <c r="O2904" s="5" t="s">
        <v>41</v>
      </c>
      <c r="P2904" s="12">
        <v>3205479</v>
      </c>
      <c r="Q2904" s="12">
        <f>IF(O2904="Guaraníes",P2904,P2904*#REF!)</f>
        <v>3205479</v>
      </c>
      <c r="R2904" s="12" t="e">
        <f>IF(O2904="Guaraníes",P2904/#REF!,P2904)</f>
        <v>#REF!</v>
      </c>
      <c r="S2904" s="5" t="s">
        <v>52</v>
      </c>
      <c r="V2904" s="5">
        <v>3205479</v>
      </c>
      <c r="W2904" s="5" t="s">
        <v>685</v>
      </c>
      <c r="AC2904" s="5" t="str">
        <f t="shared" si="139"/>
        <v>CDA</v>
      </c>
      <c r="AD2904" s="5" t="s">
        <v>43</v>
      </c>
      <c r="AE2904" s="5">
        <f t="shared" si="140"/>
        <v>10</v>
      </c>
      <c r="AF2904" s="5">
        <f t="shared" si="141"/>
        <v>2023</v>
      </c>
    </row>
    <row r="2905" s="5" customFormat="1" ht="13">
      <c r="A2905" s="5" t="s">
        <v>44</v>
      </c>
      <c r="B2905" s="5" t="s">
        <v>44</v>
      </c>
      <c r="C2905" s="5" t="s">
        <v>60</v>
      </c>
      <c r="D2905" s="5" t="s">
        <v>21</v>
      </c>
      <c r="E2905" s="5" t="s">
        <v>44</v>
      </c>
      <c r="F2905" s="5" t="s">
        <v>61</v>
      </c>
      <c r="H2905" s="9">
        <v>1044</v>
      </c>
      <c r="I2905" s="10"/>
      <c r="J2905" s="10">
        <v>45219</v>
      </c>
      <c r="K2905" s="5" t="s">
        <v>64</v>
      </c>
      <c r="L2905" s="5" t="s">
        <v>82</v>
      </c>
      <c r="M2905" s="11">
        <v>0.065000000000000002</v>
      </c>
      <c r="N2905" s="5" t="e">
        <f>IF(AND(M2905&gt;#REF!,Cartera!O2905="Guaraníes"),"Rendimiento significativo",IF(AND(M2905&gt;#REF!,Cartera!O2905="Dólares americanos"),"Rendimiento significativo","Rendimiento no significativo"))</f>
        <v>#REF!</v>
      </c>
      <c r="O2905" s="5" t="s">
        <v>41</v>
      </c>
      <c r="P2905" s="12">
        <v>3043866</v>
      </c>
      <c r="Q2905" s="12">
        <f>IF(O2905="Guaraníes",P2905,P2905*#REF!)</f>
        <v>3043866</v>
      </c>
      <c r="R2905" s="12" t="e">
        <f>IF(O2905="Guaraníes",P2905/#REF!,P2905)</f>
        <v>#REF!</v>
      </c>
      <c r="S2905" s="5" t="s">
        <v>52</v>
      </c>
      <c r="V2905" s="5">
        <v>3043866</v>
      </c>
      <c r="W2905" s="5" t="s">
        <v>684</v>
      </c>
      <c r="AC2905" s="5" t="str">
        <f t="shared" si="139"/>
        <v>CDA</v>
      </c>
      <c r="AD2905" s="5" t="s">
        <v>43</v>
      </c>
      <c r="AE2905" s="5">
        <f t="shared" si="140"/>
        <v>10</v>
      </c>
      <c r="AF2905" s="5">
        <f t="shared" si="141"/>
        <v>2023</v>
      </c>
    </row>
    <row r="2906" s="5" customFormat="1" ht="13">
      <c r="A2906" s="5" t="s">
        <v>44</v>
      </c>
      <c r="B2906" s="5" t="s">
        <v>44</v>
      </c>
      <c r="C2906" s="5" t="s">
        <v>114</v>
      </c>
      <c r="D2906" s="5" t="s">
        <v>21</v>
      </c>
      <c r="E2906" s="5" t="s">
        <v>44</v>
      </c>
      <c r="F2906" s="5" t="s">
        <v>68</v>
      </c>
      <c r="G2906" s="5" t="s">
        <v>69</v>
      </c>
      <c r="H2906" s="9" t="s">
        <v>520</v>
      </c>
      <c r="I2906" s="10"/>
      <c r="J2906" s="10">
        <v>45252</v>
      </c>
      <c r="K2906" s="5" t="s">
        <v>77</v>
      </c>
      <c r="L2906" s="5" t="s">
        <v>50</v>
      </c>
      <c r="M2906" s="11">
        <v>0.14249999999999999</v>
      </c>
      <c r="N2906" s="5" t="e">
        <f>IF(AND(M2906&gt;#REF!,Cartera!O2906="Guaraníes"),"Rendimiento significativo",IF(AND(M2906&gt;#REF!,Cartera!O2906="Dólares americanos"),"Rendimiento significativo","Rendimiento no significativo"))</f>
        <v>#REF!</v>
      </c>
      <c r="O2906" s="5" t="s">
        <v>41</v>
      </c>
      <c r="P2906" s="12">
        <v>3552739.7259999998</v>
      </c>
      <c r="Q2906" s="12">
        <f>IF(O2906="Guaraníes",P2906,P2906*#REF!)</f>
        <v>3552739.7259999998</v>
      </c>
      <c r="R2906" s="12" t="e">
        <f>IF(O2906="Guaraníes",P2906/#REF!,P2906)</f>
        <v>#REF!</v>
      </c>
      <c r="S2906" s="5" t="s">
        <v>52</v>
      </c>
      <c r="T2906" s="5">
        <v>593</v>
      </c>
      <c r="W2906" s="5" t="s">
        <v>536</v>
      </c>
      <c r="X2906" s="5">
        <v>0</v>
      </c>
      <c r="Y2906" s="5">
        <v>0</v>
      </c>
      <c r="Z2906" s="5">
        <v>35527.397259999998</v>
      </c>
      <c r="AA2906" s="5">
        <v>100</v>
      </c>
      <c r="AB2906" s="5">
        <v>3552739.7259999998</v>
      </c>
      <c r="AC2906" s="5" t="str">
        <f t="shared" si="139"/>
        <v>Bonos</v>
      </c>
      <c r="AD2906" s="5" t="s">
        <v>43</v>
      </c>
      <c r="AE2906" s="5">
        <f t="shared" si="140"/>
        <v>11</v>
      </c>
      <c r="AF2906" s="5">
        <f t="shared" si="141"/>
        <v>2023</v>
      </c>
    </row>
    <row r="2907" s="5" customFormat="1" ht="13">
      <c r="A2907" s="5" t="s">
        <v>44</v>
      </c>
      <c r="B2907" s="5" t="s">
        <v>44</v>
      </c>
      <c r="C2907" s="5" t="s">
        <v>183</v>
      </c>
      <c r="D2907" s="5" t="s">
        <v>21</v>
      </c>
      <c r="E2907" s="5" t="s">
        <v>44</v>
      </c>
      <c r="F2907" s="5" t="s">
        <v>184</v>
      </c>
      <c r="H2907" s="9">
        <v>6389</v>
      </c>
      <c r="I2907" s="10"/>
      <c r="J2907" s="10">
        <v>45239</v>
      </c>
      <c r="K2907" s="5" t="s">
        <v>124</v>
      </c>
      <c r="L2907" s="5" t="s">
        <v>82</v>
      </c>
      <c r="M2907" s="11">
        <v>0.079000000000000001</v>
      </c>
      <c r="N2907" s="5" t="e">
        <f>IF(AND(M2907&gt;#REF!,Cartera!O2907="Guaraníes"),"Rendimiento significativo",IF(AND(M2907&gt;#REF!,Cartera!O2907="Dólares americanos"),"Rendimiento significativo","Rendimiento no significativo"))</f>
        <v>#REF!</v>
      </c>
      <c r="O2907" s="5" t="s">
        <v>41</v>
      </c>
      <c r="P2907" s="12">
        <v>9956240</v>
      </c>
      <c r="Q2907" s="12">
        <f>IF(O2907="Guaraníes",P2907,P2907*#REF!)</f>
        <v>9956240</v>
      </c>
      <c r="R2907" s="12" t="e">
        <f>IF(O2907="Guaraníes",P2907/#REF!,P2907)</f>
        <v>#REF!</v>
      </c>
      <c r="S2907" s="5" t="s">
        <v>52</v>
      </c>
      <c r="V2907" s="5">
        <v>9956240</v>
      </c>
      <c r="W2907" s="5" t="s">
        <v>686</v>
      </c>
      <c r="AC2907" s="5" t="str">
        <f t="shared" si="139"/>
        <v>CDA</v>
      </c>
      <c r="AD2907" s="5" t="s">
        <v>43</v>
      </c>
      <c r="AE2907" s="5">
        <f t="shared" si="140"/>
        <v>11</v>
      </c>
      <c r="AF2907" s="5">
        <f t="shared" si="141"/>
        <v>2023</v>
      </c>
    </row>
    <row r="2908" s="5" customFormat="1" ht="13">
      <c r="A2908" s="5" t="s">
        <v>44</v>
      </c>
      <c r="B2908" s="5" t="s">
        <v>44</v>
      </c>
      <c r="C2908" s="5" t="s">
        <v>183</v>
      </c>
      <c r="D2908" s="5" t="s">
        <v>21</v>
      </c>
      <c r="E2908" s="5" t="s">
        <v>44</v>
      </c>
      <c r="F2908" s="5" t="s">
        <v>184</v>
      </c>
      <c r="H2908" s="9">
        <v>6390</v>
      </c>
      <c r="I2908" s="10"/>
      <c r="J2908" s="10">
        <v>45239</v>
      </c>
      <c r="K2908" s="5" t="s">
        <v>124</v>
      </c>
      <c r="L2908" s="5" t="s">
        <v>82</v>
      </c>
      <c r="M2908" s="11">
        <v>0.079000000000000001</v>
      </c>
      <c r="N2908" s="5" t="e">
        <f>IF(AND(M2908&gt;#REF!,Cartera!O2908="Guaraníes"),"Rendimiento significativo",IF(AND(M2908&gt;#REF!,Cartera!O2908="Dólares americanos"),"Rendimiento significativo","Rendimiento no significativo"))</f>
        <v>#REF!</v>
      </c>
      <c r="O2908" s="5" t="s">
        <v>41</v>
      </c>
      <c r="P2908" s="12">
        <v>9956240</v>
      </c>
      <c r="Q2908" s="12">
        <f>IF(O2908="Guaraníes",P2908,P2908*#REF!)</f>
        <v>9956240</v>
      </c>
      <c r="R2908" s="12" t="e">
        <f>IF(O2908="Guaraníes",P2908/#REF!,P2908)</f>
        <v>#REF!</v>
      </c>
      <c r="S2908" s="5" t="s">
        <v>52</v>
      </c>
      <c r="V2908" s="5">
        <v>9956240</v>
      </c>
      <c r="W2908" s="5" t="s">
        <v>686</v>
      </c>
      <c r="AC2908" s="5" t="str">
        <f t="shared" si="139"/>
        <v>CDA</v>
      </c>
      <c r="AD2908" s="5" t="s">
        <v>43</v>
      </c>
      <c r="AE2908" s="5">
        <f t="shared" si="140"/>
        <v>11</v>
      </c>
      <c r="AF2908" s="5">
        <f t="shared" si="141"/>
        <v>2023</v>
      </c>
    </row>
    <row r="2909" s="5" customFormat="1" ht="13">
      <c r="A2909" s="5" t="s">
        <v>44</v>
      </c>
      <c r="B2909" s="5" t="s">
        <v>44</v>
      </c>
      <c r="C2909" s="5" t="s">
        <v>183</v>
      </c>
      <c r="D2909" s="5" t="s">
        <v>21</v>
      </c>
      <c r="E2909" s="5" t="s">
        <v>44</v>
      </c>
      <c r="F2909" s="5" t="s">
        <v>184</v>
      </c>
      <c r="H2909" s="9">
        <v>6391</v>
      </c>
      <c r="I2909" s="10"/>
      <c r="J2909" s="10">
        <v>45239</v>
      </c>
      <c r="K2909" s="5" t="s">
        <v>124</v>
      </c>
      <c r="L2909" s="5" t="s">
        <v>82</v>
      </c>
      <c r="M2909" s="11">
        <v>0.079000000000000001</v>
      </c>
      <c r="N2909" s="5" t="e">
        <f>IF(AND(M2909&gt;#REF!,Cartera!O2909="Guaraníes"),"Rendimiento significativo",IF(AND(M2909&gt;#REF!,Cartera!O2909="Dólares americanos"),"Rendimiento significativo","Rendimiento no significativo"))</f>
        <v>#REF!</v>
      </c>
      <c r="O2909" s="5" t="s">
        <v>41</v>
      </c>
      <c r="P2909" s="12">
        <v>9956240</v>
      </c>
      <c r="Q2909" s="12">
        <f>IF(O2909="Guaraníes",P2909,P2909*#REF!)</f>
        <v>9956240</v>
      </c>
      <c r="R2909" s="12" t="e">
        <f>IF(O2909="Guaraníes",P2909/#REF!,P2909)</f>
        <v>#REF!</v>
      </c>
      <c r="S2909" s="5" t="s">
        <v>52</v>
      </c>
      <c r="V2909" s="5">
        <v>9956240</v>
      </c>
      <c r="W2909" s="5" t="s">
        <v>686</v>
      </c>
      <c r="AC2909" s="5" t="str">
        <f t="shared" si="139"/>
        <v>CDA</v>
      </c>
      <c r="AD2909" s="5" t="s">
        <v>43</v>
      </c>
      <c r="AE2909" s="5">
        <f t="shared" si="140"/>
        <v>11</v>
      </c>
      <c r="AF2909" s="5">
        <f t="shared" si="141"/>
        <v>2023</v>
      </c>
    </row>
    <row r="2910" s="5" customFormat="1" ht="13">
      <c r="A2910" s="5" t="s">
        <v>544</v>
      </c>
      <c r="B2910" s="5" t="s">
        <v>544</v>
      </c>
      <c r="C2910" s="5" t="s">
        <v>116</v>
      </c>
      <c r="D2910" s="5" t="s">
        <v>21</v>
      </c>
      <c r="E2910" s="5" t="s">
        <v>544</v>
      </c>
      <c r="F2910" s="5" t="s">
        <v>68</v>
      </c>
      <c r="H2910" s="9">
        <v>6208</v>
      </c>
      <c r="I2910" s="10"/>
      <c r="J2910" s="10">
        <v>45245</v>
      </c>
      <c r="K2910" s="5" t="s">
        <v>118</v>
      </c>
      <c r="L2910" s="5" t="s">
        <v>82</v>
      </c>
      <c r="M2910" s="11">
        <v>0.080000000000000002</v>
      </c>
      <c r="N2910" s="5" t="e">
        <f>IF(AND(M2910&gt;#REF!,Cartera!O2910="Guaraníes"),"Rendimiento significativo",IF(AND(M2910&gt;#REF!,Cartera!O2910="Dólares americanos"),"Rendimiento significativo","Rendimiento no significativo"))</f>
        <v>#REF!</v>
      </c>
      <c r="O2910" s="5" t="s">
        <v>41</v>
      </c>
      <c r="P2910" s="12">
        <v>1992329</v>
      </c>
      <c r="Q2910" s="12">
        <f>IF(O2910="Guaraníes",P2910,P2910*#REF!)</f>
        <v>1992329</v>
      </c>
      <c r="R2910" s="12" t="e">
        <f>IF(O2910="Guaraníes",P2910/#REF!,P2910)</f>
        <v>#REF!</v>
      </c>
      <c r="S2910" s="5" t="s">
        <v>52</v>
      </c>
      <c r="V2910" s="5">
        <v>1992329</v>
      </c>
      <c r="W2910" s="5" t="s">
        <v>587</v>
      </c>
      <c r="AC2910" s="5" t="str">
        <f t="shared" si="139"/>
        <v>CDA</v>
      </c>
      <c r="AD2910" s="5" t="s">
        <v>43</v>
      </c>
      <c r="AE2910" s="5">
        <f t="shared" si="140"/>
        <v>11</v>
      </c>
      <c r="AF2910" s="5">
        <f t="shared" si="141"/>
        <v>2023</v>
      </c>
    </row>
    <row r="2911" s="5" customFormat="1" ht="13">
      <c r="A2911" s="5" t="s">
        <v>544</v>
      </c>
      <c r="B2911" s="5" t="s">
        <v>544</v>
      </c>
      <c r="C2911" s="5" t="s">
        <v>116</v>
      </c>
      <c r="D2911" s="5" t="s">
        <v>21</v>
      </c>
      <c r="E2911" s="5" t="s">
        <v>544</v>
      </c>
      <c r="F2911" s="5" t="s">
        <v>68</v>
      </c>
      <c r="H2911" s="9">
        <v>1519</v>
      </c>
      <c r="I2911" s="10"/>
      <c r="J2911" s="10">
        <v>45254</v>
      </c>
      <c r="K2911" s="5" t="s">
        <v>118</v>
      </c>
      <c r="L2911" s="5" t="s">
        <v>82</v>
      </c>
      <c r="M2911" s="11">
        <v>0.105</v>
      </c>
      <c r="N2911" s="5" t="e">
        <f>IF(AND(M2911&gt;#REF!,Cartera!O2911="Guaraníes"),"Rendimiento significativo",IF(AND(M2911&gt;#REF!,Cartera!O2911="Dólares americanos"),"Rendimiento significativo","Rendimiento no significativo"))</f>
        <v>#REF!</v>
      </c>
      <c r="O2911" s="5" t="s">
        <v>51</v>
      </c>
      <c r="P2911" s="13">
        <v>882.19000000000005</v>
      </c>
      <c r="Q2911" s="12" t="e">
        <f>IF(O2911="Guaraníes",P2911,P2911*#REF!)</f>
        <v>#REF!</v>
      </c>
      <c r="R2911" s="12">
        <f>IF(O2911="Guaraníes",P2911/#REF!,P2911)</f>
        <v>882.19000000000005</v>
      </c>
      <c r="S2911" s="5" t="s">
        <v>52</v>
      </c>
      <c r="V2911" s="5">
        <v>882.19000000000005</v>
      </c>
      <c r="W2911" s="5" t="s">
        <v>687</v>
      </c>
      <c r="AC2911" s="5" t="str">
        <f t="shared" si="139"/>
        <v>CDA</v>
      </c>
      <c r="AD2911" s="5" t="s">
        <v>43</v>
      </c>
      <c r="AE2911" s="5">
        <f t="shared" si="140"/>
        <v>11</v>
      </c>
      <c r="AF2911" s="5">
        <f t="shared" si="141"/>
        <v>2023</v>
      </c>
    </row>
    <row r="2912" s="5" customFormat="1" ht="13">
      <c r="A2912" s="5" t="s">
        <v>544</v>
      </c>
      <c r="B2912" s="5" t="s">
        <v>544</v>
      </c>
      <c r="C2912" s="5" t="s">
        <v>227</v>
      </c>
      <c r="D2912" s="5" t="s">
        <v>21</v>
      </c>
      <c r="E2912" s="5" t="s">
        <v>544</v>
      </c>
      <c r="F2912" s="5" t="s">
        <v>68</v>
      </c>
      <c r="H2912" s="9">
        <v>301</v>
      </c>
      <c r="I2912" s="10"/>
      <c r="J2912" s="10">
        <v>45271</v>
      </c>
      <c r="K2912" s="5" t="s">
        <v>77</v>
      </c>
      <c r="L2912" s="5" t="s">
        <v>82</v>
      </c>
      <c r="M2912" s="11">
        <v>0.059999999999999998</v>
      </c>
      <c r="N2912" s="5" t="e">
        <f>IF(AND(M2912&gt;#REF!,Cartera!O2912="Guaraníes"),"Rendimiento significativo",IF(AND(M2912&gt;#REF!,Cartera!O2912="Dólares americanos"),"Rendimiento significativo","Rendimiento no significativo"))</f>
        <v>#REF!</v>
      </c>
      <c r="O2912" s="5" t="s">
        <v>41</v>
      </c>
      <c r="P2912" s="12">
        <v>3002740</v>
      </c>
      <c r="Q2912" s="12">
        <f>IF(O2912="Guaraníes",P2912,P2912*#REF!)</f>
        <v>3002740</v>
      </c>
      <c r="R2912" s="12" t="e">
        <f>IF(O2912="Guaraníes",P2912/#REF!,P2912)</f>
        <v>#REF!</v>
      </c>
      <c r="S2912" s="5" t="s">
        <v>52</v>
      </c>
      <c r="V2912" s="5">
        <v>3002740</v>
      </c>
      <c r="W2912" s="5" t="s">
        <v>688</v>
      </c>
      <c r="AC2912" s="5" t="str">
        <f t="shared" si="139"/>
        <v>CDA</v>
      </c>
      <c r="AD2912" s="5" t="s">
        <v>43</v>
      </c>
      <c r="AE2912" s="5">
        <f t="shared" si="140"/>
        <v>12</v>
      </c>
      <c r="AF2912" s="5">
        <f t="shared" si="141"/>
        <v>2023</v>
      </c>
    </row>
    <row r="2913" s="5" customFormat="1" ht="13">
      <c r="A2913" s="5" t="s">
        <v>44</v>
      </c>
      <c r="B2913" s="5" t="s">
        <v>44</v>
      </c>
      <c r="C2913" s="5" t="s">
        <v>74</v>
      </c>
      <c r="D2913" s="5" t="s">
        <v>21</v>
      </c>
      <c r="E2913" s="5" t="s">
        <v>44</v>
      </c>
      <c r="F2913" s="5" t="s">
        <v>68</v>
      </c>
      <c r="H2913" s="9">
        <v>1093</v>
      </c>
      <c r="I2913" s="10"/>
      <c r="J2913" s="10">
        <v>45307</v>
      </c>
      <c r="K2913" s="5" t="s">
        <v>77</v>
      </c>
      <c r="L2913" s="5" t="s">
        <v>82</v>
      </c>
      <c r="M2913" s="11">
        <v>0.065000000000000002</v>
      </c>
      <c r="N2913" s="5" t="e">
        <f>IF(AND(M2913&gt;#REF!,Cartera!O2913="Guaraníes"),"Rendimiento significativo",IF(AND(M2913&gt;#REF!,Cartera!O2913="Dólares americanos"),"Rendimiento significativo","Rendimiento no significativo"))</f>
        <v>#REF!</v>
      </c>
      <c r="O2913" s="5" t="s">
        <v>41</v>
      </c>
      <c r="P2913" s="12">
        <v>3205479</v>
      </c>
      <c r="Q2913" s="12">
        <f>IF(O2913="Guaraníes",P2913,P2913*#REF!)</f>
        <v>3205479</v>
      </c>
      <c r="R2913" s="12" t="e">
        <f>IF(O2913="Guaraníes",P2913/#REF!,P2913)</f>
        <v>#REF!</v>
      </c>
      <c r="S2913" s="5" t="s">
        <v>52</v>
      </c>
      <c r="V2913" s="5">
        <v>3205479</v>
      </c>
      <c r="W2913" s="5" t="s">
        <v>689</v>
      </c>
      <c r="AC2913" s="5" t="str">
        <f t="shared" si="139"/>
        <v>CDA</v>
      </c>
      <c r="AD2913" s="5" t="s">
        <v>43</v>
      </c>
      <c r="AE2913" s="5">
        <f t="shared" si="140"/>
        <v>1</v>
      </c>
      <c r="AF2913" s="5">
        <f t="shared" si="141"/>
        <v>2024</v>
      </c>
    </row>
    <row r="2914" s="5" customFormat="1" ht="13">
      <c r="A2914" s="5" t="s">
        <v>44</v>
      </c>
      <c r="B2914" s="5" t="s">
        <v>44</v>
      </c>
      <c r="C2914" s="5" t="s">
        <v>60</v>
      </c>
      <c r="D2914" s="5" t="s">
        <v>21</v>
      </c>
      <c r="E2914" s="5" t="s">
        <v>44</v>
      </c>
      <c r="F2914" s="5" t="s">
        <v>61</v>
      </c>
      <c r="H2914" s="9">
        <v>1044</v>
      </c>
      <c r="I2914" s="10"/>
      <c r="J2914" s="10">
        <v>45310</v>
      </c>
      <c r="K2914" s="5" t="s">
        <v>64</v>
      </c>
      <c r="L2914" s="5" t="s">
        <v>82</v>
      </c>
      <c r="M2914" s="11">
        <v>0.065000000000000002</v>
      </c>
      <c r="N2914" s="5" t="e">
        <f>IF(AND(M2914&gt;#REF!,Cartera!O2914="Guaraníes"),"Rendimiento significativo",IF(AND(M2914&gt;#REF!,Cartera!O2914="Dólares americanos"),"Rendimiento significativo","Rendimiento no significativo"))</f>
        <v>#REF!</v>
      </c>
      <c r="O2914" s="5" t="s">
        <v>41</v>
      </c>
      <c r="P2914" s="12">
        <v>3043866</v>
      </c>
      <c r="Q2914" s="12">
        <f>IF(O2914="Guaraníes",P2914,P2914*#REF!)</f>
        <v>3043866</v>
      </c>
      <c r="R2914" s="12" t="e">
        <f>IF(O2914="Guaraníes",P2914/#REF!,P2914)</f>
        <v>#REF!</v>
      </c>
      <c r="S2914" s="5" t="s">
        <v>52</v>
      </c>
      <c r="V2914" s="5">
        <v>3043866</v>
      </c>
      <c r="W2914" s="5" t="s">
        <v>688</v>
      </c>
      <c r="AC2914" s="5" t="str">
        <f t="shared" si="139"/>
        <v>CDA</v>
      </c>
      <c r="AD2914" s="5" t="s">
        <v>43</v>
      </c>
      <c r="AE2914" s="5">
        <f t="shared" si="140"/>
        <v>1</v>
      </c>
      <c r="AF2914" s="5">
        <f t="shared" si="141"/>
        <v>2024</v>
      </c>
    </row>
    <row r="2915" s="5" customFormat="1" ht="13">
      <c r="A2915" s="5" t="s">
        <v>44</v>
      </c>
      <c r="B2915" s="5" t="s">
        <v>44</v>
      </c>
      <c r="C2915" s="5" t="s">
        <v>79</v>
      </c>
      <c r="D2915" s="5" t="s">
        <v>20</v>
      </c>
      <c r="E2915" s="5" t="s">
        <v>44</v>
      </c>
      <c r="F2915" s="5" t="s">
        <v>68</v>
      </c>
      <c r="H2915" s="9">
        <v>5351</v>
      </c>
      <c r="I2915" s="10">
        <v>44218</v>
      </c>
      <c r="J2915" s="10">
        <v>45314</v>
      </c>
      <c r="K2915" s="5" t="s">
        <v>81</v>
      </c>
      <c r="L2915" s="5" t="s">
        <v>82</v>
      </c>
      <c r="M2915" s="11">
        <v>0.080000000000000002</v>
      </c>
      <c r="N2915" s="5" t="e">
        <f>IF(AND(M2915&gt;#REF!,Cartera!O2915="Guaraníes"),"Rendimiento significativo",IF(AND(M2915&gt;#REF!,Cartera!O2915="Dólares americanos"),"Rendimiento significativo","Rendimiento no significativo"))</f>
        <v>#REF!</v>
      </c>
      <c r="O2915" s="5" t="s">
        <v>41</v>
      </c>
      <c r="P2915" s="12">
        <v>100000000</v>
      </c>
      <c r="Q2915" s="12">
        <f>IF(O2915="Guaraníes",P2915,P2915*#REF!)</f>
        <v>100000000</v>
      </c>
      <c r="R2915" s="12" t="e">
        <f>IF(O2915="Guaraníes",P2915/#REF!,P2915)</f>
        <v>#REF!</v>
      </c>
      <c r="S2915" s="5" t="s">
        <v>52</v>
      </c>
      <c r="AC2915" s="5" t="str">
        <f t="shared" si="139"/>
        <v>CDA</v>
      </c>
      <c r="AD2915" s="5" t="s">
        <v>43</v>
      </c>
      <c r="AE2915" s="5">
        <f t="shared" si="140"/>
        <v>1</v>
      </c>
      <c r="AF2915" s="5">
        <f t="shared" si="141"/>
        <v>2024</v>
      </c>
    </row>
    <row r="2916" s="5" customFormat="1" ht="13">
      <c r="A2916" s="5" t="s">
        <v>44</v>
      </c>
      <c r="B2916" s="5" t="s">
        <v>44</v>
      </c>
      <c r="C2916" s="5" t="s">
        <v>33</v>
      </c>
      <c r="D2916" s="5" t="s">
        <v>21</v>
      </c>
      <c r="E2916" s="5" t="s">
        <v>44</v>
      </c>
      <c r="F2916" s="5" t="s">
        <v>35</v>
      </c>
      <c r="H2916" s="9">
        <v>4441</v>
      </c>
      <c r="I2916" s="10"/>
      <c r="J2916" s="10">
        <v>45320</v>
      </c>
      <c r="K2916" s="5" t="s">
        <v>39</v>
      </c>
      <c r="L2916" s="5" t="s">
        <v>82</v>
      </c>
      <c r="M2916" s="11">
        <v>0.065000000000000002</v>
      </c>
      <c r="N2916" s="5" t="e">
        <f>IF(AND(M2916&gt;#REF!,Cartera!O2916="Guaraníes"),"Rendimiento significativo",IF(AND(M2916&gt;#REF!,Cartera!O2916="Dólares americanos"),"Rendimiento significativo","Rendimiento no significativo"))</f>
        <v>#REF!</v>
      </c>
      <c r="O2916" s="5" t="s">
        <v>41</v>
      </c>
      <c r="P2916" s="12">
        <v>4861644</v>
      </c>
      <c r="Q2916" s="12">
        <f>IF(O2916="Guaraníes",P2916,P2916*#REF!)</f>
        <v>4861644</v>
      </c>
      <c r="R2916" s="12" t="e">
        <f>IF(O2916="Guaraníes",P2916/#REF!,P2916)</f>
        <v>#REF!</v>
      </c>
      <c r="S2916" s="5" t="s">
        <v>52</v>
      </c>
      <c r="V2916" s="5">
        <v>4861644</v>
      </c>
      <c r="W2916" s="5" t="s">
        <v>611</v>
      </c>
      <c r="AC2916" s="5" t="str">
        <f t="shared" si="139"/>
        <v>CDA</v>
      </c>
      <c r="AD2916" s="5" t="s">
        <v>43</v>
      </c>
      <c r="AE2916" s="5">
        <f t="shared" si="140"/>
        <v>1</v>
      </c>
      <c r="AF2916" s="5">
        <f t="shared" si="141"/>
        <v>2024</v>
      </c>
    </row>
    <row r="2917" s="5" customFormat="1" ht="13">
      <c r="A2917" s="5" t="s">
        <v>44</v>
      </c>
      <c r="B2917" s="5" t="s">
        <v>44</v>
      </c>
      <c r="C2917" s="5" t="s">
        <v>116</v>
      </c>
      <c r="D2917" s="5" t="s">
        <v>21</v>
      </c>
      <c r="E2917" s="5" t="s">
        <v>44</v>
      </c>
      <c r="F2917" s="5" t="s">
        <v>68</v>
      </c>
      <c r="H2917" s="9">
        <v>6208</v>
      </c>
      <c r="I2917" s="10"/>
      <c r="J2917" s="10">
        <v>45335</v>
      </c>
      <c r="K2917" s="5" t="s">
        <v>118</v>
      </c>
      <c r="L2917" s="5" t="s">
        <v>82</v>
      </c>
      <c r="M2917" s="11">
        <v>0.080000000000000002</v>
      </c>
      <c r="N2917" s="5" t="e">
        <f>IF(AND(M2917&gt;#REF!,Cartera!O2917="Guaraníes"),"Rendimiento significativo",IF(AND(M2917&gt;#REF!,Cartera!O2917="Dólares americanos"),"Rendimiento significativo","Rendimiento no significativo"))</f>
        <v>#REF!</v>
      </c>
      <c r="O2917" s="5" t="s">
        <v>41</v>
      </c>
      <c r="P2917" s="12">
        <v>1992329</v>
      </c>
      <c r="Q2917" s="12">
        <f>IF(O2917="Guaraníes",P2917,P2917*#REF!)</f>
        <v>1992329</v>
      </c>
      <c r="R2917" s="12" t="e">
        <f>IF(O2917="Guaraníes",P2917/#REF!,P2917)</f>
        <v>#REF!</v>
      </c>
      <c r="S2917" s="5" t="s">
        <v>52</v>
      </c>
      <c r="V2917" s="5">
        <v>1992329</v>
      </c>
      <c r="W2917" s="5" t="s">
        <v>593</v>
      </c>
      <c r="AC2917" s="5" t="str">
        <f t="shared" si="139"/>
        <v>CDA</v>
      </c>
      <c r="AD2917" s="5" t="s">
        <v>43</v>
      </c>
      <c r="AE2917" s="5">
        <f t="shared" si="140"/>
        <v>2</v>
      </c>
      <c r="AF2917" s="5">
        <f t="shared" si="141"/>
        <v>2024</v>
      </c>
    </row>
    <row r="2918" s="5" customFormat="1" ht="13">
      <c r="A2918" s="5" t="s">
        <v>44</v>
      </c>
      <c r="B2918" s="5" t="s">
        <v>44</v>
      </c>
      <c r="C2918" s="5" t="s">
        <v>183</v>
      </c>
      <c r="D2918" s="5" t="s">
        <v>21</v>
      </c>
      <c r="E2918" s="5" t="s">
        <v>44</v>
      </c>
      <c r="F2918" s="5" t="s">
        <v>184</v>
      </c>
      <c r="H2918" s="9">
        <v>6217</v>
      </c>
      <c r="I2918" s="10"/>
      <c r="J2918" s="10">
        <v>45358</v>
      </c>
      <c r="K2918" s="5" t="s">
        <v>124</v>
      </c>
      <c r="L2918" s="5" t="s">
        <v>82</v>
      </c>
      <c r="M2918" s="11">
        <v>0.072499999999999995</v>
      </c>
      <c r="N2918" s="5" t="e">
        <f>IF(AND(M2918&gt;#REF!,Cartera!O2918="Guaraníes"),"Rendimiento significativo",IF(AND(M2918&gt;#REF!,Cartera!O2918="Dólares americanos"),"Rendimiento significativo","Rendimiento no significativo"))</f>
        <v>#REF!</v>
      </c>
      <c r="O2918" s="5" t="s">
        <v>41</v>
      </c>
      <c r="P2918" s="12">
        <v>17252690</v>
      </c>
      <c r="Q2918" s="12">
        <f>IF(O2918="Guaraníes",P2918,P2918*#REF!)</f>
        <v>17252690</v>
      </c>
      <c r="R2918" s="12" t="e">
        <f>IF(O2918="Guaraníes",P2918/#REF!,P2918)</f>
        <v>#REF!</v>
      </c>
      <c r="S2918" s="5" t="s">
        <v>52</v>
      </c>
      <c r="V2918" s="5">
        <v>17252690</v>
      </c>
      <c r="W2918" s="5" t="s">
        <v>690</v>
      </c>
      <c r="AC2918" s="5" t="str">
        <f t="shared" si="139"/>
        <v>CDA</v>
      </c>
      <c r="AD2918" s="5" t="s">
        <v>43</v>
      </c>
      <c r="AE2918" s="5">
        <f t="shared" si="140"/>
        <v>3</v>
      </c>
      <c r="AF2918" s="5">
        <f t="shared" si="141"/>
        <v>2024</v>
      </c>
    </row>
    <row r="2919" s="5" customFormat="1" ht="13">
      <c r="A2919" s="5" t="s">
        <v>44</v>
      </c>
      <c r="B2919" s="5" t="s">
        <v>44</v>
      </c>
      <c r="C2919" s="5" t="s">
        <v>227</v>
      </c>
      <c r="D2919" s="5" t="s">
        <v>21</v>
      </c>
      <c r="E2919" s="5" t="s">
        <v>44</v>
      </c>
      <c r="F2919" s="5" t="s">
        <v>68</v>
      </c>
      <c r="H2919" s="9">
        <v>301</v>
      </c>
      <c r="I2919" s="10"/>
      <c r="J2919" s="10">
        <v>45362</v>
      </c>
      <c r="K2919" s="5" t="s">
        <v>77</v>
      </c>
      <c r="L2919" s="5" t="s">
        <v>82</v>
      </c>
      <c r="M2919" s="11">
        <v>0.059999999999999998</v>
      </c>
      <c r="N2919" s="5" t="e">
        <f>IF(AND(M2919&gt;#REF!,Cartera!O2919="Guaraníes"),"Rendimiento significativo",IF(AND(M2919&gt;#REF!,Cartera!O2919="Dólares americanos"),"Rendimiento significativo","Rendimiento no significativo"))</f>
        <v>#REF!</v>
      </c>
      <c r="O2919" s="5" t="s">
        <v>41</v>
      </c>
      <c r="P2919" s="12">
        <v>3002740</v>
      </c>
      <c r="Q2919" s="12">
        <f>IF(O2919="Guaraníes",P2919,P2919*#REF!)</f>
        <v>3002740</v>
      </c>
      <c r="R2919" s="12" t="e">
        <f>IF(O2919="Guaraníes",P2919/#REF!,P2919)</f>
        <v>#REF!</v>
      </c>
      <c r="S2919" s="5" t="s">
        <v>52</v>
      </c>
      <c r="V2919" s="5">
        <v>3002740</v>
      </c>
      <c r="W2919" s="5" t="s">
        <v>691</v>
      </c>
      <c r="AC2919" s="5" t="str">
        <f t="shared" si="139"/>
        <v>CDA</v>
      </c>
      <c r="AD2919" s="5" t="s">
        <v>43</v>
      </c>
      <c r="AE2919" s="5">
        <f t="shared" si="140"/>
        <v>3</v>
      </c>
      <c r="AF2919" s="5">
        <f t="shared" si="141"/>
        <v>2024</v>
      </c>
    </row>
    <row r="2920" s="5" customFormat="1" ht="13">
      <c r="A2920" s="5" t="s">
        <v>44</v>
      </c>
      <c r="B2920" s="5" t="s">
        <v>44</v>
      </c>
      <c r="C2920" s="5" t="s">
        <v>74</v>
      </c>
      <c r="D2920" s="5" t="s">
        <v>21</v>
      </c>
      <c r="E2920" s="5" t="s">
        <v>44</v>
      </c>
      <c r="F2920" s="5" t="s">
        <v>68</v>
      </c>
      <c r="H2920" s="9">
        <v>1093</v>
      </c>
      <c r="I2920" s="10"/>
      <c r="J2920" s="10">
        <v>45397</v>
      </c>
      <c r="K2920" s="5" t="s">
        <v>77</v>
      </c>
      <c r="L2920" s="5" t="s">
        <v>82</v>
      </c>
      <c r="M2920" s="11">
        <v>0.065000000000000002</v>
      </c>
      <c r="N2920" s="5" t="e">
        <f>IF(AND(M2920&gt;#REF!,Cartera!O2920="Guaraníes"),"Rendimiento significativo",IF(AND(M2920&gt;#REF!,Cartera!O2920="Dólares americanos"),"Rendimiento significativo","Rendimiento no significativo"))</f>
        <v>#REF!</v>
      </c>
      <c r="O2920" s="5" t="s">
        <v>41</v>
      </c>
      <c r="P2920" s="12">
        <v>3205479</v>
      </c>
      <c r="Q2920" s="12">
        <f>IF(O2920="Guaraníes",P2920,P2920*#REF!)</f>
        <v>3205479</v>
      </c>
      <c r="R2920" s="12" t="e">
        <f>IF(O2920="Guaraníes",P2920/#REF!,P2920)</f>
        <v>#REF!</v>
      </c>
      <c r="S2920" s="5" t="s">
        <v>52</v>
      </c>
      <c r="V2920" s="5">
        <v>3205479</v>
      </c>
      <c r="W2920" s="5" t="s">
        <v>692</v>
      </c>
      <c r="AC2920" s="5" t="str">
        <f t="shared" si="139"/>
        <v>CDA</v>
      </c>
      <c r="AD2920" s="5" t="s">
        <v>43</v>
      </c>
      <c r="AE2920" s="5">
        <f t="shared" si="140"/>
        <v>4</v>
      </c>
      <c r="AF2920" s="5">
        <f t="shared" si="141"/>
        <v>2024</v>
      </c>
    </row>
    <row r="2921" s="5" customFormat="1" ht="13">
      <c r="A2921" s="5" t="s">
        <v>44</v>
      </c>
      <c r="B2921" s="5" t="s">
        <v>44</v>
      </c>
      <c r="C2921" s="5" t="s">
        <v>60</v>
      </c>
      <c r="D2921" s="5" t="s">
        <v>21</v>
      </c>
      <c r="E2921" s="5" t="s">
        <v>44</v>
      </c>
      <c r="F2921" s="5" t="s">
        <v>61</v>
      </c>
      <c r="H2921" s="9">
        <v>1044</v>
      </c>
      <c r="I2921" s="10"/>
      <c r="J2921" s="10">
        <v>45401</v>
      </c>
      <c r="K2921" s="5" t="s">
        <v>64</v>
      </c>
      <c r="L2921" s="5" t="s">
        <v>82</v>
      </c>
      <c r="M2921" s="11">
        <v>0.065000000000000002</v>
      </c>
      <c r="N2921" s="5" t="e">
        <f>IF(AND(M2921&gt;#REF!,Cartera!O2921="Guaraníes"),"Rendimiento significativo",IF(AND(M2921&gt;#REF!,Cartera!O2921="Dólares americanos"),"Rendimiento significativo","Rendimiento no significativo"))</f>
        <v>#REF!</v>
      </c>
      <c r="O2921" s="5" t="s">
        <v>41</v>
      </c>
      <c r="P2921" s="12">
        <v>3043866</v>
      </c>
      <c r="Q2921" s="12">
        <f>IF(O2921="Guaraníes",P2921,P2921*#REF!)</f>
        <v>3043866</v>
      </c>
      <c r="R2921" s="12" t="e">
        <f>IF(O2921="Guaraníes",P2921/#REF!,P2921)</f>
        <v>#REF!</v>
      </c>
      <c r="S2921" s="5" t="s">
        <v>52</v>
      </c>
      <c r="V2921" s="5">
        <v>3043866</v>
      </c>
      <c r="W2921" s="5" t="s">
        <v>691</v>
      </c>
      <c r="AC2921" s="5" t="str">
        <f t="shared" si="139"/>
        <v>CDA</v>
      </c>
      <c r="AD2921" s="5" t="s">
        <v>43</v>
      </c>
      <c r="AE2921" s="5">
        <f t="shared" si="140"/>
        <v>4</v>
      </c>
      <c r="AF2921" s="5">
        <f t="shared" si="141"/>
        <v>2024</v>
      </c>
    </row>
    <row r="2922" s="5" customFormat="1" ht="13">
      <c r="A2922" s="5" t="s">
        <v>44</v>
      </c>
      <c r="B2922" s="5" t="s">
        <v>44</v>
      </c>
      <c r="C2922" s="5" t="s">
        <v>183</v>
      </c>
      <c r="D2922" s="5" t="s">
        <v>21</v>
      </c>
      <c r="E2922" s="5" t="s">
        <v>44</v>
      </c>
      <c r="F2922" s="5" t="s">
        <v>184</v>
      </c>
      <c r="H2922" s="9">
        <v>6389</v>
      </c>
      <c r="I2922" s="10"/>
      <c r="J2922" s="10">
        <v>45421</v>
      </c>
      <c r="K2922" s="5" t="s">
        <v>124</v>
      </c>
      <c r="L2922" s="5" t="s">
        <v>82</v>
      </c>
      <c r="M2922" s="11">
        <v>0.079000000000000001</v>
      </c>
      <c r="N2922" s="5" t="e">
        <f>IF(AND(M2922&gt;#REF!,Cartera!O2922="Guaraníes"),"Rendimiento significativo",IF(AND(M2922&gt;#REF!,Cartera!O2922="Dólares americanos"),"Rendimiento significativo","Rendimiento no significativo"))</f>
        <v>#REF!</v>
      </c>
      <c r="O2922" s="5" t="s">
        <v>41</v>
      </c>
      <c r="P2922" s="12">
        <v>9848020</v>
      </c>
      <c r="Q2922" s="12">
        <f>IF(O2922="Guaraníes",P2922,P2922*#REF!)</f>
        <v>9848020</v>
      </c>
      <c r="R2922" s="12" t="e">
        <f>IF(O2922="Guaraníes",P2922/#REF!,P2922)</f>
        <v>#REF!</v>
      </c>
      <c r="S2922" s="5" t="s">
        <v>52</v>
      </c>
      <c r="V2922" s="5">
        <v>9848020</v>
      </c>
      <c r="W2922" s="5" t="s">
        <v>344</v>
      </c>
      <c r="AC2922" s="5" t="str">
        <f t="shared" si="139"/>
        <v>CDA</v>
      </c>
      <c r="AD2922" s="5" t="s">
        <v>43</v>
      </c>
      <c r="AE2922" s="5">
        <f t="shared" si="140"/>
        <v>5</v>
      </c>
      <c r="AF2922" s="5">
        <f t="shared" si="141"/>
        <v>2024</v>
      </c>
    </row>
    <row r="2923" s="5" customFormat="1" ht="13">
      <c r="A2923" s="5" t="s">
        <v>44</v>
      </c>
      <c r="B2923" s="5" t="s">
        <v>44</v>
      </c>
      <c r="C2923" s="5" t="s">
        <v>183</v>
      </c>
      <c r="D2923" s="5" t="s">
        <v>21</v>
      </c>
      <c r="E2923" s="5" t="s">
        <v>44</v>
      </c>
      <c r="F2923" s="5" t="s">
        <v>184</v>
      </c>
      <c r="H2923" s="9">
        <v>6390</v>
      </c>
      <c r="I2923" s="10"/>
      <c r="J2923" s="10">
        <v>45421</v>
      </c>
      <c r="K2923" s="5" t="s">
        <v>124</v>
      </c>
      <c r="L2923" s="5" t="s">
        <v>82</v>
      </c>
      <c r="M2923" s="11">
        <v>0.079000000000000001</v>
      </c>
      <c r="N2923" s="5" t="e">
        <f>IF(AND(M2923&gt;#REF!,Cartera!O2923="Guaraníes"),"Rendimiento significativo",IF(AND(M2923&gt;#REF!,Cartera!O2923="Dólares americanos"),"Rendimiento significativo","Rendimiento no significativo"))</f>
        <v>#REF!</v>
      </c>
      <c r="O2923" s="5" t="s">
        <v>41</v>
      </c>
      <c r="P2923" s="12">
        <v>9848020</v>
      </c>
      <c r="Q2923" s="12">
        <f>IF(O2923="Guaraníes",P2923,P2923*#REF!)</f>
        <v>9848020</v>
      </c>
      <c r="R2923" s="12" t="e">
        <f>IF(O2923="Guaraníes",P2923/#REF!,P2923)</f>
        <v>#REF!</v>
      </c>
      <c r="S2923" s="5" t="s">
        <v>52</v>
      </c>
      <c r="V2923" s="5">
        <v>9848020</v>
      </c>
      <c r="W2923" s="5" t="s">
        <v>344</v>
      </c>
      <c r="AC2923" s="5" t="str">
        <f t="shared" si="139"/>
        <v>CDA</v>
      </c>
      <c r="AD2923" s="5" t="s">
        <v>43</v>
      </c>
      <c r="AE2923" s="5">
        <f t="shared" si="140"/>
        <v>5</v>
      </c>
      <c r="AF2923" s="5">
        <f t="shared" si="141"/>
        <v>2024</v>
      </c>
    </row>
    <row r="2924" s="5" customFormat="1" ht="13">
      <c r="A2924" s="5" t="s">
        <v>44</v>
      </c>
      <c r="B2924" s="5" t="s">
        <v>44</v>
      </c>
      <c r="C2924" s="5" t="s">
        <v>183</v>
      </c>
      <c r="D2924" s="5" t="s">
        <v>21</v>
      </c>
      <c r="E2924" s="5" t="s">
        <v>44</v>
      </c>
      <c r="F2924" s="5" t="s">
        <v>184</v>
      </c>
      <c r="H2924" s="9">
        <v>6391</v>
      </c>
      <c r="I2924" s="10"/>
      <c r="J2924" s="10">
        <v>45421</v>
      </c>
      <c r="K2924" s="5" t="s">
        <v>124</v>
      </c>
      <c r="L2924" s="5" t="s">
        <v>82</v>
      </c>
      <c r="M2924" s="11">
        <v>0.079000000000000001</v>
      </c>
      <c r="N2924" s="5" t="e">
        <f>IF(AND(M2924&gt;#REF!,Cartera!O2924="Guaraníes"),"Rendimiento significativo",IF(AND(M2924&gt;#REF!,Cartera!O2924="Dólares americanos"),"Rendimiento significativo","Rendimiento no significativo"))</f>
        <v>#REF!</v>
      </c>
      <c r="O2924" s="5" t="s">
        <v>41</v>
      </c>
      <c r="P2924" s="12">
        <v>9848020</v>
      </c>
      <c r="Q2924" s="12">
        <f>IF(O2924="Guaraníes",P2924,P2924*#REF!)</f>
        <v>9848020</v>
      </c>
      <c r="R2924" s="12" t="e">
        <f>IF(O2924="Guaraníes",P2924/#REF!,P2924)</f>
        <v>#REF!</v>
      </c>
      <c r="S2924" s="5" t="s">
        <v>52</v>
      </c>
      <c r="V2924" s="5">
        <v>9848020</v>
      </c>
      <c r="W2924" s="5" t="s">
        <v>344</v>
      </c>
      <c r="AC2924" s="5" t="str">
        <f t="shared" si="139"/>
        <v>CDA</v>
      </c>
      <c r="AD2924" s="5" t="s">
        <v>43</v>
      </c>
      <c r="AE2924" s="5">
        <f t="shared" si="140"/>
        <v>5</v>
      </c>
      <c r="AF2924" s="5">
        <f t="shared" si="141"/>
        <v>2024</v>
      </c>
    </row>
    <row r="2925" s="5" customFormat="1" ht="13">
      <c r="A2925" s="5" t="s">
        <v>44</v>
      </c>
      <c r="B2925" s="5" t="s">
        <v>44</v>
      </c>
      <c r="C2925" s="5" t="s">
        <v>116</v>
      </c>
      <c r="D2925" s="5" t="s">
        <v>21</v>
      </c>
      <c r="E2925" s="5" t="s">
        <v>44</v>
      </c>
      <c r="F2925" s="5" t="s">
        <v>68</v>
      </c>
      <c r="H2925" s="9">
        <v>6208</v>
      </c>
      <c r="I2925" s="10"/>
      <c r="J2925" s="10">
        <v>45425</v>
      </c>
      <c r="K2925" s="5" t="s">
        <v>118</v>
      </c>
      <c r="L2925" s="5" t="s">
        <v>82</v>
      </c>
      <c r="M2925" s="11">
        <v>0.080000000000000002</v>
      </c>
      <c r="N2925" s="5" t="e">
        <f>IF(AND(M2925&gt;#REF!,Cartera!O2925="Guaraníes"),"Rendimiento significativo",IF(AND(M2925&gt;#REF!,Cartera!O2925="Dólares americanos"),"Rendimiento significativo","Rendimiento no significativo"))</f>
        <v>#REF!</v>
      </c>
      <c r="O2925" s="5" t="s">
        <v>41</v>
      </c>
      <c r="P2925" s="12">
        <v>1992329</v>
      </c>
      <c r="Q2925" s="12">
        <f>IF(O2925="Guaraníes",P2925,P2925*#REF!)</f>
        <v>1992329</v>
      </c>
      <c r="R2925" s="12" t="e">
        <f>IF(O2925="Guaraníes",P2925/#REF!,P2925)</f>
        <v>#REF!</v>
      </c>
      <c r="S2925" s="5" t="s">
        <v>52</v>
      </c>
      <c r="V2925" s="5">
        <v>1992329</v>
      </c>
      <c r="W2925" s="5" t="s">
        <v>598</v>
      </c>
      <c r="AC2925" s="5" t="str">
        <f t="shared" si="139"/>
        <v>CDA</v>
      </c>
      <c r="AD2925" s="5" t="s">
        <v>43</v>
      </c>
      <c r="AE2925" s="5">
        <f t="shared" si="140"/>
        <v>5</v>
      </c>
      <c r="AF2925" s="5">
        <f t="shared" si="141"/>
        <v>2024</v>
      </c>
    </row>
    <row r="2926" s="5" customFormat="1" ht="13">
      <c r="A2926" s="5" t="s">
        <v>44</v>
      </c>
      <c r="B2926" s="5" t="s">
        <v>44</v>
      </c>
      <c r="C2926" s="5" t="s">
        <v>116</v>
      </c>
      <c r="D2926" s="5" t="s">
        <v>21</v>
      </c>
      <c r="E2926" s="5" t="s">
        <v>44</v>
      </c>
      <c r="F2926" s="5" t="s">
        <v>68</v>
      </c>
      <c r="H2926" s="9">
        <v>1519</v>
      </c>
      <c r="I2926" s="10"/>
      <c r="J2926" s="10">
        <v>45436</v>
      </c>
      <c r="K2926" s="5" t="s">
        <v>118</v>
      </c>
      <c r="L2926" s="5" t="s">
        <v>82</v>
      </c>
      <c r="M2926" s="11">
        <v>0.105</v>
      </c>
      <c r="N2926" s="5" t="e">
        <f>IF(AND(M2926&gt;#REF!,Cartera!O2926="Guaraníes"),"Rendimiento significativo",IF(AND(M2926&gt;#REF!,Cartera!O2926="Dólares americanos"),"Rendimiento significativo","Rendimiento no significativo"))</f>
        <v>#REF!</v>
      </c>
      <c r="O2926" s="5" t="s">
        <v>51</v>
      </c>
      <c r="P2926" s="13">
        <v>872.60000000000002</v>
      </c>
      <c r="Q2926" s="12" t="e">
        <f>IF(O2926="Guaraníes",P2926,P2926*#REF!)</f>
        <v>#REF!</v>
      </c>
      <c r="R2926" s="12">
        <f>IF(O2926="Guaraníes",P2926/#REF!,P2926)</f>
        <v>872.60000000000002</v>
      </c>
      <c r="S2926" s="5" t="s">
        <v>52</v>
      </c>
      <c r="V2926" s="5">
        <v>872.60000000000002</v>
      </c>
      <c r="W2926" s="5" t="s">
        <v>693</v>
      </c>
      <c r="AC2926" s="5" t="str">
        <f t="shared" si="139"/>
        <v>CDA</v>
      </c>
      <c r="AD2926" s="5" t="s">
        <v>43</v>
      </c>
      <c r="AE2926" s="5">
        <f t="shared" si="140"/>
        <v>5</v>
      </c>
      <c r="AF2926" s="5">
        <f t="shared" si="141"/>
        <v>2024</v>
      </c>
    </row>
    <row r="2927" s="5" customFormat="1" ht="13">
      <c r="A2927" s="5" t="s">
        <v>44</v>
      </c>
      <c r="B2927" s="5" t="s">
        <v>44</v>
      </c>
      <c r="C2927" s="5" t="s">
        <v>227</v>
      </c>
      <c r="D2927" s="5" t="s">
        <v>21</v>
      </c>
      <c r="E2927" s="5" t="s">
        <v>44</v>
      </c>
      <c r="F2927" s="5" t="s">
        <v>68</v>
      </c>
      <c r="H2927" s="9">
        <v>301</v>
      </c>
      <c r="I2927" s="10"/>
      <c r="J2927" s="10">
        <v>45453</v>
      </c>
      <c r="K2927" s="5" t="s">
        <v>77</v>
      </c>
      <c r="L2927" s="5" t="s">
        <v>82</v>
      </c>
      <c r="M2927" s="11">
        <v>0.059999999999999998</v>
      </c>
      <c r="N2927" s="5" t="e">
        <f>IF(AND(M2927&gt;#REF!,Cartera!O2927="Guaraníes"),"Rendimiento significativo",IF(AND(M2927&gt;#REF!,Cartera!O2927="Dólares americanos"),"Rendimiento significativo","Rendimiento no significativo"))</f>
        <v>#REF!</v>
      </c>
      <c r="O2927" s="5" t="s">
        <v>41</v>
      </c>
      <c r="P2927" s="12">
        <v>3002740</v>
      </c>
      <c r="Q2927" s="12">
        <f>IF(O2927="Guaraníes",P2927,P2927*#REF!)</f>
        <v>3002740</v>
      </c>
      <c r="R2927" s="12" t="e">
        <f>IF(O2927="Guaraníes",P2927/#REF!,P2927)</f>
        <v>#REF!</v>
      </c>
      <c r="S2927" s="5" t="s">
        <v>52</v>
      </c>
      <c r="V2927" s="5">
        <v>3002740</v>
      </c>
      <c r="W2927" s="5" t="s">
        <v>694</v>
      </c>
      <c r="AC2927" s="5" t="str">
        <f t="shared" si="139"/>
        <v>CDA</v>
      </c>
      <c r="AD2927" s="5" t="s">
        <v>43</v>
      </c>
      <c r="AE2927" s="5">
        <f t="shared" si="140"/>
        <v>6</v>
      </c>
      <c r="AF2927" s="5">
        <f t="shared" si="141"/>
        <v>2024</v>
      </c>
    </row>
    <row r="2928" s="5" customFormat="1" ht="13">
      <c r="A2928" s="5" t="s">
        <v>44</v>
      </c>
      <c r="B2928" s="5" t="s">
        <v>44</v>
      </c>
      <c r="C2928" s="5" t="s">
        <v>74</v>
      </c>
      <c r="D2928" s="5" t="s">
        <v>21</v>
      </c>
      <c r="E2928" s="5" t="s">
        <v>44</v>
      </c>
      <c r="F2928" s="5" t="s">
        <v>68</v>
      </c>
      <c r="H2928" s="9">
        <v>1093</v>
      </c>
      <c r="I2928" s="10"/>
      <c r="J2928" s="10">
        <v>45488</v>
      </c>
      <c r="K2928" s="5" t="s">
        <v>77</v>
      </c>
      <c r="L2928" s="5" t="s">
        <v>82</v>
      </c>
      <c r="M2928" s="11">
        <v>0.065000000000000002</v>
      </c>
      <c r="N2928" s="5" t="e">
        <f>IF(AND(M2928&gt;#REF!,Cartera!O2928="Guaraníes"),"Rendimiento significativo",IF(AND(M2928&gt;#REF!,Cartera!O2928="Dólares americanos"),"Rendimiento significativo","Rendimiento no significativo"))</f>
        <v>#REF!</v>
      </c>
      <c r="O2928" s="5" t="s">
        <v>41</v>
      </c>
      <c r="P2928" s="12">
        <v>3241096</v>
      </c>
      <c r="Q2928" s="12">
        <f>IF(O2928="Guaraníes",P2928,P2928*#REF!)</f>
        <v>3241096</v>
      </c>
      <c r="R2928" s="12" t="e">
        <f>IF(O2928="Guaraníes",P2928/#REF!,P2928)</f>
        <v>#REF!</v>
      </c>
      <c r="S2928" s="5" t="s">
        <v>52</v>
      </c>
      <c r="V2928" s="5">
        <v>3241096</v>
      </c>
      <c r="W2928" s="5" t="s">
        <v>695</v>
      </c>
      <c r="AC2928" s="5" t="str">
        <f t="shared" si="139"/>
        <v>CDA</v>
      </c>
      <c r="AD2928" s="5" t="s">
        <v>43</v>
      </c>
      <c r="AE2928" s="5">
        <f t="shared" si="140"/>
        <v>7</v>
      </c>
      <c r="AF2928" s="5">
        <f t="shared" si="141"/>
        <v>2024</v>
      </c>
    </row>
    <row r="2929" s="5" customFormat="1" ht="13">
      <c r="A2929" s="5" t="s">
        <v>44</v>
      </c>
      <c r="B2929" s="5" t="s">
        <v>44</v>
      </c>
      <c r="C2929" s="5" t="s">
        <v>60</v>
      </c>
      <c r="D2929" s="5" t="s">
        <v>21</v>
      </c>
      <c r="E2929" s="5" t="s">
        <v>44</v>
      </c>
      <c r="F2929" s="5" t="s">
        <v>61</v>
      </c>
      <c r="H2929" s="9">
        <v>1044</v>
      </c>
      <c r="I2929" s="10"/>
      <c r="J2929" s="10">
        <v>45492</v>
      </c>
      <c r="K2929" s="5" t="s">
        <v>64</v>
      </c>
      <c r="L2929" s="5" t="s">
        <v>82</v>
      </c>
      <c r="M2929" s="11">
        <v>0.065000000000000002</v>
      </c>
      <c r="N2929" s="5" t="e">
        <f>IF(AND(M2929&gt;#REF!,Cartera!O2929="Guaraníes"),"Rendimiento significativo",IF(AND(M2929&gt;#REF!,Cartera!O2929="Dólares americanos"),"Rendimiento significativo","Rendimiento no significativo"))</f>
        <v>#REF!</v>
      </c>
      <c r="O2929" s="5" t="s">
        <v>41</v>
      </c>
      <c r="P2929" s="12">
        <v>3043866</v>
      </c>
      <c r="Q2929" s="12">
        <f>IF(O2929="Guaraníes",P2929,P2929*#REF!)</f>
        <v>3043866</v>
      </c>
      <c r="R2929" s="12" t="e">
        <f>IF(O2929="Guaraníes",P2929/#REF!,P2929)</f>
        <v>#REF!</v>
      </c>
      <c r="S2929" s="5" t="s">
        <v>52</v>
      </c>
      <c r="V2929" s="5">
        <v>3043866</v>
      </c>
      <c r="W2929" s="5" t="s">
        <v>694</v>
      </c>
      <c r="AC2929" s="5" t="str">
        <f t="shared" si="139"/>
        <v>CDA</v>
      </c>
      <c r="AD2929" s="5" t="s">
        <v>43</v>
      </c>
      <c r="AE2929" s="5">
        <f t="shared" si="140"/>
        <v>7</v>
      </c>
      <c r="AF2929" s="5">
        <f t="shared" si="141"/>
        <v>2024</v>
      </c>
    </row>
    <row r="2930" s="5" customFormat="1" ht="13">
      <c r="A2930" s="5" t="s">
        <v>44</v>
      </c>
      <c r="B2930" s="5" t="s">
        <v>44</v>
      </c>
      <c r="C2930" s="5" t="s">
        <v>179</v>
      </c>
      <c r="D2930" s="5" t="s">
        <v>21</v>
      </c>
      <c r="E2930" s="5" t="s">
        <v>44</v>
      </c>
      <c r="F2930" s="5" t="s">
        <v>68</v>
      </c>
      <c r="G2930" s="5" t="s">
        <v>91</v>
      </c>
      <c r="H2930" s="9" t="s">
        <v>180</v>
      </c>
      <c r="I2930" s="20" t="s">
        <v>36</v>
      </c>
      <c r="J2930" s="10">
        <v>45526</v>
      </c>
      <c r="K2930" s="5" t="s">
        <v>124</v>
      </c>
      <c r="L2930" s="5" t="s">
        <v>181</v>
      </c>
      <c r="M2930" s="11">
        <v>0.082500000000000004</v>
      </c>
      <c r="N2930" s="5" t="e">
        <f>IF(AND(M2930&gt;#REF!,Cartera!O2930="Guaraníes"),"Rendimiento significativo",IF(AND(M2930&gt;#REF!,Cartera!O2930="Dólares americanos"),"Rendimiento significativo","Rendimiento no significativo"))</f>
        <v>#REF!</v>
      </c>
      <c r="O2930" s="5" t="s">
        <v>41</v>
      </c>
      <c r="P2930" s="12">
        <v>28954110</v>
      </c>
      <c r="Q2930" s="12">
        <f>IF(O2930="Guaraníes",P2930,P2930*#REF!)</f>
        <v>28954110</v>
      </c>
      <c r="R2930" s="12" t="e">
        <f>IF(O2930="Guaraníes",P2930/#REF!,P2930)</f>
        <v>#REF!</v>
      </c>
      <c r="S2930" s="5" t="s">
        <v>52</v>
      </c>
      <c r="AA2930" s="5">
        <v>700</v>
      </c>
      <c r="AC2930" s="5" t="str">
        <f t="shared" si="139"/>
        <v>Bonos</v>
      </c>
      <c r="AD2930" s="5" t="s">
        <v>43</v>
      </c>
      <c r="AE2930" s="5">
        <f t="shared" si="140"/>
        <v>8</v>
      </c>
      <c r="AF2930" s="5">
        <f t="shared" si="141"/>
        <v>2024</v>
      </c>
    </row>
    <row r="2931" s="5" customFormat="1" ht="13">
      <c r="A2931" s="5" t="s">
        <v>44</v>
      </c>
      <c r="B2931" s="5" t="s">
        <v>44</v>
      </c>
      <c r="C2931" s="5" t="s">
        <v>79</v>
      </c>
      <c r="D2931" s="5" t="s">
        <v>21</v>
      </c>
      <c r="E2931" s="5" t="s">
        <v>44</v>
      </c>
      <c r="F2931" s="5" t="s">
        <v>68</v>
      </c>
      <c r="H2931" s="9" t="s">
        <v>696</v>
      </c>
      <c r="I2931" s="20">
        <v>45252</v>
      </c>
      <c r="J2931" s="10">
        <v>45526</v>
      </c>
      <c r="K2931" s="5" t="s">
        <v>81</v>
      </c>
      <c r="L2931" s="5" t="s">
        <v>82</v>
      </c>
      <c r="M2931" s="11">
        <v>0.098000000000000004</v>
      </c>
      <c r="N2931" s="5" t="e">
        <f>IF(AND(M2931&gt;#REF!,Cartera!O2931="Guaraníes"),"Rendimiento significativo",IF(AND(M2931&gt;#REF!,Cartera!O2931="Dólares americanos"),"Rendimiento significativo","Rendimiento no significativo"))</f>
        <v>#REF!</v>
      </c>
      <c r="O2931" s="5" t="s">
        <v>41</v>
      </c>
      <c r="P2931" s="12">
        <v>12283562</v>
      </c>
      <c r="Q2931" s="12">
        <f>IF(O2931="Guaraníes",P2931,P2931*#REF!)</f>
        <v>12283562</v>
      </c>
      <c r="R2931" s="12" t="e">
        <f>IF(O2931="Guaraníes",P2931/#REF!,P2931)</f>
        <v>#REF!</v>
      </c>
      <c r="S2931" s="5" t="s">
        <v>52</v>
      </c>
      <c r="AC2931" s="5" t="str">
        <f t="shared" si="139"/>
        <v>CDA</v>
      </c>
      <c r="AD2931" s="5" t="s">
        <v>43</v>
      </c>
      <c r="AE2931" s="5">
        <f t="shared" si="140"/>
        <v>8</v>
      </c>
      <c r="AF2931" s="5">
        <f t="shared" si="141"/>
        <v>2024</v>
      </c>
    </row>
    <row r="2932" s="5" customFormat="1" ht="13">
      <c r="A2932" s="5" t="s">
        <v>44</v>
      </c>
      <c r="B2932" s="5" t="s">
        <v>44</v>
      </c>
      <c r="C2932" s="5" t="s">
        <v>138</v>
      </c>
      <c r="D2932" s="5" t="s">
        <v>21</v>
      </c>
      <c r="E2932" s="5" t="s">
        <v>44</v>
      </c>
      <c r="F2932" s="5" t="s">
        <v>68</v>
      </c>
      <c r="G2932" s="5" t="s">
        <v>86</v>
      </c>
      <c r="H2932" s="9" t="s">
        <v>139</v>
      </c>
      <c r="I2932" s="20">
        <v>43948</v>
      </c>
      <c r="J2932" s="10">
        <v>45530</v>
      </c>
      <c r="K2932" s="5" t="s">
        <v>140</v>
      </c>
      <c r="L2932" s="5" t="s">
        <v>58</v>
      </c>
      <c r="M2932" s="11">
        <v>0.11</v>
      </c>
      <c r="N2932" s="5" t="e">
        <f>IF(AND(M2932&gt;#REF!,Cartera!O2932="Guaraníes"),"Rendimiento significativo",IF(AND(M2932&gt;#REF!,Cartera!O2932="Dólares americanos"),"Rendimiento significativo","Rendimiento no significativo"))</f>
        <v>#REF!</v>
      </c>
      <c r="O2932" s="5" t="s">
        <v>41</v>
      </c>
      <c r="P2932" s="12">
        <v>934246.57530000003</v>
      </c>
      <c r="Q2932" s="12">
        <f>IF(O2932="Guaraníes",P2932,P2932*#REF!)</f>
        <v>934246.57530000003</v>
      </c>
      <c r="R2932" s="12" t="e">
        <f>IF(O2932="Guaraníes",P2932/#REF!,P2932)</f>
        <v>#REF!</v>
      </c>
      <c r="S2932" s="5" t="s">
        <v>52</v>
      </c>
      <c r="AC2932" s="5" t="str">
        <f t="shared" si="139"/>
        <v>Bonos</v>
      </c>
      <c r="AD2932" s="5" t="s">
        <v>43</v>
      </c>
      <c r="AE2932" s="5">
        <f t="shared" si="140"/>
        <v>8</v>
      </c>
      <c r="AF2932" s="5">
        <f t="shared" si="141"/>
        <v>2024</v>
      </c>
    </row>
    <row r="2933" s="5" customFormat="1" ht="13">
      <c r="A2933" s="5" t="s">
        <v>44</v>
      </c>
      <c r="B2933" s="5" t="s">
        <v>44</v>
      </c>
      <c r="C2933" s="5" t="s">
        <v>138</v>
      </c>
      <c r="D2933" s="5" t="s">
        <v>21</v>
      </c>
      <c r="E2933" s="5" t="s">
        <v>44</v>
      </c>
      <c r="F2933" s="5" t="s">
        <v>68</v>
      </c>
      <c r="G2933" s="5" t="s">
        <v>86</v>
      </c>
      <c r="H2933" s="9" t="s">
        <v>139</v>
      </c>
      <c r="I2933" s="10">
        <v>43948</v>
      </c>
      <c r="J2933" s="10">
        <v>45560</v>
      </c>
      <c r="K2933" s="5" t="s">
        <v>140</v>
      </c>
      <c r="L2933" s="5" t="s">
        <v>58</v>
      </c>
      <c r="M2933" s="11">
        <v>0.11</v>
      </c>
      <c r="N2933" s="5" t="e">
        <f>IF(AND(M2933&gt;#REF!,Cartera!O2933="Guaraníes"),"Rendimiento significativo",IF(AND(M2933&gt;#REF!,Cartera!O2933="Dólares americanos"),"Rendimiento significativo","Rendimiento no significativo"))</f>
        <v>#REF!</v>
      </c>
      <c r="O2933" s="5" t="s">
        <v>41</v>
      </c>
      <c r="P2933" s="12">
        <v>904109.58900000004</v>
      </c>
      <c r="Q2933" s="12">
        <f>IF(O2933="Guaraníes",P2933,P2933*#REF!)</f>
        <v>904109.58900000004</v>
      </c>
      <c r="R2933" s="12" t="e">
        <f>IF(O2933="Guaraníes",P2933/#REF!,P2933)</f>
        <v>#REF!</v>
      </c>
      <c r="S2933" s="5" t="s">
        <v>52</v>
      </c>
      <c r="AC2933" s="5" t="str">
        <f t="shared" si="139"/>
        <v>Bonos</v>
      </c>
      <c r="AD2933" s="5" t="s">
        <v>43</v>
      </c>
      <c r="AE2933" s="5">
        <f t="shared" si="140"/>
        <v>9</v>
      </c>
      <c r="AF2933" s="5">
        <f t="shared" si="141"/>
        <v>2024</v>
      </c>
    </row>
    <row r="2934" s="5" customFormat="1" ht="13">
      <c r="A2934" s="5">
        <v>12316</v>
      </c>
      <c r="B2934" s="5" t="s">
        <v>78</v>
      </c>
      <c r="C2934" s="5" t="s">
        <v>183</v>
      </c>
      <c r="D2934" s="5" t="s">
        <v>21</v>
      </c>
      <c r="E2934" s="5" t="s">
        <v>34</v>
      </c>
      <c r="F2934" s="5" t="s">
        <v>184</v>
      </c>
      <c r="H2934" s="9">
        <v>6390</v>
      </c>
      <c r="I2934" s="10"/>
      <c r="J2934" s="10">
        <v>46517</v>
      </c>
      <c r="K2934" s="5" t="s">
        <v>124</v>
      </c>
      <c r="L2934" s="5" t="s">
        <v>82</v>
      </c>
      <c r="M2934" s="11">
        <v>0.079000000000000001</v>
      </c>
      <c r="N2934" s="5" t="e">
        <f>IF(AND(M2934&gt;#REF!,Cartera!O2934="Guaraníes"),"Rendimiento significativo",IF(AND(M2934&gt;#REF!,Cartera!O2934="Dólares americanos"),"Rendimiento significativo","Rendimiento no significativo"))</f>
        <v>#REF!</v>
      </c>
      <c r="O2934" s="5" t="s">
        <v>41</v>
      </c>
      <c r="P2934" s="12">
        <v>9848020</v>
      </c>
      <c r="Q2934" s="12">
        <f>IF(O2934="Guaraníes",P2934,P2934*#REF!)</f>
        <v>9848020</v>
      </c>
      <c r="R2934" s="12" t="e">
        <f>IF(O2934="Guaraníes",P2934/#REF!,P2934)</f>
        <v>#REF!</v>
      </c>
      <c r="S2934" s="5" t="s">
        <v>42</v>
      </c>
      <c r="V2934" s="5">
        <v>9848020</v>
      </c>
      <c r="W2934" s="5" t="s">
        <v>369</v>
      </c>
      <c r="AC2934" s="5" t="str">
        <f t="shared" si="139"/>
        <v>CDA</v>
      </c>
      <c r="AD2934" s="5" t="s">
        <v>43</v>
      </c>
      <c r="AE2934" s="5">
        <f t="shared" si="140"/>
        <v>5</v>
      </c>
      <c r="AF2934" s="5">
        <f t="shared" si="141"/>
        <v>2027</v>
      </c>
    </row>
    <row r="2935" s="5" customFormat="1" ht="13">
      <c r="A2935" s="5" t="s">
        <v>44</v>
      </c>
      <c r="B2935" s="5" t="s">
        <v>44</v>
      </c>
      <c r="C2935" s="5" t="s">
        <v>33</v>
      </c>
      <c r="D2935" s="5" t="s">
        <v>21</v>
      </c>
      <c r="E2935" s="5" t="s">
        <v>44</v>
      </c>
      <c r="F2935" s="5" t="s">
        <v>35</v>
      </c>
      <c r="G2935" s="5" t="s">
        <v>141</v>
      </c>
      <c r="H2935" s="9" t="s">
        <v>214</v>
      </c>
      <c r="I2935" s="10">
        <v>45015</v>
      </c>
      <c r="J2935" s="10">
        <v>45561</v>
      </c>
      <c r="K2935" s="5" t="s">
        <v>39</v>
      </c>
      <c r="L2935" s="5" t="s">
        <v>106</v>
      </c>
      <c r="M2935" s="11">
        <v>0.092700000000000005</v>
      </c>
      <c r="N2935" s="5" t="e">
        <f>IF(AND(M2935&gt;#REF!,Cartera!O2935="Guaraníes"),"Rendimiento significativo",IF(AND(M2935&gt;#REF!,Cartera!O2935="Dólares americanos"),"Rendimiento significativo","Rendimiento no significativo"))</f>
        <v>#REF!</v>
      </c>
      <c r="O2935" s="5" t="s">
        <v>41</v>
      </c>
      <c r="P2935" s="12">
        <v>6933452.0547000002</v>
      </c>
      <c r="Q2935" s="12">
        <f>IF(O2935="Guaraníes",P2935,P2935*#REF!)</f>
        <v>6933452.0547000002</v>
      </c>
      <c r="R2935" s="12" t="e">
        <f>IF(O2935="Guaraníes",P2935/#REF!,P2935)</f>
        <v>#REF!</v>
      </c>
      <c r="S2935" s="5" t="s">
        <v>52</v>
      </c>
      <c r="AC2935" s="5" t="str">
        <f t="shared" ref="AC2935:AC2998" si="142">IF(ISNUMBER(SEARCH("Acciones",L2935)),"Acciones",IF(ISNUMBER(SEARCH("Bono",L2935)),"Bonos",IF(ISNUMBER(SEARCH("CDA",L2935)),"CDA",IF(ISNUMBER(SEARCH("Fondo",L2935)),"Fondo",0))))</f>
        <v>Bonos</v>
      </c>
      <c r="AD2935" s="5" t="s">
        <v>43</v>
      </c>
      <c r="AE2935" s="5">
        <f t="shared" si="140"/>
        <v>9</v>
      </c>
      <c r="AF2935" s="5">
        <f t="shared" si="141"/>
        <v>2024</v>
      </c>
    </row>
    <row r="2936" s="5" customFormat="1" ht="13">
      <c r="A2936" s="5" t="s">
        <v>44</v>
      </c>
      <c r="B2936" s="5" t="s">
        <v>44</v>
      </c>
      <c r="C2936" s="5" t="s">
        <v>111</v>
      </c>
      <c r="D2936" s="5" t="s">
        <v>21</v>
      </c>
      <c r="E2936" s="5" t="s">
        <v>44</v>
      </c>
      <c r="F2936" s="5" t="s">
        <v>68</v>
      </c>
      <c r="H2936" s="9">
        <v>730</v>
      </c>
      <c r="I2936" s="10">
        <v>45497</v>
      </c>
      <c r="J2936" s="10">
        <v>45587</v>
      </c>
      <c r="L2936" s="5" t="s">
        <v>82</v>
      </c>
      <c r="M2936" s="11">
        <v>0.058000000000000003</v>
      </c>
      <c r="N2936" s="5" t="e">
        <f>IF(AND(M2936&gt;#REF!,Cartera!O2936="Guaraníes"),"Rendimiento significativo",IF(AND(M2936&gt;#REF!,Cartera!O2936="Dólares americanos"),"Rendimiento significativo","Rendimiento no significativo"))</f>
        <v>#REF!</v>
      </c>
      <c r="O2936" s="5" t="s">
        <v>51</v>
      </c>
      <c r="P2936" s="18">
        <v>286.02999999999997</v>
      </c>
      <c r="Q2936" s="12" t="e">
        <f>IF(O2936="Guaraníes",P2936,P2936*#REF!)</f>
        <v>#REF!</v>
      </c>
      <c r="R2936" s="12">
        <f>IF(O2936="Guaraníes",P2936/#REF!,P2936)</f>
        <v>286.02999999999997</v>
      </c>
      <c r="S2936" s="5" t="s">
        <v>52</v>
      </c>
      <c r="AC2936" s="5" t="str">
        <f t="shared" si="142"/>
        <v>CDA</v>
      </c>
      <c r="AD2936" s="5" t="s">
        <v>43</v>
      </c>
      <c r="AE2936" s="5">
        <f t="shared" si="140"/>
        <v>10</v>
      </c>
      <c r="AF2936" s="5">
        <f t="shared" si="141"/>
        <v>2024</v>
      </c>
    </row>
    <row r="2937" s="5" customFormat="1" ht="13">
      <c r="A2937" s="5" t="s">
        <v>44</v>
      </c>
      <c r="B2937" s="5" t="s">
        <v>44</v>
      </c>
      <c r="C2937" s="5" t="s">
        <v>111</v>
      </c>
      <c r="D2937" s="5" t="s">
        <v>21</v>
      </c>
      <c r="E2937" s="5" t="s">
        <v>44</v>
      </c>
      <c r="F2937" s="12" t="s">
        <v>68</v>
      </c>
      <c r="G2937" s="12"/>
      <c r="H2937" s="9"/>
      <c r="I2937" s="10">
        <v>45497</v>
      </c>
      <c r="J2937" s="10">
        <v>45587</v>
      </c>
      <c r="L2937" s="5" t="s">
        <v>82</v>
      </c>
      <c r="M2937" s="11">
        <v>0.073999999999999996</v>
      </c>
      <c r="N2937" s="5" t="e">
        <f>IF(AND(M2937&gt;#REF!,Cartera!O2937="Guaraníes"),"Rendimiento significativo",IF(AND(M2937&gt;#REF!,Cartera!O2937="Dólares americanos"),"Rendimiento significativo","Rendimiento no significativo"))</f>
        <v>#REF!</v>
      </c>
      <c r="O2937" s="5" t="s">
        <v>41</v>
      </c>
      <c r="P2937" s="15">
        <v>3193151</v>
      </c>
      <c r="Q2937" s="12">
        <f>IF(O2937="Guaraníes",P2937,P2937*#REF!)</f>
        <v>3193151</v>
      </c>
      <c r="R2937" s="12" t="e">
        <f>IF(O2937="Guaraníes",P2937/#REF!,P2937)</f>
        <v>#REF!</v>
      </c>
      <c r="S2937" s="5" t="s">
        <v>52</v>
      </c>
      <c r="AC2937" s="5" t="str">
        <f t="shared" si="142"/>
        <v>CDA</v>
      </c>
      <c r="AD2937" s="5" t="s">
        <v>43</v>
      </c>
      <c r="AE2937" s="5">
        <f t="shared" si="140"/>
        <v>10</v>
      </c>
      <c r="AF2937" s="5">
        <f t="shared" si="141"/>
        <v>2024</v>
      </c>
    </row>
    <row r="2938" s="5" customFormat="1" ht="13">
      <c r="A2938" s="5" t="s">
        <v>44</v>
      </c>
      <c r="B2938" s="5" t="s">
        <v>44</v>
      </c>
      <c r="C2938" s="5" t="s">
        <v>79</v>
      </c>
      <c r="D2938" s="5" t="s">
        <v>21</v>
      </c>
      <c r="E2938" s="5" t="s">
        <v>44</v>
      </c>
      <c r="F2938" s="5" t="s">
        <v>68</v>
      </c>
      <c r="H2938" s="9" t="s">
        <v>109</v>
      </c>
      <c r="I2938" s="10">
        <v>45314</v>
      </c>
      <c r="J2938" s="10">
        <v>45588</v>
      </c>
      <c r="K2938" s="5" t="s">
        <v>81</v>
      </c>
      <c r="L2938" s="5" t="s">
        <v>82</v>
      </c>
      <c r="M2938" s="11">
        <v>0.098000000000000004</v>
      </c>
      <c r="N2938" s="5" t="e">
        <f>IF(AND(M2938&gt;#REF!,Cartera!O2938="Guaraníes"),"Rendimiento significativo",IF(AND(M2938&gt;#REF!,Cartera!O2938="Dólares americanos"),"Rendimiento significativo","Rendimiento no significativo"))</f>
        <v>#REF!</v>
      </c>
      <c r="O2938" s="5" t="s">
        <v>41</v>
      </c>
      <c r="P2938" s="12">
        <v>2579548</v>
      </c>
      <c r="Q2938" s="12">
        <f>IF(O2938="Guaraníes",P2938,P2938*#REF!)</f>
        <v>2579548</v>
      </c>
      <c r="R2938" s="12" t="e">
        <f>IF(O2938="Guaraníes",P2938/#REF!,P2938)</f>
        <v>#REF!</v>
      </c>
      <c r="S2938" s="5" t="s">
        <v>52</v>
      </c>
      <c r="AC2938" s="5" t="str">
        <f t="shared" si="142"/>
        <v>CDA</v>
      </c>
      <c r="AD2938" s="5" t="s">
        <v>43</v>
      </c>
      <c r="AE2938" s="5">
        <f t="shared" si="140"/>
        <v>10</v>
      </c>
      <c r="AF2938" s="5">
        <f t="shared" si="141"/>
        <v>2024</v>
      </c>
    </row>
    <row r="2939" s="5" customFormat="1" ht="13">
      <c r="A2939" s="5" t="s">
        <v>44</v>
      </c>
      <c r="B2939" s="5" t="s">
        <v>44</v>
      </c>
      <c r="C2939" s="5" t="s">
        <v>79</v>
      </c>
      <c r="D2939" s="5" t="s">
        <v>21</v>
      </c>
      <c r="E2939" s="5" t="s">
        <v>44</v>
      </c>
      <c r="F2939" s="5" t="s">
        <v>68</v>
      </c>
      <c r="H2939" s="9" t="s">
        <v>175</v>
      </c>
      <c r="I2939" s="10">
        <v>45338</v>
      </c>
      <c r="J2939" s="10">
        <v>45614</v>
      </c>
      <c r="K2939" s="5" t="s">
        <v>81</v>
      </c>
      <c r="L2939" s="5" t="s">
        <v>82</v>
      </c>
      <c r="M2939" s="11">
        <v>0.042000000000000003</v>
      </c>
      <c r="N2939" s="5" t="e">
        <f>IF(AND(M2939&gt;#REF!,Cartera!O2939="Guaraníes"),"Rendimiento significativo",IF(AND(M2939&gt;#REF!,Cartera!O2939="Dólares americanos"),"Rendimiento significativo","Rendimiento no significativo"))</f>
        <v>#REF!</v>
      </c>
      <c r="O2939" s="5" t="s">
        <v>51</v>
      </c>
      <c r="P2939" s="13">
        <v>739</v>
      </c>
      <c r="Q2939" s="12" t="e">
        <f>IF(O2939="Guaraníes",P2939,P2939*#REF!)</f>
        <v>#REF!</v>
      </c>
      <c r="R2939" s="12">
        <f>IF(O2939="Guaraníes",P2939/#REF!,P2939)</f>
        <v>739</v>
      </c>
      <c r="S2939" s="5" t="s">
        <v>52</v>
      </c>
      <c r="AC2939" s="5" t="str">
        <f t="shared" si="142"/>
        <v>CDA</v>
      </c>
      <c r="AD2939" s="5" t="s">
        <v>43</v>
      </c>
      <c r="AE2939" s="5">
        <f t="shared" si="140"/>
        <v>11</v>
      </c>
      <c r="AF2939" s="5">
        <f t="shared" si="141"/>
        <v>2024</v>
      </c>
    </row>
    <row r="2940" s="5" customFormat="1" ht="13">
      <c r="A2940" s="5" t="s">
        <v>44</v>
      </c>
      <c r="B2940" s="5" t="s">
        <v>44</v>
      </c>
      <c r="C2940" s="5" t="s">
        <v>33</v>
      </c>
      <c r="D2940" s="5" t="s">
        <v>21</v>
      </c>
      <c r="E2940" s="5" t="s">
        <v>44</v>
      </c>
      <c r="F2940" s="5" t="s">
        <v>35</v>
      </c>
      <c r="G2940" s="5" t="s">
        <v>75</v>
      </c>
      <c r="H2940" s="9" t="s">
        <v>186</v>
      </c>
      <c r="I2940" s="10"/>
      <c r="J2940" s="10">
        <v>45637</v>
      </c>
      <c r="K2940" s="5" t="s">
        <v>39</v>
      </c>
      <c r="L2940" s="5" t="s">
        <v>50</v>
      </c>
      <c r="M2940" s="11">
        <v>0.044999999999999998</v>
      </c>
      <c r="N2940" s="5" t="e">
        <f>IF(AND(M2940&gt;#REF!,Cartera!O2940="Guaraníes"),"Rendimiento significativo",IF(AND(M2940&gt;#REF!,Cartera!O2940="Dólares americanos"),"Rendimiento significativo","Rendimiento no significativo"))</f>
        <v>#REF!</v>
      </c>
      <c r="O2940" s="5" t="s">
        <v>51</v>
      </c>
      <c r="P2940" s="13">
        <v>336.57533999999998</v>
      </c>
      <c r="Q2940" s="12" t="e">
        <f>IF(O2940="Guaraníes",P2940,P2940*#REF!)</f>
        <v>#REF!</v>
      </c>
      <c r="R2940" s="12">
        <f>IF(O2940="Guaraníes",P2940/#REF!,P2940)</f>
        <v>336.57533999999998</v>
      </c>
      <c r="S2940" s="5" t="s">
        <v>52</v>
      </c>
      <c r="T2940" s="5">
        <v>25</v>
      </c>
      <c r="W2940" s="5" t="s">
        <v>65</v>
      </c>
      <c r="X2940" s="5">
        <v>0</v>
      </c>
      <c r="Y2940" s="5">
        <v>0</v>
      </c>
      <c r="Z2940" s="5">
        <v>11.219177999999999</v>
      </c>
      <c r="AA2940" s="5">
        <v>30</v>
      </c>
      <c r="AB2940" s="5">
        <v>336.57533999999998</v>
      </c>
      <c r="AC2940" s="5" t="str">
        <f t="shared" si="142"/>
        <v>Bonos</v>
      </c>
      <c r="AD2940" s="5" t="s">
        <v>43</v>
      </c>
      <c r="AE2940" s="5">
        <f t="shared" si="140"/>
        <v>12</v>
      </c>
      <c r="AF2940" s="5">
        <f t="shared" si="141"/>
        <v>2024</v>
      </c>
    </row>
    <row r="2941" s="5" customFormat="1" ht="13">
      <c r="A2941" s="5" t="s">
        <v>368</v>
      </c>
      <c r="B2941" s="5" t="s">
        <v>368</v>
      </c>
      <c r="C2941" s="5" t="s">
        <v>67</v>
      </c>
      <c r="D2941" s="5" t="s">
        <v>20</v>
      </c>
      <c r="E2941" s="5" t="s">
        <v>34</v>
      </c>
      <c r="F2941" s="5" t="s">
        <v>68</v>
      </c>
      <c r="G2941" s="5" t="s">
        <v>91</v>
      </c>
      <c r="H2941" s="9" t="s">
        <v>110</v>
      </c>
      <c r="I2941" s="10"/>
      <c r="J2941" s="10">
        <v>45615</v>
      </c>
      <c r="K2941" s="5" t="s">
        <v>71</v>
      </c>
      <c r="L2941" s="5" t="s">
        <v>58</v>
      </c>
      <c r="M2941" s="11">
        <v>0.089999999999999997</v>
      </c>
      <c r="N2941" s="5" t="e">
        <f>IF(AND(M2941&gt;#REF!,Cartera!O2941="Guaraníes"),"Rendimiento significativo",IF(AND(M2941&gt;#REF!,Cartera!O2941="Dólares americanos"),"Rendimiento significativo","Rendimiento no significativo"))</f>
        <v>#REF!</v>
      </c>
      <c r="O2941" s="5" t="s">
        <v>51</v>
      </c>
      <c r="P2941" s="13">
        <v>2000</v>
      </c>
      <c r="Q2941" s="12" t="e">
        <f>IF(O2941="Guaraníes",P2941,P2941*#REF!)</f>
        <v>#REF!</v>
      </c>
      <c r="R2941" s="12">
        <f>IF(O2941="Guaraníes",P2941/#REF!,P2941)</f>
        <v>2000</v>
      </c>
      <c r="S2941" s="5" t="s">
        <v>52</v>
      </c>
      <c r="AC2941" s="5" t="str">
        <f t="shared" si="142"/>
        <v>Bonos</v>
      </c>
      <c r="AD2941" s="5" t="s">
        <v>43</v>
      </c>
      <c r="AE2941" s="5">
        <f t="shared" si="140"/>
        <v>11</v>
      </c>
      <c r="AF2941" s="5">
        <f t="shared" si="141"/>
        <v>2024</v>
      </c>
    </row>
    <row r="2942" s="5" customFormat="1" ht="13">
      <c r="A2942" s="5" t="s">
        <v>44</v>
      </c>
      <c r="B2942" s="5" t="s">
        <v>44</v>
      </c>
      <c r="C2942" s="5" t="s">
        <v>176</v>
      </c>
      <c r="D2942" s="5" t="s">
        <v>21</v>
      </c>
      <c r="E2942" s="5" t="s">
        <v>44</v>
      </c>
      <c r="F2942" s="5" t="s">
        <v>68</v>
      </c>
      <c r="G2942" s="5" t="s">
        <v>91</v>
      </c>
      <c r="H2942" s="9" t="s">
        <v>177</v>
      </c>
      <c r="I2942" s="10"/>
      <c r="J2942" s="10">
        <v>45616</v>
      </c>
      <c r="K2942" s="5" t="s">
        <v>178</v>
      </c>
      <c r="L2942" s="5" t="s">
        <v>58</v>
      </c>
      <c r="M2942" s="11">
        <v>0.085000000000000006</v>
      </c>
      <c r="N2942" s="5" t="e">
        <f>IF(AND(M2942&gt;#REF!,Cartera!O2942="Guaraníes"),"Rendimiento significativo",IF(AND(M2942&gt;#REF!,Cartera!O2942="Dólares americanos"),"Rendimiento significativo","Rendimiento no significativo"))</f>
        <v>#REF!</v>
      </c>
      <c r="O2942" s="5" t="s">
        <v>51</v>
      </c>
      <c r="P2942" s="13">
        <v>560.95890000000009</v>
      </c>
      <c r="Q2942" s="12" t="e">
        <f>IF(O2942="Guaraníes",P2942,P2942*#REF!)</f>
        <v>#REF!</v>
      </c>
      <c r="R2942" s="12">
        <f>IF(O2942="Guaraníes",P2942/#REF!,P2942)</f>
        <v>560.95890000000009</v>
      </c>
      <c r="S2942" s="5" t="s">
        <v>52</v>
      </c>
      <c r="T2942" s="5">
        <v>3253</v>
      </c>
      <c r="W2942" s="5" t="s">
        <v>65</v>
      </c>
      <c r="X2942" s="5">
        <v>0</v>
      </c>
      <c r="Y2942" s="5">
        <v>0</v>
      </c>
      <c r="Z2942" s="5">
        <v>18.698630000000001</v>
      </c>
      <c r="AA2942" s="5">
        <v>30</v>
      </c>
      <c r="AB2942" s="5">
        <v>560.95889999999997</v>
      </c>
      <c r="AC2942" s="5" t="str">
        <f t="shared" si="142"/>
        <v>Bonos</v>
      </c>
      <c r="AD2942" s="5" t="s">
        <v>43</v>
      </c>
      <c r="AE2942" s="5">
        <f t="shared" si="140"/>
        <v>11</v>
      </c>
      <c r="AF2942" s="5">
        <f t="shared" si="141"/>
        <v>2024</v>
      </c>
    </row>
    <row r="2943" s="5" customFormat="1" ht="13">
      <c r="A2943" s="5" t="s">
        <v>44</v>
      </c>
      <c r="B2943" s="5" t="s">
        <v>44</v>
      </c>
      <c r="C2943" s="5" t="s">
        <v>222</v>
      </c>
      <c r="D2943" s="5" t="s">
        <v>21</v>
      </c>
      <c r="E2943" s="5" t="s">
        <v>44</v>
      </c>
      <c r="F2943" s="5" t="s">
        <v>68</v>
      </c>
      <c r="G2943" s="5" t="s">
        <v>91</v>
      </c>
      <c r="H2943" s="9" t="s">
        <v>223</v>
      </c>
      <c r="I2943" s="10"/>
      <c r="J2943" s="10">
        <v>45617</v>
      </c>
      <c r="K2943" s="5" t="s">
        <v>127</v>
      </c>
      <c r="L2943" s="5" t="s">
        <v>50</v>
      </c>
      <c r="M2943" s="11">
        <v>0.070000000000000007</v>
      </c>
      <c r="N2943" s="5" t="e">
        <f>IF(AND(M2943&gt;#REF!,Cartera!O2943="Guaraníes"),"Rendimiento significativo",IF(AND(M2943&gt;#REF!,Cartera!O2943="Dólares americanos"),"Rendimiento significativo","Rendimiento no significativo"))</f>
        <v>#REF!</v>
      </c>
      <c r="O2943" s="5" t="s">
        <v>51</v>
      </c>
      <c r="P2943" s="13">
        <v>1745.2</v>
      </c>
      <c r="Q2943" s="12" t="e">
        <f>IF(O2943="Guaraníes",P2943,P2943*#REF!)</f>
        <v>#REF!</v>
      </c>
      <c r="R2943" s="12">
        <f>IF(O2943="Guaraníes",P2943/#REF!,P2943)</f>
        <v>1745.2</v>
      </c>
      <c r="S2943" s="5" t="s">
        <v>52</v>
      </c>
      <c r="T2943" s="5">
        <v>3253</v>
      </c>
      <c r="W2943" s="5" t="s">
        <v>65</v>
      </c>
      <c r="X2943" s="5">
        <v>0</v>
      </c>
      <c r="Y2943" s="5">
        <v>0</v>
      </c>
      <c r="Z2943" s="5">
        <v>34.904110000000003</v>
      </c>
      <c r="AA2943" s="5">
        <v>50</v>
      </c>
      <c r="AB2943" s="5">
        <v>1745.2055</v>
      </c>
      <c r="AC2943" s="5" t="str">
        <f t="shared" si="142"/>
        <v>Bonos</v>
      </c>
      <c r="AD2943" s="5" t="s">
        <v>43</v>
      </c>
      <c r="AE2943" s="5">
        <f t="shared" si="140"/>
        <v>11</v>
      </c>
      <c r="AF2943" s="5">
        <f t="shared" si="141"/>
        <v>2024</v>
      </c>
    </row>
    <row r="2944" s="5" customFormat="1" ht="13">
      <c r="A2944" s="5">
        <v>12316</v>
      </c>
      <c r="B2944" s="5" t="s">
        <v>78</v>
      </c>
      <c r="C2944" s="5" t="s">
        <v>183</v>
      </c>
      <c r="D2944" s="5" t="s">
        <v>21</v>
      </c>
      <c r="E2944" s="5" t="s">
        <v>34</v>
      </c>
      <c r="F2944" s="5" t="s">
        <v>184</v>
      </c>
      <c r="H2944" s="9">
        <v>6391</v>
      </c>
      <c r="I2944" s="10"/>
      <c r="J2944" s="10">
        <v>46517</v>
      </c>
      <c r="K2944" s="5" t="s">
        <v>124</v>
      </c>
      <c r="L2944" s="5" t="s">
        <v>82</v>
      </c>
      <c r="M2944" s="11">
        <v>0.079000000000000001</v>
      </c>
      <c r="N2944" s="5" t="e">
        <f>IF(AND(M2944&gt;#REF!,Cartera!O2944="Guaraníes"),"Rendimiento significativo",IF(AND(M2944&gt;#REF!,Cartera!O2944="Dólares americanos"),"Rendimiento significativo","Rendimiento no significativo"))</f>
        <v>#REF!</v>
      </c>
      <c r="O2944" s="5" t="s">
        <v>41</v>
      </c>
      <c r="P2944" s="12">
        <v>9848020</v>
      </c>
      <c r="Q2944" s="12">
        <f>IF(O2944="Guaraníes",P2944,P2944*#REF!)</f>
        <v>9848020</v>
      </c>
      <c r="R2944" s="12" t="e">
        <f>IF(O2944="Guaraníes",P2944/#REF!,P2944)</f>
        <v>#REF!</v>
      </c>
      <c r="S2944" s="5" t="s">
        <v>42</v>
      </c>
      <c r="V2944" s="5">
        <v>9848020</v>
      </c>
      <c r="W2944" s="5" t="s">
        <v>369</v>
      </c>
      <c r="AC2944" s="5" t="str">
        <f t="shared" si="142"/>
        <v>CDA</v>
      </c>
      <c r="AD2944" s="5" t="s">
        <v>43</v>
      </c>
      <c r="AE2944" s="5">
        <f t="shared" si="140"/>
        <v>5</v>
      </c>
      <c r="AF2944" s="5">
        <f t="shared" si="141"/>
        <v>2027</v>
      </c>
    </row>
    <row r="2945" s="5" customFormat="1" ht="13">
      <c r="A2945" s="5">
        <v>12316</v>
      </c>
      <c r="B2945" s="5" t="s">
        <v>78</v>
      </c>
      <c r="C2945" s="5" t="s">
        <v>183</v>
      </c>
      <c r="D2945" s="5" t="s">
        <v>21</v>
      </c>
      <c r="E2945" s="5" t="s">
        <v>34</v>
      </c>
      <c r="F2945" s="5" t="s">
        <v>184</v>
      </c>
      <c r="H2945" s="9">
        <v>6388</v>
      </c>
      <c r="I2945" s="10"/>
      <c r="J2945" s="10">
        <v>46517</v>
      </c>
      <c r="K2945" s="5" t="s">
        <v>124</v>
      </c>
      <c r="L2945" s="5" t="s">
        <v>82</v>
      </c>
      <c r="M2945" s="11">
        <v>0.079000000000000001</v>
      </c>
      <c r="N2945" s="5" t="e">
        <f>IF(AND(M2945&gt;#REF!,Cartera!O2945="Guaraníes"),"Rendimiento significativo",IF(AND(M2945&gt;#REF!,Cartera!O2945="Dólares americanos"),"Rendimiento significativo","Rendimiento no significativo"))</f>
        <v>#REF!</v>
      </c>
      <c r="O2945" s="5" t="s">
        <v>41</v>
      </c>
      <c r="P2945" s="12">
        <v>9848020</v>
      </c>
      <c r="Q2945" s="12">
        <f>IF(O2945="Guaraníes",P2945,P2945*#REF!)</f>
        <v>9848020</v>
      </c>
      <c r="R2945" s="12" t="e">
        <f>IF(O2945="Guaraníes",P2945/#REF!,P2945)</f>
        <v>#REF!</v>
      </c>
      <c r="S2945" s="5" t="s">
        <v>42</v>
      </c>
      <c r="V2945" s="5">
        <v>9956240</v>
      </c>
      <c r="W2945" s="5" t="s">
        <v>697</v>
      </c>
      <c r="AC2945" s="5" t="str">
        <f t="shared" si="142"/>
        <v>CDA</v>
      </c>
      <c r="AD2945" s="5" t="s">
        <v>43</v>
      </c>
      <c r="AE2945" s="5">
        <f t="shared" si="140"/>
        <v>5</v>
      </c>
      <c r="AF2945" s="5">
        <f t="shared" si="141"/>
        <v>2027</v>
      </c>
    </row>
    <row r="2946" s="5" customFormat="1" ht="13">
      <c r="A2946" s="5">
        <v>12315</v>
      </c>
      <c r="B2946" s="5" t="s">
        <v>73</v>
      </c>
      <c r="C2946" s="5" t="s">
        <v>45</v>
      </c>
      <c r="D2946" s="5" t="s">
        <v>21</v>
      </c>
      <c r="E2946" s="5" t="s">
        <v>34</v>
      </c>
      <c r="F2946" s="5" t="s">
        <v>46</v>
      </c>
      <c r="G2946" s="5" t="s">
        <v>55</v>
      </c>
      <c r="H2946" s="9" t="s">
        <v>108</v>
      </c>
      <c r="I2946" s="10">
        <v>44704</v>
      </c>
      <c r="J2946" s="10">
        <v>46524</v>
      </c>
      <c r="K2946" s="5" t="s">
        <v>49</v>
      </c>
      <c r="L2946" s="5" t="s">
        <v>58</v>
      </c>
      <c r="M2946" s="11">
        <v>0.059999999999999998</v>
      </c>
      <c r="N2946" s="5" t="e">
        <f>IF(AND(M2946&gt;#REF!,Cartera!O2946="Guaraníes"),"Rendimiento significativo",IF(AND(M2946&gt;#REF!,Cartera!O2946="Dólares americanos"),"Rendimiento significativo","Rendimiento no significativo"))</f>
        <v>#REF!</v>
      </c>
      <c r="O2946" s="5" t="s">
        <v>51</v>
      </c>
      <c r="P2946" s="13">
        <v>373.9726</v>
      </c>
      <c r="Q2946" s="12" t="e">
        <f>IF(O2946="Guaraníes",P2946,P2946*#REF!)</f>
        <v>#REF!</v>
      </c>
      <c r="R2946" s="12">
        <f>IF(O2946="Guaraníes",P2946/#REF!,P2946)</f>
        <v>373.9726</v>
      </c>
      <c r="S2946" s="5" t="s">
        <v>42</v>
      </c>
      <c r="V2946" s="5">
        <v>14.958904</v>
      </c>
      <c r="AC2946" s="5" t="str">
        <f t="shared" si="142"/>
        <v>Bonos</v>
      </c>
      <c r="AD2946" s="5" t="s">
        <v>43</v>
      </c>
      <c r="AE2946" s="5">
        <f t="shared" si="140"/>
        <v>5</v>
      </c>
      <c r="AF2946" s="5">
        <f t="shared" si="141"/>
        <v>2027</v>
      </c>
    </row>
    <row r="2947" s="5" customFormat="1" ht="13">
      <c r="A2947" s="5">
        <v>12315</v>
      </c>
      <c r="B2947" s="5" t="s">
        <v>73</v>
      </c>
      <c r="C2947" s="5" t="s">
        <v>45</v>
      </c>
      <c r="D2947" s="5" t="s">
        <v>21</v>
      </c>
      <c r="E2947" s="5" t="s">
        <v>34</v>
      </c>
      <c r="F2947" s="5" t="s">
        <v>46</v>
      </c>
      <c r="G2947" s="5" t="s">
        <v>86</v>
      </c>
      <c r="H2947" s="9" t="s">
        <v>108</v>
      </c>
      <c r="I2947" s="10">
        <v>44704</v>
      </c>
      <c r="J2947" s="10">
        <v>46524</v>
      </c>
      <c r="K2947" s="5" t="s">
        <v>49</v>
      </c>
      <c r="L2947" s="5" t="s">
        <v>58</v>
      </c>
      <c r="M2947" s="11">
        <v>0.059999999999999998</v>
      </c>
      <c r="N2947" s="5" t="e">
        <f>IF(AND(M2947&gt;#REF!,Cartera!O2947="Guaraníes"),"Rendimiento significativo",IF(AND(M2947&gt;#REF!,Cartera!O2947="Dólares americanos"),"Rendimiento significativo","Rendimiento no significativo"))</f>
        <v>#REF!</v>
      </c>
      <c r="O2947" s="5" t="s">
        <v>51</v>
      </c>
      <c r="P2947" s="13">
        <v>478.68000000000001</v>
      </c>
      <c r="Q2947" s="12" t="e">
        <f>IF(O2947="Guaraníes",P2947,P2947*#REF!)</f>
        <v>#REF!</v>
      </c>
      <c r="R2947" s="12">
        <f>IF(O2947="Guaraníes",P2947/#REF!,P2947)</f>
        <v>478.68000000000001</v>
      </c>
      <c r="S2947" s="5" t="s">
        <v>42</v>
      </c>
      <c r="AC2947" s="5" t="str">
        <f t="shared" si="142"/>
        <v>Bonos</v>
      </c>
      <c r="AD2947" s="5" t="s">
        <v>43</v>
      </c>
      <c r="AE2947" s="5">
        <f t="shared" si="140"/>
        <v>5</v>
      </c>
      <c r="AF2947" s="5">
        <f t="shared" si="141"/>
        <v>2027</v>
      </c>
    </row>
    <row r="2948" s="5" customFormat="1" ht="13">
      <c r="A2948" s="5">
        <v>12316</v>
      </c>
      <c r="B2948" s="5" t="s">
        <v>78</v>
      </c>
      <c r="C2948" s="5" t="s">
        <v>164</v>
      </c>
      <c r="D2948" s="5" t="s">
        <v>21</v>
      </c>
      <c r="E2948" s="5" t="s">
        <v>34</v>
      </c>
      <c r="F2948" s="5" t="s">
        <v>68</v>
      </c>
      <c r="G2948" s="5" t="s">
        <v>145</v>
      </c>
      <c r="H2948" s="9" t="s">
        <v>165</v>
      </c>
      <c r="I2948" s="10"/>
      <c r="J2948" s="10">
        <v>46538</v>
      </c>
      <c r="K2948" s="5" t="s">
        <v>124</v>
      </c>
      <c r="L2948" s="5" t="s">
        <v>58</v>
      </c>
      <c r="M2948" s="11">
        <v>0.10000000000000001</v>
      </c>
      <c r="N2948" s="5" t="e">
        <f>IF(AND(M2948&gt;#REF!,Cartera!O2948="Guaraníes"),"Rendimiento significativo",IF(AND(M2948&gt;#REF!,Cartera!O2948="Dólares americanos"),"Rendimiento significativo","Rendimiento no significativo"))</f>
        <v>#REF!</v>
      </c>
      <c r="O2948" s="5" t="s">
        <v>41</v>
      </c>
      <c r="P2948" s="12">
        <v>3397260.2740000002</v>
      </c>
      <c r="Q2948" s="12">
        <f>IF(O2948="Guaraníes",P2948,P2948*#REF!)</f>
        <v>3397260.2740000002</v>
      </c>
      <c r="R2948" s="12" t="e">
        <f>IF(O2948="Guaraníes",P2948/#REF!,P2948)</f>
        <v>#REF!</v>
      </c>
      <c r="S2948" s="5" t="s">
        <v>42</v>
      </c>
      <c r="T2948" s="5">
        <v>1057</v>
      </c>
      <c r="W2948" s="5" t="s">
        <v>65</v>
      </c>
      <c r="X2948" s="5">
        <v>0</v>
      </c>
      <c r="Y2948" s="5">
        <v>0</v>
      </c>
      <c r="Z2948" s="5">
        <v>8493.1506850000005</v>
      </c>
      <c r="AA2948" s="5">
        <v>400</v>
      </c>
      <c r="AB2948" s="5">
        <v>3397260.2740000002</v>
      </c>
      <c r="AC2948" s="5" t="str">
        <f t="shared" si="142"/>
        <v>Bonos</v>
      </c>
      <c r="AD2948" s="5" t="s">
        <v>43</v>
      </c>
      <c r="AE2948" s="5">
        <f t="shared" si="140"/>
        <v>5</v>
      </c>
      <c r="AF2948" s="5">
        <f t="shared" si="141"/>
        <v>2027</v>
      </c>
    </row>
    <row r="2949" s="5" customFormat="1" ht="13">
      <c r="A2949" s="5" t="s">
        <v>44</v>
      </c>
      <c r="B2949" s="5" t="s">
        <v>44</v>
      </c>
      <c r="C2949" s="5" t="s">
        <v>183</v>
      </c>
      <c r="D2949" s="5" t="s">
        <v>21</v>
      </c>
      <c r="E2949" s="5" t="s">
        <v>44</v>
      </c>
      <c r="F2949" s="5" t="s">
        <v>184</v>
      </c>
      <c r="H2949" s="9">
        <v>6388</v>
      </c>
      <c r="I2949" s="10"/>
      <c r="J2949" s="10">
        <v>45239</v>
      </c>
      <c r="K2949" s="5" t="s">
        <v>124</v>
      </c>
      <c r="L2949" s="5" t="s">
        <v>82</v>
      </c>
      <c r="M2949" s="11">
        <v>0.079000000000000001</v>
      </c>
      <c r="N2949" s="5" t="e">
        <f>IF(AND(M2949&gt;#REF!,Cartera!O2949="Guaraníes"),"Rendimiento significativo",IF(AND(M2949&gt;#REF!,Cartera!O2949="Dólares americanos"),"Rendimiento significativo","Rendimiento no significativo"))</f>
        <v>#REF!</v>
      </c>
      <c r="O2949" s="5" t="s">
        <v>41</v>
      </c>
      <c r="P2949" s="12">
        <v>9956240</v>
      </c>
      <c r="Q2949" s="12">
        <f>IF(O2949="Guaraníes",P2949,P2949*#REF!)</f>
        <v>9956240</v>
      </c>
      <c r="R2949" s="12" t="e">
        <f>IF(O2949="Guaraníes",P2949/#REF!,P2949)</f>
        <v>#REF!</v>
      </c>
      <c r="S2949" s="5" t="s">
        <v>52</v>
      </c>
      <c r="V2949" s="5">
        <v>9685690</v>
      </c>
      <c r="W2949" s="5" t="s">
        <v>220</v>
      </c>
      <c r="AC2949" s="5" t="str">
        <f t="shared" si="142"/>
        <v>CDA</v>
      </c>
      <c r="AD2949" s="5" t="s">
        <v>43</v>
      </c>
      <c r="AE2949" s="5">
        <f t="shared" si="140"/>
        <v>11</v>
      </c>
      <c r="AF2949" s="5">
        <f t="shared" si="141"/>
        <v>2023</v>
      </c>
    </row>
    <row r="2950" s="5" customFormat="1" ht="13">
      <c r="A2950" s="5">
        <v>12316</v>
      </c>
      <c r="B2950" s="5" t="s">
        <v>78</v>
      </c>
      <c r="C2950" s="5" t="s">
        <v>164</v>
      </c>
      <c r="D2950" s="5" t="s">
        <v>21</v>
      </c>
      <c r="E2950" s="5" t="s">
        <v>34</v>
      </c>
      <c r="F2950" s="5" t="s">
        <v>68</v>
      </c>
      <c r="G2950" s="5" t="s">
        <v>141</v>
      </c>
      <c r="H2950" s="9" t="s">
        <v>165</v>
      </c>
      <c r="I2950" s="10"/>
      <c r="J2950" s="10">
        <v>46538</v>
      </c>
      <c r="K2950" s="5" t="s">
        <v>124</v>
      </c>
      <c r="L2950" s="5" t="s">
        <v>58</v>
      </c>
      <c r="M2950" s="11">
        <v>0.10000000000000001</v>
      </c>
      <c r="N2950" s="5" t="e">
        <f>IF(AND(M2950&gt;#REF!,Cartera!O2950="Guaraníes"),"Rendimiento significativo",IF(AND(M2950&gt;#REF!,Cartera!O2950="Dólares americanos"),"Rendimiento significativo","Rendimiento no significativo"))</f>
        <v>#REF!</v>
      </c>
      <c r="O2950" s="5" t="s">
        <v>41</v>
      </c>
      <c r="P2950" s="12">
        <v>849315.06850000005</v>
      </c>
      <c r="Q2950" s="12">
        <f>IF(O2950="Guaraníes",P2950,P2950*#REF!)</f>
        <v>849315.06850000005</v>
      </c>
      <c r="R2950" s="12" t="e">
        <f>IF(O2950="Guaraníes",P2950/#REF!,P2950)</f>
        <v>#REF!</v>
      </c>
      <c r="S2950" s="5" t="s">
        <v>42</v>
      </c>
      <c r="T2950" s="5">
        <v>9243</v>
      </c>
      <c r="W2950" s="5" t="s">
        <v>65</v>
      </c>
      <c r="X2950" s="5">
        <v>0</v>
      </c>
      <c r="Y2950" s="5">
        <v>0</v>
      </c>
      <c r="Z2950" s="5">
        <v>8493.1506850000005</v>
      </c>
      <c r="AA2950" s="5">
        <v>100</v>
      </c>
      <c r="AB2950" s="5">
        <v>849315.06850000005</v>
      </c>
      <c r="AC2950" s="5" t="str">
        <f t="shared" si="142"/>
        <v>Bonos</v>
      </c>
      <c r="AD2950" s="5" t="s">
        <v>43</v>
      </c>
      <c r="AE2950" s="5">
        <f t="shared" si="140"/>
        <v>5</v>
      </c>
      <c r="AF2950" s="5">
        <f t="shared" si="141"/>
        <v>2027</v>
      </c>
    </row>
    <row r="2951" s="5" customFormat="1" ht="13">
      <c r="A2951" s="5">
        <v>12316</v>
      </c>
      <c r="B2951" s="5" t="s">
        <v>78</v>
      </c>
      <c r="C2951" s="5" t="s">
        <v>138</v>
      </c>
      <c r="D2951" s="5" t="s">
        <v>21</v>
      </c>
      <c r="E2951" s="5" t="s">
        <v>34</v>
      </c>
      <c r="F2951" s="5" t="s">
        <v>68</v>
      </c>
      <c r="G2951" s="5" t="s">
        <v>86</v>
      </c>
      <c r="H2951" s="9" t="s">
        <v>139</v>
      </c>
      <c r="I2951" s="10">
        <v>43948</v>
      </c>
      <c r="J2951" s="10">
        <v>46542</v>
      </c>
      <c r="K2951" s="5" t="s">
        <v>140</v>
      </c>
      <c r="L2951" s="5" t="s">
        <v>58</v>
      </c>
      <c r="M2951" s="11">
        <v>0.11</v>
      </c>
      <c r="N2951" s="5" t="e">
        <f>IF(AND(M2951&gt;#REF!,Cartera!O2951="Guaraníes"),"Rendimiento significativo",IF(AND(M2951&gt;#REF!,Cartera!O2951="Dólares americanos"),"Rendimiento significativo","Rendimiento no significativo"))</f>
        <v>#REF!</v>
      </c>
      <c r="O2951" s="5" t="s">
        <v>41</v>
      </c>
      <c r="P2951" s="12">
        <v>801352.37719999999</v>
      </c>
      <c r="Q2951" s="12">
        <f>IF(O2951="Guaraníes",P2951,P2951*#REF!)</f>
        <v>801352.37719999999</v>
      </c>
      <c r="R2951" s="12" t="e">
        <f>IF(O2951="Guaraníes",P2951/#REF!,P2951)</f>
        <v>#REF!</v>
      </c>
      <c r="S2951" s="5" t="s">
        <v>42</v>
      </c>
      <c r="AC2951" s="5" t="str">
        <f t="shared" si="142"/>
        <v>Bonos</v>
      </c>
      <c r="AD2951" s="5" t="s">
        <v>43</v>
      </c>
      <c r="AE2951" s="5">
        <f t="shared" si="140"/>
        <v>6</v>
      </c>
      <c r="AF2951" s="5">
        <f t="shared" si="141"/>
        <v>2027</v>
      </c>
    </row>
    <row r="2952" s="5" customFormat="1" ht="13">
      <c r="A2952" s="5">
        <v>12315</v>
      </c>
      <c r="B2952" s="5" t="s">
        <v>73</v>
      </c>
      <c r="C2952" s="5" t="s">
        <v>33</v>
      </c>
      <c r="D2952" s="5" t="s">
        <v>21</v>
      </c>
      <c r="E2952" s="5" t="s">
        <v>34</v>
      </c>
      <c r="F2952" s="5" t="s">
        <v>35</v>
      </c>
      <c r="G2952" s="5" t="s">
        <v>75</v>
      </c>
      <c r="H2952" s="9" t="s">
        <v>186</v>
      </c>
      <c r="I2952" s="10"/>
      <c r="J2952" s="10">
        <v>46547</v>
      </c>
      <c r="K2952" s="5" t="s">
        <v>39</v>
      </c>
      <c r="L2952" s="5" t="s">
        <v>50</v>
      </c>
      <c r="M2952" s="11">
        <v>0.044999999999999998</v>
      </c>
      <c r="N2952" s="5" t="e">
        <f>IF(AND(M2952&gt;#REF!,Cartera!O2952="Guaraníes"),"Rendimiento significativo",IF(AND(M2952&gt;#REF!,Cartera!O2952="Dólares americanos"),"Rendimiento significativo","Rendimiento no significativo"))</f>
        <v>#REF!</v>
      </c>
      <c r="O2952" s="5" t="s">
        <v>51</v>
      </c>
      <c r="P2952" s="13">
        <v>336.57533999999998</v>
      </c>
      <c r="Q2952" s="12" t="e">
        <f>IF(O2952="Guaraníes",P2952,P2952*#REF!)</f>
        <v>#REF!</v>
      </c>
      <c r="R2952" s="12">
        <f>IF(O2952="Guaraníes",P2952/#REF!,P2952)</f>
        <v>336.57533999999998</v>
      </c>
      <c r="S2952" s="5" t="s">
        <v>42</v>
      </c>
      <c r="T2952" s="5">
        <v>25</v>
      </c>
      <c r="W2952" s="5" t="s">
        <v>65</v>
      </c>
      <c r="X2952" s="5">
        <v>0</v>
      </c>
      <c r="Y2952" s="5">
        <v>0</v>
      </c>
      <c r="Z2952" s="5">
        <v>11.219177999999999</v>
      </c>
      <c r="AA2952" s="5">
        <v>30</v>
      </c>
      <c r="AB2952" s="5">
        <v>336.57533999999998</v>
      </c>
      <c r="AC2952" s="5" t="str">
        <f t="shared" si="142"/>
        <v>Bonos</v>
      </c>
      <c r="AD2952" s="5" t="s">
        <v>43</v>
      </c>
      <c r="AE2952" s="5">
        <f t="shared" si="140"/>
        <v>6</v>
      </c>
      <c r="AF2952" s="5">
        <f t="shared" si="141"/>
        <v>2027</v>
      </c>
    </row>
    <row r="2953" s="5" customFormat="1" ht="13">
      <c r="A2953" s="5">
        <v>12315</v>
      </c>
      <c r="B2953" s="5" t="s">
        <v>73</v>
      </c>
      <c r="C2953" s="5" t="s">
        <v>33</v>
      </c>
      <c r="D2953" s="5" t="s">
        <v>21</v>
      </c>
      <c r="E2953" s="5" t="s">
        <v>34</v>
      </c>
      <c r="F2953" s="5" t="s">
        <v>35</v>
      </c>
      <c r="G2953" s="5" t="s">
        <v>69</v>
      </c>
      <c r="H2953" s="9" t="s">
        <v>186</v>
      </c>
      <c r="I2953" s="10"/>
      <c r="J2953" s="10">
        <v>46547</v>
      </c>
      <c r="K2953" s="5" t="s">
        <v>39</v>
      </c>
      <c r="L2953" s="5" t="s">
        <v>50</v>
      </c>
      <c r="M2953" s="11">
        <v>0.044999999999999998</v>
      </c>
      <c r="N2953" s="5" t="e">
        <f>IF(AND(M2953&gt;#REF!,Cartera!O2953="Guaraníes"),"Rendimiento significativo",IF(AND(M2953&gt;#REF!,Cartera!O2953="Dólares americanos"),"Rendimiento significativo","Rendimiento no significativo"))</f>
        <v>#REF!</v>
      </c>
      <c r="O2953" s="5" t="s">
        <v>51</v>
      </c>
      <c r="P2953" s="13">
        <v>448.76711999999998</v>
      </c>
      <c r="Q2953" s="12" t="e">
        <f>IF(O2953="Guaraníes",P2953,P2953*#REF!)</f>
        <v>#REF!</v>
      </c>
      <c r="R2953" s="12">
        <f>IF(O2953="Guaraníes",P2953/#REF!,P2953)</f>
        <v>448.76711999999998</v>
      </c>
      <c r="S2953" s="5" t="s">
        <v>42</v>
      </c>
      <c r="T2953" s="5">
        <v>593</v>
      </c>
      <c r="W2953" s="5" t="s">
        <v>65</v>
      </c>
      <c r="X2953" s="5">
        <v>0</v>
      </c>
      <c r="Y2953" s="5">
        <v>0</v>
      </c>
      <c r="Z2953" s="5">
        <v>11.219177999999999</v>
      </c>
      <c r="AA2953" s="5">
        <v>40</v>
      </c>
      <c r="AB2953" s="5">
        <v>448.76711999999998</v>
      </c>
      <c r="AC2953" s="5" t="str">
        <f t="shared" si="142"/>
        <v>Bonos</v>
      </c>
      <c r="AD2953" s="5" t="s">
        <v>43</v>
      </c>
      <c r="AE2953" s="5">
        <f t="shared" si="140"/>
        <v>6</v>
      </c>
      <c r="AF2953" s="5">
        <f t="shared" si="141"/>
        <v>2027</v>
      </c>
    </row>
    <row r="2954" s="5" customFormat="1" ht="13">
      <c r="A2954" s="5">
        <v>12313</v>
      </c>
      <c r="B2954" s="5" t="s">
        <v>698</v>
      </c>
      <c r="C2954" s="5" t="s">
        <v>116</v>
      </c>
      <c r="D2954" s="5" t="s">
        <v>20</v>
      </c>
      <c r="E2954" s="5" t="s">
        <v>34</v>
      </c>
      <c r="F2954" s="5" t="s">
        <v>68</v>
      </c>
      <c r="H2954" s="9">
        <v>1519</v>
      </c>
      <c r="I2954" s="10">
        <v>44026</v>
      </c>
      <c r="J2954" s="10">
        <v>45804</v>
      </c>
      <c r="K2954" s="5" t="s">
        <v>118</v>
      </c>
      <c r="L2954" s="5" t="s">
        <v>82</v>
      </c>
      <c r="M2954" s="11">
        <v>0.105</v>
      </c>
      <c r="N2954" s="5" t="e">
        <f>IF(AND(M2954&gt;#REF!,Cartera!O2954="Guaraníes"),"Rendimiento significativo",IF(AND(M2954&gt;#REF!,Cartera!O2954="Dólares americanos"),"Rendimiento significativo","Rendimiento no significativo"))</f>
        <v>#REF!</v>
      </c>
      <c r="O2954" s="5" t="s">
        <v>51</v>
      </c>
      <c r="P2954" s="13">
        <v>25000</v>
      </c>
      <c r="Q2954" s="12" t="e">
        <f>IF(O2954="Guaraníes",P2954,P2954*#REF!)</f>
        <v>#REF!</v>
      </c>
      <c r="R2954" s="12">
        <f>IF(O2954="Guaraníes",P2954/#REF!,P2954)</f>
        <v>25000</v>
      </c>
      <c r="S2954" s="5" t="s">
        <v>42</v>
      </c>
      <c r="AC2954" s="5" t="str">
        <f t="shared" si="142"/>
        <v>CDA</v>
      </c>
      <c r="AD2954" s="5" t="s">
        <v>43</v>
      </c>
      <c r="AE2954" s="5">
        <f t="shared" si="140"/>
        <v>5</v>
      </c>
      <c r="AF2954" s="5">
        <f t="shared" si="141"/>
        <v>2025</v>
      </c>
    </row>
    <row r="2955" s="5" customFormat="1" ht="13">
      <c r="A2955" s="5">
        <v>12316</v>
      </c>
      <c r="B2955" s="5" t="s">
        <v>78</v>
      </c>
      <c r="C2955" s="5" t="s">
        <v>160</v>
      </c>
      <c r="D2955" s="5" t="s">
        <v>21</v>
      </c>
      <c r="E2955" s="5" t="s">
        <v>34</v>
      </c>
      <c r="F2955" s="5" t="s">
        <v>68</v>
      </c>
      <c r="G2955" s="5" t="s">
        <v>91</v>
      </c>
      <c r="H2955" s="9" t="s">
        <v>161</v>
      </c>
      <c r="I2955" s="10">
        <v>44581</v>
      </c>
      <c r="J2955" s="10">
        <v>46552</v>
      </c>
      <c r="K2955" s="5" t="s">
        <v>162</v>
      </c>
      <c r="L2955" s="5" t="s">
        <v>58</v>
      </c>
      <c r="M2955" s="11">
        <v>0.086999999999999994</v>
      </c>
      <c r="N2955" s="5" t="e">
        <f>IF(AND(M2955&gt;#REF!,Cartera!O2955="Guaraníes"),"Rendimiento significativo",IF(AND(M2955&gt;#REF!,Cartera!O2955="Dólares americanos"),"Rendimiento significativo","Rendimiento no significativo"))</f>
        <v>#REF!</v>
      </c>
      <c r="O2955" s="5" t="s">
        <v>41</v>
      </c>
      <c r="P2955" s="12">
        <v>17352328.767200001</v>
      </c>
      <c r="Q2955" s="12">
        <f>IF(O2955="Guaraníes",P2955,P2955*#REF!)</f>
        <v>17352328.767200001</v>
      </c>
      <c r="R2955" s="12" t="e">
        <f>IF(O2955="Guaraníes",P2955/#REF!,P2955)</f>
        <v>#REF!</v>
      </c>
      <c r="S2955" s="5" t="s">
        <v>42</v>
      </c>
      <c r="AC2955" s="5" t="str">
        <f t="shared" si="142"/>
        <v>Bonos</v>
      </c>
      <c r="AD2955" s="5" t="s">
        <v>43</v>
      </c>
      <c r="AE2955" s="5">
        <f t="shared" si="140"/>
        <v>6</v>
      </c>
      <c r="AF2955" s="5">
        <f t="shared" si="141"/>
        <v>2027</v>
      </c>
    </row>
    <row r="2956" s="5" customFormat="1" ht="13">
      <c r="A2956" s="5">
        <v>12316</v>
      </c>
      <c r="B2956" s="5" t="s">
        <v>78</v>
      </c>
      <c r="C2956" s="5" t="s">
        <v>54</v>
      </c>
      <c r="D2956" s="5" t="s">
        <v>21</v>
      </c>
      <c r="E2956" s="5" t="s">
        <v>34</v>
      </c>
      <c r="F2956" s="5" t="s">
        <v>46</v>
      </c>
      <c r="G2956" s="5" t="s">
        <v>86</v>
      </c>
      <c r="H2956" s="9" t="s">
        <v>147</v>
      </c>
      <c r="I2956" s="10"/>
      <c r="J2956" s="10">
        <v>46559</v>
      </c>
      <c r="K2956" s="5" t="s">
        <v>57</v>
      </c>
      <c r="L2956" s="5" t="s">
        <v>58</v>
      </c>
      <c r="M2956" s="11">
        <v>0.12</v>
      </c>
      <c r="N2956" s="5" t="e">
        <f>IF(AND(M2956&gt;#REF!,Cartera!O2956="Guaraníes"),"Rendimiento significativo",IF(AND(M2956&gt;#REF!,Cartera!O2956="Dólares americanos"),"Rendimiento significativo","Rendimiento no significativo"))</f>
        <v>#REF!</v>
      </c>
      <c r="O2956" s="5" t="s">
        <v>41</v>
      </c>
      <c r="P2956" s="12">
        <v>2991780.8218999999</v>
      </c>
      <c r="Q2956" s="12">
        <f>IF(O2956="Guaraníes",P2956,P2956*#REF!)</f>
        <v>2991780.8218999999</v>
      </c>
      <c r="R2956" s="12" t="e">
        <f>IF(O2956="Guaraníes",P2956/#REF!,P2956)</f>
        <v>#REF!</v>
      </c>
      <c r="S2956" s="5" t="s">
        <v>42</v>
      </c>
      <c r="T2956" s="5">
        <v>10834</v>
      </c>
      <c r="W2956" s="5" t="s">
        <v>65</v>
      </c>
      <c r="X2956" s="5">
        <v>0</v>
      </c>
      <c r="Y2956" s="5">
        <v>0</v>
      </c>
      <c r="Z2956" s="5">
        <v>29917.808218999999</v>
      </c>
      <c r="AA2956" s="5">
        <v>100</v>
      </c>
      <c r="AB2956" s="5">
        <v>2991780.8218999999</v>
      </c>
      <c r="AC2956" s="5" t="str">
        <f t="shared" si="142"/>
        <v>Bonos</v>
      </c>
      <c r="AD2956" s="5" t="s">
        <v>43</v>
      </c>
      <c r="AE2956" s="5">
        <f t="shared" si="140"/>
        <v>6</v>
      </c>
      <c r="AF2956" s="5">
        <f t="shared" si="141"/>
        <v>2027</v>
      </c>
    </row>
    <row r="2957" s="5" customFormat="1" ht="13">
      <c r="A2957" s="5">
        <v>12316</v>
      </c>
      <c r="B2957" s="5" t="s">
        <v>78</v>
      </c>
      <c r="C2957" s="5" t="s">
        <v>54</v>
      </c>
      <c r="D2957" s="5" t="s">
        <v>21</v>
      </c>
      <c r="E2957" s="5" t="s">
        <v>34</v>
      </c>
      <c r="F2957" s="5" t="s">
        <v>46</v>
      </c>
      <c r="G2957" s="5" t="s">
        <v>86</v>
      </c>
      <c r="H2957" s="9" t="s">
        <v>148</v>
      </c>
      <c r="I2957" s="10"/>
      <c r="J2957" s="10">
        <v>46559</v>
      </c>
      <c r="K2957" s="5" t="s">
        <v>57</v>
      </c>
      <c r="L2957" s="5" t="s">
        <v>58</v>
      </c>
      <c r="M2957" s="11">
        <v>0.097500000000000003</v>
      </c>
      <c r="N2957" s="5" t="e">
        <f>IF(AND(M2957&gt;#REF!,Cartera!O2957="Guaraníes"),"Rendimiento significativo",IF(AND(M2957&gt;#REF!,Cartera!O2957="Dólares americanos"),"Rendimiento significativo","Rendimiento no significativo"))</f>
        <v>#REF!</v>
      </c>
      <c r="O2957" s="5" t="s">
        <v>41</v>
      </c>
      <c r="P2957" s="12">
        <v>12154109.589</v>
      </c>
      <c r="Q2957" s="12">
        <f>IF(O2957="Guaraníes",P2957,P2957*#REF!)</f>
        <v>12154109.589</v>
      </c>
      <c r="R2957" s="12" t="e">
        <f>IF(O2957="Guaraníes",P2957/#REF!,P2957)</f>
        <v>#REF!</v>
      </c>
      <c r="S2957" s="5" t="s">
        <v>42</v>
      </c>
      <c r="T2957" s="5">
        <v>10834</v>
      </c>
      <c r="W2957" s="5" t="s">
        <v>65</v>
      </c>
      <c r="X2957" s="5">
        <v>0</v>
      </c>
      <c r="Y2957" s="5">
        <v>0</v>
      </c>
      <c r="Z2957" s="5">
        <v>24308.219177999999</v>
      </c>
      <c r="AA2957" s="5">
        <v>500</v>
      </c>
      <c r="AB2957" s="5">
        <v>12154109.589</v>
      </c>
      <c r="AC2957" s="5" t="str">
        <f t="shared" si="142"/>
        <v>Bonos</v>
      </c>
      <c r="AD2957" s="5" t="s">
        <v>43</v>
      </c>
      <c r="AE2957" s="5">
        <f t="shared" si="140"/>
        <v>6</v>
      </c>
      <c r="AF2957" s="5">
        <f t="shared" si="141"/>
        <v>2027</v>
      </c>
    </row>
    <row r="2958" s="5" customFormat="1" ht="13">
      <c r="A2958" s="5">
        <v>12316</v>
      </c>
      <c r="B2958" s="5" t="s">
        <v>78</v>
      </c>
      <c r="C2958" s="5" t="s">
        <v>54</v>
      </c>
      <c r="D2958" s="5" t="s">
        <v>21</v>
      </c>
      <c r="E2958" s="5" t="s">
        <v>34</v>
      </c>
      <c r="F2958" s="5" t="s">
        <v>46</v>
      </c>
      <c r="G2958" s="5" t="s">
        <v>75</v>
      </c>
      <c r="H2958" s="9" t="s">
        <v>147</v>
      </c>
      <c r="I2958" s="10"/>
      <c r="J2958" s="10">
        <v>46559</v>
      </c>
      <c r="K2958" s="5" t="s">
        <v>57</v>
      </c>
      <c r="L2958" s="5" t="s">
        <v>58</v>
      </c>
      <c r="M2958" s="11">
        <v>0.12</v>
      </c>
      <c r="N2958" s="5" t="e">
        <f>IF(AND(M2958&gt;#REF!,Cartera!O2958="Guaraníes"),"Rendimiento significativo",IF(AND(M2958&gt;#REF!,Cartera!O2958="Dólares americanos"),"Rendimiento significativo","Rendimiento no significativo"))</f>
        <v>#REF!</v>
      </c>
      <c r="O2958" s="5" t="s">
        <v>41</v>
      </c>
      <c r="P2958" s="12">
        <v>4487671.2328500003</v>
      </c>
      <c r="Q2958" s="12">
        <f>IF(O2958="Guaraníes",P2958,P2958*#REF!)</f>
        <v>4487671.2328500003</v>
      </c>
      <c r="R2958" s="12" t="e">
        <f>IF(O2958="Guaraníes",P2958/#REF!,P2958)</f>
        <v>#REF!</v>
      </c>
      <c r="S2958" s="5" t="s">
        <v>42</v>
      </c>
      <c r="T2958" s="5">
        <v>25</v>
      </c>
      <c r="W2958" s="5" t="s">
        <v>192</v>
      </c>
      <c r="X2958" s="5">
        <v>0</v>
      </c>
      <c r="Y2958" s="5">
        <v>0</v>
      </c>
      <c r="Z2958" s="5">
        <v>29917.808218999999</v>
      </c>
      <c r="AA2958" s="5">
        <v>150</v>
      </c>
      <c r="AB2958" s="5">
        <v>4487671.2328500003</v>
      </c>
      <c r="AC2958" s="5" t="str">
        <f t="shared" si="142"/>
        <v>Bonos</v>
      </c>
      <c r="AD2958" s="5" t="s">
        <v>43</v>
      </c>
      <c r="AE2958" s="5">
        <f t="shared" si="140"/>
        <v>6</v>
      </c>
      <c r="AF2958" s="5">
        <f t="shared" si="141"/>
        <v>2027</v>
      </c>
    </row>
    <row r="2959" s="5" customFormat="1" ht="13">
      <c r="A2959" s="5">
        <v>12306</v>
      </c>
      <c r="B2959" s="5" t="s">
        <v>373</v>
      </c>
      <c r="C2959" s="5" t="s">
        <v>74</v>
      </c>
      <c r="D2959" s="5" t="s">
        <v>20</v>
      </c>
      <c r="E2959" s="5" t="s">
        <v>34</v>
      </c>
      <c r="F2959" s="5" t="s">
        <v>68</v>
      </c>
      <c r="H2959" s="9">
        <v>1093</v>
      </c>
      <c r="I2959" s="10">
        <v>44497</v>
      </c>
      <c r="J2959" s="10">
        <v>45957</v>
      </c>
      <c r="K2959" s="5" t="s">
        <v>77</v>
      </c>
      <c r="L2959" s="5" t="s">
        <v>82</v>
      </c>
      <c r="M2959" s="11">
        <v>0.065000000000000002</v>
      </c>
      <c r="N2959" s="5" t="e">
        <f>IF(AND(M2959&gt;#REF!,Cartera!O2959="Guaraníes"),"Rendimiento significativo",IF(AND(M2959&gt;#REF!,Cartera!O2959="Dólares americanos"),"Rendimiento significativo","Rendimiento no significativo"))</f>
        <v>#REF!</v>
      </c>
      <c r="O2959" s="5" t="s">
        <v>41</v>
      </c>
      <c r="P2959" s="12">
        <v>200000000</v>
      </c>
      <c r="Q2959" s="12">
        <f>IF(O2959="Guaraníes",P2959,P2959*#REF!)</f>
        <v>200000000</v>
      </c>
      <c r="R2959" s="12" t="e">
        <f>IF(O2959="Guaraníes",P2959/#REF!,P2959)</f>
        <v>#REF!</v>
      </c>
      <c r="S2959" s="5" t="s">
        <v>42</v>
      </c>
      <c r="AC2959" s="5" t="str">
        <f t="shared" si="142"/>
        <v>CDA</v>
      </c>
      <c r="AD2959" s="5" t="s">
        <v>43</v>
      </c>
      <c r="AE2959" s="5">
        <f t="shared" si="140"/>
        <v>10</v>
      </c>
      <c r="AF2959" s="5">
        <f t="shared" si="141"/>
        <v>2025</v>
      </c>
    </row>
    <row r="2960" s="5" customFormat="1" ht="13">
      <c r="A2960" s="5">
        <v>12316</v>
      </c>
      <c r="B2960" s="5" t="s">
        <v>78</v>
      </c>
      <c r="C2960" s="5" t="s">
        <v>138</v>
      </c>
      <c r="D2960" s="5" t="s">
        <v>21</v>
      </c>
      <c r="E2960" s="5" t="s">
        <v>34</v>
      </c>
      <c r="F2960" s="5" t="s">
        <v>68</v>
      </c>
      <c r="G2960" s="5" t="s">
        <v>86</v>
      </c>
      <c r="H2960" s="9" t="s">
        <v>193</v>
      </c>
      <c r="I2960" s="10">
        <v>44104</v>
      </c>
      <c r="J2960" s="10">
        <v>46560</v>
      </c>
      <c r="K2960" s="5" t="s">
        <v>140</v>
      </c>
      <c r="L2960" s="5" t="s">
        <v>58</v>
      </c>
      <c r="M2960" s="11">
        <v>0.10000000000000001</v>
      </c>
      <c r="N2960" s="5" t="e">
        <f>IF(AND(M2960&gt;#REF!,Cartera!O2960="Guaraníes"),"Rendimiento significativo",IF(AND(M2960&gt;#REF!,Cartera!O2960="Dólares americanos"),"Rendimiento significativo","Rendimiento no significativo"))</f>
        <v>#REF!</v>
      </c>
      <c r="O2960" s="5" t="s">
        <v>41</v>
      </c>
      <c r="P2960" s="12">
        <v>2493150.6849000002</v>
      </c>
      <c r="Q2960" s="12">
        <f>IF(O2960="Guaraníes",P2960,P2960*#REF!)</f>
        <v>2493150.6849000002</v>
      </c>
      <c r="R2960" s="12" t="e">
        <f>IF(O2960="Guaraníes",P2960/#REF!,P2960)</f>
        <v>#REF!</v>
      </c>
      <c r="S2960" s="5" t="s">
        <v>42</v>
      </c>
      <c r="AC2960" s="5" t="str">
        <f t="shared" si="142"/>
        <v>Bonos</v>
      </c>
      <c r="AD2960" s="5" t="s">
        <v>43</v>
      </c>
      <c r="AE2960" s="5">
        <f t="shared" si="140"/>
        <v>6</v>
      </c>
      <c r="AF2960" s="5">
        <f t="shared" si="141"/>
        <v>2027</v>
      </c>
    </row>
    <row r="2961" s="5" customFormat="1" ht="13">
      <c r="A2961" s="5" t="s">
        <v>44</v>
      </c>
      <c r="B2961" s="5" t="s">
        <v>44</v>
      </c>
      <c r="C2961" s="5" t="s">
        <v>183</v>
      </c>
      <c r="D2961" s="5" t="s">
        <v>21</v>
      </c>
      <c r="E2961" s="5" t="s">
        <v>44</v>
      </c>
      <c r="F2961" s="5" t="s">
        <v>184</v>
      </c>
      <c r="H2961" s="9">
        <v>6388</v>
      </c>
      <c r="I2961" s="10"/>
      <c r="J2961" s="10">
        <v>45421</v>
      </c>
      <c r="K2961" s="5" t="s">
        <v>124</v>
      </c>
      <c r="L2961" s="5" t="s">
        <v>82</v>
      </c>
      <c r="M2961" s="11">
        <v>0.079000000000000001</v>
      </c>
      <c r="N2961" s="5" t="e">
        <f>IF(AND(M2961&gt;#REF!,Cartera!O2961="Guaraníes"),"Rendimiento significativo",IF(AND(M2961&gt;#REF!,Cartera!O2961="Dólares americanos"),"Rendimiento significativo","Rendimiento no significativo"))</f>
        <v>#REF!</v>
      </c>
      <c r="O2961" s="5" t="s">
        <v>41</v>
      </c>
      <c r="P2961" s="12">
        <v>9848020</v>
      </c>
      <c r="Q2961" s="12">
        <f>IF(O2961="Guaraníes",P2961,P2961*#REF!)</f>
        <v>9848020</v>
      </c>
      <c r="R2961" s="12" t="e">
        <f>IF(O2961="Guaraníes",P2961/#REF!,P2961)</f>
        <v>#REF!</v>
      </c>
      <c r="S2961" s="5" t="s">
        <v>52</v>
      </c>
      <c r="V2961" s="5">
        <v>10010350</v>
      </c>
      <c r="W2961" s="5" t="s">
        <v>355</v>
      </c>
      <c r="AC2961" s="5" t="str">
        <f t="shared" si="142"/>
        <v>CDA</v>
      </c>
      <c r="AD2961" s="5" t="s">
        <v>43</v>
      </c>
      <c r="AE2961" s="5">
        <f t="shared" si="140"/>
        <v>5</v>
      </c>
      <c r="AF2961" s="5">
        <f t="shared" si="141"/>
        <v>2024</v>
      </c>
    </row>
    <row r="2962" s="5" customFormat="1" ht="13">
      <c r="A2962" s="5">
        <v>12316</v>
      </c>
      <c r="B2962" s="5" t="s">
        <v>78</v>
      </c>
      <c r="C2962" s="5" t="s">
        <v>164</v>
      </c>
      <c r="D2962" s="5" t="s">
        <v>21</v>
      </c>
      <c r="E2962" s="5" t="s">
        <v>34</v>
      </c>
      <c r="F2962" s="5" t="s">
        <v>68</v>
      </c>
      <c r="G2962" s="5" t="s">
        <v>145</v>
      </c>
      <c r="H2962" s="9" t="s">
        <v>165</v>
      </c>
      <c r="I2962" s="10"/>
      <c r="J2962" s="10">
        <v>46568</v>
      </c>
      <c r="K2962" s="5" t="s">
        <v>124</v>
      </c>
      <c r="L2962" s="5" t="s">
        <v>58</v>
      </c>
      <c r="M2962" s="11">
        <v>0.10000000000000001</v>
      </c>
      <c r="N2962" s="5" t="e">
        <f>IF(AND(M2962&gt;#REF!,Cartera!O2962="Guaraníes"),"Rendimiento significativo",IF(AND(M2962&gt;#REF!,Cartera!O2962="Dólares americanos"),"Rendimiento significativo","Rendimiento no significativo"))</f>
        <v>#REF!</v>
      </c>
      <c r="O2962" s="5" t="s">
        <v>41</v>
      </c>
      <c r="P2962" s="12">
        <v>3287671.2328000003</v>
      </c>
      <c r="Q2962" s="12">
        <f>IF(O2962="Guaraníes",P2962,P2962*#REF!)</f>
        <v>3287671.2328000003</v>
      </c>
      <c r="R2962" s="12" t="e">
        <f>IF(O2962="Guaraníes",P2962/#REF!,P2962)</f>
        <v>#REF!</v>
      </c>
      <c r="S2962" s="5" t="s">
        <v>42</v>
      </c>
      <c r="T2962" s="5">
        <v>1057</v>
      </c>
      <c r="W2962" s="5" t="s">
        <v>65</v>
      </c>
      <c r="X2962" s="5">
        <v>0</v>
      </c>
      <c r="Y2962" s="5">
        <v>0</v>
      </c>
      <c r="Z2962" s="5">
        <v>8219.1780820000004</v>
      </c>
      <c r="AA2962" s="5">
        <v>400</v>
      </c>
      <c r="AB2962" s="5">
        <v>3287671.2327999999</v>
      </c>
      <c r="AC2962" s="5" t="str">
        <f t="shared" si="142"/>
        <v>Bonos</v>
      </c>
      <c r="AD2962" s="5" t="s">
        <v>43</v>
      </c>
      <c r="AE2962" s="5">
        <f t="shared" ref="AE2962:AE3025" si="143">IFERROR((MONTH(J2962)),0)</f>
        <v>6</v>
      </c>
      <c r="AF2962" s="5">
        <f t="shared" ref="AF2962:AF3025" si="144">IFERROR((YEAR(J2962)),0)</f>
        <v>2027</v>
      </c>
    </row>
    <row r="2963" s="5" customFormat="1" ht="13">
      <c r="A2963" s="5">
        <v>12316</v>
      </c>
      <c r="B2963" s="5" t="s">
        <v>78</v>
      </c>
      <c r="C2963" s="5" t="s">
        <v>164</v>
      </c>
      <c r="D2963" s="5" t="s">
        <v>21</v>
      </c>
      <c r="E2963" s="5" t="s">
        <v>34</v>
      </c>
      <c r="F2963" s="5" t="s">
        <v>68</v>
      </c>
      <c r="G2963" s="5" t="s">
        <v>141</v>
      </c>
      <c r="H2963" s="9" t="s">
        <v>165</v>
      </c>
      <c r="I2963" s="10"/>
      <c r="J2963" s="10">
        <v>46568</v>
      </c>
      <c r="K2963" s="5" t="s">
        <v>124</v>
      </c>
      <c r="L2963" s="5" t="s">
        <v>58</v>
      </c>
      <c r="M2963" s="11">
        <v>0.10000000000000001</v>
      </c>
      <c r="N2963" s="5" t="e">
        <f>IF(AND(M2963&gt;#REF!,Cartera!O2963="Guaraníes"),"Rendimiento significativo",IF(AND(M2963&gt;#REF!,Cartera!O2963="Dólares americanos"),"Rendimiento significativo","Rendimiento no significativo"))</f>
        <v>#REF!</v>
      </c>
      <c r="O2963" s="5" t="s">
        <v>41</v>
      </c>
      <c r="P2963" s="12">
        <v>821917.80820000009</v>
      </c>
      <c r="Q2963" s="12">
        <f>IF(O2963="Guaraníes",P2963,P2963*#REF!)</f>
        <v>821917.80820000009</v>
      </c>
      <c r="R2963" s="12" t="e">
        <f>IF(O2963="Guaraníes",P2963/#REF!,P2963)</f>
        <v>#REF!</v>
      </c>
      <c r="S2963" s="5" t="s">
        <v>42</v>
      </c>
      <c r="T2963" s="5">
        <v>9243</v>
      </c>
      <c r="W2963" s="5" t="s">
        <v>65</v>
      </c>
      <c r="X2963" s="5">
        <v>0</v>
      </c>
      <c r="Y2963" s="5">
        <v>0</v>
      </c>
      <c r="Z2963" s="5">
        <v>8219.1780820000004</v>
      </c>
      <c r="AA2963" s="5">
        <v>100</v>
      </c>
      <c r="AB2963" s="5">
        <v>821917.80819999997</v>
      </c>
      <c r="AC2963" s="5" t="str">
        <f t="shared" si="142"/>
        <v>Bonos</v>
      </c>
      <c r="AD2963" s="5" t="s">
        <v>43</v>
      </c>
      <c r="AE2963" s="5">
        <f t="shared" si="143"/>
        <v>6</v>
      </c>
      <c r="AF2963" s="5">
        <f t="shared" si="144"/>
        <v>2027</v>
      </c>
    </row>
    <row r="2964" s="5" customFormat="1" ht="13">
      <c r="A2964" s="5">
        <v>12315</v>
      </c>
      <c r="B2964" s="5" t="s">
        <v>73</v>
      </c>
      <c r="C2964" s="5" t="s">
        <v>74</v>
      </c>
      <c r="D2964" s="5" t="s">
        <v>21</v>
      </c>
      <c r="E2964" s="5" t="s">
        <v>34</v>
      </c>
      <c r="F2964" s="5" t="s">
        <v>68</v>
      </c>
      <c r="G2964" s="5" t="s">
        <v>75</v>
      </c>
      <c r="H2964" s="9" t="s">
        <v>76</v>
      </c>
      <c r="I2964" s="10"/>
      <c r="J2964" s="10">
        <v>46569</v>
      </c>
      <c r="K2964" s="5" t="s">
        <v>77</v>
      </c>
      <c r="L2964" s="5" t="s">
        <v>50</v>
      </c>
      <c r="M2964" s="11">
        <v>0.055</v>
      </c>
      <c r="N2964" s="5" t="e">
        <f>IF(AND(M2964&gt;#REF!,Cartera!O2964="Guaraníes"),"Rendimiento significativo",IF(AND(M2964&gt;#REF!,Cartera!O2964="Dólares americanos"),"Rendimiento significativo","Rendimiento no significativo"))</f>
        <v>#REF!</v>
      </c>
      <c r="O2964" s="5" t="s">
        <v>51</v>
      </c>
      <c r="P2964" s="13">
        <v>411.36986999999999</v>
      </c>
      <c r="Q2964" s="12" t="e">
        <f>IF(O2964="Guaraníes",P2964,P2964*#REF!)</f>
        <v>#REF!</v>
      </c>
      <c r="R2964" s="12">
        <f>IF(O2964="Guaraníes",P2964/#REF!,P2964)</f>
        <v>411.36986999999999</v>
      </c>
      <c r="S2964" s="5" t="s">
        <v>42</v>
      </c>
      <c r="T2964" s="5">
        <v>25</v>
      </c>
      <c r="W2964" s="5" t="s">
        <v>65</v>
      </c>
      <c r="X2964" s="5">
        <v>0</v>
      </c>
      <c r="Y2964" s="5">
        <v>0</v>
      </c>
      <c r="Z2964" s="5">
        <v>13.712329</v>
      </c>
      <c r="AA2964" s="5">
        <v>30</v>
      </c>
      <c r="AB2964" s="5">
        <v>411.37</v>
      </c>
      <c r="AC2964" s="5" t="str">
        <f t="shared" si="142"/>
        <v>Bonos</v>
      </c>
      <c r="AD2964" s="5" t="s">
        <v>43</v>
      </c>
      <c r="AE2964" s="5">
        <f t="shared" si="143"/>
        <v>7</v>
      </c>
      <c r="AF2964" s="5">
        <f t="shared" si="144"/>
        <v>2027</v>
      </c>
    </row>
    <row r="2965" s="5" customFormat="1" ht="13">
      <c r="A2965" s="5">
        <v>12316</v>
      </c>
      <c r="B2965" s="5" t="s">
        <v>78</v>
      </c>
      <c r="C2965" s="5" t="s">
        <v>138</v>
      </c>
      <c r="D2965" s="5" t="s">
        <v>21</v>
      </c>
      <c r="E2965" s="5" t="s">
        <v>34</v>
      </c>
      <c r="F2965" s="5" t="s">
        <v>68</v>
      </c>
      <c r="G2965" s="5" t="s">
        <v>86</v>
      </c>
      <c r="H2965" s="9" t="s">
        <v>139</v>
      </c>
      <c r="I2965" s="10">
        <v>43948</v>
      </c>
      <c r="J2965" s="10">
        <v>46573</v>
      </c>
      <c r="K2965" s="5" t="s">
        <v>140</v>
      </c>
      <c r="L2965" s="5" t="s">
        <v>58</v>
      </c>
      <c r="M2965" s="11">
        <v>0.11</v>
      </c>
      <c r="N2965" s="5" t="e">
        <f>IF(AND(M2965&gt;#REF!,Cartera!O2965="Guaraníes"),"Rendimiento significativo",IF(AND(M2965&gt;#REF!,Cartera!O2965="Dólares americanos"),"Rendimiento significativo","Rendimiento no significativo"))</f>
        <v>#REF!</v>
      </c>
      <c r="O2965" s="5" t="s">
        <v>41</v>
      </c>
      <c r="P2965" s="12">
        <v>817872.18810000003</v>
      </c>
      <c r="Q2965" s="12">
        <f>IF(O2965="Guaraníes",P2965,P2965*#REF!)</f>
        <v>817872.18810000003</v>
      </c>
      <c r="R2965" s="12" t="e">
        <f>IF(O2965="Guaraníes",P2965/#REF!,P2965)</f>
        <v>#REF!</v>
      </c>
      <c r="S2965" s="5" t="s">
        <v>42</v>
      </c>
      <c r="AC2965" s="5" t="str">
        <f t="shared" si="142"/>
        <v>Bonos</v>
      </c>
      <c r="AD2965" s="5" t="s">
        <v>43</v>
      </c>
      <c r="AE2965" s="5">
        <f t="shared" si="143"/>
        <v>7</v>
      </c>
      <c r="AF2965" s="5">
        <f t="shared" si="144"/>
        <v>2027</v>
      </c>
    </row>
    <row r="2966" s="5" customFormat="1" ht="13">
      <c r="A2966" s="5">
        <v>12306</v>
      </c>
      <c r="B2966" s="5" t="s">
        <v>373</v>
      </c>
      <c r="C2966" s="5" t="s">
        <v>116</v>
      </c>
      <c r="D2966" s="5" t="s">
        <v>20</v>
      </c>
      <c r="E2966" s="5" t="s">
        <v>34</v>
      </c>
      <c r="F2966" s="5" t="s">
        <v>68</v>
      </c>
      <c r="H2966" s="9">
        <v>6208</v>
      </c>
      <c r="I2966" s="10">
        <v>44525</v>
      </c>
      <c r="J2966" s="10">
        <v>45975</v>
      </c>
      <c r="K2966" s="5" t="s">
        <v>118</v>
      </c>
      <c r="L2966" s="5" t="s">
        <v>82</v>
      </c>
      <c r="M2966" s="11">
        <v>0.080000000000000002</v>
      </c>
      <c r="N2966" s="5" t="e">
        <f>IF(AND(M2966&gt;#REF!,Cartera!O2966="Guaraníes"),"Rendimiento significativo",IF(AND(M2966&gt;#REF!,Cartera!O2966="Dólares americanos"),"Rendimiento significativo","Rendimiento no significativo"))</f>
        <v>#REF!</v>
      </c>
      <c r="O2966" s="5" t="s">
        <v>41</v>
      </c>
      <c r="P2966" s="12">
        <v>101000000</v>
      </c>
      <c r="Q2966" s="12">
        <f>IF(O2966="Guaraníes",P2966,P2966*#REF!)</f>
        <v>101000000</v>
      </c>
      <c r="R2966" s="12" t="e">
        <f>IF(O2966="Guaraníes",P2966/#REF!,P2966)</f>
        <v>#REF!</v>
      </c>
      <c r="S2966" s="5" t="s">
        <v>42</v>
      </c>
      <c r="AC2966" s="5" t="str">
        <f t="shared" si="142"/>
        <v>CDA</v>
      </c>
      <c r="AD2966" s="5" t="s">
        <v>43</v>
      </c>
      <c r="AE2966" s="5">
        <f t="shared" si="143"/>
        <v>11</v>
      </c>
      <c r="AF2966" s="5">
        <f t="shared" si="144"/>
        <v>2025</v>
      </c>
    </row>
    <row r="2967" s="5" customFormat="1" ht="13">
      <c r="A2967" s="5">
        <v>12315</v>
      </c>
      <c r="B2967" s="5" t="s">
        <v>73</v>
      </c>
      <c r="C2967" s="5" t="s">
        <v>85</v>
      </c>
      <c r="D2967" s="5" t="s">
        <v>21</v>
      </c>
      <c r="E2967" s="5" t="s">
        <v>34</v>
      </c>
      <c r="F2967" s="5" t="s">
        <v>68</v>
      </c>
      <c r="G2967" s="5" t="s">
        <v>86</v>
      </c>
      <c r="H2967" s="9" t="s">
        <v>87</v>
      </c>
      <c r="I2967" s="10"/>
      <c r="J2967" s="10">
        <v>46583</v>
      </c>
      <c r="K2967" s="5" t="s">
        <v>39</v>
      </c>
      <c r="L2967" s="5" t="s">
        <v>58</v>
      </c>
      <c r="M2967" s="11">
        <v>0.059999999999999998</v>
      </c>
      <c r="N2967" s="5" t="e">
        <f>IF(AND(M2967&gt;#REF!,Cartera!O2967="Guaraníes"),"Rendimiento significativo",IF(AND(M2967&gt;#REF!,Cartera!O2967="Dólares americanos"),"Rendimiento significativo","Rendimiento no significativo"))</f>
        <v>#REF!</v>
      </c>
      <c r="O2967" s="5" t="s">
        <v>51</v>
      </c>
      <c r="P2967" s="13">
        <v>747.9452</v>
      </c>
      <c r="Q2967" s="12" t="e">
        <f>IF(O2967="Guaraníes",P2967,P2967*#REF!)</f>
        <v>#REF!</v>
      </c>
      <c r="R2967" s="12">
        <f>IF(O2967="Guaraníes",P2967/#REF!,P2967)</f>
        <v>747.9452</v>
      </c>
      <c r="S2967" s="5" t="s">
        <v>42</v>
      </c>
      <c r="T2967" s="5">
        <v>10834</v>
      </c>
      <c r="W2967" s="5" t="s">
        <v>699</v>
      </c>
      <c r="X2967" s="5">
        <v>0</v>
      </c>
      <c r="Y2967" s="5">
        <v>0</v>
      </c>
      <c r="Z2967" s="5">
        <v>14.958904</v>
      </c>
      <c r="AA2967" s="5">
        <v>50</v>
      </c>
      <c r="AB2967" s="5">
        <v>747.9452</v>
      </c>
      <c r="AC2967" s="5" t="str">
        <f t="shared" si="142"/>
        <v>Bonos</v>
      </c>
      <c r="AD2967" s="5" t="s">
        <v>43</v>
      </c>
      <c r="AE2967" s="5">
        <f t="shared" si="143"/>
        <v>7</v>
      </c>
      <c r="AF2967" s="5">
        <f t="shared" si="144"/>
        <v>2027</v>
      </c>
    </row>
    <row r="2968" s="5" customFormat="1" ht="13">
      <c r="A2968" s="5" t="s">
        <v>44</v>
      </c>
      <c r="B2968" s="5" t="s">
        <v>44</v>
      </c>
      <c r="C2968" s="5" t="s">
        <v>79</v>
      </c>
      <c r="D2968" s="5" t="s">
        <v>21</v>
      </c>
      <c r="E2968" s="5" t="s">
        <v>44</v>
      </c>
      <c r="F2968" s="5" t="s">
        <v>68</v>
      </c>
      <c r="H2968" s="9" t="s">
        <v>696</v>
      </c>
      <c r="I2968" s="10">
        <v>45252</v>
      </c>
      <c r="J2968" s="10">
        <v>45618</v>
      </c>
      <c r="K2968" s="5" t="s">
        <v>81</v>
      </c>
      <c r="L2968" s="5" t="s">
        <v>82</v>
      </c>
      <c r="M2968" s="11">
        <v>0.098000000000000004</v>
      </c>
      <c r="N2968" s="5" t="e">
        <f>IF(AND(M2968&gt;#REF!,Cartera!O2968="Guaraníes"),"Rendimiento significativo",IF(AND(M2968&gt;#REF!,Cartera!O2968="Dólares americanos"),"Rendimiento significativo","Rendimiento no significativo"))</f>
        <v>#REF!</v>
      </c>
      <c r="O2968" s="5" t="s">
        <v>41</v>
      </c>
      <c r="P2968" s="12">
        <v>12283562</v>
      </c>
      <c r="Q2968" s="12">
        <f>IF(O2968="Guaraníes",P2968,P2968*#REF!)</f>
        <v>12283562</v>
      </c>
      <c r="R2968" s="12" t="e">
        <f>IF(O2968="Guaraníes",P2968/#REF!,P2968)</f>
        <v>#REF!</v>
      </c>
      <c r="S2968" s="5" t="s">
        <v>52</v>
      </c>
      <c r="AC2968" s="5" t="str">
        <f t="shared" si="142"/>
        <v>CDA</v>
      </c>
      <c r="AD2968" s="5" t="s">
        <v>43</v>
      </c>
      <c r="AE2968" s="5">
        <f t="shared" si="143"/>
        <v>11</v>
      </c>
      <c r="AF2968" s="5">
        <f t="shared" si="144"/>
        <v>2024</v>
      </c>
    </row>
    <row r="2969" s="5" customFormat="1" ht="13">
      <c r="A2969" s="5">
        <v>12315</v>
      </c>
      <c r="B2969" s="5" t="s">
        <v>73</v>
      </c>
      <c r="C2969" s="5" t="s">
        <v>54</v>
      </c>
      <c r="D2969" s="5" t="s">
        <v>21</v>
      </c>
      <c r="E2969" s="5" t="s">
        <v>34</v>
      </c>
      <c r="F2969" s="5" t="s">
        <v>46</v>
      </c>
      <c r="G2969" s="5" t="s">
        <v>55</v>
      </c>
      <c r="H2969" s="9" t="s">
        <v>56</v>
      </c>
      <c r="I2969" s="10">
        <v>44680</v>
      </c>
      <c r="J2969" s="10">
        <v>46591</v>
      </c>
      <c r="K2969" s="5" t="s">
        <v>57</v>
      </c>
      <c r="L2969" s="5" t="s">
        <v>58</v>
      </c>
      <c r="M2969" s="11">
        <v>0.059999999999999998</v>
      </c>
      <c r="N2969" s="5" t="e">
        <f>IF(AND(M2969&gt;#REF!,Cartera!O2969="Guaraníes"),"Rendimiento significativo",IF(AND(M2969&gt;#REF!,Cartera!O2969="Dólares americanos"),"Rendimiento significativo","Rendimiento no significativo"))</f>
        <v>#REF!</v>
      </c>
      <c r="O2969" s="5" t="s">
        <v>51</v>
      </c>
      <c r="P2969" s="13">
        <v>747.9452</v>
      </c>
      <c r="Q2969" s="12" t="e">
        <f>IF(O2969="Guaraníes",P2969,P2969*#REF!)</f>
        <v>#REF!</v>
      </c>
      <c r="R2969" s="12">
        <f>IF(O2969="Guaraníes",P2969/#REF!,P2969)</f>
        <v>747.9452</v>
      </c>
      <c r="S2969" s="5" t="s">
        <v>42</v>
      </c>
      <c r="T2969" s="5">
        <v>17035</v>
      </c>
      <c r="V2969" s="5">
        <v>14.960000000000001</v>
      </c>
      <c r="AA2969" s="5">
        <v>50</v>
      </c>
      <c r="AC2969" s="5" t="str">
        <f t="shared" si="142"/>
        <v>Bonos</v>
      </c>
      <c r="AD2969" s="5" t="s">
        <v>43</v>
      </c>
      <c r="AE2969" s="5">
        <f t="shared" si="143"/>
        <v>7</v>
      </c>
      <c r="AF2969" s="5">
        <f t="shared" si="144"/>
        <v>2027</v>
      </c>
    </row>
    <row r="2970" s="5" customFormat="1" ht="13">
      <c r="A2970" s="5">
        <v>12315</v>
      </c>
      <c r="B2970" s="5" t="s">
        <v>73</v>
      </c>
      <c r="C2970" s="5" t="s">
        <v>33</v>
      </c>
      <c r="D2970" s="5" t="s">
        <v>21</v>
      </c>
      <c r="E2970" s="5" t="s">
        <v>34</v>
      </c>
      <c r="F2970" s="5" t="s">
        <v>35</v>
      </c>
      <c r="G2970" s="5" t="s">
        <v>141</v>
      </c>
      <c r="H2970" s="9" t="s">
        <v>142</v>
      </c>
      <c r="I2970" s="10">
        <v>44956</v>
      </c>
      <c r="J2970" s="10">
        <v>46595</v>
      </c>
      <c r="K2970" s="5" t="s">
        <v>39</v>
      </c>
      <c r="L2970" s="5" t="s">
        <v>50</v>
      </c>
      <c r="M2970" s="11">
        <v>0.065000000000000002</v>
      </c>
      <c r="N2970" s="5" t="e">
        <f>IF(AND(M2970&gt;#REF!,Cartera!O2970="Guaraníes"),"Rendimiento significativo",IF(AND(M2970&gt;#REF!,Cartera!O2970="Dólares americanos"),"Rendimiento significativo","Rendimiento no significativo"))</f>
        <v>#REF!</v>
      </c>
      <c r="O2970" s="5" t="s">
        <v>51</v>
      </c>
      <c r="P2970" s="13">
        <v>1296.43832</v>
      </c>
      <c r="Q2970" s="12" t="e">
        <f>IF(O2970="Guaraníes",P2970,P2970*#REF!)</f>
        <v>#REF!</v>
      </c>
      <c r="R2970" s="12">
        <f>IF(O2970="Guaraníes",P2970/#REF!,P2970)</f>
        <v>1296.43832</v>
      </c>
      <c r="S2970" s="5" t="s">
        <v>42</v>
      </c>
      <c r="AC2970" s="5" t="str">
        <f t="shared" si="142"/>
        <v>Bonos</v>
      </c>
      <c r="AD2970" s="5" t="s">
        <v>43</v>
      </c>
      <c r="AE2970" s="5">
        <f t="shared" si="143"/>
        <v>7</v>
      </c>
      <c r="AF2970" s="5">
        <f t="shared" si="144"/>
        <v>2027</v>
      </c>
    </row>
    <row r="2971" s="5" customFormat="1" ht="13">
      <c r="A2971" s="5">
        <v>12316</v>
      </c>
      <c r="B2971" s="5" t="s">
        <v>78</v>
      </c>
      <c r="C2971" s="5" t="s">
        <v>164</v>
      </c>
      <c r="D2971" s="5" t="s">
        <v>21</v>
      </c>
      <c r="E2971" s="5" t="s">
        <v>34</v>
      </c>
      <c r="F2971" s="5" t="s">
        <v>68</v>
      </c>
      <c r="G2971" s="5" t="s">
        <v>145</v>
      </c>
      <c r="H2971" s="9" t="s">
        <v>165</v>
      </c>
      <c r="I2971" s="10"/>
      <c r="J2971" s="10">
        <v>46598</v>
      </c>
      <c r="K2971" s="5" t="s">
        <v>124</v>
      </c>
      <c r="L2971" s="5" t="s">
        <v>58</v>
      </c>
      <c r="M2971" s="11">
        <v>0.10000000000000001</v>
      </c>
      <c r="N2971" s="5" t="e">
        <f>IF(AND(M2971&gt;#REF!,Cartera!O2971="Guaraníes"),"Rendimiento significativo",IF(AND(M2971&gt;#REF!,Cartera!O2971="Dólares americanos"),"Rendimiento significativo","Rendimiento no significativo"))</f>
        <v>#REF!</v>
      </c>
      <c r="O2971" s="5" t="s">
        <v>41</v>
      </c>
      <c r="P2971" s="12">
        <v>3287671.2328000003</v>
      </c>
      <c r="Q2971" s="12">
        <f>IF(O2971="Guaraníes",P2971,P2971*#REF!)</f>
        <v>3287671.2328000003</v>
      </c>
      <c r="R2971" s="12" t="e">
        <f>IF(O2971="Guaraníes",P2971/#REF!,P2971)</f>
        <v>#REF!</v>
      </c>
      <c r="S2971" s="5" t="s">
        <v>42</v>
      </c>
      <c r="T2971" s="5">
        <v>1057</v>
      </c>
      <c r="W2971" s="5" t="s">
        <v>65</v>
      </c>
      <c r="X2971" s="5">
        <v>0</v>
      </c>
      <c r="Y2971" s="5">
        <v>0</v>
      </c>
      <c r="Z2971" s="5">
        <v>8219.1780820000004</v>
      </c>
      <c r="AA2971" s="5">
        <v>400</v>
      </c>
      <c r="AB2971" s="5">
        <v>3287671.2327999999</v>
      </c>
      <c r="AC2971" s="5" t="str">
        <f t="shared" si="142"/>
        <v>Bonos</v>
      </c>
      <c r="AD2971" s="5" t="s">
        <v>43</v>
      </c>
      <c r="AE2971" s="5">
        <f t="shared" si="143"/>
        <v>7</v>
      </c>
      <c r="AF2971" s="5">
        <f t="shared" si="144"/>
        <v>2027</v>
      </c>
    </row>
    <row r="2972" s="5" customFormat="1" ht="13">
      <c r="A2972" s="5">
        <v>12316</v>
      </c>
      <c r="B2972" s="5" t="s">
        <v>78</v>
      </c>
      <c r="C2972" s="5" t="s">
        <v>164</v>
      </c>
      <c r="D2972" s="5" t="s">
        <v>21</v>
      </c>
      <c r="E2972" s="5" t="s">
        <v>34</v>
      </c>
      <c r="F2972" s="5" t="s">
        <v>68</v>
      </c>
      <c r="G2972" s="5" t="s">
        <v>141</v>
      </c>
      <c r="H2972" s="9" t="s">
        <v>165</v>
      </c>
      <c r="I2972" s="10"/>
      <c r="J2972" s="10">
        <v>46598</v>
      </c>
      <c r="K2972" s="5" t="s">
        <v>124</v>
      </c>
      <c r="L2972" s="5" t="s">
        <v>58</v>
      </c>
      <c r="M2972" s="11">
        <v>0.10000000000000001</v>
      </c>
      <c r="N2972" s="5" t="e">
        <f>IF(AND(M2972&gt;#REF!,Cartera!O2972="Guaraníes"),"Rendimiento significativo",IF(AND(M2972&gt;#REF!,Cartera!O2972="Dólares americanos"),"Rendimiento significativo","Rendimiento no significativo"))</f>
        <v>#REF!</v>
      </c>
      <c r="O2972" s="5" t="s">
        <v>41</v>
      </c>
      <c r="P2972" s="12">
        <v>821917.80820000009</v>
      </c>
      <c r="Q2972" s="12">
        <f>IF(O2972="Guaraníes",P2972,P2972*#REF!)</f>
        <v>821917.80820000009</v>
      </c>
      <c r="R2972" s="12" t="e">
        <f>IF(O2972="Guaraníes",P2972/#REF!,P2972)</f>
        <v>#REF!</v>
      </c>
      <c r="S2972" s="5" t="s">
        <v>42</v>
      </c>
      <c r="T2972" s="5">
        <v>9243</v>
      </c>
      <c r="W2972" s="5" t="s">
        <v>65</v>
      </c>
      <c r="X2972" s="5">
        <v>0</v>
      </c>
      <c r="Y2972" s="5">
        <v>0</v>
      </c>
      <c r="Z2972" s="5">
        <v>8219.1780820000004</v>
      </c>
      <c r="AA2972" s="5">
        <v>100</v>
      </c>
      <c r="AB2972" s="5">
        <v>821917.80819999997</v>
      </c>
      <c r="AC2972" s="5" t="str">
        <f t="shared" si="142"/>
        <v>Bonos</v>
      </c>
      <c r="AD2972" s="5" t="s">
        <v>43</v>
      </c>
      <c r="AE2972" s="5">
        <f t="shared" si="143"/>
        <v>7</v>
      </c>
      <c r="AF2972" s="5">
        <f t="shared" si="144"/>
        <v>2027</v>
      </c>
    </row>
    <row r="2973" s="5" customFormat="1" ht="13">
      <c r="A2973" s="5">
        <v>12316</v>
      </c>
      <c r="B2973" s="5" t="s">
        <v>78</v>
      </c>
      <c r="C2973" s="5" t="s">
        <v>138</v>
      </c>
      <c r="D2973" s="5" t="s">
        <v>21</v>
      </c>
      <c r="E2973" s="5" t="s">
        <v>34</v>
      </c>
      <c r="F2973" s="5" t="s">
        <v>68</v>
      </c>
      <c r="G2973" s="5" t="s">
        <v>86</v>
      </c>
      <c r="H2973" s="9" t="s">
        <v>139</v>
      </c>
      <c r="I2973" s="10">
        <v>43948</v>
      </c>
      <c r="J2973" s="10">
        <v>46603</v>
      </c>
      <c r="K2973" s="5" t="s">
        <v>140</v>
      </c>
      <c r="L2973" s="5" t="s">
        <v>58</v>
      </c>
      <c r="M2973" s="11">
        <v>0.11</v>
      </c>
      <c r="N2973" s="5" t="e">
        <f>IF(AND(M2973&gt;#REF!,Cartera!O2973="Guaraníes"),"Rendimiento significativo",IF(AND(M2973&gt;#REF!,Cartera!O2973="Dólares americanos"),"Rendimiento significativo","Rendimiento no significativo"))</f>
        <v>#REF!</v>
      </c>
      <c r="O2973" s="5" t="s">
        <v>41</v>
      </c>
      <c r="P2973" s="12">
        <v>781535.6385</v>
      </c>
      <c r="Q2973" s="12">
        <f>IF(O2973="Guaraníes",P2973,P2973*#REF!)</f>
        <v>781535.6385</v>
      </c>
      <c r="R2973" s="12" t="e">
        <f>IF(O2973="Guaraníes",P2973/#REF!,P2973)</f>
        <v>#REF!</v>
      </c>
      <c r="S2973" s="5" t="s">
        <v>42</v>
      </c>
      <c r="AC2973" s="5" t="str">
        <f t="shared" si="142"/>
        <v>Bonos</v>
      </c>
      <c r="AD2973" s="5" t="s">
        <v>43</v>
      </c>
      <c r="AE2973" s="5">
        <f t="shared" si="143"/>
        <v>8</v>
      </c>
      <c r="AF2973" s="5">
        <f t="shared" si="144"/>
        <v>2027</v>
      </c>
    </row>
    <row r="2974" s="5" customFormat="1" ht="13">
      <c r="A2974" s="5">
        <v>12316</v>
      </c>
      <c r="B2974" s="5" t="s">
        <v>78</v>
      </c>
      <c r="C2974" s="5" t="s">
        <v>99</v>
      </c>
      <c r="D2974" s="5" t="s">
        <v>21</v>
      </c>
      <c r="E2974" s="5" t="s">
        <v>34</v>
      </c>
      <c r="F2974" s="5" t="s">
        <v>100</v>
      </c>
      <c r="G2974" s="5" t="s">
        <v>91</v>
      </c>
      <c r="H2974" s="9" t="s">
        <v>174</v>
      </c>
      <c r="I2974" s="10">
        <v>44971</v>
      </c>
      <c r="J2974" s="10">
        <v>46614</v>
      </c>
      <c r="K2974" s="5" t="s">
        <v>102</v>
      </c>
      <c r="L2974" s="5" t="s">
        <v>102</v>
      </c>
      <c r="M2974" s="11">
        <v>0.090300000000000005</v>
      </c>
      <c r="N2974" s="5" t="e">
        <f>IF(AND(M2974&gt;#REF!,Cartera!O2974="Guaraníes"),"Rendimiento significativo",IF(AND(M2974&gt;#REF!,Cartera!O2974="Dólares americanos"),"Rendimiento significativo","Rendimiento no significativo"))</f>
        <v>#REF!</v>
      </c>
      <c r="O2974" s="5" t="s">
        <v>41</v>
      </c>
      <c r="P2974" s="12">
        <v>20407800</v>
      </c>
      <c r="Q2974" s="12">
        <f>IF(O2974="Guaraníes",P2974,P2974*#REF!)</f>
        <v>20407800</v>
      </c>
      <c r="R2974" s="12" t="e">
        <f>IF(O2974="Guaraníes",P2974/#REF!,P2974)</f>
        <v>#REF!</v>
      </c>
      <c r="S2974" s="5" t="s">
        <v>42</v>
      </c>
      <c r="AC2974" s="5" t="str">
        <f t="shared" si="142"/>
        <v>Bonos</v>
      </c>
      <c r="AD2974" s="5" t="s">
        <v>43</v>
      </c>
      <c r="AE2974" s="5">
        <f t="shared" si="143"/>
        <v>8</v>
      </c>
      <c r="AF2974" s="5">
        <f t="shared" si="144"/>
        <v>2027</v>
      </c>
    </row>
    <row r="2975" s="5" customFormat="1" ht="13">
      <c r="A2975" s="5">
        <v>12316</v>
      </c>
      <c r="B2975" s="5" t="s">
        <v>78</v>
      </c>
      <c r="C2975" s="5" t="s">
        <v>164</v>
      </c>
      <c r="D2975" s="5" t="s">
        <v>21</v>
      </c>
      <c r="E2975" s="5" t="s">
        <v>34</v>
      </c>
      <c r="F2975" s="5" t="s">
        <v>68</v>
      </c>
      <c r="G2975" s="5" t="s">
        <v>145</v>
      </c>
      <c r="H2975" s="9" t="s">
        <v>165</v>
      </c>
      <c r="I2975" s="10"/>
      <c r="J2975" s="10">
        <v>46630</v>
      </c>
      <c r="K2975" s="5" t="s">
        <v>124</v>
      </c>
      <c r="L2975" s="5" t="s">
        <v>58</v>
      </c>
      <c r="M2975" s="11">
        <v>0.10000000000000001</v>
      </c>
      <c r="N2975" s="5" t="e">
        <f>IF(AND(M2975&gt;#REF!,Cartera!O2975="Guaraníes"),"Rendimiento significativo",IF(AND(M2975&gt;#REF!,Cartera!O2975="Dólares americanos"),"Rendimiento significativo","Rendimiento no significativo"))</f>
        <v>#REF!</v>
      </c>
      <c r="O2975" s="5" t="s">
        <v>41</v>
      </c>
      <c r="P2975" s="12">
        <v>3506849.3152000001</v>
      </c>
      <c r="Q2975" s="12">
        <f>IF(O2975="Guaraníes",P2975,P2975*#REF!)</f>
        <v>3506849.3152000001</v>
      </c>
      <c r="R2975" s="12" t="e">
        <f>IF(O2975="Guaraníes",P2975/#REF!,P2975)</f>
        <v>#REF!</v>
      </c>
      <c r="S2975" s="5" t="s">
        <v>42</v>
      </c>
      <c r="T2975" s="5">
        <v>1057</v>
      </c>
      <c r="W2975" s="5" t="s">
        <v>65</v>
      </c>
      <c r="X2975" s="5">
        <v>0</v>
      </c>
      <c r="Y2975" s="5">
        <v>0</v>
      </c>
      <c r="Z2975" s="5">
        <v>8767.1232880000007</v>
      </c>
      <c r="AA2975" s="5">
        <v>400</v>
      </c>
      <c r="AB2975" s="5">
        <v>3506849.3152000001</v>
      </c>
      <c r="AC2975" s="5" t="str">
        <f t="shared" si="142"/>
        <v>Bonos</v>
      </c>
      <c r="AD2975" s="5" t="s">
        <v>43</v>
      </c>
      <c r="AE2975" s="5">
        <f t="shared" si="143"/>
        <v>8</v>
      </c>
      <c r="AF2975" s="5">
        <f t="shared" si="144"/>
        <v>2027</v>
      </c>
    </row>
    <row r="2976" s="5" customFormat="1" ht="13">
      <c r="A2976" s="5">
        <v>12316</v>
      </c>
      <c r="B2976" s="5" t="s">
        <v>78</v>
      </c>
      <c r="C2976" s="5" t="s">
        <v>164</v>
      </c>
      <c r="D2976" s="5" t="s">
        <v>21</v>
      </c>
      <c r="E2976" s="5" t="s">
        <v>34</v>
      </c>
      <c r="F2976" s="5" t="s">
        <v>68</v>
      </c>
      <c r="G2976" s="5" t="s">
        <v>141</v>
      </c>
      <c r="H2976" s="9" t="s">
        <v>165</v>
      </c>
      <c r="I2976" s="10"/>
      <c r="J2976" s="10">
        <v>46630</v>
      </c>
      <c r="K2976" s="5" t="s">
        <v>124</v>
      </c>
      <c r="L2976" s="5" t="s">
        <v>58</v>
      </c>
      <c r="M2976" s="11">
        <v>0.10000000000000001</v>
      </c>
      <c r="N2976" s="5" t="e">
        <f>IF(AND(M2976&gt;#REF!,Cartera!O2976="Guaraníes"),"Rendimiento significativo",IF(AND(M2976&gt;#REF!,Cartera!O2976="Dólares americanos"),"Rendimiento significativo","Rendimiento no significativo"))</f>
        <v>#REF!</v>
      </c>
      <c r="O2976" s="5" t="s">
        <v>41</v>
      </c>
      <c r="P2976" s="12">
        <v>876712.32880000002</v>
      </c>
      <c r="Q2976" s="12">
        <f>IF(O2976="Guaraníes",P2976,P2976*#REF!)</f>
        <v>876712.32880000002</v>
      </c>
      <c r="R2976" s="12" t="e">
        <f>IF(O2976="Guaraníes",P2976/#REF!,P2976)</f>
        <v>#REF!</v>
      </c>
      <c r="S2976" s="5" t="s">
        <v>42</v>
      </c>
      <c r="T2976" s="5">
        <v>9243</v>
      </c>
      <c r="W2976" s="5" t="s">
        <v>65</v>
      </c>
      <c r="X2976" s="5">
        <v>0</v>
      </c>
      <c r="Y2976" s="5">
        <v>0</v>
      </c>
      <c r="Z2976" s="5">
        <v>8767.1232880000007</v>
      </c>
      <c r="AA2976" s="5">
        <v>100</v>
      </c>
      <c r="AB2976" s="5">
        <v>876712.32880000002</v>
      </c>
      <c r="AC2976" s="5" t="str">
        <f t="shared" si="142"/>
        <v>Bonos</v>
      </c>
      <c r="AD2976" s="5" t="s">
        <v>43</v>
      </c>
      <c r="AE2976" s="5">
        <f t="shared" si="143"/>
        <v>8</v>
      </c>
      <c r="AF2976" s="5">
        <f t="shared" si="144"/>
        <v>2027</v>
      </c>
    </row>
    <row r="2977" s="5" customFormat="1" ht="13">
      <c r="A2977" s="5">
        <v>12316</v>
      </c>
      <c r="B2977" s="5" t="s">
        <v>78</v>
      </c>
      <c r="C2977" s="5" t="s">
        <v>99</v>
      </c>
      <c r="D2977" s="5" t="s">
        <v>21</v>
      </c>
      <c r="E2977" s="5" t="s">
        <v>34</v>
      </c>
      <c r="F2977" s="5" t="s">
        <v>100</v>
      </c>
      <c r="G2977" s="5" t="s">
        <v>86</v>
      </c>
      <c r="H2977" s="9" t="s">
        <v>155</v>
      </c>
      <c r="I2977" s="10"/>
      <c r="J2977" s="10">
        <v>46633</v>
      </c>
      <c r="K2977" s="5" t="s">
        <v>102</v>
      </c>
      <c r="L2977" s="5" t="s">
        <v>102</v>
      </c>
      <c r="M2977" s="11">
        <v>0.081000000000000003</v>
      </c>
      <c r="N2977" s="5" t="e">
        <f>IF(AND(M2977&gt;#REF!,Cartera!O2977="Guaraníes"),"Rendimiento significativo",IF(AND(M2977&gt;#REF!,Cartera!O2977="Dólares americanos"),"Rendimiento significativo","Rendimiento no significativo"))</f>
        <v>#REF!</v>
      </c>
      <c r="O2977" s="5" t="s">
        <v>41</v>
      </c>
      <c r="P2977" s="12">
        <v>28000000</v>
      </c>
      <c r="Q2977" s="12">
        <f>IF(O2977="Guaraníes",P2977,P2977*#REF!)</f>
        <v>28000000</v>
      </c>
      <c r="R2977" s="12" t="e">
        <f>IF(O2977="Guaraníes",P2977/#REF!,P2977)</f>
        <v>#REF!</v>
      </c>
      <c r="S2977" s="5" t="s">
        <v>42</v>
      </c>
      <c r="T2977" s="5">
        <v>10834</v>
      </c>
      <c r="W2977" s="5" t="s">
        <v>65</v>
      </c>
      <c r="X2977" s="5">
        <v>0</v>
      </c>
      <c r="Y2977" s="5">
        <v>0</v>
      </c>
      <c r="Z2977" s="5">
        <v>40000</v>
      </c>
      <c r="AA2977" s="5">
        <v>700</v>
      </c>
      <c r="AB2977" s="5">
        <v>28000000</v>
      </c>
      <c r="AC2977" s="5" t="str">
        <f t="shared" si="142"/>
        <v>Bonos</v>
      </c>
      <c r="AD2977" s="5" t="s">
        <v>43</v>
      </c>
      <c r="AE2977" s="5">
        <f t="shared" si="143"/>
        <v>9</v>
      </c>
      <c r="AF2977" s="5">
        <f t="shared" si="144"/>
        <v>2027</v>
      </c>
    </row>
    <row r="2978" s="5" customFormat="1" ht="13">
      <c r="A2978" s="5">
        <v>12316</v>
      </c>
      <c r="B2978" s="5" t="s">
        <v>78</v>
      </c>
      <c r="C2978" s="5" t="s">
        <v>99</v>
      </c>
      <c r="D2978" s="5" t="s">
        <v>21</v>
      </c>
      <c r="E2978" s="5" t="s">
        <v>34</v>
      </c>
      <c r="F2978" s="5" t="s">
        <v>100</v>
      </c>
      <c r="G2978" s="5" t="s">
        <v>75</v>
      </c>
      <c r="H2978" s="9" t="s">
        <v>159</v>
      </c>
      <c r="I2978" s="10"/>
      <c r="J2978" s="10">
        <v>46633</v>
      </c>
      <c r="K2978" s="5" t="s">
        <v>102</v>
      </c>
      <c r="L2978" s="5" t="s">
        <v>102</v>
      </c>
      <c r="M2978" s="11">
        <v>0.078</v>
      </c>
      <c r="N2978" s="5" t="e">
        <f>IF(AND(M2978&gt;#REF!,Cartera!O2978="Guaraníes"),"Rendimiento significativo",IF(AND(M2978&gt;#REF!,Cartera!O2978="Dólares americanos"),"Rendimiento significativo","Rendimiento no significativo"))</f>
        <v>#REF!</v>
      </c>
      <c r="O2978" s="5" t="s">
        <v>41</v>
      </c>
      <c r="P2978" s="12">
        <v>31200000</v>
      </c>
      <c r="Q2978" s="12">
        <f>IF(O2978="Guaraníes",P2978,P2978*#REF!)</f>
        <v>31200000</v>
      </c>
      <c r="R2978" s="12" t="e">
        <f>IF(O2978="Guaraníes",P2978/#REF!,P2978)</f>
        <v>#REF!</v>
      </c>
      <c r="S2978" s="5" t="s">
        <v>42</v>
      </c>
      <c r="T2978" s="5">
        <v>25</v>
      </c>
      <c r="W2978" s="5" t="s">
        <v>65</v>
      </c>
      <c r="X2978" s="5">
        <v>0</v>
      </c>
      <c r="Y2978" s="5">
        <v>0</v>
      </c>
      <c r="Z2978" s="5">
        <v>39000</v>
      </c>
      <c r="AA2978" s="5">
        <v>800</v>
      </c>
      <c r="AB2978" s="5">
        <v>31200000</v>
      </c>
      <c r="AC2978" s="5" t="str">
        <f t="shared" si="142"/>
        <v>Bonos</v>
      </c>
      <c r="AD2978" s="5" t="s">
        <v>43</v>
      </c>
      <c r="AE2978" s="5">
        <f t="shared" si="143"/>
        <v>9</v>
      </c>
      <c r="AF2978" s="5">
        <f t="shared" si="144"/>
        <v>2027</v>
      </c>
    </row>
    <row r="2979" s="5" customFormat="1" ht="13">
      <c r="A2979" s="5">
        <v>12316</v>
      </c>
      <c r="B2979" s="5" t="s">
        <v>78</v>
      </c>
      <c r="C2979" s="5" t="s">
        <v>99</v>
      </c>
      <c r="D2979" s="5" t="s">
        <v>21</v>
      </c>
      <c r="E2979" s="5" t="s">
        <v>34</v>
      </c>
      <c r="F2979" s="5" t="s">
        <v>100</v>
      </c>
      <c r="G2979" s="5" t="s">
        <v>145</v>
      </c>
      <c r="H2979" s="9" t="s">
        <v>159</v>
      </c>
      <c r="I2979" s="10">
        <v>44657</v>
      </c>
      <c r="J2979" s="10">
        <v>46633</v>
      </c>
      <c r="K2979" s="5" t="s">
        <v>102</v>
      </c>
      <c r="L2979" s="5" t="s">
        <v>102</v>
      </c>
      <c r="M2979" s="11">
        <v>0.078</v>
      </c>
      <c r="N2979" s="5" t="e">
        <f>IF(AND(M2979&gt;#REF!,Cartera!O2979="Guaraníes"),"Rendimiento significativo",IF(AND(M2979&gt;#REF!,Cartera!O2979="Dólares americanos"),"Rendimiento significativo","Rendimiento no significativo"))</f>
        <v>#REF!</v>
      </c>
      <c r="O2979" s="5" t="s">
        <v>41</v>
      </c>
      <c r="P2979" s="12">
        <v>35100000</v>
      </c>
      <c r="Q2979" s="12">
        <f>IF(O2979="Guaraníes",P2979,P2979*#REF!)</f>
        <v>35100000</v>
      </c>
      <c r="R2979" s="12" t="e">
        <f>IF(O2979="Guaraníes",P2979/#REF!,P2979)</f>
        <v>#REF!</v>
      </c>
      <c r="S2979" s="5" t="s">
        <v>42</v>
      </c>
      <c r="V2979" s="5">
        <v>39000</v>
      </c>
      <c r="AA2979" s="5">
        <v>900</v>
      </c>
      <c r="AC2979" s="5" t="str">
        <f t="shared" si="142"/>
        <v>Bonos</v>
      </c>
      <c r="AD2979" s="5" t="s">
        <v>43</v>
      </c>
      <c r="AE2979" s="5">
        <f t="shared" si="143"/>
        <v>9</v>
      </c>
      <c r="AF2979" s="5">
        <f t="shared" si="144"/>
        <v>2027</v>
      </c>
    </row>
    <row r="2980" s="5" customFormat="1" ht="13">
      <c r="A2980" s="5">
        <v>12316</v>
      </c>
      <c r="B2980" s="5" t="s">
        <v>78</v>
      </c>
      <c r="C2980" s="5" t="s">
        <v>138</v>
      </c>
      <c r="D2980" s="5" t="s">
        <v>21</v>
      </c>
      <c r="E2980" s="5" t="s">
        <v>34</v>
      </c>
      <c r="F2980" s="5" t="s">
        <v>68</v>
      </c>
      <c r="G2980" s="5" t="s">
        <v>86</v>
      </c>
      <c r="H2980" s="9" t="s">
        <v>139</v>
      </c>
      <c r="I2980" s="10">
        <v>43948</v>
      </c>
      <c r="J2980" s="10">
        <v>46633</v>
      </c>
      <c r="K2980" s="5" t="s">
        <v>140</v>
      </c>
      <c r="L2980" s="5" t="s">
        <v>58</v>
      </c>
      <c r="M2980" s="11">
        <v>0.11</v>
      </c>
      <c r="N2980" s="5" t="e">
        <f>IF(AND(M2980&gt;#REF!,Cartera!O2980="Guaraníes"),"Rendimiento significativo",IF(AND(M2980&gt;#REF!,Cartera!O2980="Dólares americanos"),"Rendimiento significativo","Rendimiento no significativo"))</f>
        <v>#REF!</v>
      </c>
      <c r="O2980" s="5" t="s">
        <v>41</v>
      </c>
      <c r="P2980" s="12">
        <v>771490.82189999998</v>
      </c>
      <c r="Q2980" s="12">
        <f>IF(O2980="Guaraníes",P2980,P2980*#REF!)</f>
        <v>771490.82189999998</v>
      </c>
      <c r="R2980" s="12" t="e">
        <f>IF(O2980="Guaraníes",P2980/#REF!,P2980)</f>
        <v>#REF!</v>
      </c>
      <c r="S2980" s="5" t="s">
        <v>42</v>
      </c>
      <c r="AC2980" s="5" t="str">
        <f t="shared" si="142"/>
        <v>Bonos</v>
      </c>
      <c r="AD2980" s="5" t="s">
        <v>43</v>
      </c>
      <c r="AE2980" s="5">
        <f t="shared" si="143"/>
        <v>9</v>
      </c>
      <c r="AF2980" s="5">
        <f t="shared" si="144"/>
        <v>2027</v>
      </c>
    </row>
    <row r="2981" s="5" customFormat="1" ht="13">
      <c r="A2981" s="5">
        <v>12316</v>
      </c>
      <c r="B2981" s="5" t="s">
        <v>78</v>
      </c>
      <c r="C2981" s="5" t="s">
        <v>183</v>
      </c>
      <c r="D2981" s="5" t="s">
        <v>21</v>
      </c>
      <c r="E2981" s="5" t="s">
        <v>34</v>
      </c>
      <c r="F2981" s="5" t="s">
        <v>184</v>
      </c>
      <c r="H2981" s="9">
        <v>6217</v>
      </c>
      <c r="I2981" s="10"/>
      <c r="J2981" s="10">
        <v>46637</v>
      </c>
      <c r="K2981" s="5" t="s">
        <v>124</v>
      </c>
      <c r="L2981" s="5" t="s">
        <v>82</v>
      </c>
      <c r="M2981" s="11">
        <v>0.072499999999999995</v>
      </c>
      <c r="N2981" s="5" t="e">
        <f>IF(AND(M2981&gt;#REF!,Cartera!O2981="Guaraníes"),"Rendimiento significativo",IF(AND(M2981&gt;#REF!,Cartera!O2981="Dólares americanos"),"Rendimiento significativo","Rendimiento no significativo"))</f>
        <v>#REF!</v>
      </c>
      <c r="O2981" s="5" t="s">
        <v>41</v>
      </c>
      <c r="P2981" s="12">
        <v>17347485</v>
      </c>
      <c r="Q2981" s="12">
        <f>IF(O2981="Guaraníes",P2981,P2981*#REF!)</f>
        <v>17347485</v>
      </c>
      <c r="R2981" s="12" t="e">
        <f>IF(O2981="Guaraníes",P2981/#REF!,P2981)</f>
        <v>#REF!</v>
      </c>
      <c r="S2981" s="5" t="s">
        <v>42</v>
      </c>
      <c r="V2981" s="5">
        <v>17347485</v>
      </c>
      <c r="W2981" s="5" t="s">
        <v>700</v>
      </c>
      <c r="AC2981" s="5" t="str">
        <f t="shared" si="142"/>
        <v>CDA</v>
      </c>
      <c r="AD2981" s="5" t="s">
        <v>43</v>
      </c>
      <c r="AE2981" s="5">
        <f t="shared" si="143"/>
        <v>9</v>
      </c>
      <c r="AF2981" s="5">
        <f t="shared" si="144"/>
        <v>2027</v>
      </c>
    </row>
    <row r="2982" s="5" customFormat="1" ht="13">
      <c r="A2982" s="5">
        <v>12315</v>
      </c>
      <c r="B2982" s="5" t="s">
        <v>73</v>
      </c>
      <c r="C2982" s="5" t="s">
        <v>33</v>
      </c>
      <c r="D2982" s="5" t="s">
        <v>21</v>
      </c>
      <c r="E2982" s="5" t="s">
        <v>34</v>
      </c>
      <c r="F2982" s="5" t="s">
        <v>35</v>
      </c>
      <c r="G2982" s="5" t="s">
        <v>75</v>
      </c>
      <c r="H2982" s="9" t="s">
        <v>186</v>
      </c>
      <c r="I2982" s="10"/>
      <c r="J2982" s="10">
        <v>46638</v>
      </c>
      <c r="K2982" s="5" t="s">
        <v>39</v>
      </c>
      <c r="L2982" s="5" t="s">
        <v>50</v>
      </c>
      <c r="M2982" s="11">
        <v>0.044999999999999998</v>
      </c>
      <c r="N2982" s="5" t="e">
        <f>IF(AND(M2982&gt;#REF!,Cartera!O2982="Guaraníes"),"Rendimiento significativo",IF(AND(M2982&gt;#REF!,Cartera!O2982="Dólares americanos"),"Rendimiento significativo","Rendimiento no significativo"))</f>
        <v>#REF!</v>
      </c>
      <c r="O2982" s="5" t="s">
        <v>51</v>
      </c>
      <c r="P2982" s="13">
        <v>336.57533999999998</v>
      </c>
      <c r="Q2982" s="12" t="e">
        <f>IF(O2982="Guaraníes",P2982,P2982*#REF!)</f>
        <v>#REF!</v>
      </c>
      <c r="R2982" s="12">
        <f>IF(O2982="Guaraníes",P2982/#REF!,P2982)</f>
        <v>336.57533999999998</v>
      </c>
      <c r="S2982" s="5" t="s">
        <v>42</v>
      </c>
      <c r="T2982" s="5">
        <v>25</v>
      </c>
      <c r="W2982" s="5" t="s">
        <v>65</v>
      </c>
      <c r="X2982" s="5">
        <v>0</v>
      </c>
      <c r="Y2982" s="5">
        <v>0</v>
      </c>
      <c r="Z2982" s="5">
        <v>11.219177999999999</v>
      </c>
      <c r="AA2982" s="5">
        <v>30</v>
      </c>
      <c r="AB2982" s="5">
        <v>336.57533999999998</v>
      </c>
      <c r="AC2982" s="5" t="str">
        <f t="shared" si="142"/>
        <v>Bonos</v>
      </c>
      <c r="AD2982" s="5" t="s">
        <v>43</v>
      </c>
      <c r="AE2982" s="5">
        <f t="shared" si="143"/>
        <v>9</v>
      </c>
      <c r="AF2982" s="5">
        <f t="shared" si="144"/>
        <v>2027</v>
      </c>
    </row>
    <row r="2983" s="5" customFormat="1" ht="13">
      <c r="A2983" s="5">
        <v>12315</v>
      </c>
      <c r="B2983" s="5" t="s">
        <v>73</v>
      </c>
      <c r="C2983" s="5" t="s">
        <v>33</v>
      </c>
      <c r="D2983" s="5" t="s">
        <v>21</v>
      </c>
      <c r="E2983" s="5" t="s">
        <v>34</v>
      </c>
      <c r="F2983" s="5" t="s">
        <v>35</v>
      </c>
      <c r="G2983" s="5" t="s">
        <v>69</v>
      </c>
      <c r="H2983" s="9" t="s">
        <v>186</v>
      </c>
      <c r="I2983" s="10"/>
      <c r="J2983" s="10">
        <v>46638</v>
      </c>
      <c r="K2983" s="5" t="s">
        <v>39</v>
      </c>
      <c r="L2983" s="5" t="s">
        <v>50</v>
      </c>
      <c r="M2983" s="11">
        <v>0.044999999999999998</v>
      </c>
      <c r="N2983" s="5" t="e">
        <f>IF(AND(M2983&gt;#REF!,Cartera!O2983="Guaraníes"),"Rendimiento significativo",IF(AND(M2983&gt;#REF!,Cartera!O2983="Dólares americanos"),"Rendimiento significativo","Rendimiento no significativo"))</f>
        <v>#REF!</v>
      </c>
      <c r="O2983" s="5" t="s">
        <v>51</v>
      </c>
      <c r="P2983" s="13">
        <v>448.76711999999998</v>
      </c>
      <c r="Q2983" s="12" t="e">
        <f>IF(O2983="Guaraníes",P2983,P2983*#REF!)</f>
        <v>#REF!</v>
      </c>
      <c r="R2983" s="12">
        <f>IF(O2983="Guaraníes",P2983/#REF!,P2983)</f>
        <v>448.76711999999998</v>
      </c>
      <c r="S2983" s="5" t="s">
        <v>42</v>
      </c>
      <c r="T2983" s="5">
        <v>593</v>
      </c>
      <c r="W2983" s="5" t="s">
        <v>65</v>
      </c>
      <c r="X2983" s="5">
        <v>0</v>
      </c>
      <c r="Y2983" s="5">
        <v>0</v>
      </c>
      <c r="Z2983" s="5">
        <v>11.219177999999999</v>
      </c>
      <c r="AA2983" s="5">
        <v>40</v>
      </c>
      <c r="AB2983" s="5">
        <v>448.76711999999998</v>
      </c>
      <c r="AC2983" s="5" t="str">
        <f t="shared" si="142"/>
        <v>Bonos</v>
      </c>
      <c r="AD2983" s="5" t="s">
        <v>43</v>
      </c>
      <c r="AE2983" s="5">
        <f t="shared" si="143"/>
        <v>9</v>
      </c>
      <c r="AF2983" s="5">
        <f t="shared" si="144"/>
        <v>2027</v>
      </c>
    </row>
    <row r="2984" s="5" customFormat="1" ht="13">
      <c r="A2984" s="5">
        <v>12316</v>
      </c>
      <c r="B2984" s="5" t="s">
        <v>78</v>
      </c>
      <c r="C2984" s="5" t="s">
        <v>54</v>
      </c>
      <c r="D2984" s="5" t="s">
        <v>21</v>
      </c>
      <c r="E2984" s="5" t="s">
        <v>34</v>
      </c>
      <c r="F2984" s="5" t="s">
        <v>46</v>
      </c>
      <c r="G2984" s="5" t="s">
        <v>86</v>
      </c>
      <c r="H2984" s="9" t="s">
        <v>147</v>
      </c>
      <c r="I2984" s="10"/>
      <c r="J2984" s="10">
        <v>46650</v>
      </c>
      <c r="K2984" s="5" t="s">
        <v>57</v>
      </c>
      <c r="L2984" s="5" t="s">
        <v>58</v>
      </c>
      <c r="M2984" s="11">
        <v>0.12</v>
      </c>
      <c r="N2984" s="5" t="e">
        <f>IF(AND(M2984&gt;#REF!,Cartera!O2984="Guaraníes"),"Rendimiento significativo",IF(AND(M2984&gt;#REF!,Cartera!O2984="Dólares americanos"),"Rendimiento significativo","Rendimiento no significativo"))</f>
        <v>#REF!</v>
      </c>
      <c r="O2984" s="5" t="s">
        <v>41</v>
      </c>
      <c r="P2984" s="12">
        <v>2991780.8218999999</v>
      </c>
      <c r="Q2984" s="12">
        <f>IF(O2984="Guaraníes",P2984,P2984*#REF!)</f>
        <v>2991780.8218999999</v>
      </c>
      <c r="R2984" s="12" t="e">
        <f>IF(O2984="Guaraníes",P2984/#REF!,P2984)</f>
        <v>#REF!</v>
      </c>
      <c r="S2984" s="5" t="s">
        <v>42</v>
      </c>
      <c r="T2984" s="5">
        <v>10834</v>
      </c>
      <c r="W2984" s="5" t="s">
        <v>65</v>
      </c>
      <c r="X2984" s="5">
        <v>0</v>
      </c>
      <c r="Y2984" s="5">
        <v>0</v>
      </c>
      <c r="Z2984" s="5">
        <v>29917.808218999999</v>
      </c>
      <c r="AA2984" s="5">
        <v>100</v>
      </c>
      <c r="AB2984" s="5">
        <v>2991780.8218999999</v>
      </c>
      <c r="AC2984" s="5" t="str">
        <f t="shared" si="142"/>
        <v>Bonos</v>
      </c>
      <c r="AD2984" s="5" t="s">
        <v>43</v>
      </c>
      <c r="AE2984" s="5">
        <f t="shared" si="143"/>
        <v>9</v>
      </c>
      <c r="AF2984" s="5">
        <f t="shared" si="144"/>
        <v>2027</v>
      </c>
    </row>
    <row r="2985" s="5" customFormat="1" ht="13">
      <c r="A2985" s="5">
        <v>12316</v>
      </c>
      <c r="B2985" s="5" t="s">
        <v>78</v>
      </c>
      <c r="C2985" s="5" t="s">
        <v>54</v>
      </c>
      <c r="D2985" s="5" t="s">
        <v>21</v>
      </c>
      <c r="E2985" s="5" t="s">
        <v>34</v>
      </c>
      <c r="F2985" s="5" t="s">
        <v>46</v>
      </c>
      <c r="G2985" s="5" t="s">
        <v>86</v>
      </c>
      <c r="H2985" s="9" t="s">
        <v>148</v>
      </c>
      <c r="I2985" s="10"/>
      <c r="J2985" s="10">
        <v>46650</v>
      </c>
      <c r="K2985" s="5" t="s">
        <v>57</v>
      </c>
      <c r="L2985" s="5" t="s">
        <v>58</v>
      </c>
      <c r="M2985" s="11">
        <v>0.097500000000000003</v>
      </c>
      <c r="N2985" s="5" t="e">
        <f>IF(AND(M2985&gt;#REF!,Cartera!O2985="Guaraníes"),"Rendimiento significativo",IF(AND(M2985&gt;#REF!,Cartera!O2985="Dólares americanos"),"Rendimiento significativo","Rendimiento no significativo"))</f>
        <v>#REF!</v>
      </c>
      <c r="O2985" s="5" t="s">
        <v>41</v>
      </c>
      <c r="P2985" s="12">
        <v>12154109.589</v>
      </c>
      <c r="Q2985" s="12">
        <f>IF(O2985="Guaraníes",P2985,P2985*#REF!)</f>
        <v>12154109.589</v>
      </c>
      <c r="R2985" s="12" t="e">
        <f>IF(O2985="Guaraníes",P2985/#REF!,P2985)</f>
        <v>#REF!</v>
      </c>
      <c r="S2985" s="5" t="s">
        <v>42</v>
      </c>
      <c r="T2985" s="5">
        <v>10834</v>
      </c>
      <c r="W2985" s="5" t="s">
        <v>65</v>
      </c>
      <c r="X2985" s="5">
        <v>0</v>
      </c>
      <c r="Y2985" s="5">
        <v>0</v>
      </c>
      <c r="Z2985" s="5">
        <v>24308.219177999999</v>
      </c>
      <c r="AA2985" s="5">
        <v>500</v>
      </c>
      <c r="AB2985" s="5">
        <v>12154109.589</v>
      </c>
      <c r="AC2985" s="5" t="str">
        <f t="shared" si="142"/>
        <v>Bonos</v>
      </c>
      <c r="AD2985" s="5" t="s">
        <v>43</v>
      </c>
      <c r="AE2985" s="5">
        <f t="shared" si="143"/>
        <v>9</v>
      </c>
      <c r="AF2985" s="5">
        <f t="shared" si="144"/>
        <v>2027</v>
      </c>
    </row>
    <row r="2986" s="5" customFormat="1" ht="13">
      <c r="A2986" s="5">
        <v>12316</v>
      </c>
      <c r="B2986" s="5" t="s">
        <v>78</v>
      </c>
      <c r="C2986" s="5" t="s">
        <v>54</v>
      </c>
      <c r="D2986" s="5" t="s">
        <v>21</v>
      </c>
      <c r="E2986" s="5" t="s">
        <v>34</v>
      </c>
      <c r="F2986" s="5" t="s">
        <v>46</v>
      </c>
      <c r="G2986" s="5" t="s">
        <v>75</v>
      </c>
      <c r="H2986" s="9" t="s">
        <v>147</v>
      </c>
      <c r="I2986" s="10"/>
      <c r="J2986" s="10">
        <v>46650</v>
      </c>
      <c r="K2986" s="5" t="s">
        <v>57</v>
      </c>
      <c r="L2986" s="5" t="s">
        <v>58</v>
      </c>
      <c r="M2986" s="11">
        <v>0.12</v>
      </c>
      <c r="N2986" s="5" t="e">
        <f>IF(AND(M2986&gt;#REF!,Cartera!O2986="Guaraníes"),"Rendimiento significativo",IF(AND(M2986&gt;#REF!,Cartera!O2986="Dólares americanos"),"Rendimiento significativo","Rendimiento no significativo"))</f>
        <v>#REF!</v>
      </c>
      <c r="O2986" s="5" t="s">
        <v>41</v>
      </c>
      <c r="P2986" s="12">
        <v>4487671.2328500003</v>
      </c>
      <c r="Q2986" s="12">
        <f>IF(O2986="Guaraníes",P2986,P2986*#REF!)</f>
        <v>4487671.2328500003</v>
      </c>
      <c r="R2986" s="12" t="e">
        <f>IF(O2986="Guaraníes",P2986/#REF!,P2986)</f>
        <v>#REF!</v>
      </c>
      <c r="S2986" s="5" t="s">
        <v>42</v>
      </c>
      <c r="T2986" s="5">
        <v>25</v>
      </c>
      <c r="W2986" s="5" t="s">
        <v>192</v>
      </c>
      <c r="X2986" s="5">
        <v>0</v>
      </c>
      <c r="Y2986" s="5">
        <v>0</v>
      </c>
      <c r="Z2986" s="5">
        <v>29917.808218999999</v>
      </c>
      <c r="AA2986" s="5">
        <v>150</v>
      </c>
      <c r="AB2986" s="5">
        <v>4487671.2328500003</v>
      </c>
      <c r="AC2986" s="5" t="str">
        <f t="shared" si="142"/>
        <v>Bonos</v>
      </c>
      <c r="AD2986" s="5" t="s">
        <v>43</v>
      </c>
      <c r="AE2986" s="5">
        <f t="shared" si="143"/>
        <v>9</v>
      </c>
      <c r="AF2986" s="5">
        <f t="shared" si="144"/>
        <v>2027</v>
      </c>
    </row>
    <row r="2987" s="5" customFormat="1" ht="13">
      <c r="A2987" s="5">
        <v>12316</v>
      </c>
      <c r="B2987" s="5" t="s">
        <v>78</v>
      </c>
      <c r="C2987" s="5" t="s">
        <v>138</v>
      </c>
      <c r="D2987" s="5" t="s">
        <v>21</v>
      </c>
      <c r="E2987" s="5" t="s">
        <v>34</v>
      </c>
      <c r="F2987" s="5" t="s">
        <v>68</v>
      </c>
      <c r="G2987" s="5" t="s">
        <v>86</v>
      </c>
      <c r="H2987" s="9" t="s">
        <v>193</v>
      </c>
      <c r="I2987" s="10">
        <v>44104</v>
      </c>
      <c r="J2987" s="10">
        <v>46651</v>
      </c>
      <c r="K2987" s="5" t="s">
        <v>140</v>
      </c>
      <c r="L2987" s="5" t="s">
        <v>58</v>
      </c>
      <c r="M2987" s="11">
        <v>0.10000000000000001</v>
      </c>
      <c r="N2987" s="5" t="e">
        <f>IF(AND(M2987&gt;#REF!,Cartera!O2987="Guaraníes"),"Rendimiento significativo",IF(AND(M2987&gt;#REF!,Cartera!O2987="Dólares americanos"),"Rendimiento significativo","Rendimiento no significativo"))</f>
        <v>#REF!</v>
      </c>
      <c r="O2987" s="5" t="s">
        <v>41</v>
      </c>
      <c r="P2987" s="12">
        <v>2493150.6849000002</v>
      </c>
      <c r="Q2987" s="12">
        <f>IF(O2987="Guaraníes",P2987,P2987*#REF!)</f>
        <v>2493150.6849000002</v>
      </c>
      <c r="R2987" s="12" t="e">
        <f>IF(O2987="Guaraníes",P2987/#REF!,P2987)</f>
        <v>#REF!</v>
      </c>
      <c r="S2987" s="5" t="s">
        <v>42</v>
      </c>
      <c r="AC2987" s="5" t="str">
        <f t="shared" si="142"/>
        <v>Bonos</v>
      </c>
      <c r="AD2987" s="5" t="s">
        <v>43</v>
      </c>
      <c r="AE2987" s="5">
        <f t="shared" si="143"/>
        <v>9</v>
      </c>
      <c r="AF2987" s="5">
        <f t="shared" si="144"/>
        <v>2027</v>
      </c>
    </row>
    <row r="2988" s="5" customFormat="1" ht="13">
      <c r="A2988" s="5">
        <v>12315</v>
      </c>
      <c r="B2988" s="5" t="s">
        <v>73</v>
      </c>
      <c r="C2988" s="5" t="s">
        <v>116</v>
      </c>
      <c r="D2988" s="5" t="s">
        <v>21</v>
      </c>
      <c r="E2988" s="5" t="s">
        <v>34</v>
      </c>
      <c r="F2988" s="5" t="s">
        <v>68</v>
      </c>
      <c r="G2988" s="5" t="s">
        <v>69</v>
      </c>
      <c r="H2988" s="9" t="s">
        <v>194</v>
      </c>
      <c r="I2988" s="10"/>
      <c r="J2988" s="10">
        <v>46652</v>
      </c>
      <c r="K2988" s="5" t="s">
        <v>118</v>
      </c>
      <c r="L2988" s="5" t="s">
        <v>50</v>
      </c>
      <c r="M2988" s="11">
        <v>0.065000000000000002</v>
      </c>
      <c r="N2988" s="5" t="e">
        <f>IF(AND(M2988&gt;#REF!,Cartera!O2988="Guaraníes"),"Rendimiento significativo",IF(AND(M2988&gt;#REF!,Cartera!O2988="Dólares americanos"),"Rendimiento significativo","Rendimiento no significativo"))</f>
        <v>#REF!</v>
      </c>
      <c r="O2988" s="5" t="s">
        <v>51</v>
      </c>
      <c r="P2988" s="13">
        <v>324.10958999999997</v>
      </c>
      <c r="Q2988" s="12" t="e">
        <f>IF(O2988="Guaraníes",P2988,P2988*#REF!)</f>
        <v>#REF!</v>
      </c>
      <c r="R2988" s="12">
        <f>IF(O2988="Guaraníes",P2988/#REF!,P2988)</f>
        <v>324.10958999999997</v>
      </c>
      <c r="S2988" s="5" t="s">
        <v>42</v>
      </c>
      <c r="T2988" s="5">
        <v>593</v>
      </c>
      <c r="W2988" s="5" t="s">
        <v>218</v>
      </c>
      <c r="X2988" s="5">
        <v>0</v>
      </c>
      <c r="Y2988" s="5">
        <v>0</v>
      </c>
      <c r="Z2988" s="5">
        <v>32.410958999999998</v>
      </c>
      <c r="AA2988" s="5">
        <v>10</v>
      </c>
      <c r="AB2988" s="5">
        <v>324.10959000000003</v>
      </c>
      <c r="AC2988" s="5" t="str">
        <f t="shared" si="142"/>
        <v>Bonos</v>
      </c>
      <c r="AD2988" s="5" t="s">
        <v>43</v>
      </c>
      <c r="AE2988" s="5">
        <f t="shared" si="143"/>
        <v>9</v>
      </c>
      <c r="AF2988" s="5">
        <f t="shared" si="144"/>
        <v>2027</v>
      </c>
    </row>
    <row r="2989" s="5" customFormat="1" ht="13">
      <c r="A2989" s="5">
        <v>12315</v>
      </c>
      <c r="B2989" s="5" t="s">
        <v>73</v>
      </c>
      <c r="C2989" s="5" t="s">
        <v>212</v>
      </c>
      <c r="D2989" s="5" t="s">
        <v>21</v>
      </c>
      <c r="E2989" s="5" t="s">
        <v>34</v>
      </c>
      <c r="F2989" s="5" t="s">
        <v>68</v>
      </c>
      <c r="G2989" s="5" t="s">
        <v>86</v>
      </c>
      <c r="H2989" s="9" t="s">
        <v>213</v>
      </c>
      <c r="I2989" s="10">
        <v>44651</v>
      </c>
      <c r="J2989" s="10">
        <v>46653</v>
      </c>
      <c r="K2989" s="5" t="s">
        <v>81</v>
      </c>
      <c r="L2989" s="5" t="s">
        <v>58</v>
      </c>
      <c r="M2989" s="11">
        <v>0.053499999999999999</v>
      </c>
      <c r="N2989" s="5" t="e">
        <f>IF(AND(M2989&gt;#REF!,Cartera!O2989="Guaraníes"),"Rendimiento significativo",IF(AND(M2989&gt;#REF!,Cartera!O2989="Dólares americanos"),"Rendimiento significativo","Rendimiento no significativo"))</f>
        <v>#REF!</v>
      </c>
      <c r="O2989" s="5" t="s">
        <v>51</v>
      </c>
      <c r="P2989" s="13">
        <v>2667.6712000000002</v>
      </c>
      <c r="Q2989" s="12" t="e">
        <f>IF(O2989="Guaraníes",P2989,P2989*#REF!)</f>
        <v>#REF!</v>
      </c>
      <c r="R2989" s="12">
        <f>IF(O2989="Guaraníes",P2989/#REF!,P2989)</f>
        <v>2667.6712000000002</v>
      </c>
      <c r="S2989" s="5" t="s">
        <v>42</v>
      </c>
      <c r="V2989" s="5">
        <v>26.676711999999998</v>
      </c>
      <c r="AA2989" s="5">
        <v>100</v>
      </c>
      <c r="AC2989" s="5" t="str">
        <f t="shared" si="142"/>
        <v>Bonos</v>
      </c>
      <c r="AD2989" s="5" t="s">
        <v>43</v>
      </c>
      <c r="AE2989" s="5">
        <f t="shared" si="143"/>
        <v>9</v>
      </c>
      <c r="AF2989" s="5">
        <f t="shared" si="144"/>
        <v>2027</v>
      </c>
    </row>
    <row r="2990" s="5" customFormat="1" ht="13">
      <c r="A2990" s="5">
        <v>12316</v>
      </c>
      <c r="B2990" s="5" t="s">
        <v>78</v>
      </c>
      <c r="C2990" s="5" t="s">
        <v>164</v>
      </c>
      <c r="D2990" s="5" t="s">
        <v>21</v>
      </c>
      <c r="E2990" s="5" t="s">
        <v>34</v>
      </c>
      <c r="F2990" s="5" t="s">
        <v>68</v>
      </c>
      <c r="G2990" s="5" t="s">
        <v>145</v>
      </c>
      <c r="H2990" s="9" t="s">
        <v>165</v>
      </c>
      <c r="I2990" s="10"/>
      <c r="J2990" s="10">
        <v>46660</v>
      </c>
      <c r="K2990" s="5" t="s">
        <v>124</v>
      </c>
      <c r="L2990" s="5" t="s">
        <v>58</v>
      </c>
      <c r="M2990" s="11">
        <v>0.10000000000000001</v>
      </c>
      <c r="N2990" s="5" t="e">
        <f>IF(AND(M2990&gt;#REF!,Cartera!O2990="Guaraníes"),"Rendimiento significativo",IF(AND(M2990&gt;#REF!,Cartera!O2990="Dólares americanos"),"Rendimiento significativo","Rendimiento no significativo"))</f>
        <v>#REF!</v>
      </c>
      <c r="O2990" s="5" t="s">
        <v>41</v>
      </c>
      <c r="P2990" s="12">
        <v>3287671.2328000003</v>
      </c>
      <c r="Q2990" s="12">
        <f>IF(O2990="Guaraníes",P2990,P2990*#REF!)</f>
        <v>3287671.2328000003</v>
      </c>
      <c r="R2990" s="12" t="e">
        <f>IF(O2990="Guaraníes",P2990/#REF!,P2990)</f>
        <v>#REF!</v>
      </c>
      <c r="S2990" s="5" t="s">
        <v>42</v>
      </c>
      <c r="T2990" s="5">
        <v>1057</v>
      </c>
      <c r="W2990" s="5" t="s">
        <v>65</v>
      </c>
      <c r="X2990" s="5">
        <v>0</v>
      </c>
      <c r="Y2990" s="5">
        <v>0</v>
      </c>
      <c r="Z2990" s="5">
        <v>8219.1780820000004</v>
      </c>
      <c r="AA2990" s="5">
        <v>400</v>
      </c>
      <c r="AB2990" s="5">
        <v>3287671.2327999999</v>
      </c>
      <c r="AC2990" s="5" t="str">
        <f t="shared" si="142"/>
        <v>Bonos</v>
      </c>
      <c r="AD2990" s="5" t="s">
        <v>43</v>
      </c>
      <c r="AE2990" s="5">
        <f t="shared" si="143"/>
        <v>9</v>
      </c>
      <c r="AF2990" s="5">
        <f t="shared" si="144"/>
        <v>2027</v>
      </c>
    </row>
    <row r="2991" s="5" customFormat="1" ht="13">
      <c r="A2991" s="5">
        <v>12316</v>
      </c>
      <c r="B2991" s="5" t="s">
        <v>78</v>
      </c>
      <c r="C2991" s="5" t="s">
        <v>164</v>
      </c>
      <c r="D2991" s="5" t="s">
        <v>21</v>
      </c>
      <c r="E2991" s="5" t="s">
        <v>34</v>
      </c>
      <c r="F2991" s="5" t="s">
        <v>68</v>
      </c>
      <c r="G2991" s="5" t="s">
        <v>141</v>
      </c>
      <c r="H2991" s="9" t="s">
        <v>165</v>
      </c>
      <c r="I2991" s="10"/>
      <c r="J2991" s="10">
        <v>46660</v>
      </c>
      <c r="K2991" s="5" t="s">
        <v>124</v>
      </c>
      <c r="L2991" s="5" t="s">
        <v>58</v>
      </c>
      <c r="M2991" s="11">
        <v>0.10000000000000001</v>
      </c>
      <c r="N2991" s="5" t="e">
        <f>IF(AND(M2991&gt;#REF!,Cartera!O2991="Guaraníes"),"Rendimiento significativo",IF(AND(M2991&gt;#REF!,Cartera!O2991="Dólares americanos"),"Rendimiento significativo","Rendimiento no significativo"))</f>
        <v>#REF!</v>
      </c>
      <c r="O2991" s="5" t="s">
        <v>41</v>
      </c>
      <c r="P2991" s="12">
        <v>821917.80820000009</v>
      </c>
      <c r="Q2991" s="12">
        <f>IF(O2991="Guaraníes",P2991,P2991*#REF!)</f>
        <v>821917.80820000009</v>
      </c>
      <c r="R2991" s="12" t="e">
        <f>IF(O2991="Guaraníes",P2991/#REF!,P2991)</f>
        <v>#REF!</v>
      </c>
      <c r="S2991" s="5" t="s">
        <v>42</v>
      </c>
      <c r="T2991" s="5">
        <v>9243</v>
      </c>
      <c r="W2991" s="5" t="s">
        <v>65</v>
      </c>
      <c r="X2991" s="5">
        <v>0</v>
      </c>
      <c r="Y2991" s="5">
        <v>0</v>
      </c>
      <c r="Z2991" s="5">
        <v>8219.1780820000004</v>
      </c>
      <c r="AA2991" s="5">
        <v>100</v>
      </c>
      <c r="AB2991" s="5">
        <v>821917.80819999997</v>
      </c>
      <c r="AC2991" s="5" t="str">
        <f t="shared" si="142"/>
        <v>Bonos</v>
      </c>
      <c r="AD2991" s="5" t="s">
        <v>43</v>
      </c>
      <c r="AE2991" s="5">
        <f t="shared" si="143"/>
        <v>9</v>
      </c>
      <c r="AF2991" s="5">
        <f t="shared" si="144"/>
        <v>2027</v>
      </c>
    </row>
    <row r="2992" s="5" customFormat="1" ht="13">
      <c r="A2992" s="5">
        <v>12315</v>
      </c>
      <c r="B2992" s="5" t="s">
        <v>73</v>
      </c>
      <c r="C2992" s="5" t="s">
        <v>74</v>
      </c>
      <c r="D2992" s="5" t="s">
        <v>21</v>
      </c>
      <c r="E2992" s="5" t="s">
        <v>34</v>
      </c>
      <c r="F2992" s="5" t="s">
        <v>68</v>
      </c>
      <c r="G2992" s="5" t="s">
        <v>75</v>
      </c>
      <c r="H2992" s="9" t="s">
        <v>76</v>
      </c>
      <c r="I2992" s="10"/>
      <c r="J2992" s="10">
        <v>46661</v>
      </c>
      <c r="K2992" s="5" t="s">
        <v>77</v>
      </c>
      <c r="L2992" s="5" t="s">
        <v>50</v>
      </c>
      <c r="M2992" s="11">
        <v>0.055</v>
      </c>
      <c r="N2992" s="5" t="e">
        <f>IF(AND(M2992&gt;#REF!,Cartera!O2992="Guaraníes"),"Rendimiento significativo",IF(AND(M2992&gt;#REF!,Cartera!O2992="Dólares americanos"),"Rendimiento significativo","Rendimiento no significativo"))</f>
        <v>#REF!</v>
      </c>
      <c r="O2992" s="5" t="s">
        <v>51</v>
      </c>
      <c r="P2992" s="13">
        <v>415.89042000000001</v>
      </c>
      <c r="Q2992" s="12" t="e">
        <f>IF(O2992="Guaraníes",P2992,P2992*#REF!)</f>
        <v>#REF!</v>
      </c>
      <c r="R2992" s="12">
        <f>IF(O2992="Guaraníes",P2992/#REF!,P2992)</f>
        <v>415.89042000000001</v>
      </c>
      <c r="S2992" s="5" t="s">
        <v>42</v>
      </c>
      <c r="T2992" s="5">
        <v>25</v>
      </c>
      <c r="W2992" s="5" t="s">
        <v>65</v>
      </c>
      <c r="X2992" s="5">
        <v>0</v>
      </c>
      <c r="Y2992" s="5">
        <v>0</v>
      </c>
      <c r="Z2992" s="5">
        <v>13.863014</v>
      </c>
      <c r="AA2992" s="5">
        <v>30</v>
      </c>
      <c r="AB2992" s="5">
        <v>415.88999999999999</v>
      </c>
      <c r="AC2992" s="5" t="str">
        <f t="shared" si="142"/>
        <v>Bonos</v>
      </c>
      <c r="AD2992" s="5" t="s">
        <v>43</v>
      </c>
      <c r="AE2992" s="5">
        <f t="shared" si="143"/>
        <v>10</v>
      </c>
      <c r="AF2992" s="5">
        <f t="shared" si="144"/>
        <v>2027</v>
      </c>
    </row>
    <row r="2993" s="5" customFormat="1" ht="13">
      <c r="A2993" s="5">
        <v>12316</v>
      </c>
      <c r="B2993" s="5" t="s">
        <v>78</v>
      </c>
      <c r="C2993" s="5" t="s">
        <v>138</v>
      </c>
      <c r="D2993" s="5" t="s">
        <v>21</v>
      </c>
      <c r="E2993" s="5" t="s">
        <v>34</v>
      </c>
      <c r="F2993" s="5" t="s">
        <v>68</v>
      </c>
      <c r="G2993" s="5" t="s">
        <v>86</v>
      </c>
      <c r="H2993" s="9" t="s">
        <v>139</v>
      </c>
      <c r="I2993" s="10">
        <v>43948</v>
      </c>
      <c r="J2993" s="10">
        <v>46664</v>
      </c>
      <c r="K2993" s="5" t="s">
        <v>140</v>
      </c>
      <c r="L2993" s="5" t="s">
        <v>58</v>
      </c>
      <c r="M2993" s="11">
        <v>0.11</v>
      </c>
      <c r="N2993" s="5" t="e">
        <f>IF(AND(M2993&gt;#REF!,Cartera!O2993="Guaraníes"),"Rendimiento significativo",IF(AND(M2993&gt;#REF!,Cartera!O2993="Dólares americanos"),"Rendimiento significativo","Rendimiento no significativo"))</f>
        <v>#REF!</v>
      </c>
      <c r="O2993" s="5" t="s">
        <v>41</v>
      </c>
      <c r="P2993" s="12">
        <v>786732.3922</v>
      </c>
      <c r="Q2993" s="12">
        <f>IF(O2993="Guaraníes",P2993,P2993*#REF!)</f>
        <v>786732.3922</v>
      </c>
      <c r="R2993" s="12" t="e">
        <f>IF(O2993="Guaraníes",P2993/#REF!,P2993)</f>
        <v>#REF!</v>
      </c>
      <c r="S2993" s="5" t="s">
        <v>42</v>
      </c>
      <c r="AC2993" s="5" t="str">
        <f t="shared" si="142"/>
        <v>Bonos</v>
      </c>
      <c r="AD2993" s="5" t="s">
        <v>43</v>
      </c>
      <c r="AE2993" s="5">
        <f t="shared" si="143"/>
        <v>10</v>
      </c>
      <c r="AF2993" s="5">
        <f t="shared" si="144"/>
        <v>2027</v>
      </c>
    </row>
    <row r="2994" s="5" customFormat="1" ht="13">
      <c r="A2994" s="5">
        <v>12315</v>
      </c>
      <c r="B2994" s="5" t="s">
        <v>73</v>
      </c>
      <c r="C2994" s="5" t="s">
        <v>85</v>
      </c>
      <c r="D2994" s="5" t="s">
        <v>21</v>
      </c>
      <c r="E2994" s="5" t="s">
        <v>34</v>
      </c>
      <c r="F2994" s="5" t="s">
        <v>68</v>
      </c>
      <c r="G2994" s="5" t="s">
        <v>86</v>
      </c>
      <c r="H2994" s="9" t="s">
        <v>87</v>
      </c>
      <c r="I2994" s="10"/>
      <c r="J2994" s="10">
        <v>46674</v>
      </c>
      <c r="K2994" s="5" t="s">
        <v>39</v>
      </c>
      <c r="L2994" s="5" t="s">
        <v>58</v>
      </c>
      <c r="M2994" s="11">
        <v>0.059999999999999998</v>
      </c>
      <c r="N2994" s="5" t="e">
        <f>IF(AND(M2994&gt;#REF!,Cartera!O2994="Guaraníes"),"Rendimiento significativo",IF(AND(M2994&gt;#REF!,Cartera!O2994="Dólares americanos"),"Rendimiento significativo","Rendimiento no significativo"))</f>
        <v>#REF!</v>
      </c>
      <c r="O2994" s="5" t="s">
        <v>51</v>
      </c>
      <c r="P2994" s="13">
        <v>747.9452</v>
      </c>
      <c r="Q2994" s="12" t="e">
        <f>IF(O2994="Guaraníes",P2994,P2994*#REF!)</f>
        <v>#REF!</v>
      </c>
      <c r="R2994" s="12">
        <f>IF(O2994="Guaraníes",P2994/#REF!,P2994)</f>
        <v>747.9452</v>
      </c>
      <c r="S2994" s="5" t="s">
        <v>42</v>
      </c>
      <c r="T2994" s="5">
        <v>10834</v>
      </c>
      <c r="W2994" s="5" t="s">
        <v>701</v>
      </c>
      <c r="X2994" s="5">
        <v>0</v>
      </c>
      <c r="Y2994" s="5">
        <v>0</v>
      </c>
      <c r="Z2994" s="5">
        <v>14.958904</v>
      </c>
      <c r="AA2994" s="5">
        <v>50</v>
      </c>
      <c r="AB2994" s="5">
        <v>747.9452</v>
      </c>
      <c r="AC2994" s="5" t="str">
        <f t="shared" si="142"/>
        <v>Bonos</v>
      </c>
      <c r="AD2994" s="5" t="s">
        <v>43</v>
      </c>
      <c r="AE2994" s="5">
        <f t="shared" si="143"/>
        <v>10</v>
      </c>
      <c r="AF2994" s="5">
        <f t="shared" si="144"/>
        <v>2027</v>
      </c>
    </row>
    <row r="2995" s="5" customFormat="1" ht="13">
      <c r="A2995" s="5">
        <v>12315</v>
      </c>
      <c r="B2995" s="5" t="s">
        <v>73</v>
      </c>
      <c r="C2995" s="5" t="s">
        <v>54</v>
      </c>
      <c r="D2995" s="5" t="s">
        <v>21</v>
      </c>
      <c r="E2995" s="5" t="s">
        <v>34</v>
      </c>
      <c r="F2995" s="5" t="s">
        <v>46</v>
      </c>
      <c r="G2995" s="5" t="s">
        <v>55</v>
      </c>
      <c r="H2995" s="9" t="s">
        <v>56</v>
      </c>
      <c r="I2995" s="10">
        <v>44680</v>
      </c>
      <c r="J2995" s="10">
        <v>46682</v>
      </c>
      <c r="K2995" s="5" t="s">
        <v>57</v>
      </c>
      <c r="L2995" s="5" t="s">
        <v>58</v>
      </c>
      <c r="M2995" s="11">
        <v>0.059999999999999998</v>
      </c>
      <c r="N2995" s="5" t="e">
        <f>IF(AND(M2995&gt;#REF!,Cartera!O2995="Guaraníes"),"Rendimiento significativo",IF(AND(M2995&gt;#REF!,Cartera!O2995="Dólares americanos"),"Rendimiento significativo","Rendimiento no significativo"))</f>
        <v>#REF!</v>
      </c>
      <c r="O2995" s="5" t="s">
        <v>51</v>
      </c>
      <c r="P2995" s="13">
        <v>747.9452</v>
      </c>
      <c r="Q2995" s="12" t="e">
        <f>IF(O2995="Guaraníes",P2995,P2995*#REF!)</f>
        <v>#REF!</v>
      </c>
      <c r="R2995" s="12">
        <f>IF(O2995="Guaraníes",P2995/#REF!,P2995)</f>
        <v>747.9452</v>
      </c>
      <c r="S2995" s="5" t="s">
        <v>42</v>
      </c>
      <c r="T2995" s="5">
        <v>17035</v>
      </c>
      <c r="V2995" s="5">
        <v>14.960000000000001</v>
      </c>
      <c r="AA2995" s="5">
        <v>50</v>
      </c>
      <c r="AC2995" s="5" t="str">
        <f t="shared" si="142"/>
        <v>Bonos</v>
      </c>
      <c r="AD2995" s="5" t="s">
        <v>43</v>
      </c>
      <c r="AE2995" s="5">
        <f t="shared" si="143"/>
        <v>10</v>
      </c>
      <c r="AF2995" s="5">
        <f t="shared" si="144"/>
        <v>2027</v>
      </c>
    </row>
    <row r="2996" s="5" customFormat="1" ht="13">
      <c r="A2996" s="5">
        <v>12316</v>
      </c>
      <c r="B2996" s="5" t="s">
        <v>78</v>
      </c>
      <c r="C2996" s="5" t="s">
        <v>99</v>
      </c>
      <c r="D2996" s="5" t="s">
        <v>21</v>
      </c>
      <c r="E2996" s="5" t="s">
        <v>34</v>
      </c>
      <c r="F2996" s="5" t="s">
        <v>100</v>
      </c>
      <c r="G2996" s="5" t="s">
        <v>75</v>
      </c>
      <c r="H2996" s="9" t="s">
        <v>217</v>
      </c>
      <c r="I2996" s="10"/>
      <c r="J2996" s="10">
        <v>46684</v>
      </c>
      <c r="K2996" s="5" t="s">
        <v>102</v>
      </c>
      <c r="L2996" s="5" t="s">
        <v>102</v>
      </c>
      <c r="M2996" s="11">
        <v>0.080000000000000002</v>
      </c>
      <c r="N2996" s="5" t="e">
        <f>IF(AND(M2996&gt;#REF!,Cartera!O2996="Guaraníes"),"Rendimiento significativo",IF(AND(M2996&gt;#REF!,Cartera!O2996="Dólares americanos"),"Rendimiento significativo","Rendimiento no significativo"))</f>
        <v>#REF!</v>
      </c>
      <c r="O2996" s="5" t="s">
        <v>41</v>
      </c>
      <c r="P2996" s="12">
        <v>5767000</v>
      </c>
      <c r="Q2996" s="12">
        <f>IF(O2996="Guaraníes",P2996,P2996*#REF!)</f>
        <v>5767000</v>
      </c>
      <c r="R2996" s="12" t="e">
        <f>IF(O2996="Guaraníes",P2996/#REF!,P2996)</f>
        <v>#REF!</v>
      </c>
      <c r="S2996" s="5" t="s">
        <v>42</v>
      </c>
      <c r="T2996" s="5">
        <v>25</v>
      </c>
      <c r="W2996" s="5" t="s">
        <v>218</v>
      </c>
      <c r="X2996" s="5">
        <v>0</v>
      </c>
      <c r="Y2996" s="5">
        <v>0</v>
      </c>
      <c r="Z2996" s="5">
        <v>39500</v>
      </c>
      <c r="AA2996" s="5">
        <v>146</v>
      </c>
      <c r="AB2996" s="5">
        <v>5767000</v>
      </c>
      <c r="AC2996" s="5" t="str">
        <f t="shared" si="142"/>
        <v>Bonos</v>
      </c>
      <c r="AD2996" s="5" t="s">
        <v>43</v>
      </c>
      <c r="AE2996" s="5">
        <f t="shared" si="143"/>
        <v>10</v>
      </c>
      <c r="AF2996" s="5">
        <f t="shared" si="144"/>
        <v>2027</v>
      </c>
    </row>
    <row r="2997" s="5" customFormat="1" ht="13">
      <c r="A2997" s="5">
        <v>12315</v>
      </c>
      <c r="B2997" s="5" t="s">
        <v>73</v>
      </c>
      <c r="C2997" s="5" t="s">
        <v>33</v>
      </c>
      <c r="D2997" s="5" t="s">
        <v>21</v>
      </c>
      <c r="E2997" s="5" t="s">
        <v>34</v>
      </c>
      <c r="F2997" s="5" t="s">
        <v>35</v>
      </c>
      <c r="G2997" s="5" t="s">
        <v>141</v>
      </c>
      <c r="H2997" s="9" t="s">
        <v>142</v>
      </c>
      <c r="I2997" s="10">
        <v>44956</v>
      </c>
      <c r="J2997" s="10">
        <v>46686</v>
      </c>
      <c r="K2997" s="5" t="s">
        <v>39</v>
      </c>
      <c r="L2997" s="5" t="s">
        <v>50</v>
      </c>
      <c r="M2997" s="11">
        <v>0.065000000000000002</v>
      </c>
      <c r="N2997" s="5" t="e">
        <f>IF(AND(M2997&gt;#REF!,Cartera!O2997="Guaraníes"),"Rendimiento significativo",IF(AND(M2997&gt;#REF!,Cartera!O2997="Dólares americanos"),"Rendimiento significativo","Rendimiento no significativo"))</f>
        <v>#REF!</v>
      </c>
      <c r="O2997" s="5" t="s">
        <v>51</v>
      </c>
      <c r="P2997" s="13">
        <v>1296.43832</v>
      </c>
      <c r="Q2997" s="12" t="e">
        <f>IF(O2997="Guaraníes",P2997,P2997*#REF!)</f>
        <v>#REF!</v>
      </c>
      <c r="R2997" s="12">
        <f>IF(O2997="Guaraníes",P2997/#REF!,P2997)</f>
        <v>1296.43832</v>
      </c>
      <c r="S2997" s="5" t="s">
        <v>42</v>
      </c>
      <c r="AC2997" s="5" t="str">
        <f t="shared" si="142"/>
        <v>Bonos</v>
      </c>
      <c r="AD2997" s="5" t="s">
        <v>43</v>
      </c>
      <c r="AE2997" s="5">
        <f t="shared" si="143"/>
        <v>10</v>
      </c>
      <c r="AF2997" s="5">
        <f t="shared" si="144"/>
        <v>2027</v>
      </c>
    </row>
    <row r="2998" s="5" customFormat="1" ht="13">
      <c r="A2998" s="5">
        <v>12316</v>
      </c>
      <c r="B2998" s="5" t="s">
        <v>78</v>
      </c>
      <c r="C2998" s="5" t="s">
        <v>164</v>
      </c>
      <c r="D2998" s="5" t="s">
        <v>21</v>
      </c>
      <c r="E2998" s="5" t="s">
        <v>34</v>
      </c>
      <c r="F2998" s="5" t="s">
        <v>68</v>
      </c>
      <c r="G2998" s="5" t="s">
        <v>145</v>
      </c>
      <c r="H2998" s="9" t="s">
        <v>165</v>
      </c>
      <c r="I2998" s="10"/>
      <c r="J2998" s="10">
        <v>46689</v>
      </c>
      <c r="K2998" s="5" t="s">
        <v>124</v>
      </c>
      <c r="L2998" s="5" t="s">
        <v>58</v>
      </c>
      <c r="M2998" s="11">
        <v>0.10000000000000001</v>
      </c>
      <c r="N2998" s="5" t="e">
        <f>IF(AND(M2998&gt;#REF!,Cartera!O2998="Guaraníes"),"Rendimiento significativo",IF(AND(M2998&gt;#REF!,Cartera!O2998="Dólares americanos"),"Rendimiento significativo","Rendimiento no significativo"))</f>
        <v>#REF!</v>
      </c>
      <c r="O2998" s="5" t="s">
        <v>41</v>
      </c>
      <c r="P2998" s="12">
        <v>3178082.1916</v>
      </c>
      <c r="Q2998" s="12">
        <f>IF(O2998="Guaraníes",P2998,P2998*#REF!)</f>
        <v>3178082.1916</v>
      </c>
      <c r="R2998" s="12" t="e">
        <f>IF(O2998="Guaraníes",P2998/#REF!,P2998)</f>
        <v>#REF!</v>
      </c>
      <c r="S2998" s="5" t="s">
        <v>42</v>
      </c>
      <c r="T2998" s="5">
        <v>1057</v>
      </c>
      <c r="W2998" s="5" t="s">
        <v>65</v>
      </c>
      <c r="X2998" s="5">
        <v>0</v>
      </c>
      <c r="Y2998" s="5">
        <v>0</v>
      </c>
      <c r="Z2998" s="5">
        <v>7945.2054790000002</v>
      </c>
      <c r="AA2998" s="5">
        <v>400</v>
      </c>
      <c r="AB2998" s="5">
        <v>3178082.1916</v>
      </c>
      <c r="AC2998" s="5" t="str">
        <f t="shared" si="142"/>
        <v>Bonos</v>
      </c>
      <c r="AD2998" s="5" t="s">
        <v>43</v>
      </c>
      <c r="AE2998" s="5">
        <f t="shared" si="143"/>
        <v>10</v>
      </c>
      <c r="AF2998" s="5">
        <f t="shared" si="144"/>
        <v>2027</v>
      </c>
    </row>
    <row r="2999" s="5" customFormat="1" ht="13">
      <c r="A2999" s="5">
        <v>12315</v>
      </c>
      <c r="B2999" s="5" t="s">
        <v>73</v>
      </c>
      <c r="C2999" s="5" t="s">
        <v>122</v>
      </c>
      <c r="D2999" s="5" t="s">
        <v>21</v>
      </c>
      <c r="E2999" s="5" t="s">
        <v>34</v>
      </c>
      <c r="F2999" s="5" t="s">
        <v>61</v>
      </c>
      <c r="G2999" s="5" t="s">
        <v>91</v>
      </c>
      <c r="H2999" s="9" t="s">
        <v>132</v>
      </c>
      <c r="I2999" s="10"/>
      <c r="J2999" s="10">
        <v>46689</v>
      </c>
      <c r="K2999" s="5" t="s">
        <v>124</v>
      </c>
      <c r="L2999" s="5" t="s">
        <v>50</v>
      </c>
      <c r="M2999" s="11">
        <v>0.059999999999999998</v>
      </c>
      <c r="N2999" s="5" t="e">
        <f>IF(AND(M2999&gt;#REF!,Cartera!O2999="Guaraníes"),"Rendimiento significativo",IF(AND(M2999&gt;#REF!,Cartera!O2999="Dólares americanos"),"Rendimiento significativo","Rendimiento no significativo"))</f>
        <v>#REF!</v>
      </c>
      <c r="O2999" s="5" t="s">
        <v>51</v>
      </c>
      <c r="P2999" s="13">
        <v>313.97000000000003</v>
      </c>
      <c r="Q2999" s="12" t="e">
        <f>IF(O2999="Guaraníes",P2999,P2999*#REF!)</f>
        <v>#REF!</v>
      </c>
      <c r="R2999" s="12">
        <f>IF(O2999="Guaraníes",P2999/#REF!,P2999)</f>
        <v>313.97000000000003</v>
      </c>
      <c r="S2999" s="5" t="s">
        <v>42</v>
      </c>
      <c r="T2999" s="5">
        <v>3253</v>
      </c>
      <c r="U2999" s="5">
        <v>10000</v>
      </c>
      <c r="V2999" s="5">
        <v>2404950.8218749994</v>
      </c>
      <c r="W2999" s="5" t="s">
        <v>65</v>
      </c>
      <c r="X2999" s="5">
        <v>100</v>
      </c>
      <c r="Y2999" s="5">
        <v>1000</v>
      </c>
      <c r="Z2999" s="5">
        <v>1031.39726</v>
      </c>
      <c r="AA2999" s="5">
        <v>10</v>
      </c>
      <c r="AB2999" s="5">
        <v>10313.972599999999</v>
      </c>
      <c r="AC2999" s="5" t="str">
        <f t="shared" ref="AC2999:AC3062" si="145">IF(ISNUMBER(SEARCH("Acciones",L2999)),"Acciones",IF(ISNUMBER(SEARCH("Bono",L2999)),"Bonos",IF(ISNUMBER(SEARCH("CDA",L2999)),"CDA",IF(ISNUMBER(SEARCH("Fondo",L2999)),"Fondo",0))))</f>
        <v>Bonos</v>
      </c>
      <c r="AD2999" s="5" t="s">
        <v>43</v>
      </c>
      <c r="AE2999" s="5">
        <f t="shared" si="143"/>
        <v>10</v>
      </c>
      <c r="AF2999" s="5">
        <f t="shared" si="144"/>
        <v>2027</v>
      </c>
    </row>
    <row r="3000" s="5" customFormat="1" ht="13">
      <c r="A3000" s="5">
        <v>12316</v>
      </c>
      <c r="B3000" s="5" t="s">
        <v>78</v>
      </c>
      <c r="C3000" s="5" t="s">
        <v>164</v>
      </c>
      <c r="D3000" s="5" t="s">
        <v>21</v>
      </c>
      <c r="E3000" s="5" t="s">
        <v>34</v>
      </c>
      <c r="F3000" s="5" t="s">
        <v>68</v>
      </c>
      <c r="G3000" s="5" t="s">
        <v>141</v>
      </c>
      <c r="H3000" s="9" t="s">
        <v>165</v>
      </c>
      <c r="I3000" s="10"/>
      <c r="J3000" s="10">
        <v>46689</v>
      </c>
      <c r="K3000" s="5" t="s">
        <v>124</v>
      </c>
      <c r="L3000" s="5" t="s">
        <v>58</v>
      </c>
      <c r="M3000" s="11">
        <v>0.10000000000000001</v>
      </c>
      <c r="N3000" s="5" t="e">
        <f>IF(AND(M3000&gt;#REF!,Cartera!O3000="Guaraníes"),"Rendimiento significativo",IF(AND(M3000&gt;#REF!,Cartera!O3000="Dólares americanos"),"Rendimiento significativo","Rendimiento no significativo"))</f>
        <v>#REF!</v>
      </c>
      <c r="O3000" s="5" t="s">
        <v>41</v>
      </c>
      <c r="P3000" s="12">
        <v>794520.54790000001</v>
      </c>
      <c r="Q3000" s="12">
        <f>IF(O3000="Guaraníes",P3000,P3000*#REF!)</f>
        <v>794520.54790000001</v>
      </c>
      <c r="R3000" s="12" t="e">
        <f>IF(O3000="Guaraníes",P3000/#REF!,P3000)</f>
        <v>#REF!</v>
      </c>
      <c r="S3000" s="5" t="s">
        <v>42</v>
      </c>
      <c r="T3000" s="5">
        <v>9243</v>
      </c>
      <c r="W3000" s="5" t="s">
        <v>65</v>
      </c>
      <c r="X3000" s="5">
        <v>0</v>
      </c>
      <c r="Y3000" s="5">
        <v>0</v>
      </c>
      <c r="Z3000" s="5">
        <v>7945.2054790000002</v>
      </c>
      <c r="AA3000" s="5">
        <v>100</v>
      </c>
      <c r="AB3000" s="5">
        <v>794520.54790000001</v>
      </c>
      <c r="AC3000" s="5" t="str">
        <f t="shared" si="145"/>
        <v>Bonos</v>
      </c>
      <c r="AD3000" s="5" t="s">
        <v>43</v>
      </c>
      <c r="AE3000" s="5">
        <f t="shared" si="143"/>
        <v>10</v>
      </c>
      <c r="AF3000" s="5">
        <f t="shared" si="144"/>
        <v>2027</v>
      </c>
    </row>
    <row r="3001" s="5" customFormat="1" ht="13">
      <c r="A3001" s="5">
        <v>12316</v>
      </c>
      <c r="B3001" s="5" t="s">
        <v>78</v>
      </c>
      <c r="C3001" s="5" t="s">
        <v>138</v>
      </c>
      <c r="D3001" s="5" t="s">
        <v>21</v>
      </c>
      <c r="E3001" s="5" t="s">
        <v>34</v>
      </c>
      <c r="F3001" s="5" t="s">
        <v>68</v>
      </c>
      <c r="G3001" s="5" t="s">
        <v>86</v>
      </c>
      <c r="H3001" s="9" t="s">
        <v>139</v>
      </c>
      <c r="I3001" s="10">
        <v>43948</v>
      </c>
      <c r="J3001" s="10">
        <v>46694</v>
      </c>
      <c r="K3001" s="5" t="s">
        <v>140</v>
      </c>
      <c r="L3001" s="5" t="s">
        <v>58</v>
      </c>
      <c r="M3001" s="11">
        <v>0.11</v>
      </c>
      <c r="N3001" s="5" t="e">
        <f>IF(AND(M3001&gt;#REF!,Cartera!O3001="Guaraníes"),"Rendimiento significativo",IF(AND(M3001&gt;#REF!,Cartera!O3001="Dólares americanos"),"Rendimiento significativo","Rendimiento no significativo"))</f>
        <v>#REF!</v>
      </c>
      <c r="O3001" s="5" t="s">
        <v>41</v>
      </c>
      <c r="P3001" s="12">
        <v>751124.11239999998</v>
      </c>
      <c r="Q3001" s="12">
        <f>IF(O3001="Guaraníes",P3001,P3001*#REF!)</f>
        <v>751124.11239999998</v>
      </c>
      <c r="R3001" s="12" t="e">
        <f>IF(O3001="Guaraníes",P3001/#REF!,P3001)</f>
        <v>#REF!</v>
      </c>
      <c r="S3001" s="5" t="s">
        <v>42</v>
      </c>
      <c r="AC3001" s="5" t="str">
        <f t="shared" si="145"/>
        <v>Bonos</v>
      </c>
      <c r="AD3001" s="5" t="s">
        <v>43</v>
      </c>
      <c r="AE3001" s="5">
        <f t="shared" si="143"/>
        <v>11</v>
      </c>
      <c r="AF3001" s="5">
        <f t="shared" si="144"/>
        <v>2027</v>
      </c>
    </row>
    <row r="3002" s="5" customFormat="1" ht="13">
      <c r="A3002" s="5">
        <v>12316</v>
      </c>
      <c r="B3002" s="5" t="s">
        <v>78</v>
      </c>
      <c r="C3002" s="5" t="s">
        <v>183</v>
      </c>
      <c r="D3002" s="5" t="s">
        <v>21</v>
      </c>
      <c r="E3002" s="5" t="s">
        <v>34</v>
      </c>
      <c r="F3002" s="5" t="s">
        <v>184</v>
      </c>
      <c r="H3002" s="9">
        <v>6389</v>
      </c>
      <c r="I3002" s="10"/>
      <c r="J3002" s="10">
        <v>46700</v>
      </c>
      <c r="K3002" s="5" t="s">
        <v>124</v>
      </c>
      <c r="L3002" s="5" t="s">
        <v>82</v>
      </c>
      <c r="M3002" s="11">
        <v>0.079000000000000001</v>
      </c>
      <c r="N3002" s="5" t="e">
        <f>IF(AND(M3002&gt;#REF!,Cartera!O3002="Guaraníes"),"Rendimiento significativo",IF(AND(M3002&gt;#REF!,Cartera!O3002="Dólares americanos"),"Rendimiento significativo","Rendimiento no significativo"))</f>
        <v>#REF!</v>
      </c>
      <c r="O3002" s="5" t="s">
        <v>41</v>
      </c>
      <c r="P3002" s="12">
        <v>9902130</v>
      </c>
      <c r="Q3002" s="12">
        <f>IF(O3002="Guaraníes",P3002,P3002*#REF!)</f>
        <v>9902130</v>
      </c>
      <c r="R3002" s="12" t="e">
        <f>IF(O3002="Guaraníes",P3002/#REF!,P3002)</f>
        <v>#REF!</v>
      </c>
      <c r="S3002" s="5" t="s">
        <v>42</v>
      </c>
      <c r="V3002" s="5">
        <v>9902130</v>
      </c>
      <c r="W3002" s="5" t="s">
        <v>395</v>
      </c>
      <c r="AC3002" s="5" t="str">
        <f t="shared" si="145"/>
        <v>CDA</v>
      </c>
      <c r="AD3002" s="5" t="s">
        <v>43</v>
      </c>
      <c r="AE3002" s="5">
        <f t="shared" si="143"/>
        <v>11</v>
      </c>
      <c r="AF3002" s="5">
        <f t="shared" si="144"/>
        <v>2027</v>
      </c>
    </row>
    <row r="3003" s="5" customFormat="1" ht="13">
      <c r="A3003" s="5">
        <v>12316</v>
      </c>
      <c r="B3003" s="5" t="s">
        <v>78</v>
      </c>
      <c r="C3003" s="5" t="s">
        <v>183</v>
      </c>
      <c r="D3003" s="5" t="s">
        <v>21</v>
      </c>
      <c r="E3003" s="5" t="s">
        <v>34</v>
      </c>
      <c r="F3003" s="5" t="s">
        <v>184</v>
      </c>
      <c r="H3003" s="9">
        <v>6390</v>
      </c>
      <c r="I3003" s="10"/>
      <c r="J3003" s="10">
        <v>46700</v>
      </c>
      <c r="K3003" s="5" t="s">
        <v>124</v>
      </c>
      <c r="L3003" s="5" t="s">
        <v>82</v>
      </c>
      <c r="M3003" s="11">
        <v>0.079000000000000001</v>
      </c>
      <c r="N3003" s="5" t="e">
        <f>IF(AND(M3003&gt;#REF!,Cartera!O3003="Guaraníes"),"Rendimiento significativo",IF(AND(M3003&gt;#REF!,Cartera!O3003="Dólares americanos"),"Rendimiento significativo","Rendimiento no significativo"))</f>
        <v>#REF!</v>
      </c>
      <c r="O3003" s="5" t="s">
        <v>41</v>
      </c>
      <c r="P3003" s="12">
        <v>9902130</v>
      </c>
      <c r="Q3003" s="12">
        <f>IF(O3003="Guaraníes",P3003,P3003*#REF!)</f>
        <v>9902130</v>
      </c>
      <c r="R3003" s="12" t="e">
        <f>IF(O3003="Guaraníes",P3003/#REF!,P3003)</f>
        <v>#REF!</v>
      </c>
      <c r="S3003" s="5" t="s">
        <v>42</v>
      </c>
      <c r="V3003" s="5">
        <v>9902130</v>
      </c>
      <c r="W3003" s="5" t="s">
        <v>395</v>
      </c>
      <c r="AC3003" s="5" t="str">
        <f t="shared" si="145"/>
        <v>CDA</v>
      </c>
      <c r="AD3003" s="5" t="s">
        <v>43</v>
      </c>
      <c r="AE3003" s="5">
        <f t="shared" si="143"/>
        <v>11</v>
      </c>
      <c r="AF3003" s="5">
        <f t="shared" si="144"/>
        <v>2027</v>
      </c>
    </row>
    <row r="3004" s="5" customFormat="1" ht="13">
      <c r="A3004" s="5">
        <v>12316</v>
      </c>
      <c r="B3004" s="5" t="s">
        <v>78</v>
      </c>
      <c r="C3004" s="5" t="s">
        <v>183</v>
      </c>
      <c r="D3004" s="5" t="s">
        <v>21</v>
      </c>
      <c r="E3004" s="5" t="s">
        <v>34</v>
      </c>
      <c r="F3004" s="5" t="s">
        <v>184</v>
      </c>
      <c r="H3004" s="9">
        <v>6391</v>
      </c>
      <c r="I3004" s="10"/>
      <c r="J3004" s="10">
        <v>46700</v>
      </c>
      <c r="K3004" s="5" t="s">
        <v>124</v>
      </c>
      <c r="L3004" s="5" t="s">
        <v>82</v>
      </c>
      <c r="M3004" s="11">
        <v>0.079000000000000001</v>
      </c>
      <c r="N3004" s="5" t="e">
        <f>IF(AND(M3004&gt;#REF!,Cartera!O3004="Guaraníes"),"Rendimiento significativo",IF(AND(M3004&gt;#REF!,Cartera!O3004="Dólares americanos"),"Rendimiento significativo","Rendimiento no significativo"))</f>
        <v>#REF!</v>
      </c>
      <c r="O3004" s="5" t="s">
        <v>41</v>
      </c>
      <c r="P3004" s="12">
        <v>9902130</v>
      </c>
      <c r="Q3004" s="12">
        <f>IF(O3004="Guaraníes",P3004,P3004*#REF!)</f>
        <v>9902130</v>
      </c>
      <c r="R3004" s="12" t="e">
        <f>IF(O3004="Guaraníes",P3004/#REF!,P3004)</f>
        <v>#REF!</v>
      </c>
      <c r="S3004" s="5" t="s">
        <v>42</v>
      </c>
      <c r="V3004" s="5">
        <v>9902130</v>
      </c>
      <c r="W3004" s="5" t="s">
        <v>395</v>
      </c>
      <c r="AC3004" s="5" t="str">
        <f t="shared" si="145"/>
        <v>CDA</v>
      </c>
      <c r="AD3004" s="5" t="s">
        <v>43</v>
      </c>
      <c r="AE3004" s="5">
        <f t="shared" si="143"/>
        <v>11</v>
      </c>
      <c r="AF3004" s="5">
        <f t="shared" si="144"/>
        <v>2027</v>
      </c>
    </row>
    <row r="3005" s="5" customFormat="1" ht="13">
      <c r="A3005" s="5">
        <v>12316</v>
      </c>
      <c r="B3005" s="5" t="s">
        <v>78</v>
      </c>
      <c r="C3005" s="5" t="s">
        <v>183</v>
      </c>
      <c r="D3005" s="5" t="s">
        <v>21</v>
      </c>
      <c r="E3005" s="5" t="s">
        <v>34</v>
      </c>
      <c r="F3005" s="5" t="s">
        <v>184</v>
      </c>
      <c r="H3005" s="9">
        <v>6388</v>
      </c>
      <c r="I3005" s="10"/>
      <c r="J3005" s="10">
        <v>46700</v>
      </c>
      <c r="K3005" s="5" t="s">
        <v>124</v>
      </c>
      <c r="L3005" s="5" t="s">
        <v>82</v>
      </c>
      <c r="M3005" s="11">
        <v>0.079000000000000001</v>
      </c>
      <c r="N3005" s="5" t="e">
        <f>IF(AND(M3005&gt;#REF!,Cartera!O3005="Guaraníes"),"Rendimiento significativo",IF(AND(M3005&gt;#REF!,Cartera!O3005="Dólares americanos"),"Rendimiento significativo","Rendimiento no significativo"))</f>
        <v>#REF!</v>
      </c>
      <c r="O3005" s="5" t="s">
        <v>41</v>
      </c>
      <c r="P3005" s="12">
        <v>9902130</v>
      </c>
      <c r="Q3005" s="12">
        <f>IF(O3005="Guaraníes",P3005,P3005*#REF!)</f>
        <v>9902130</v>
      </c>
      <c r="R3005" s="12" t="e">
        <f>IF(O3005="Guaraníes",P3005/#REF!,P3005)</f>
        <v>#REF!</v>
      </c>
      <c r="S3005" s="5" t="s">
        <v>42</v>
      </c>
      <c r="V3005" s="5">
        <v>9793910</v>
      </c>
      <c r="W3005" s="5" t="s">
        <v>702</v>
      </c>
      <c r="AC3005" s="5" t="str">
        <f t="shared" si="145"/>
        <v>CDA</v>
      </c>
      <c r="AD3005" s="5" t="s">
        <v>43</v>
      </c>
      <c r="AE3005" s="5">
        <f t="shared" si="143"/>
        <v>11</v>
      </c>
      <c r="AF3005" s="5">
        <f t="shared" si="144"/>
        <v>2027</v>
      </c>
    </row>
    <row r="3006" s="5" customFormat="1" ht="13">
      <c r="A3006" s="5">
        <v>12316</v>
      </c>
      <c r="B3006" s="5" t="s">
        <v>78</v>
      </c>
      <c r="C3006" s="5" t="s">
        <v>164</v>
      </c>
      <c r="D3006" s="5" t="s">
        <v>21</v>
      </c>
      <c r="E3006" s="5" t="s">
        <v>34</v>
      </c>
      <c r="F3006" s="5" t="s">
        <v>68</v>
      </c>
      <c r="G3006" s="5" t="s">
        <v>145</v>
      </c>
      <c r="H3006" s="9" t="s">
        <v>165</v>
      </c>
      <c r="I3006" s="10"/>
      <c r="J3006" s="10">
        <v>46721</v>
      </c>
      <c r="K3006" s="5" t="s">
        <v>124</v>
      </c>
      <c r="L3006" s="5" t="s">
        <v>58</v>
      </c>
      <c r="M3006" s="11">
        <v>0.10000000000000001</v>
      </c>
      <c r="N3006" s="5" t="e">
        <f>IF(AND(M3006&gt;#REF!,Cartera!O3006="Guaraníes"),"Rendimiento significativo",IF(AND(M3006&gt;#REF!,Cartera!O3006="Dólares americanos"),"Rendimiento significativo","Rendimiento no significativo"))</f>
        <v>#REF!</v>
      </c>
      <c r="O3006" s="5" t="s">
        <v>41</v>
      </c>
      <c r="P3006" s="12">
        <v>3506849.3152000001</v>
      </c>
      <c r="Q3006" s="12">
        <f>IF(O3006="Guaraníes",P3006,P3006*#REF!)</f>
        <v>3506849.3152000001</v>
      </c>
      <c r="R3006" s="12" t="e">
        <f>IF(O3006="Guaraníes",P3006/#REF!,P3006)</f>
        <v>#REF!</v>
      </c>
      <c r="S3006" s="5" t="s">
        <v>42</v>
      </c>
      <c r="T3006" s="5">
        <v>1057</v>
      </c>
      <c r="W3006" s="5" t="s">
        <v>65</v>
      </c>
      <c r="X3006" s="5">
        <v>0</v>
      </c>
      <c r="Y3006" s="5">
        <v>0</v>
      </c>
      <c r="Z3006" s="5">
        <v>8767.1232880000007</v>
      </c>
      <c r="AA3006" s="5">
        <v>400</v>
      </c>
      <c r="AB3006" s="5">
        <v>3506849.3152000001</v>
      </c>
      <c r="AC3006" s="5" t="str">
        <f t="shared" si="145"/>
        <v>Bonos</v>
      </c>
      <c r="AD3006" s="5" t="s">
        <v>43</v>
      </c>
      <c r="AE3006" s="5">
        <f t="shared" si="143"/>
        <v>11</v>
      </c>
      <c r="AF3006" s="5">
        <f t="shared" si="144"/>
        <v>2027</v>
      </c>
    </row>
    <row r="3007" s="5" customFormat="1" ht="13">
      <c r="A3007" s="5">
        <v>12316</v>
      </c>
      <c r="B3007" s="5" t="s">
        <v>78</v>
      </c>
      <c r="C3007" s="5" t="s">
        <v>164</v>
      </c>
      <c r="D3007" s="5" t="s">
        <v>21</v>
      </c>
      <c r="E3007" s="5" t="s">
        <v>34</v>
      </c>
      <c r="F3007" s="5" t="s">
        <v>68</v>
      </c>
      <c r="G3007" s="5" t="s">
        <v>141</v>
      </c>
      <c r="H3007" s="9" t="s">
        <v>165</v>
      </c>
      <c r="I3007" s="10"/>
      <c r="J3007" s="10">
        <v>46721</v>
      </c>
      <c r="K3007" s="5" t="s">
        <v>124</v>
      </c>
      <c r="L3007" s="5" t="s">
        <v>58</v>
      </c>
      <c r="M3007" s="11">
        <v>0.10000000000000001</v>
      </c>
      <c r="N3007" s="5" t="e">
        <f>IF(AND(M3007&gt;#REF!,Cartera!O3007="Guaraníes"),"Rendimiento significativo",IF(AND(M3007&gt;#REF!,Cartera!O3007="Dólares americanos"),"Rendimiento significativo","Rendimiento no significativo"))</f>
        <v>#REF!</v>
      </c>
      <c r="O3007" s="5" t="s">
        <v>41</v>
      </c>
      <c r="P3007" s="12">
        <v>876712.32880000002</v>
      </c>
      <c r="Q3007" s="12">
        <f>IF(O3007="Guaraníes",P3007,P3007*#REF!)</f>
        <v>876712.32880000002</v>
      </c>
      <c r="R3007" s="12" t="e">
        <f>IF(O3007="Guaraníes",P3007/#REF!,P3007)</f>
        <v>#REF!</v>
      </c>
      <c r="S3007" s="5" t="s">
        <v>42</v>
      </c>
      <c r="T3007" s="5">
        <v>9243</v>
      </c>
      <c r="W3007" s="5" t="s">
        <v>65</v>
      </c>
      <c r="X3007" s="5">
        <v>0</v>
      </c>
      <c r="Y3007" s="5">
        <v>0</v>
      </c>
      <c r="Z3007" s="5">
        <v>8767.1232880000007</v>
      </c>
      <c r="AA3007" s="5">
        <v>100</v>
      </c>
      <c r="AB3007" s="5">
        <v>876712.32880000002</v>
      </c>
      <c r="AC3007" s="5" t="str">
        <f t="shared" si="145"/>
        <v>Bonos</v>
      </c>
      <c r="AD3007" s="5" t="s">
        <v>43</v>
      </c>
      <c r="AE3007" s="5">
        <f t="shared" si="143"/>
        <v>11</v>
      </c>
      <c r="AF3007" s="5">
        <f t="shared" si="144"/>
        <v>2027</v>
      </c>
    </row>
    <row r="3008" s="5" customFormat="1" ht="13">
      <c r="A3008" s="5">
        <v>12316</v>
      </c>
      <c r="B3008" s="5" t="s">
        <v>78</v>
      </c>
      <c r="C3008" s="5" t="s">
        <v>138</v>
      </c>
      <c r="D3008" s="5" t="s">
        <v>21</v>
      </c>
      <c r="E3008" s="5" t="s">
        <v>34</v>
      </c>
      <c r="F3008" s="5" t="s">
        <v>68</v>
      </c>
      <c r="G3008" s="5" t="s">
        <v>86</v>
      </c>
      <c r="H3008" s="9" t="s">
        <v>139</v>
      </c>
      <c r="I3008" s="10">
        <v>43948</v>
      </c>
      <c r="J3008" s="10">
        <v>46724</v>
      </c>
      <c r="K3008" s="5" t="s">
        <v>140</v>
      </c>
      <c r="L3008" s="5" t="s">
        <v>58</v>
      </c>
      <c r="M3008" s="11">
        <v>0.11</v>
      </c>
      <c r="N3008" s="5" t="e">
        <f>IF(AND(M3008&gt;#REF!,Cartera!O3008="Guaraníes"),"Rendimiento significativo",IF(AND(M3008&gt;#REF!,Cartera!O3008="Dólares americanos"),"Rendimiento significativo","Rendimiento no significativo"))</f>
        <v>#REF!</v>
      </c>
      <c r="O3008" s="5" t="s">
        <v>41</v>
      </c>
      <c r="P3008" s="12">
        <v>740800.52350000001</v>
      </c>
      <c r="Q3008" s="12">
        <f>IF(O3008="Guaraníes",P3008,P3008*#REF!)</f>
        <v>740800.52350000001</v>
      </c>
      <c r="R3008" s="12" t="e">
        <f>IF(O3008="Guaraníes",P3008/#REF!,P3008)</f>
        <v>#REF!</v>
      </c>
      <c r="S3008" s="5" t="s">
        <v>42</v>
      </c>
      <c r="AC3008" s="5" t="str">
        <f t="shared" si="145"/>
        <v>Bonos</v>
      </c>
      <c r="AD3008" s="5" t="s">
        <v>43</v>
      </c>
      <c r="AE3008" s="5">
        <f t="shared" si="143"/>
        <v>12</v>
      </c>
      <c r="AF3008" s="5">
        <f t="shared" si="144"/>
        <v>2027</v>
      </c>
    </row>
    <row r="3009" s="5" customFormat="1" ht="13">
      <c r="A3009" s="5">
        <v>12315</v>
      </c>
      <c r="B3009" s="5" t="s">
        <v>73</v>
      </c>
      <c r="C3009" s="5" t="s">
        <v>33</v>
      </c>
      <c r="D3009" s="5" t="s">
        <v>21</v>
      </c>
      <c r="E3009" s="5" t="s">
        <v>34</v>
      </c>
      <c r="F3009" s="5" t="s">
        <v>35</v>
      </c>
      <c r="G3009" s="5" t="s">
        <v>75</v>
      </c>
      <c r="H3009" s="9" t="s">
        <v>186</v>
      </c>
      <c r="I3009" s="10"/>
      <c r="J3009" s="10">
        <v>46729</v>
      </c>
      <c r="K3009" s="5" t="s">
        <v>39</v>
      </c>
      <c r="L3009" s="5" t="s">
        <v>50</v>
      </c>
      <c r="M3009" s="11">
        <v>0.044999999999999998</v>
      </c>
      <c r="N3009" s="5" t="e">
        <f>IF(AND(M3009&gt;#REF!,Cartera!O3009="Guaraníes"),"Rendimiento significativo",IF(AND(M3009&gt;#REF!,Cartera!O3009="Dólares americanos"),"Rendimiento significativo","Rendimiento no significativo"))</f>
        <v>#REF!</v>
      </c>
      <c r="O3009" s="5" t="s">
        <v>51</v>
      </c>
      <c r="P3009" s="13">
        <v>336.57533999999998</v>
      </c>
      <c r="Q3009" s="12" t="e">
        <f>IF(O3009="Guaraníes",P3009,P3009*#REF!)</f>
        <v>#REF!</v>
      </c>
      <c r="R3009" s="12">
        <f>IF(O3009="Guaraníes",P3009/#REF!,P3009)</f>
        <v>336.57533999999998</v>
      </c>
      <c r="S3009" s="5" t="s">
        <v>42</v>
      </c>
      <c r="T3009" s="5">
        <v>25</v>
      </c>
      <c r="W3009" s="5" t="s">
        <v>65</v>
      </c>
      <c r="X3009" s="5">
        <v>0</v>
      </c>
      <c r="Y3009" s="5">
        <v>0</v>
      </c>
      <c r="Z3009" s="5">
        <v>11.219177999999999</v>
      </c>
      <c r="AA3009" s="5">
        <v>30</v>
      </c>
      <c r="AB3009" s="5">
        <v>336.57533999999998</v>
      </c>
      <c r="AC3009" s="5" t="str">
        <f t="shared" si="145"/>
        <v>Bonos</v>
      </c>
      <c r="AD3009" s="5" t="s">
        <v>43</v>
      </c>
      <c r="AE3009" s="5">
        <f t="shared" si="143"/>
        <v>12</v>
      </c>
      <c r="AF3009" s="5">
        <f t="shared" si="144"/>
        <v>2027</v>
      </c>
    </row>
    <row r="3010" s="5" customFormat="1" ht="13">
      <c r="A3010" s="5">
        <v>12315</v>
      </c>
      <c r="B3010" s="5" t="s">
        <v>73</v>
      </c>
      <c r="C3010" s="5" t="s">
        <v>33</v>
      </c>
      <c r="D3010" s="5" t="s">
        <v>21</v>
      </c>
      <c r="E3010" s="5" t="s">
        <v>34</v>
      </c>
      <c r="F3010" s="5" t="s">
        <v>35</v>
      </c>
      <c r="G3010" s="5" t="s">
        <v>69</v>
      </c>
      <c r="H3010" s="9" t="s">
        <v>186</v>
      </c>
      <c r="I3010" s="10"/>
      <c r="J3010" s="10">
        <v>46729</v>
      </c>
      <c r="K3010" s="5" t="s">
        <v>39</v>
      </c>
      <c r="L3010" s="5" t="s">
        <v>50</v>
      </c>
      <c r="M3010" s="11">
        <v>0.044999999999999998</v>
      </c>
      <c r="N3010" s="5" t="e">
        <f>IF(AND(M3010&gt;#REF!,Cartera!O3010="Guaraníes"),"Rendimiento significativo",IF(AND(M3010&gt;#REF!,Cartera!O3010="Dólares americanos"),"Rendimiento significativo","Rendimiento no significativo"))</f>
        <v>#REF!</v>
      </c>
      <c r="O3010" s="5" t="s">
        <v>51</v>
      </c>
      <c r="P3010" s="13">
        <v>448.76711999999998</v>
      </c>
      <c r="Q3010" s="12" t="e">
        <f>IF(O3010="Guaraníes",P3010,P3010*#REF!)</f>
        <v>#REF!</v>
      </c>
      <c r="R3010" s="12">
        <f>IF(O3010="Guaraníes",P3010/#REF!,P3010)</f>
        <v>448.76711999999998</v>
      </c>
      <c r="S3010" s="5" t="s">
        <v>42</v>
      </c>
      <c r="T3010" s="5">
        <v>593</v>
      </c>
      <c r="W3010" s="5" t="s">
        <v>65</v>
      </c>
      <c r="X3010" s="5">
        <v>0</v>
      </c>
      <c r="Y3010" s="5">
        <v>0</v>
      </c>
      <c r="Z3010" s="5">
        <v>11.219177999999999</v>
      </c>
      <c r="AA3010" s="5">
        <v>40</v>
      </c>
      <c r="AB3010" s="5">
        <v>448.76711999999998</v>
      </c>
      <c r="AC3010" s="5" t="str">
        <f t="shared" si="145"/>
        <v>Bonos</v>
      </c>
      <c r="AD3010" s="5" t="s">
        <v>43</v>
      </c>
      <c r="AE3010" s="5">
        <f t="shared" si="143"/>
        <v>12</v>
      </c>
      <c r="AF3010" s="5">
        <f t="shared" si="144"/>
        <v>2027</v>
      </c>
    </row>
    <row r="3011" s="5" customFormat="1" ht="13">
      <c r="A3011" s="5">
        <v>12316</v>
      </c>
      <c r="B3011" s="5" t="s">
        <v>78</v>
      </c>
      <c r="C3011" s="5" t="s">
        <v>160</v>
      </c>
      <c r="D3011" s="5" t="s">
        <v>21</v>
      </c>
      <c r="E3011" s="5" t="s">
        <v>34</v>
      </c>
      <c r="F3011" s="5" t="s">
        <v>68</v>
      </c>
      <c r="G3011" s="5" t="s">
        <v>91</v>
      </c>
      <c r="H3011" s="9" t="s">
        <v>161</v>
      </c>
      <c r="I3011" s="10">
        <v>44581</v>
      </c>
      <c r="J3011" s="10">
        <v>46734</v>
      </c>
      <c r="K3011" s="5" t="s">
        <v>162</v>
      </c>
      <c r="L3011" s="5" t="s">
        <v>58</v>
      </c>
      <c r="M3011" s="11">
        <v>0.086999999999999994</v>
      </c>
      <c r="N3011" s="5" t="e">
        <f>IF(AND(M3011&gt;#REF!,Cartera!O3011="Guaraníes"),"Rendimiento significativo",IF(AND(M3011&gt;#REF!,Cartera!O3011="Dólares americanos"),"Rendimiento significativo","Rendimiento no significativo"))</f>
        <v>#REF!</v>
      </c>
      <c r="O3011" s="5" t="s">
        <v>41</v>
      </c>
      <c r="P3011" s="12">
        <v>17352328.767200001</v>
      </c>
      <c r="Q3011" s="12">
        <f>IF(O3011="Guaraníes",P3011,P3011*#REF!)</f>
        <v>17352328.767200001</v>
      </c>
      <c r="R3011" s="12" t="e">
        <f>IF(O3011="Guaraníes",P3011/#REF!,P3011)</f>
        <v>#REF!</v>
      </c>
      <c r="S3011" s="5" t="s">
        <v>42</v>
      </c>
      <c r="AC3011" s="5" t="str">
        <f t="shared" si="145"/>
        <v>Bonos</v>
      </c>
      <c r="AD3011" s="5" t="s">
        <v>43</v>
      </c>
      <c r="AE3011" s="5">
        <f t="shared" si="143"/>
        <v>12</v>
      </c>
      <c r="AF3011" s="5">
        <f t="shared" si="144"/>
        <v>2027</v>
      </c>
    </row>
    <row r="3012" s="5" customFormat="1" ht="13">
      <c r="A3012" s="5">
        <v>12316</v>
      </c>
      <c r="B3012" s="5" t="s">
        <v>78</v>
      </c>
      <c r="C3012" s="5" t="s">
        <v>54</v>
      </c>
      <c r="D3012" s="5" t="s">
        <v>21</v>
      </c>
      <c r="E3012" s="5" t="s">
        <v>34</v>
      </c>
      <c r="F3012" s="5" t="s">
        <v>46</v>
      </c>
      <c r="G3012" s="5" t="s">
        <v>86</v>
      </c>
      <c r="H3012" s="9" t="s">
        <v>147</v>
      </c>
      <c r="I3012" s="10"/>
      <c r="J3012" s="10">
        <v>46741</v>
      </c>
      <c r="K3012" s="5" t="s">
        <v>57</v>
      </c>
      <c r="L3012" s="5" t="s">
        <v>58</v>
      </c>
      <c r="M3012" s="11">
        <v>0.12</v>
      </c>
      <c r="N3012" s="5" t="e">
        <f>IF(AND(M3012&gt;#REF!,Cartera!O3012="Guaraníes"),"Rendimiento significativo",IF(AND(M3012&gt;#REF!,Cartera!O3012="Dólares americanos"),"Rendimiento significativo","Rendimiento no significativo"))</f>
        <v>#REF!</v>
      </c>
      <c r="O3012" s="5" t="s">
        <v>41</v>
      </c>
      <c r="P3012" s="12">
        <v>2991780.8218999999</v>
      </c>
      <c r="Q3012" s="12">
        <f>IF(O3012="Guaraníes",P3012,P3012*#REF!)</f>
        <v>2991780.8218999999</v>
      </c>
      <c r="R3012" s="12" t="e">
        <f>IF(O3012="Guaraníes",P3012/#REF!,P3012)</f>
        <v>#REF!</v>
      </c>
      <c r="S3012" s="5" t="s">
        <v>42</v>
      </c>
      <c r="T3012" s="5">
        <v>10834</v>
      </c>
      <c r="W3012" s="5" t="s">
        <v>65</v>
      </c>
      <c r="X3012" s="5">
        <v>0</v>
      </c>
      <c r="Y3012" s="5">
        <v>0</v>
      </c>
      <c r="Z3012" s="5">
        <v>29917.808218999999</v>
      </c>
      <c r="AA3012" s="5">
        <v>100</v>
      </c>
      <c r="AB3012" s="5">
        <v>2991780.8218999999</v>
      </c>
      <c r="AC3012" s="5" t="str">
        <f t="shared" si="145"/>
        <v>Bonos</v>
      </c>
      <c r="AD3012" s="5" t="s">
        <v>43</v>
      </c>
      <c r="AE3012" s="5">
        <f t="shared" si="143"/>
        <v>12</v>
      </c>
      <c r="AF3012" s="5">
        <f t="shared" si="144"/>
        <v>2027</v>
      </c>
    </row>
    <row r="3013" s="5" customFormat="1" ht="13">
      <c r="A3013" s="5">
        <v>12316</v>
      </c>
      <c r="B3013" s="5" t="s">
        <v>78</v>
      </c>
      <c r="C3013" s="5" t="s">
        <v>54</v>
      </c>
      <c r="D3013" s="5" t="s">
        <v>21</v>
      </c>
      <c r="E3013" s="5" t="s">
        <v>34</v>
      </c>
      <c r="F3013" s="5" t="s">
        <v>46</v>
      </c>
      <c r="G3013" s="5" t="s">
        <v>86</v>
      </c>
      <c r="H3013" s="9" t="s">
        <v>148</v>
      </c>
      <c r="I3013" s="10"/>
      <c r="J3013" s="10">
        <v>46741</v>
      </c>
      <c r="K3013" s="5" t="s">
        <v>57</v>
      </c>
      <c r="L3013" s="5" t="s">
        <v>58</v>
      </c>
      <c r="M3013" s="11">
        <v>0.097500000000000003</v>
      </c>
      <c r="N3013" s="5" t="e">
        <f>IF(AND(M3013&gt;#REF!,Cartera!O3013="Guaraníes"),"Rendimiento significativo",IF(AND(M3013&gt;#REF!,Cartera!O3013="Dólares americanos"),"Rendimiento significativo","Rendimiento no significativo"))</f>
        <v>#REF!</v>
      </c>
      <c r="O3013" s="5" t="s">
        <v>41</v>
      </c>
      <c r="P3013" s="12">
        <v>12154109.589</v>
      </c>
      <c r="Q3013" s="12">
        <f>IF(O3013="Guaraníes",P3013,P3013*#REF!)</f>
        <v>12154109.589</v>
      </c>
      <c r="R3013" s="12" t="e">
        <f>IF(O3013="Guaraníes",P3013/#REF!,P3013)</f>
        <v>#REF!</v>
      </c>
      <c r="S3013" s="5" t="s">
        <v>42</v>
      </c>
      <c r="T3013" s="5">
        <v>10834</v>
      </c>
      <c r="W3013" s="5" t="s">
        <v>65</v>
      </c>
      <c r="X3013" s="5">
        <v>0</v>
      </c>
      <c r="Y3013" s="5">
        <v>0</v>
      </c>
      <c r="Z3013" s="5">
        <v>24308.219177999999</v>
      </c>
      <c r="AA3013" s="5">
        <v>500</v>
      </c>
      <c r="AB3013" s="5">
        <v>12154109.589</v>
      </c>
      <c r="AC3013" s="5" t="str">
        <f t="shared" si="145"/>
        <v>Bonos</v>
      </c>
      <c r="AD3013" s="5" t="s">
        <v>43</v>
      </c>
      <c r="AE3013" s="5">
        <f t="shared" si="143"/>
        <v>12</v>
      </c>
      <c r="AF3013" s="5">
        <f t="shared" si="144"/>
        <v>2027</v>
      </c>
    </row>
    <row r="3014" s="5" customFormat="1" ht="13">
      <c r="A3014" s="5">
        <v>12316</v>
      </c>
      <c r="B3014" s="5" t="s">
        <v>78</v>
      </c>
      <c r="C3014" s="5" t="s">
        <v>54</v>
      </c>
      <c r="D3014" s="5" t="s">
        <v>21</v>
      </c>
      <c r="E3014" s="5" t="s">
        <v>34</v>
      </c>
      <c r="F3014" s="5" t="s">
        <v>46</v>
      </c>
      <c r="G3014" s="5" t="s">
        <v>75</v>
      </c>
      <c r="H3014" s="9" t="s">
        <v>147</v>
      </c>
      <c r="I3014" s="10"/>
      <c r="J3014" s="10">
        <v>46741</v>
      </c>
      <c r="K3014" s="5" t="s">
        <v>57</v>
      </c>
      <c r="L3014" s="5" t="s">
        <v>58</v>
      </c>
      <c r="M3014" s="11">
        <v>0.12</v>
      </c>
      <c r="N3014" s="5" t="e">
        <f>IF(AND(M3014&gt;#REF!,Cartera!O3014="Guaraníes"),"Rendimiento significativo",IF(AND(M3014&gt;#REF!,Cartera!O3014="Dólares americanos"),"Rendimiento significativo","Rendimiento no significativo"))</f>
        <v>#REF!</v>
      </c>
      <c r="O3014" s="5" t="s">
        <v>41</v>
      </c>
      <c r="P3014" s="12">
        <v>4487671.2328500003</v>
      </c>
      <c r="Q3014" s="12">
        <f>IF(O3014="Guaraníes",P3014,P3014*#REF!)</f>
        <v>4487671.2328500003</v>
      </c>
      <c r="R3014" s="12" t="e">
        <f>IF(O3014="Guaraníes",P3014/#REF!,P3014)</f>
        <v>#REF!</v>
      </c>
      <c r="S3014" s="5" t="s">
        <v>42</v>
      </c>
      <c r="T3014" s="5">
        <v>25</v>
      </c>
      <c r="W3014" s="5" t="s">
        <v>192</v>
      </c>
      <c r="X3014" s="5">
        <v>0</v>
      </c>
      <c r="Y3014" s="5">
        <v>0</v>
      </c>
      <c r="Z3014" s="5">
        <v>29917.808218999999</v>
      </c>
      <c r="AA3014" s="5">
        <v>150</v>
      </c>
      <c r="AB3014" s="5">
        <v>4487671.2328500003</v>
      </c>
      <c r="AC3014" s="5" t="str">
        <f t="shared" si="145"/>
        <v>Bonos</v>
      </c>
      <c r="AD3014" s="5" t="s">
        <v>43</v>
      </c>
      <c r="AE3014" s="5">
        <f t="shared" si="143"/>
        <v>12</v>
      </c>
      <c r="AF3014" s="5">
        <f t="shared" si="144"/>
        <v>2027</v>
      </c>
    </row>
    <row r="3015" s="5" customFormat="1" ht="13">
      <c r="A3015" s="5">
        <v>12316</v>
      </c>
      <c r="B3015" s="5" t="s">
        <v>78</v>
      </c>
      <c r="C3015" s="5" t="s">
        <v>138</v>
      </c>
      <c r="D3015" s="5" t="s">
        <v>21</v>
      </c>
      <c r="E3015" s="5" t="s">
        <v>34</v>
      </c>
      <c r="F3015" s="5" t="s">
        <v>68</v>
      </c>
      <c r="G3015" s="5" t="s">
        <v>86</v>
      </c>
      <c r="H3015" s="9" t="s">
        <v>193</v>
      </c>
      <c r="I3015" s="10">
        <v>44104</v>
      </c>
      <c r="J3015" s="10">
        <v>46742</v>
      </c>
      <c r="K3015" s="5" t="s">
        <v>140</v>
      </c>
      <c r="L3015" s="5" t="s">
        <v>58</v>
      </c>
      <c r="M3015" s="11">
        <v>0.10000000000000001</v>
      </c>
      <c r="N3015" s="5" t="e">
        <f>IF(AND(M3015&gt;#REF!,Cartera!O3015="Guaraníes"),"Rendimiento significativo",IF(AND(M3015&gt;#REF!,Cartera!O3015="Dólares americanos"),"Rendimiento significativo","Rendimiento no significativo"))</f>
        <v>#REF!</v>
      </c>
      <c r="O3015" s="5" t="s">
        <v>41</v>
      </c>
      <c r="P3015" s="12">
        <v>2493150.6849000002</v>
      </c>
      <c r="Q3015" s="12">
        <f>IF(O3015="Guaraníes",P3015,P3015*#REF!)</f>
        <v>2493150.6849000002</v>
      </c>
      <c r="R3015" s="12" t="e">
        <f>IF(O3015="Guaraníes",P3015/#REF!,P3015)</f>
        <v>#REF!</v>
      </c>
      <c r="S3015" s="5" t="s">
        <v>42</v>
      </c>
      <c r="AC3015" s="5" t="str">
        <f t="shared" si="145"/>
        <v>Bonos</v>
      </c>
      <c r="AD3015" s="5" t="s">
        <v>43</v>
      </c>
      <c r="AE3015" s="5">
        <f t="shared" si="143"/>
        <v>12</v>
      </c>
      <c r="AF3015" s="5">
        <f t="shared" si="144"/>
        <v>2027</v>
      </c>
    </row>
    <row r="3016" s="5" customFormat="1" ht="13">
      <c r="A3016" s="5">
        <v>12316</v>
      </c>
      <c r="B3016" s="5" t="s">
        <v>78</v>
      </c>
      <c r="C3016" s="5" t="s">
        <v>164</v>
      </c>
      <c r="D3016" s="5" t="s">
        <v>21</v>
      </c>
      <c r="E3016" s="5" t="s">
        <v>34</v>
      </c>
      <c r="F3016" s="5" t="s">
        <v>68</v>
      </c>
      <c r="G3016" s="5" t="s">
        <v>145</v>
      </c>
      <c r="H3016" s="9" t="s">
        <v>165</v>
      </c>
      <c r="I3016" s="10"/>
      <c r="J3016" s="10">
        <v>46751</v>
      </c>
      <c r="K3016" s="5" t="s">
        <v>124</v>
      </c>
      <c r="L3016" s="5" t="s">
        <v>58</v>
      </c>
      <c r="M3016" s="11">
        <v>0.10000000000000001</v>
      </c>
      <c r="N3016" s="5" t="e">
        <f>IF(AND(M3016&gt;#REF!,Cartera!O3016="Guaraníes"),"Rendimiento significativo",IF(AND(M3016&gt;#REF!,Cartera!O3016="Dólares americanos"),"Rendimiento significativo","Rendimiento no significativo"))</f>
        <v>#REF!</v>
      </c>
      <c r="O3016" s="5" t="s">
        <v>41</v>
      </c>
      <c r="P3016" s="12">
        <v>3287671.2328000003</v>
      </c>
      <c r="Q3016" s="12">
        <f>IF(O3016="Guaraníes",P3016,P3016*#REF!)</f>
        <v>3287671.2328000003</v>
      </c>
      <c r="R3016" s="12" t="e">
        <f>IF(O3016="Guaraníes",P3016/#REF!,P3016)</f>
        <v>#REF!</v>
      </c>
      <c r="S3016" s="5" t="s">
        <v>42</v>
      </c>
      <c r="T3016" s="5">
        <v>1057</v>
      </c>
      <c r="W3016" s="5" t="s">
        <v>65</v>
      </c>
      <c r="X3016" s="5">
        <v>0</v>
      </c>
      <c r="Y3016" s="5">
        <v>0</v>
      </c>
      <c r="Z3016" s="5">
        <v>8219.1780820000004</v>
      </c>
      <c r="AA3016" s="5">
        <v>400</v>
      </c>
      <c r="AB3016" s="5">
        <v>3287671.2327999999</v>
      </c>
      <c r="AC3016" s="5" t="str">
        <f t="shared" si="145"/>
        <v>Bonos</v>
      </c>
      <c r="AD3016" s="5" t="s">
        <v>43</v>
      </c>
      <c r="AE3016" s="5">
        <f t="shared" si="143"/>
        <v>12</v>
      </c>
      <c r="AF3016" s="5">
        <f t="shared" si="144"/>
        <v>2027</v>
      </c>
    </row>
    <row r="3017" s="5" customFormat="1" ht="13">
      <c r="A3017" s="5">
        <v>12316</v>
      </c>
      <c r="B3017" s="5" t="s">
        <v>78</v>
      </c>
      <c r="C3017" s="5" t="s">
        <v>164</v>
      </c>
      <c r="D3017" s="5" t="s">
        <v>21</v>
      </c>
      <c r="E3017" s="5" t="s">
        <v>34</v>
      </c>
      <c r="F3017" s="5" t="s">
        <v>68</v>
      </c>
      <c r="G3017" s="5" t="s">
        <v>141</v>
      </c>
      <c r="H3017" s="9" t="s">
        <v>165</v>
      </c>
      <c r="I3017" s="10"/>
      <c r="J3017" s="10">
        <v>46751</v>
      </c>
      <c r="K3017" s="5" t="s">
        <v>124</v>
      </c>
      <c r="L3017" s="5" t="s">
        <v>58</v>
      </c>
      <c r="M3017" s="11">
        <v>0.10000000000000001</v>
      </c>
      <c r="N3017" s="5" t="e">
        <f>IF(AND(M3017&gt;#REF!,Cartera!O3017="Guaraníes"),"Rendimiento significativo",IF(AND(M3017&gt;#REF!,Cartera!O3017="Dólares americanos"),"Rendimiento significativo","Rendimiento no significativo"))</f>
        <v>#REF!</v>
      </c>
      <c r="O3017" s="5" t="s">
        <v>41</v>
      </c>
      <c r="P3017" s="12">
        <v>821917.80820000009</v>
      </c>
      <c r="Q3017" s="12">
        <f>IF(O3017="Guaraníes",P3017,P3017*#REF!)</f>
        <v>821917.80820000009</v>
      </c>
      <c r="R3017" s="12" t="e">
        <f>IF(O3017="Guaraníes",P3017/#REF!,P3017)</f>
        <v>#REF!</v>
      </c>
      <c r="S3017" s="5" t="s">
        <v>42</v>
      </c>
      <c r="T3017" s="5">
        <v>9243</v>
      </c>
      <c r="W3017" s="5" t="s">
        <v>65</v>
      </c>
      <c r="X3017" s="5">
        <v>0</v>
      </c>
      <c r="Y3017" s="5">
        <v>0</v>
      </c>
      <c r="Z3017" s="5">
        <v>8219.1780820000004</v>
      </c>
      <c r="AA3017" s="5">
        <v>100</v>
      </c>
      <c r="AB3017" s="5">
        <v>821917.80819999997</v>
      </c>
      <c r="AC3017" s="5" t="str">
        <f t="shared" si="145"/>
        <v>Bonos</v>
      </c>
      <c r="AD3017" s="5" t="s">
        <v>43</v>
      </c>
      <c r="AE3017" s="5">
        <f t="shared" si="143"/>
        <v>12</v>
      </c>
      <c r="AF3017" s="5">
        <f t="shared" si="144"/>
        <v>2027</v>
      </c>
    </row>
    <row r="3018" s="5" customFormat="1" ht="13">
      <c r="A3018" s="5">
        <v>12315</v>
      </c>
      <c r="B3018" s="5" t="s">
        <v>73</v>
      </c>
      <c r="C3018" s="5" t="s">
        <v>74</v>
      </c>
      <c r="D3018" s="5" t="s">
        <v>21</v>
      </c>
      <c r="E3018" s="5" t="s">
        <v>34</v>
      </c>
      <c r="F3018" s="5" t="s">
        <v>68</v>
      </c>
      <c r="G3018" s="5" t="s">
        <v>75</v>
      </c>
      <c r="H3018" s="9" t="s">
        <v>76</v>
      </c>
      <c r="I3018" s="10"/>
      <c r="J3018" s="10">
        <v>46755</v>
      </c>
      <c r="K3018" s="5" t="s">
        <v>77</v>
      </c>
      <c r="L3018" s="5" t="s">
        <v>50</v>
      </c>
      <c r="M3018" s="11">
        <v>0.055</v>
      </c>
      <c r="N3018" s="5" t="e">
        <f>IF(AND(M3018&gt;#REF!,Cartera!O3018="Guaraníes"),"Rendimiento significativo",IF(AND(M3018&gt;#REF!,Cartera!O3018="Dólares americanos"),"Rendimiento significativo","Rendimiento no significativo"))</f>
        <v>#REF!</v>
      </c>
      <c r="O3018" s="5" t="s">
        <v>51</v>
      </c>
      <c r="P3018" s="13">
        <v>424.93151999999998</v>
      </c>
      <c r="Q3018" s="12" t="e">
        <f>IF(O3018="Guaraníes",P3018,P3018*#REF!)</f>
        <v>#REF!</v>
      </c>
      <c r="R3018" s="12">
        <f>IF(O3018="Guaraníes",P3018/#REF!,P3018)</f>
        <v>424.93151999999998</v>
      </c>
      <c r="S3018" s="5" t="s">
        <v>42</v>
      </c>
      <c r="T3018" s="5">
        <v>25</v>
      </c>
      <c r="W3018" s="5" t="s">
        <v>65</v>
      </c>
      <c r="X3018" s="5">
        <v>0</v>
      </c>
      <c r="Y3018" s="5">
        <v>0</v>
      </c>
      <c r="Z3018" s="5">
        <v>14.164384</v>
      </c>
      <c r="AA3018" s="5">
        <v>30</v>
      </c>
      <c r="AB3018" s="5">
        <v>424.93000000000001</v>
      </c>
      <c r="AC3018" s="5" t="str">
        <f t="shared" si="145"/>
        <v>Bonos</v>
      </c>
      <c r="AD3018" s="5" t="s">
        <v>43</v>
      </c>
      <c r="AE3018" s="5">
        <f t="shared" si="143"/>
        <v>1</v>
      </c>
      <c r="AF3018" s="5">
        <f t="shared" si="144"/>
        <v>2028</v>
      </c>
    </row>
    <row r="3019" s="5" customFormat="1" ht="13">
      <c r="A3019" s="5">
        <v>12316</v>
      </c>
      <c r="B3019" s="5" t="s">
        <v>78</v>
      </c>
      <c r="C3019" s="5" t="s">
        <v>138</v>
      </c>
      <c r="D3019" s="5" t="s">
        <v>21</v>
      </c>
      <c r="E3019" s="5" t="s">
        <v>34</v>
      </c>
      <c r="F3019" s="5" t="s">
        <v>68</v>
      </c>
      <c r="G3019" s="5" t="s">
        <v>86</v>
      </c>
      <c r="H3019" s="9" t="s">
        <v>139</v>
      </c>
      <c r="I3019" s="10">
        <v>43948</v>
      </c>
      <c r="J3019" s="10">
        <v>46755</v>
      </c>
      <c r="K3019" s="5" t="s">
        <v>140</v>
      </c>
      <c r="L3019" s="5" t="s">
        <v>58</v>
      </c>
      <c r="M3019" s="11">
        <v>0.11</v>
      </c>
      <c r="N3019" s="5" t="e">
        <f>IF(AND(M3019&gt;#REF!,Cartera!O3019="Guaraníes"),"Rendimiento significativo",IF(AND(M3019&gt;#REF!,Cartera!O3019="Dólares americanos"),"Rendimiento significativo","Rendimiento no significativo"))</f>
        <v>#REF!</v>
      </c>
      <c r="O3019" s="5" t="s">
        <v>41</v>
      </c>
      <c r="P3019" s="12">
        <v>754728.37820000004</v>
      </c>
      <c r="Q3019" s="12">
        <f>IF(O3019="Guaraníes",P3019,P3019*#REF!)</f>
        <v>754728.37820000004</v>
      </c>
      <c r="R3019" s="12" t="e">
        <f>IF(O3019="Guaraníes",P3019/#REF!,P3019)</f>
        <v>#REF!</v>
      </c>
      <c r="S3019" s="5" t="s">
        <v>42</v>
      </c>
      <c r="AC3019" s="5" t="str">
        <f t="shared" si="145"/>
        <v>Bonos</v>
      </c>
      <c r="AD3019" s="5" t="s">
        <v>43</v>
      </c>
      <c r="AE3019" s="5">
        <f t="shared" si="143"/>
        <v>1</v>
      </c>
      <c r="AF3019" s="5">
        <f t="shared" si="144"/>
        <v>2028</v>
      </c>
    </row>
    <row r="3020" s="5" customFormat="1" ht="13">
      <c r="A3020" s="5">
        <v>12315</v>
      </c>
      <c r="B3020" s="5" t="s">
        <v>73</v>
      </c>
      <c r="C3020" s="5" t="s">
        <v>85</v>
      </c>
      <c r="D3020" s="5" t="s">
        <v>21</v>
      </c>
      <c r="E3020" s="5" t="s">
        <v>34</v>
      </c>
      <c r="F3020" s="5" t="s">
        <v>68</v>
      </c>
      <c r="G3020" s="5" t="s">
        <v>86</v>
      </c>
      <c r="H3020" s="9" t="s">
        <v>87</v>
      </c>
      <c r="I3020" s="10"/>
      <c r="J3020" s="10">
        <v>46765</v>
      </c>
      <c r="K3020" s="5" t="s">
        <v>39</v>
      </c>
      <c r="L3020" s="5" t="s">
        <v>58</v>
      </c>
      <c r="M3020" s="11">
        <v>0.059999999999999998</v>
      </c>
      <c r="N3020" s="5" t="e">
        <f>IF(AND(M3020&gt;#REF!,Cartera!O3020="Guaraníes"),"Rendimiento significativo",IF(AND(M3020&gt;#REF!,Cartera!O3020="Dólares americanos"),"Rendimiento significativo","Rendimiento no significativo"))</f>
        <v>#REF!</v>
      </c>
      <c r="O3020" s="5" t="s">
        <v>51</v>
      </c>
      <c r="P3020" s="13">
        <v>747.9452</v>
      </c>
      <c r="Q3020" s="12" t="e">
        <f>IF(O3020="Guaraníes",P3020,P3020*#REF!)</f>
        <v>#REF!</v>
      </c>
      <c r="R3020" s="12">
        <f>IF(O3020="Guaraníes",P3020/#REF!,P3020)</f>
        <v>747.9452</v>
      </c>
      <c r="S3020" s="5" t="s">
        <v>42</v>
      </c>
      <c r="T3020" s="5">
        <v>10834</v>
      </c>
      <c r="W3020" s="5" t="s">
        <v>703</v>
      </c>
      <c r="X3020" s="5">
        <v>0</v>
      </c>
      <c r="Y3020" s="5">
        <v>0</v>
      </c>
      <c r="Z3020" s="5">
        <v>14.958904</v>
      </c>
      <c r="AA3020" s="5">
        <v>50</v>
      </c>
      <c r="AB3020" s="5">
        <v>747.9452</v>
      </c>
      <c r="AC3020" s="5" t="str">
        <f t="shared" si="145"/>
        <v>Bonos</v>
      </c>
      <c r="AD3020" s="5" t="s">
        <v>43</v>
      </c>
      <c r="AE3020" s="5">
        <f t="shared" si="143"/>
        <v>1</v>
      </c>
      <c r="AF3020" s="5">
        <f t="shared" si="144"/>
        <v>2028</v>
      </c>
    </row>
    <row r="3021" s="5" customFormat="1" ht="13">
      <c r="A3021" s="5">
        <v>12315</v>
      </c>
      <c r="B3021" s="5" t="s">
        <v>73</v>
      </c>
      <c r="C3021" s="5" t="s">
        <v>54</v>
      </c>
      <c r="D3021" s="5" t="s">
        <v>21</v>
      </c>
      <c r="E3021" s="5" t="s">
        <v>34</v>
      </c>
      <c r="F3021" s="5" t="s">
        <v>46</v>
      </c>
      <c r="G3021" s="5" t="s">
        <v>55</v>
      </c>
      <c r="H3021" s="9" t="s">
        <v>56</v>
      </c>
      <c r="I3021" s="10">
        <v>44680</v>
      </c>
      <c r="J3021" s="10">
        <v>46773</v>
      </c>
      <c r="K3021" s="5" t="s">
        <v>57</v>
      </c>
      <c r="L3021" s="5" t="s">
        <v>58</v>
      </c>
      <c r="M3021" s="11">
        <v>0.059999999999999998</v>
      </c>
      <c r="N3021" s="5" t="e">
        <f>IF(AND(M3021&gt;#REF!,Cartera!O3021="Guaraníes"),"Rendimiento significativo",IF(AND(M3021&gt;#REF!,Cartera!O3021="Dólares americanos"),"Rendimiento significativo","Rendimiento no significativo"))</f>
        <v>#REF!</v>
      </c>
      <c r="O3021" s="5" t="s">
        <v>51</v>
      </c>
      <c r="P3021" s="13">
        <v>747.9452</v>
      </c>
      <c r="Q3021" s="12" t="e">
        <f>IF(O3021="Guaraníes",P3021,P3021*#REF!)</f>
        <v>#REF!</v>
      </c>
      <c r="R3021" s="12">
        <f>IF(O3021="Guaraníes",P3021/#REF!,P3021)</f>
        <v>747.9452</v>
      </c>
      <c r="S3021" s="5" t="s">
        <v>42</v>
      </c>
      <c r="T3021" s="5">
        <v>17035</v>
      </c>
      <c r="V3021" s="5">
        <v>14.960000000000001</v>
      </c>
      <c r="AA3021" s="5">
        <v>50</v>
      </c>
      <c r="AC3021" s="5" t="str">
        <f t="shared" si="145"/>
        <v>Bonos</v>
      </c>
      <c r="AD3021" s="5" t="s">
        <v>43</v>
      </c>
      <c r="AE3021" s="5">
        <f t="shared" si="143"/>
        <v>1</v>
      </c>
      <c r="AF3021" s="5">
        <f t="shared" si="144"/>
        <v>2028</v>
      </c>
    </row>
    <row r="3022" s="5" customFormat="1" ht="13">
      <c r="A3022" s="5">
        <v>12315</v>
      </c>
      <c r="B3022" s="5" t="s">
        <v>73</v>
      </c>
      <c r="C3022" s="5" t="s">
        <v>33</v>
      </c>
      <c r="D3022" s="5" t="s">
        <v>21</v>
      </c>
      <c r="E3022" s="5" t="s">
        <v>34</v>
      </c>
      <c r="F3022" s="5" t="s">
        <v>35</v>
      </c>
      <c r="G3022" s="5" t="s">
        <v>141</v>
      </c>
      <c r="H3022" s="9" t="s">
        <v>142</v>
      </c>
      <c r="I3022" s="10">
        <v>44956</v>
      </c>
      <c r="J3022" s="10">
        <v>46777</v>
      </c>
      <c r="K3022" s="5" t="s">
        <v>39</v>
      </c>
      <c r="L3022" s="5" t="s">
        <v>50</v>
      </c>
      <c r="M3022" s="11">
        <v>0.065000000000000002</v>
      </c>
      <c r="N3022" s="5" t="e">
        <f>IF(AND(M3022&gt;#REF!,Cartera!O3022="Guaraníes"),"Rendimiento significativo",IF(AND(M3022&gt;#REF!,Cartera!O3022="Dólares americanos"),"Rendimiento significativo","Rendimiento no significativo"))</f>
        <v>#REF!</v>
      </c>
      <c r="O3022" s="5" t="s">
        <v>51</v>
      </c>
      <c r="P3022" s="13">
        <v>1296.43832</v>
      </c>
      <c r="Q3022" s="12" t="e">
        <f>IF(O3022="Guaraníes",P3022,P3022*#REF!)</f>
        <v>#REF!</v>
      </c>
      <c r="R3022" s="12">
        <f>IF(O3022="Guaraníes",P3022/#REF!,P3022)</f>
        <v>1296.43832</v>
      </c>
      <c r="S3022" s="5" t="s">
        <v>42</v>
      </c>
      <c r="AC3022" s="5" t="str">
        <f t="shared" si="145"/>
        <v>Bonos</v>
      </c>
      <c r="AD3022" s="5" t="s">
        <v>43</v>
      </c>
      <c r="AE3022" s="5">
        <f t="shared" si="143"/>
        <v>1</v>
      </c>
      <c r="AF3022" s="5">
        <f t="shared" si="144"/>
        <v>2028</v>
      </c>
    </row>
    <row r="3023" s="5" customFormat="1" ht="13">
      <c r="A3023" s="5">
        <v>12316</v>
      </c>
      <c r="B3023" s="5" t="s">
        <v>78</v>
      </c>
      <c r="C3023" s="5" t="s">
        <v>164</v>
      </c>
      <c r="D3023" s="5" t="s">
        <v>21</v>
      </c>
      <c r="E3023" s="5" t="s">
        <v>34</v>
      </c>
      <c r="F3023" s="5" t="s">
        <v>68</v>
      </c>
      <c r="G3023" s="5" t="s">
        <v>145</v>
      </c>
      <c r="H3023" s="9" t="s">
        <v>165</v>
      </c>
      <c r="I3023" s="10"/>
      <c r="J3023" s="10">
        <v>46783</v>
      </c>
      <c r="K3023" s="5" t="s">
        <v>124</v>
      </c>
      <c r="L3023" s="5" t="s">
        <v>58</v>
      </c>
      <c r="M3023" s="11">
        <v>0.10000000000000001</v>
      </c>
      <c r="N3023" s="5" t="e">
        <f>IF(AND(M3023&gt;#REF!,Cartera!O3023="Guaraníes"),"Rendimiento significativo",IF(AND(M3023&gt;#REF!,Cartera!O3023="Dólares americanos"),"Rendimiento significativo","Rendimiento no significativo"))</f>
        <v>#REF!</v>
      </c>
      <c r="O3023" s="5" t="s">
        <v>41</v>
      </c>
      <c r="P3023" s="12">
        <v>3506849.3152000001</v>
      </c>
      <c r="Q3023" s="12">
        <f>IF(O3023="Guaraníes",P3023,P3023*#REF!)</f>
        <v>3506849.3152000001</v>
      </c>
      <c r="R3023" s="12" t="e">
        <f>IF(O3023="Guaraníes",P3023/#REF!,P3023)</f>
        <v>#REF!</v>
      </c>
      <c r="S3023" s="5" t="s">
        <v>42</v>
      </c>
      <c r="T3023" s="5">
        <v>1057</v>
      </c>
      <c r="W3023" s="5" t="s">
        <v>65</v>
      </c>
      <c r="X3023" s="5">
        <v>0</v>
      </c>
      <c r="Y3023" s="5">
        <v>0</v>
      </c>
      <c r="Z3023" s="5">
        <v>8767.1232880000007</v>
      </c>
      <c r="AA3023" s="5">
        <v>400</v>
      </c>
      <c r="AB3023" s="5">
        <v>3506849.3152000001</v>
      </c>
      <c r="AC3023" s="5" t="str">
        <f t="shared" si="145"/>
        <v>Bonos</v>
      </c>
      <c r="AD3023" s="5" t="s">
        <v>43</v>
      </c>
      <c r="AE3023" s="5">
        <f t="shared" si="143"/>
        <v>1</v>
      </c>
      <c r="AF3023" s="5">
        <f t="shared" si="144"/>
        <v>2028</v>
      </c>
    </row>
    <row r="3024" s="5" customFormat="1" ht="13">
      <c r="A3024" s="5">
        <v>12316</v>
      </c>
      <c r="B3024" s="5" t="s">
        <v>78</v>
      </c>
      <c r="C3024" s="5" t="s">
        <v>164</v>
      </c>
      <c r="D3024" s="5" t="s">
        <v>21</v>
      </c>
      <c r="E3024" s="5" t="s">
        <v>34</v>
      </c>
      <c r="F3024" s="5" t="s">
        <v>68</v>
      </c>
      <c r="G3024" s="5" t="s">
        <v>141</v>
      </c>
      <c r="H3024" s="9" t="s">
        <v>165</v>
      </c>
      <c r="I3024" s="10"/>
      <c r="J3024" s="10">
        <v>46783</v>
      </c>
      <c r="K3024" s="5" t="s">
        <v>124</v>
      </c>
      <c r="L3024" s="5" t="s">
        <v>58</v>
      </c>
      <c r="M3024" s="11">
        <v>0.10000000000000001</v>
      </c>
      <c r="N3024" s="5" t="e">
        <f>IF(AND(M3024&gt;#REF!,Cartera!O3024="Guaraníes"),"Rendimiento significativo",IF(AND(M3024&gt;#REF!,Cartera!O3024="Dólares americanos"),"Rendimiento significativo","Rendimiento no significativo"))</f>
        <v>#REF!</v>
      </c>
      <c r="O3024" s="5" t="s">
        <v>41</v>
      </c>
      <c r="P3024" s="12">
        <v>876712.32880000002</v>
      </c>
      <c r="Q3024" s="12">
        <f>IF(O3024="Guaraníes",P3024,P3024*#REF!)</f>
        <v>876712.32880000002</v>
      </c>
      <c r="R3024" s="12" t="e">
        <f>IF(O3024="Guaraníes",P3024/#REF!,P3024)</f>
        <v>#REF!</v>
      </c>
      <c r="S3024" s="5" t="s">
        <v>42</v>
      </c>
      <c r="T3024" s="5">
        <v>9243</v>
      </c>
      <c r="W3024" s="5" t="s">
        <v>65</v>
      </c>
      <c r="X3024" s="5">
        <v>0</v>
      </c>
      <c r="Y3024" s="5">
        <v>0</v>
      </c>
      <c r="Z3024" s="5">
        <v>8767.1232880000007</v>
      </c>
      <c r="AA3024" s="5">
        <v>100</v>
      </c>
      <c r="AB3024" s="5">
        <v>876712.32880000002</v>
      </c>
      <c r="AC3024" s="5" t="str">
        <f t="shared" si="145"/>
        <v>Bonos</v>
      </c>
      <c r="AD3024" s="5" t="s">
        <v>43</v>
      </c>
      <c r="AE3024" s="5">
        <f t="shared" si="143"/>
        <v>1</v>
      </c>
      <c r="AF3024" s="5">
        <f t="shared" si="144"/>
        <v>2028</v>
      </c>
    </row>
    <row r="3025" s="5" customFormat="1" ht="13">
      <c r="A3025" s="5">
        <v>12316</v>
      </c>
      <c r="B3025" s="5" t="s">
        <v>78</v>
      </c>
      <c r="C3025" s="5" t="s">
        <v>138</v>
      </c>
      <c r="D3025" s="5" t="s">
        <v>21</v>
      </c>
      <c r="E3025" s="5" t="s">
        <v>34</v>
      </c>
      <c r="F3025" s="5" t="s">
        <v>68</v>
      </c>
      <c r="G3025" s="5" t="s">
        <v>86</v>
      </c>
      <c r="H3025" s="9" t="s">
        <v>139</v>
      </c>
      <c r="I3025" s="10">
        <v>43948</v>
      </c>
      <c r="J3025" s="10">
        <v>46785</v>
      </c>
      <c r="K3025" s="5" t="s">
        <v>140</v>
      </c>
      <c r="L3025" s="5" t="s">
        <v>58</v>
      </c>
      <c r="M3025" s="11">
        <v>0.11</v>
      </c>
      <c r="N3025" s="5" t="e">
        <f>IF(AND(M3025&gt;#REF!,Cartera!O3025="Guaraníes"),"Rendimiento significativo",IF(AND(M3025&gt;#REF!,Cartera!O3025="Dólares americanos"),"Rendimiento significativo","Rendimiento no significativo"))</f>
        <v>#REF!</v>
      </c>
      <c r="O3025" s="5" t="s">
        <v>41</v>
      </c>
      <c r="P3025" s="12">
        <v>719868.57920000004</v>
      </c>
      <c r="Q3025" s="12">
        <f>IF(O3025="Guaraníes",P3025,P3025*#REF!)</f>
        <v>719868.57920000004</v>
      </c>
      <c r="R3025" s="12" t="e">
        <f>IF(O3025="Guaraníes",P3025/#REF!,P3025)</f>
        <v>#REF!</v>
      </c>
      <c r="S3025" s="5" t="s">
        <v>42</v>
      </c>
      <c r="AC3025" s="5" t="str">
        <f t="shared" si="145"/>
        <v>Bonos</v>
      </c>
      <c r="AD3025" s="5" t="s">
        <v>43</v>
      </c>
      <c r="AE3025" s="5">
        <f t="shared" si="143"/>
        <v>2</v>
      </c>
      <c r="AF3025" s="5">
        <f t="shared" si="144"/>
        <v>2028</v>
      </c>
    </row>
    <row r="3026" s="5" customFormat="1" ht="13">
      <c r="A3026" s="5" t="s">
        <v>544</v>
      </c>
      <c r="B3026" s="5" t="s">
        <v>544</v>
      </c>
      <c r="C3026" s="5" t="s">
        <v>60</v>
      </c>
      <c r="D3026" s="5" t="s">
        <v>21</v>
      </c>
      <c r="E3026" s="5" t="s">
        <v>544</v>
      </c>
      <c r="F3026" s="5" t="s">
        <v>68</v>
      </c>
      <c r="H3026" s="9">
        <v>869</v>
      </c>
      <c r="I3026" s="10"/>
      <c r="J3026" s="10">
        <v>44767</v>
      </c>
      <c r="K3026" s="5" t="s">
        <v>64</v>
      </c>
      <c r="L3026" s="5" t="s">
        <v>82</v>
      </c>
      <c r="M3026" s="11">
        <v>0.12</v>
      </c>
      <c r="N3026" s="5" t="e">
        <f>IF(AND(M3026&gt;#REF!,Cartera!O3026="Guaraníes"),"Rendimiento significativo",IF(AND(M3026&gt;#REF!,Cartera!O3026="Dólares americanos"),"Rendimiento significativo","Rendimiento no significativo"))</f>
        <v>#REF!</v>
      </c>
      <c r="O3026" s="5" t="s">
        <v>51</v>
      </c>
      <c r="P3026" s="13">
        <v>1596</v>
      </c>
      <c r="Q3026" s="12" t="e">
        <f>IF(O3026="Guaraníes",P3026,P3026*#REF!)</f>
        <v>#REF!</v>
      </c>
      <c r="R3026" s="12">
        <f>IF(O3026="Guaraníes",P3026/#REF!,P3026)</f>
        <v>1596</v>
      </c>
      <c r="S3026" s="5" t="s">
        <v>52</v>
      </c>
      <c r="V3026" s="5">
        <v>1596</v>
      </c>
      <c r="W3026" s="5" t="s">
        <v>629</v>
      </c>
      <c r="AC3026" s="5" t="str">
        <f t="shared" si="145"/>
        <v>CDA</v>
      </c>
      <c r="AD3026" s="5" t="s">
        <v>43</v>
      </c>
      <c r="AE3026" s="5">
        <f t="shared" ref="AE3026:AE3089" si="146">IFERROR((MONTH(J3026)),0)</f>
        <v>7</v>
      </c>
      <c r="AF3026" s="5">
        <f t="shared" ref="AF3026:AF3089" si="147">IFERROR((YEAR(J3026)),0)</f>
        <v>2022</v>
      </c>
    </row>
    <row r="3027" s="5" customFormat="1" ht="13">
      <c r="A3027" s="5" t="s">
        <v>544</v>
      </c>
      <c r="B3027" s="5" t="s">
        <v>544</v>
      </c>
      <c r="C3027" s="5" t="s">
        <v>74</v>
      </c>
      <c r="D3027" s="5" t="s">
        <v>21</v>
      </c>
      <c r="E3027" s="5" t="s">
        <v>544</v>
      </c>
      <c r="F3027" s="5" t="s">
        <v>68</v>
      </c>
      <c r="H3027" s="9">
        <v>1093</v>
      </c>
      <c r="I3027" s="10"/>
      <c r="J3027" s="10">
        <v>44767</v>
      </c>
      <c r="K3027" s="5" t="s">
        <v>77</v>
      </c>
      <c r="L3027" s="5" t="s">
        <v>82</v>
      </c>
      <c r="M3027" s="11">
        <v>0.065000000000000002</v>
      </c>
      <c r="N3027" s="5" t="e">
        <f>IF(AND(M3027&gt;#REF!,Cartera!O3027="Guaraníes"),"Rendimiento significativo",IF(AND(M3027&gt;#REF!,Cartera!O3027="Dólares americanos"),"Rendimiento significativo","Rendimiento no significativo"))</f>
        <v>#REF!</v>
      </c>
      <c r="O3027" s="5" t="s">
        <v>41</v>
      </c>
      <c r="P3027" s="12">
        <v>3205479</v>
      </c>
      <c r="Q3027" s="12">
        <f>IF(O3027="Guaraníes",P3027,P3027*#REF!)</f>
        <v>3205479</v>
      </c>
      <c r="R3027" s="12" t="e">
        <f>IF(O3027="Guaraníes",P3027/#REF!,P3027)</f>
        <v>#REF!</v>
      </c>
      <c r="S3027" s="5" t="s">
        <v>52</v>
      </c>
      <c r="V3027" s="5">
        <v>3205479</v>
      </c>
      <c r="W3027" s="5" t="s">
        <v>704</v>
      </c>
      <c r="AC3027" s="5" t="str">
        <f t="shared" si="145"/>
        <v>CDA</v>
      </c>
      <c r="AD3027" s="5" t="s">
        <v>43</v>
      </c>
      <c r="AE3027" s="5">
        <f t="shared" si="146"/>
        <v>7</v>
      </c>
      <c r="AF3027" s="5">
        <f t="shared" si="147"/>
        <v>2022</v>
      </c>
    </row>
    <row r="3028" s="5" customFormat="1" ht="13">
      <c r="A3028" s="5" t="s">
        <v>44</v>
      </c>
      <c r="B3028" s="5" t="s">
        <v>44</v>
      </c>
      <c r="C3028" s="5" t="s">
        <v>183</v>
      </c>
      <c r="D3028" s="5" t="s">
        <v>21</v>
      </c>
      <c r="E3028" s="5" t="s">
        <v>44</v>
      </c>
      <c r="F3028" s="5" t="s">
        <v>184</v>
      </c>
      <c r="G3028" s="5" t="s">
        <v>276</v>
      </c>
      <c r="H3028" s="9" t="s">
        <v>277</v>
      </c>
      <c r="I3028" s="10">
        <v>44847</v>
      </c>
      <c r="J3028" s="10">
        <v>44938</v>
      </c>
      <c r="K3028" s="5" t="s">
        <v>124</v>
      </c>
      <c r="L3028" s="5" t="s">
        <v>106</v>
      </c>
      <c r="M3028" s="11">
        <v>0.085000000000000006</v>
      </c>
      <c r="N3028" s="5" t="e">
        <f>IF(AND(M3028&gt;#REF!,Cartera!O3028="Guaraníes"),"Rendimiento significativo",IF(AND(M3028&gt;#REF!,Cartera!O3028="Dólares americanos"),"Rendimiento significativo","Rendimiento no significativo"))</f>
        <v>#REF!</v>
      </c>
      <c r="O3028" s="5" t="s">
        <v>41</v>
      </c>
      <c r="P3028" s="12">
        <v>19072602.738000002</v>
      </c>
      <c r="Q3028" s="12">
        <f>IF(O3028="Guaraníes",P3028,P3028*#REF!)</f>
        <v>19072602.738000002</v>
      </c>
      <c r="R3028" s="12" t="e">
        <f>IF(O3028="Guaraníes",P3028/#REF!,P3028)</f>
        <v>#REF!</v>
      </c>
      <c r="S3028" s="5" t="s">
        <v>52</v>
      </c>
      <c r="AC3028" s="5" t="str">
        <f t="shared" si="145"/>
        <v>Bonos</v>
      </c>
      <c r="AD3028" s="5" t="s">
        <v>43</v>
      </c>
      <c r="AE3028" s="5">
        <f t="shared" si="146"/>
        <v>1</v>
      </c>
      <c r="AF3028" s="5">
        <f t="shared" si="147"/>
        <v>2023</v>
      </c>
    </row>
    <row r="3029" s="5" customFormat="1" ht="13">
      <c r="A3029" s="5" t="s">
        <v>44</v>
      </c>
      <c r="B3029" s="5" t="s">
        <v>44</v>
      </c>
      <c r="C3029" s="5" t="s">
        <v>183</v>
      </c>
      <c r="D3029" s="5" t="s">
        <v>21</v>
      </c>
      <c r="E3029" s="5" t="s">
        <v>44</v>
      </c>
      <c r="F3029" s="5" t="s">
        <v>184</v>
      </c>
      <c r="G3029" s="5" t="s">
        <v>276</v>
      </c>
      <c r="H3029" s="9" t="s">
        <v>277</v>
      </c>
      <c r="I3029" s="10">
        <v>44847</v>
      </c>
      <c r="J3029" s="10">
        <v>45029</v>
      </c>
      <c r="K3029" s="5" t="s">
        <v>124</v>
      </c>
      <c r="L3029" s="5" t="s">
        <v>106</v>
      </c>
      <c r="M3029" s="11">
        <v>0.085000000000000006</v>
      </c>
      <c r="N3029" s="5" t="e">
        <f>IF(AND(M3029&gt;#REF!,Cartera!O3029="Guaraníes"),"Rendimiento significativo",IF(AND(M3029&gt;#REF!,Cartera!O3029="Dólares americanos"),"Rendimiento significativo","Rendimiento no significativo"))</f>
        <v>#REF!</v>
      </c>
      <c r="O3029" s="5" t="s">
        <v>41</v>
      </c>
      <c r="P3029" s="12">
        <v>19072602.738000002</v>
      </c>
      <c r="Q3029" s="12">
        <f>IF(O3029="Guaraníes",P3029,P3029*#REF!)</f>
        <v>19072602.738000002</v>
      </c>
      <c r="R3029" s="12" t="e">
        <f>IF(O3029="Guaraníes",P3029/#REF!,P3029)</f>
        <v>#REF!</v>
      </c>
      <c r="S3029" s="5" t="s">
        <v>52</v>
      </c>
      <c r="AC3029" s="5" t="str">
        <f t="shared" si="145"/>
        <v>Bonos</v>
      </c>
      <c r="AD3029" s="5" t="s">
        <v>43</v>
      </c>
      <c r="AE3029" s="5">
        <f t="shared" si="146"/>
        <v>4</v>
      </c>
      <c r="AF3029" s="5">
        <f t="shared" si="147"/>
        <v>2023</v>
      </c>
    </row>
    <row r="3030" s="5" customFormat="1" ht="13">
      <c r="A3030" s="5" t="s">
        <v>44</v>
      </c>
      <c r="B3030" s="5" t="s">
        <v>44</v>
      </c>
      <c r="C3030" s="5" t="s">
        <v>183</v>
      </c>
      <c r="D3030" s="5" t="s">
        <v>21</v>
      </c>
      <c r="E3030" s="5" t="s">
        <v>44</v>
      </c>
      <c r="F3030" s="5" t="s">
        <v>184</v>
      </c>
      <c r="G3030" s="5" t="s">
        <v>276</v>
      </c>
      <c r="H3030" s="9" t="s">
        <v>277</v>
      </c>
      <c r="I3030" s="10">
        <v>44847</v>
      </c>
      <c r="J3030" s="10">
        <v>45120</v>
      </c>
      <c r="K3030" s="5" t="s">
        <v>124</v>
      </c>
      <c r="L3030" s="5" t="s">
        <v>106</v>
      </c>
      <c r="M3030" s="11">
        <v>0.085000000000000006</v>
      </c>
      <c r="N3030" s="5" t="e">
        <f>IF(AND(M3030&gt;#REF!,Cartera!O3030="Guaraníes"),"Rendimiento significativo",IF(AND(M3030&gt;#REF!,Cartera!O3030="Dólares americanos"),"Rendimiento significativo","Rendimiento no significativo"))</f>
        <v>#REF!</v>
      </c>
      <c r="O3030" s="5" t="s">
        <v>41</v>
      </c>
      <c r="P3030" s="12">
        <v>19072602.738000002</v>
      </c>
      <c r="Q3030" s="12">
        <f>IF(O3030="Guaraníes",P3030,P3030*#REF!)</f>
        <v>19072602.738000002</v>
      </c>
      <c r="R3030" s="12" t="e">
        <f>IF(O3030="Guaraníes",P3030/#REF!,P3030)</f>
        <v>#REF!</v>
      </c>
      <c r="S3030" s="5" t="s">
        <v>52</v>
      </c>
      <c r="AC3030" s="5" t="str">
        <f t="shared" si="145"/>
        <v>Bonos</v>
      </c>
      <c r="AD3030" s="5" t="s">
        <v>43</v>
      </c>
      <c r="AE3030" s="5">
        <f t="shared" si="146"/>
        <v>7</v>
      </c>
      <c r="AF3030" s="5">
        <f t="shared" si="147"/>
        <v>2023</v>
      </c>
    </row>
    <row r="3031" s="5" customFormat="1" ht="13">
      <c r="A3031" s="5" t="s">
        <v>44</v>
      </c>
      <c r="B3031" s="5" t="s">
        <v>44</v>
      </c>
      <c r="C3031" s="5" t="s">
        <v>183</v>
      </c>
      <c r="D3031" s="5" t="s">
        <v>21</v>
      </c>
      <c r="E3031" s="5" t="s">
        <v>44</v>
      </c>
      <c r="F3031" s="5" t="s">
        <v>184</v>
      </c>
      <c r="G3031" s="5" t="s">
        <v>276</v>
      </c>
      <c r="H3031" s="9" t="s">
        <v>277</v>
      </c>
      <c r="I3031" s="10">
        <v>44847</v>
      </c>
      <c r="J3031" s="10">
        <v>45211</v>
      </c>
      <c r="K3031" s="5" t="s">
        <v>124</v>
      </c>
      <c r="L3031" s="5" t="s">
        <v>106</v>
      </c>
      <c r="M3031" s="11">
        <v>0.085000000000000006</v>
      </c>
      <c r="N3031" s="5" t="e">
        <f>IF(AND(M3031&gt;#REF!,Cartera!O3031="Guaraníes"),"Rendimiento significativo",IF(AND(M3031&gt;#REF!,Cartera!O3031="Dólares americanos"),"Rendimiento significativo","Rendimiento no significativo"))</f>
        <v>#REF!</v>
      </c>
      <c r="O3031" s="5" t="s">
        <v>41</v>
      </c>
      <c r="P3031" s="12">
        <v>19072602.738000002</v>
      </c>
      <c r="Q3031" s="12">
        <f>IF(O3031="Guaraníes",P3031,P3031*#REF!)</f>
        <v>19072602.738000002</v>
      </c>
      <c r="R3031" s="12" t="e">
        <f>IF(O3031="Guaraníes",P3031/#REF!,P3031)</f>
        <v>#REF!</v>
      </c>
      <c r="S3031" s="5" t="s">
        <v>52</v>
      </c>
      <c r="AC3031" s="5" t="str">
        <f t="shared" si="145"/>
        <v>Bonos</v>
      </c>
      <c r="AD3031" s="5" t="s">
        <v>43</v>
      </c>
      <c r="AE3031" s="5">
        <f t="shared" si="146"/>
        <v>10</v>
      </c>
      <c r="AF3031" s="5">
        <f t="shared" si="147"/>
        <v>2023</v>
      </c>
    </row>
    <row r="3032" s="5" customFormat="1" ht="13">
      <c r="A3032" s="5" t="s">
        <v>44</v>
      </c>
      <c r="B3032" s="5" t="s">
        <v>44</v>
      </c>
      <c r="C3032" s="5" t="s">
        <v>183</v>
      </c>
      <c r="D3032" s="5" t="s">
        <v>21</v>
      </c>
      <c r="E3032" s="5" t="s">
        <v>44</v>
      </c>
      <c r="F3032" s="5" t="s">
        <v>184</v>
      </c>
      <c r="G3032" s="5" t="s">
        <v>276</v>
      </c>
      <c r="H3032" s="9" t="s">
        <v>277</v>
      </c>
      <c r="I3032" s="10">
        <v>44847</v>
      </c>
      <c r="J3032" s="10">
        <v>45302</v>
      </c>
      <c r="K3032" s="5" t="s">
        <v>124</v>
      </c>
      <c r="L3032" s="5" t="s">
        <v>106</v>
      </c>
      <c r="M3032" s="11">
        <v>0.085000000000000006</v>
      </c>
      <c r="N3032" s="5" t="e">
        <f>IF(AND(M3032&gt;#REF!,Cartera!O3032="Guaraníes"),"Rendimiento significativo",IF(AND(M3032&gt;#REF!,Cartera!O3032="Dólares americanos"),"Rendimiento significativo","Rendimiento no significativo"))</f>
        <v>#REF!</v>
      </c>
      <c r="O3032" s="5" t="s">
        <v>41</v>
      </c>
      <c r="P3032" s="12">
        <v>19072602.738000002</v>
      </c>
      <c r="Q3032" s="12">
        <f>IF(O3032="Guaraníes",P3032,P3032*#REF!)</f>
        <v>19072602.738000002</v>
      </c>
      <c r="R3032" s="12" t="e">
        <f>IF(O3032="Guaraníes",P3032/#REF!,P3032)</f>
        <v>#REF!</v>
      </c>
      <c r="S3032" s="5" t="s">
        <v>52</v>
      </c>
      <c r="AC3032" s="5" t="str">
        <f t="shared" si="145"/>
        <v>Bonos</v>
      </c>
      <c r="AD3032" s="5" t="s">
        <v>43</v>
      </c>
      <c r="AE3032" s="5">
        <f t="shared" si="146"/>
        <v>1</v>
      </c>
      <c r="AF3032" s="5">
        <f t="shared" si="147"/>
        <v>2024</v>
      </c>
    </row>
    <row r="3033" s="5" customFormat="1" ht="13">
      <c r="A3033" s="5" t="s">
        <v>44</v>
      </c>
      <c r="B3033" s="5" t="s">
        <v>44</v>
      </c>
      <c r="C3033" s="5" t="s">
        <v>183</v>
      </c>
      <c r="D3033" s="5" t="s">
        <v>21</v>
      </c>
      <c r="E3033" s="5" t="s">
        <v>44</v>
      </c>
      <c r="F3033" s="5" t="s">
        <v>184</v>
      </c>
      <c r="G3033" s="5" t="s">
        <v>276</v>
      </c>
      <c r="H3033" s="9" t="s">
        <v>277</v>
      </c>
      <c r="I3033" s="10">
        <v>44847</v>
      </c>
      <c r="J3033" s="10">
        <v>45393</v>
      </c>
      <c r="K3033" s="5" t="s">
        <v>124</v>
      </c>
      <c r="L3033" s="5" t="s">
        <v>106</v>
      </c>
      <c r="M3033" s="11">
        <v>0.085000000000000006</v>
      </c>
      <c r="N3033" s="5" t="e">
        <f>IF(AND(M3033&gt;#REF!,Cartera!O3033="Guaraníes"),"Rendimiento significativo",IF(AND(M3033&gt;#REF!,Cartera!O3033="Dólares americanos"),"Rendimiento significativo","Rendimiento no significativo"))</f>
        <v>#REF!</v>
      </c>
      <c r="O3033" s="5" t="s">
        <v>41</v>
      </c>
      <c r="P3033" s="12">
        <v>19072602.738000002</v>
      </c>
      <c r="Q3033" s="12">
        <f>IF(O3033="Guaraníes",P3033,P3033*#REF!)</f>
        <v>19072602.738000002</v>
      </c>
      <c r="R3033" s="12" t="e">
        <f>IF(O3033="Guaraníes",P3033/#REF!,P3033)</f>
        <v>#REF!</v>
      </c>
      <c r="S3033" s="5" t="s">
        <v>52</v>
      </c>
      <c r="AC3033" s="5" t="str">
        <f t="shared" si="145"/>
        <v>Bonos</v>
      </c>
      <c r="AD3033" s="5" t="s">
        <v>43</v>
      </c>
      <c r="AE3033" s="5">
        <f t="shared" si="146"/>
        <v>4</v>
      </c>
      <c r="AF3033" s="5">
        <f t="shared" si="147"/>
        <v>2024</v>
      </c>
    </row>
    <row r="3034" s="5" customFormat="1" ht="13">
      <c r="A3034" s="5" t="s">
        <v>44</v>
      </c>
      <c r="B3034" s="5" t="s">
        <v>44</v>
      </c>
      <c r="C3034" s="5" t="s">
        <v>183</v>
      </c>
      <c r="D3034" s="5" t="s">
        <v>21</v>
      </c>
      <c r="E3034" s="5" t="s">
        <v>44</v>
      </c>
      <c r="F3034" s="5" t="s">
        <v>184</v>
      </c>
      <c r="G3034" s="5" t="s">
        <v>276</v>
      </c>
      <c r="H3034" s="9" t="s">
        <v>277</v>
      </c>
      <c r="I3034" s="10">
        <v>44847</v>
      </c>
      <c r="J3034" s="10">
        <v>45484</v>
      </c>
      <c r="K3034" s="5" t="s">
        <v>124</v>
      </c>
      <c r="L3034" s="5" t="s">
        <v>106</v>
      </c>
      <c r="M3034" s="11">
        <v>0.085000000000000006</v>
      </c>
      <c r="N3034" s="5" t="e">
        <f>IF(AND(M3034&gt;#REF!,Cartera!O3034="Guaraníes"),"Rendimiento significativo",IF(AND(M3034&gt;#REF!,Cartera!O3034="Dólares americanos"),"Rendimiento significativo","Rendimiento no significativo"))</f>
        <v>#REF!</v>
      </c>
      <c r="O3034" s="5" t="s">
        <v>41</v>
      </c>
      <c r="P3034" s="12">
        <v>19072602.738000002</v>
      </c>
      <c r="Q3034" s="12">
        <f>IF(O3034="Guaraníes",P3034,P3034*#REF!)</f>
        <v>19072602.738000002</v>
      </c>
      <c r="R3034" s="12" t="e">
        <f>IF(O3034="Guaraníes",P3034/#REF!,P3034)</f>
        <v>#REF!</v>
      </c>
      <c r="S3034" s="5" t="s">
        <v>52</v>
      </c>
      <c r="AC3034" s="5" t="str">
        <f t="shared" si="145"/>
        <v>Bonos</v>
      </c>
      <c r="AD3034" s="5" t="s">
        <v>43</v>
      </c>
      <c r="AE3034" s="5">
        <f t="shared" si="146"/>
        <v>7</v>
      </c>
      <c r="AF3034" s="5">
        <f t="shared" si="147"/>
        <v>2024</v>
      </c>
    </row>
    <row r="3035" s="5" customFormat="1" ht="13">
      <c r="A3035" s="5" t="s">
        <v>44</v>
      </c>
      <c r="B3035" s="5" t="s">
        <v>44</v>
      </c>
      <c r="C3035" s="5" t="s">
        <v>33</v>
      </c>
      <c r="D3035" s="5" t="s">
        <v>21</v>
      </c>
      <c r="E3035" s="5" t="s">
        <v>44</v>
      </c>
      <c r="F3035" s="5" t="s">
        <v>35</v>
      </c>
      <c r="G3035" s="5" t="s">
        <v>69</v>
      </c>
      <c r="H3035" s="9" t="s">
        <v>186</v>
      </c>
      <c r="I3035" s="10"/>
      <c r="J3035" s="10">
        <v>45637</v>
      </c>
      <c r="K3035" s="5" t="s">
        <v>39</v>
      </c>
      <c r="L3035" s="5" t="s">
        <v>50</v>
      </c>
      <c r="M3035" s="11">
        <v>0.044999999999999998</v>
      </c>
      <c r="N3035" s="5" t="e">
        <f>IF(AND(M3035&gt;#REF!,Cartera!O3035="Guaraníes"),"Rendimiento significativo",IF(AND(M3035&gt;#REF!,Cartera!O3035="Dólares americanos"),"Rendimiento significativo","Rendimiento no significativo"))</f>
        <v>#REF!</v>
      </c>
      <c r="O3035" s="5" t="s">
        <v>51</v>
      </c>
      <c r="P3035" s="13">
        <v>448.76711999999998</v>
      </c>
      <c r="Q3035" s="12" t="e">
        <f>IF(O3035="Guaraníes",P3035,P3035*#REF!)</f>
        <v>#REF!</v>
      </c>
      <c r="R3035" s="12">
        <f>IF(O3035="Guaraníes",P3035/#REF!,P3035)</f>
        <v>448.76711999999998</v>
      </c>
      <c r="S3035" s="5" t="s">
        <v>52</v>
      </c>
      <c r="T3035" s="5">
        <v>593</v>
      </c>
      <c r="W3035" s="5" t="s">
        <v>65</v>
      </c>
      <c r="X3035" s="5">
        <v>0</v>
      </c>
      <c r="Y3035" s="5">
        <v>0</v>
      </c>
      <c r="Z3035" s="5">
        <v>11.219177999999999</v>
      </c>
      <c r="AA3035" s="5">
        <v>40</v>
      </c>
      <c r="AB3035" s="5">
        <v>448.76711999999998</v>
      </c>
      <c r="AC3035" s="5" t="str">
        <f t="shared" si="145"/>
        <v>Bonos</v>
      </c>
      <c r="AD3035" s="5" t="s">
        <v>43</v>
      </c>
      <c r="AE3035" s="5">
        <f t="shared" si="146"/>
        <v>12</v>
      </c>
      <c r="AF3035" s="5">
        <f t="shared" si="147"/>
        <v>2024</v>
      </c>
    </row>
    <row r="3036" s="5" customFormat="1" ht="13">
      <c r="A3036" s="5" t="s">
        <v>544</v>
      </c>
      <c r="B3036" s="5" t="s">
        <v>544</v>
      </c>
      <c r="C3036" s="5" t="s">
        <v>79</v>
      </c>
      <c r="D3036" s="5" t="s">
        <v>21</v>
      </c>
      <c r="E3036" s="5" t="s">
        <v>544</v>
      </c>
      <c r="F3036" s="5" t="s">
        <v>68</v>
      </c>
      <c r="H3036" s="9" t="s">
        <v>705</v>
      </c>
      <c r="I3036" s="10">
        <v>44882</v>
      </c>
      <c r="J3036" s="10">
        <v>44974</v>
      </c>
      <c r="K3036" s="5" t="s">
        <v>81</v>
      </c>
      <c r="L3036" s="5" t="s">
        <v>82</v>
      </c>
      <c r="M3036" s="11">
        <v>0.10000000000000001</v>
      </c>
      <c r="N3036" s="5" t="e">
        <f>IF(AND(M3036&gt;#REF!,Cartera!O3036="Guaraníes"),"Rendimiento significativo",IF(AND(M3036&gt;#REF!,Cartera!O3036="Dólares americanos"),"Rendimiento significativo","Rendimiento no significativo"))</f>
        <v>#REF!</v>
      </c>
      <c r="O3036" s="5" t="s">
        <v>41</v>
      </c>
      <c r="P3036" s="12">
        <v>12671233</v>
      </c>
      <c r="Q3036" s="12">
        <f>IF(O3036="Guaraníes",P3036,P3036*#REF!)</f>
        <v>12671233</v>
      </c>
      <c r="R3036" s="12" t="e">
        <f>IF(O3036="Guaraníes",P3036/#REF!,P3036)</f>
        <v>#REF!</v>
      </c>
      <c r="S3036" s="5" t="s">
        <v>52</v>
      </c>
      <c r="AC3036" s="5" t="str">
        <f t="shared" si="145"/>
        <v>CDA</v>
      </c>
      <c r="AD3036" s="5" t="s">
        <v>43</v>
      </c>
      <c r="AE3036" s="5">
        <f t="shared" si="146"/>
        <v>2</v>
      </c>
      <c r="AF3036" s="5">
        <f t="shared" si="147"/>
        <v>2023</v>
      </c>
    </row>
    <row r="3037" s="5" customFormat="1" ht="13">
      <c r="A3037" s="5" t="s">
        <v>544</v>
      </c>
      <c r="B3037" s="5" t="s">
        <v>544</v>
      </c>
      <c r="C3037" s="5" t="s">
        <v>79</v>
      </c>
      <c r="D3037" s="5" t="s">
        <v>21</v>
      </c>
      <c r="E3037" s="5" t="s">
        <v>544</v>
      </c>
      <c r="F3037" s="5" t="s">
        <v>68</v>
      </c>
      <c r="H3037" s="9" t="s">
        <v>705</v>
      </c>
      <c r="I3037" s="10">
        <v>44882</v>
      </c>
      <c r="J3037" s="10">
        <v>45063</v>
      </c>
      <c r="K3037" s="5" t="s">
        <v>81</v>
      </c>
      <c r="L3037" s="5" t="s">
        <v>82</v>
      </c>
      <c r="M3037" s="11">
        <v>0.10000000000000001</v>
      </c>
      <c r="N3037" s="5" t="e">
        <f>IF(AND(M3037&gt;#REF!,Cartera!O3037="Guaraníes"),"Rendimiento significativo",IF(AND(M3037&gt;#REF!,Cartera!O3037="Dólares americanos"),"Rendimiento significativo","Rendimiento no significativo"))</f>
        <v>#REF!</v>
      </c>
      <c r="O3037" s="5" t="s">
        <v>41</v>
      </c>
      <c r="P3037" s="12">
        <v>12671233</v>
      </c>
      <c r="Q3037" s="12">
        <f>IF(O3037="Guaraníes",P3037,P3037*#REF!)</f>
        <v>12671233</v>
      </c>
      <c r="R3037" s="12" t="e">
        <f>IF(O3037="Guaraníes",P3037/#REF!,P3037)</f>
        <v>#REF!</v>
      </c>
      <c r="S3037" s="5" t="s">
        <v>52</v>
      </c>
      <c r="AC3037" s="5" t="str">
        <f t="shared" si="145"/>
        <v>CDA</v>
      </c>
      <c r="AD3037" s="5" t="s">
        <v>43</v>
      </c>
      <c r="AE3037" s="5">
        <f t="shared" si="146"/>
        <v>5</v>
      </c>
      <c r="AF3037" s="5">
        <f t="shared" si="147"/>
        <v>2023</v>
      </c>
    </row>
    <row r="3038" s="5" customFormat="1" ht="13">
      <c r="A3038" s="5" t="s">
        <v>544</v>
      </c>
      <c r="B3038" s="5" t="s">
        <v>544</v>
      </c>
      <c r="C3038" s="5" t="s">
        <v>79</v>
      </c>
      <c r="D3038" s="5" t="s">
        <v>21</v>
      </c>
      <c r="E3038" s="5" t="s">
        <v>544</v>
      </c>
      <c r="F3038" s="5" t="s">
        <v>68</v>
      </c>
      <c r="H3038" s="9" t="s">
        <v>705</v>
      </c>
      <c r="I3038" s="10">
        <v>44882</v>
      </c>
      <c r="J3038" s="10">
        <v>45155</v>
      </c>
      <c r="K3038" s="5" t="s">
        <v>81</v>
      </c>
      <c r="L3038" s="5" t="s">
        <v>82</v>
      </c>
      <c r="M3038" s="11">
        <v>0.10000000000000001</v>
      </c>
      <c r="N3038" s="5" t="e">
        <f>IF(AND(M3038&gt;#REF!,Cartera!O3038="Guaraníes"),"Rendimiento significativo",IF(AND(M3038&gt;#REF!,Cartera!O3038="Dólares americanos"),"Rendimiento significativo","Rendimiento no significativo"))</f>
        <v>#REF!</v>
      </c>
      <c r="O3038" s="5" t="s">
        <v>41</v>
      </c>
      <c r="P3038" s="12">
        <v>12671233</v>
      </c>
      <c r="Q3038" s="12">
        <f>IF(O3038="Guaraníes",P3038,P3038*#REF!)</f>
        <v>12671233</v>
      </c>
      <c r="R3038" s="12" t="e">
        <f>IF(O3038="Guaraníes",P3038/#REF!,P3038)</f>
        <v>#REF!</v>
      </c>
      <c r="S3038" s="5" t="s">
        <v>52</v>
      </c>
      <c r="AC3038" s="5" t="str">
        <f t="shared" si="145"/>
        <v>CDA</v>
      </c>
      <c r="AD3038" s="5" t="s">
        <v>43</v>
      </c>
      <c r="AE3038" s="5">
        <f t="shared" si="146"/>
        <v>8</v>
      </c>
      <c r="AF3038" s="5">
        <f t="shared" si="147"/>
        <v>2023</v>
      </c>
    </row>
    <row r="3039" s="5" customFormat="1" ht="13">
      <c r="A3039" s="5" t="s">
        <v>44</v>
      </c>
      <c r="B3039" s="5" t="s">
        <v>44</v>
      </c>
      <c r="C3039" s="5" t="s">
        <v>79</v>
      </c>
      <c r="D3039" s="5" t="s">
        <v>21</v>
      </c>
      <c r="E3039" s="5" t="s">
        <v>44</v>
      </c>
      <c r="F3039" s="5" t="s">
        <v>68</v>
      </c>
      <c r="H3039" s="9" t="s">
        <v>705</v>
      </c>
      <c r="I3039" s="10">
        <v>44882</v>
      </c>
      <c r="J3039" s="10">
        <v>45252</v>
      </c>
      <c r="K3039" s="5" t="s">
        <v>81</v>
      </c>
      <c r="L3039" s="5" t="s">
        <v>82</v>
      </c>
      <c r="M3039" s="11">
        <v>0.10000000000000001</v>
      </c>
      <c r="N3039" s="5" t="e">
        <f>IF(AND(M3039&gt;#REF!,Cartera!O3039="Guaraníes"),"Rendimiento significativo",IF(AND(M3039&gt;#REF!,Cartera!O3039="Dólares americanos"),"Rendimiento significativo","Rendimiento no significativo"))</f>
        <v>#REF!</v>
      </c>
      <c r="O3039" s="5" t="s">
        <v>41</v>
      </c>
      <c r="P3039" s="12">
        <v>12671233</v>
      </c>
      <c r="Q3039" s="12">
        <f>IF(O3039="Guaraníes",P3039,P3039*#REF!)</f>
        <v>12671233</v>
      </c>
      <c r="R3039" s="12" t="e">
        <f>IF(O3039="Guaraníes",P3039/#REF!,P3039)</f>
        <v>#REF!</v>
      </c>
      <c r="S3039" s="5" t="s">
        <v>52</v>
      </c>
      <c r="AC3039" s="5" t="str">
        <f t="shared" si="145"/>
        <v>CDA</v>
      </c>
      <c r="AD3039" s="5" t="s">
        <v>43</v>
      </c>
      <c r="AE3039" s="5">
        <f t="shared" si="146"/>
        <v>11</v>
      </c>
      <c r="AF3039" s="5">
        <f t="shared" si="147"/>
        <v>2023</v>
      </c>
    </row>
    <row r="3040" s="5" customFormat="1" ht="13">
      <c r="A3040" s="5" t="s">
        <v>44</v>
      </c>
      <c r="B3040" s="5" t="s">
        <v>44</v>
      </c>
      <c r="C3040" s="5" t="s">
        <v>79</v>
      </c>
      <c r="D3040" s="5" t="s">
        <v>20</v>
      </c>
      <c r="E3040" s="5" t="s">
        <v>44</v>
      </c>
      <c r="F3040" s="5" t="s">
        <v>68</v>
      </c>
      <c r="H3040" s="9" t="s">
        <v>705</v>
      </c>
      <c r="I3040" s="10">
        <v>44882</v>
      </c>
      <c r="J3040" s="10">
        <v>45252</v>
      </c>
      <c r="K3040" s="5" t="s">
        <v>81</v>
      </c>
      <c r="L3040" s="5" t="s">
        <v>82</v>
      </c>
      <c r="M3040" s="11">
        <v>0.10000000000000001</v>
      </c>
      <c r="N3040" s="5" t="e">
        <f>IF(AND(M3040&gt;#REF!,Cartera!O3040="Guaraníes"),"Rendimiento significativo",IF(AND(M3040&gt;#REF!,Cartera!O3040="Dólares americanos"),"Rendimiento significativo","Rendimiento no significativo"))</f>
        <v>#REF!</v>
      </c>
      <c r="O3040" s="5" t="s">
        <v>41</v>
      </c>
      <c r="P3040" s="12">
        <v>500000000</v>
      </c>
      <c r="Q3040" s="12">
        <f>IF(O3040="Guaraníes",P3040,P3040*#REF!)</f>
        <v>500000000</v>
      </c>
      <c r="R3040" s="12" t="e">
        <f>IF(O3040="Guaraníes",P3040/#REF!,P3040)</f>
        <v>#REF!</v>
      </c>
      <c r="S3040" s="5" t="s">
        <v>52</v>
      </c>
      <c r="AC3040" s="5" t="str">
        <f t="shared" si="145"/>
        <v>CDA</v>
      </c>
      <c r="AD3040" s="5" t="s">
        <v>43</v>
      </c>
      <c r="AE3040" s="5">
        <f t="shared" si="146"/>
        <v>11</v>
      </c>
      <c r="AF3040" s="5">
        <f t="shared" si="147"/>
        <v>2023</v>
      </c>
    </row>
    <row r="3041" s="5" customFormat="1" ht="13">
      <c r="A3041" s="5" t="s">
        <v>44</v>
      </c>
      <c r="B3041" s="5" t="s">
        <v>44</v>
      </c>
      <c r="C3041" s="5" t="s">
        <v>99</v>
      </c>
      <c r="D3041" s="5" t="s">
        <v>21</v>
      </c>
      <c r="E3041" s="5" t="s">
        <v>44</v>
      </c>
      <c r="F3041" s="5" t="s">
        <v>100</v>
      </c>
      <c r="G3041" s="5" t="s">
        <v>91</v>
      </c>
      <c r="H3041" s="9" t="s">
        <v>174</v>
      </c>
      <c r="I3041" s="10">
        <v>44971</v>
      </c>
      <c r="J3041" s="10">
        <v>45153</v>
      </c>
      <c r="K3041" s="5" t="s">
        <v>102</v>
      </c>
      <c r="L3041" s="5" t="s">
        <v>102</v>
      </c>
      <c r="M3041" s="11">
        <v>0.090300000000000005</v>
      </c>
      <c r="N3041" s="5" t="e">
        <f>IF(AND(M3041&gt;#REF!,Cartera!O3041="Guaraníes"),"Rendimiento significativo",IF(AND(M3041&gt;#REF!,Cartera!O3041="Dólares americanos"),"Rendimiento significativo","Rendimiento no significativo"))</f>
        <v>#REF!</v>
      </c>
      <c r="O3041" s="5" t="s">
        <v>41</v>
      </c>
      <c r="P3041" s="12">
        <v>20407800</v>
      </c>
      <c r="Q3041" s="12">
        <f>IF(O3041="Guaraníes",P3041,P3041*#REF!)</f>
        <v>20407800</v>
      </c>
      <c r="R3041" s="12" t="e">
        <f>IF(O3041="Guaraníes",P3041/#REF!,P3041)</f>
        <v>#REF!</v>
      </c>
      <c r="S3041" s="5" t="s">
        <v>52</v>
      </c>
      <c r="AC3041" s="5" t="str">
        <f t="shared" si="145"/>
        <v>Bonos</v>
      </c>
      <c r="AD3041" s="5" t="s">
        <v>43</v>
      </c>
      <c r="AE3041" s="5">
        <f t="shared" si="146"/>
        <v>8</v>
      </c>
      <c r="AF3041" s="5">
        <f t="shared" si="147"/>
        <v>2023</v>
      </c>
    </row>
    <row r="3042" s="5" customFormat="1" ht="13">
      <c r="A3042" s="5" t="s">
        <v>44</v>
      </c>
      <c r="B3042" s="5" t="s">
        <v>44</v>
      </c>
      <c r="C3042" s="5" t="s">
        <v>99</v>
      </c>
      <c r="D3042" s="5" t="s">
        <v>21</v>
      </c>
      <c r="E3042" s="5" t="s">
        <v>44</v>
      </c>
      <c r="F3042" s="5" t="s">
        <v>100</v>
      </c>
      <c r="G3042" s="5" t="s">
        <v>91</v>
      </c>
      <c r="H3042" s="9" t="s">
        <v>174</v>
      </c>
      <c r="I3042" s="10">
        <v>44971</v>
      </c>
      <c r="J3042" s="10">
        <v>45337</v>
      </c>
      <c r="K3042" s="5" t="s">
        <v>102</v>
      </c>
      <c r="L3042" s="5" t="s">
        <v>102</v>
      </c>
      <c r="M3042" s="11">
        <v>0.090300000000000005</v>
      </c>
      <c r="N3042" s="5" t="e">
        <f>IF(AND(M3042&gt;#REF!,Cartera!O3042="Guaraníes"),"Rendimiento significativo",IF(AND(M3042&gt;#REF!,Cartera!O3042="Dólares americanos"),"Rendimiento significativo","Rendimiento no significativo"))</f>
        <v>#REF!</v>
      </c>
      <c r="O3042" s="5" t="s">
        <v>41</v>
      </c>
      <c r="P3042" s="12">
        <v>20407800</v>
      </c>
      <c r="Q3042" s="12">
        <f>IF(O3042="Guaraníes",P3042,P3042*#REF!)</f>
        <v>20407800</v>
      </c>
      <c r="R3042" s="12" t="e">
        <f>IF(O3042="Guaraníes",P3042/#REF!,P3042)</f>
        <v>#REF!</v>
      </c>
      <c r="S3042" s="5" t="s">
        <v>52</v>
      </c>
      <c r="AC3042" s="5" t="str">
        <f t="shared" si="145"/>
        <v>Bonos</v>
      </c>
      <c r="AD3042" s="5" t="s">
        <v>43</v>
      </c>
      <c r="AE3042" s="5">
        <f t="shared" si="146"/>
        <v>2</v>
      </c>
      <c r="AF3042" s="5">
        <f t="shared" si="147"/>
        <v>2024</v>
      </c>
    </row>
    <row r="3043" s="5" customFormat="1" ht="13">
      <c r="A3043" s="5" t="s">
        <v>44</v>
      </c>
      <c r="B3043" s="5" t="s">
        <v>44</v>
      </c>
      <c r="C3043" s="5" t="s">
        <v>389</v>
      </c>
      <c r="D3043" s="5" t="s">
        <v>21</v>
      </c>
      <c r="E3043" s="5" t="s">
        <v>44</v>
      </c>
      <c r="F3043" s="5" t="s">
        <v>68</v>
      </c>
      <c r="G3043" s="5" t="s">
        <v>141</v>
      </c>
      <c r="H3043" s="9" t="s">
        <v>390</v>
      </c>
      <c r="I3043" s="20"/>
      <c r="J3043" s="10">
        <v>45532</v>
      </c>
      <c r="K3043" s="5" t="s">
        <v>391</v>
      </c>
      <c r="L3043" s="5" t="s">
        <v>58</v>
      </c>
      <c r="M3043" s="11">
        <v>0.1125</v>
      </c>
      <c r="N3043" s="5" t="e">
        <f>IF(AND(M3043&gt;#REF!,Cartera!O3043="Guaraníes"),"Rendimiento significativo",IF(AND(M3043&gt;#REF!,Cartera!O3043="Dólares americanos"),"Rendimiento significativo","Rendimiento no significativo"))</f>
        <v>#REF!</v>
      </c>
      <c r="O3043" s="5" t="s">
        <v>41</v>
      </c>
      <c r="P3043" s="12">
        <v>841438.35615000001</v>
      </c>
      <c r="Q3043" s="12">
        <f>IF(O3043="Guaraníes",P3043,P3043*#REF!)</f>
        <v>841438.35615000001</v>
      </c>
      <c r="R3043" s="12" t="e">
        <f>IF(O3043="Guaraníes",P3043/#REF!,P3043)</f>
        <v>#REF!</v>
      </c>
      <c r="S3043" s="5" t="s">
        <v>52</v>
      </c>
      <c r="T3043" s="5">
        <v>9243</v>
      </c>
      <c r="W3043" s="5" t="s">
        <v>65</v>
      </c>
      <c r="X3043" s="5">
        <v>0</v>
      </c>
      <c r="Y3043" s="5">
        <v>0</v>
      </c>
      <c r="Z3043" s="5">
        <v>28047.945205</v>
      </c>
      <c r="AA3043" s="5">
        <v>30</v>
      </c>
      <c r="AB3043" s="5">
        <v>841438.35615000001</v>
      </c>
      <c r="AC3043" s="5" t="str">
        <f t="shared" si="145"/>
        <v>Bonos</v>
      </c>
      <c r="AD3043" s="5" t="s">
        <v>43</v>
      </c>
      <c r="AE3043" s="5">
        <f t="shared" si="146"/>
        <v>8</v>
      </c>
      <c r="AF3043" s="5">
        <f t="shared" si="147"/>
        <v>2024</v>
      </c>
    </row>
    <row r="3044" s="5" customFormat="1" ht="13">
      <c r="A3044" s="5">
        <v>12316</v>
      </c>
      <c r="B3044" s="5" t="s">
        <v>78</v>
      </c>
      <c r="C3044" s="5" t="s">
        <v>99</v>
      </c>
      <c r="D3044" s="5" t="s">
        <v>21</v>
      </c>
      <c r="E3044" s="5" t="s">
        <v>34</v>
      </c>
      <c r="F3044" s="5" t="s">
        <v>100</v>
      </c>
      <c r="G3044" s="5" t="s">
        <v>91</v>
      </c>
      <c r="H3044" s="9" t="s">
        <v>174</v>
      </c>
      <c r="I3044" s="10">
        <v>44971</v>
      </c>
      <c r="J3044" s="10">
        <v>46798</v>
      </c>
      <c r="K3044" s="5" t="s">
        <v>102</v>
      </c>
      <c r="L3044" s="5" t="s">
        <v>102</v>
      </c>
      <c r="M3044" s="11">
        <v>0.090300000000000005</v>
      </c>
      <c r="N3044" s="5" t="e">
        <f>IF(AND(M3044&gt;#REF!,Cartera!O3044="Guaraníes"),"Rendimiento significativo",IF(AND(M3044&gt;#REF!,Cartera!O3044="Dólares americanos"),"Rendimiento significativo","Rendimiento no significativo"))</f>
        <v>#REF!</v>
      </c>
      <c r="O3044" s="5" t="s">
        <v>41</v>
      </c>
      <c r="P3044" s="12">
        <v>20407800</v>
      </c>
      <c r="Q3044" s="12">
        <f>IF(O3044="Guaraníes",P3044,P3044*#REF!)</f>
        <v>20407800</v>
      </c>
      <c r="R3044" s="12" t="e">
        <f>IF(O3044="Guaraníes",P3044/#REF!,P3044)</f>
        <v>#REF!</v>
      </c>
      <c r="S3044" s="5" t="s">
        <v>42</v>
      </c>
      <c r="AC3044" s="5" t="str">
        <f t="shared" si="145"/>
        <v>Bonos</v>
      </c>
      <c r="AD3044" s="5" t="s">
        <v>43</v>
      </c>
      <c r="AE3044" s="5">
        <f t="shared" si="146"/>
        <v>2</v>
      </c>
      <c r="AF3044" s="5">
        <f t="shared" si="147"/>
        <v>2028</v>
      </c>
    </row>
    <row r="3045" s="5" customFormat="1" ht="13">
      <c r="A3045" s="5">
        <v>12316</v>
      </c>
      <c r="B3045" s="5" t="s">
        <v>78</v>
      </c>
      <c r="C3045" s="5" t="s">
        <v>164</v>
      </c>
      <c r="D3045" s="5" t="s">
        <v>21</v>
      </c>
      <c r="E3045" s="5" t="s">
        <v>34</v>
      </c>
      <c r="F3045" s="5" t="s">
        <v>68</v>
      </c>
      <c r="G3045" s="5" t="s">
        <v>145</v>
      </c>
      <c r="H3045" s="9" t="s">
        <v>165</v>
      </c>
      <c r="I3045" s="10"/>
      <c r="J3045" s="10">
        <v>46812</v>
      </c>
      <c r="K3045" s="5" t="s">
        <v>124</v>
      </c>
      <c r="L3045" s="5" t="s">
        <v>58</v>
      </c>
      <c r="M3045" s="11">
        <v>0.10000000000000001</v>
      </c>
      <c r="N3045" s="5" t="e">
        <f>IF(AND(M3045&gt;#REF!,Cartera!O3045="Guaraníes"),"Rendimiento significativo",IF(AND(M3045&gt;#REF!,Cartera!O3045="Dólares americanos"),"Rendimiento significativo","Rendimiento no significativo"))</f>
        <v>#REF!</v>
      </c>
      <c r="O3045" s="5" t="s">
        <v>41</v>
      </c>
      <c r="P3045" s="12">
        <v>3178082.1916</v>
      </c>
      <c r="Q3045" s="12">
        <f>IF(O3045="Guaraníes",P3045,P3045*#REF!)</f>
        <v>3178082.1916</v>
      </c>
      <c r="R3045" s="12" t="e">
        <f>IF(O3045="Guaraníes",P3045/#REF!,P3045)</f>
        <v>#REF!</v>
      </c>
      <c r="S3045" s="5" t="s">
        <v>42</v>
      </c>
      <c r="T3045" s="5">
        <v>1057</v>
      </c>
      <c r="W3045" s="5" t="s">
        <v>65</v>
      </c>
      <c r="X3045" s="5">
        <v>0</v>
      </c>
      <c r="Y3045" s="5">
        <v>0</v>
      </c>
      <c r="Z3045" s="5">
        <v>7945.2054790000002</v>
      </c>
      <c r="AA3045" s="5">
        <v>400</v>
      </c>
      <c r="AB3045" s="5">
        <v>3178082.1916</v>
      </c>
      <c r="AC3045" s="5" t="str">
        <f t="shared" si="145"/>
        <v>Bonos</v>
      </c>
      <c r="AD3045" s="5" t="s">
        <v>43</v>
      </c>
      <c r="AE3045" s="5">
        <f t="shared" si="146"/>
        <v>2</v>
      </c>
      <c r="AF3045" s="5">
        <f t="shared" si="147"/>
        <v>2028</v>
      </c>
    </row>
    <row r="3046" s="5" customFormat="1" ht="13">
      <c r="A3046" s="5">
        <v>12316</v>
      </c>
      <c r="B3046" s="5" t="s">
        <v>78</v>
      </c>
      <c r="C3046" s="5" t="s">
        <v>164</v>
      </c>
      <c r="D3046" s="5" t="s">
        <v>21</v>
      </c>
      <c r="E3046" s="5" t="s">
        <v>34</v>
      </c>
      <c r="F3046" s="5" t="s">
        <v>68</v>
      </c>
      <c r="G3046" s="5" t="s">
        <v>141</v>
      </c>
      <c r="H3046" s="9" t="s">
        <v>165</v>
      </c>
      <c r="I3046" s="10"/>
      <c r="J3046" s="10">
        <v>46812</v>
      </c>
      <c r="K3046" s="5" t="s">
        <v>124</v>
      </c>
      <c r="L3046" s="5" t="s">
        <v>58</v>
      </c>
      <c r="M3046" s="11">
        <v>0.10000000000000001</v>
      </c>
      <c r="N3046" s="5" t="e">
        <f>IF(AND(M3046&gt;#REF!,Cartera!O3046="Guaraníes"),"Rendimiento significativo",IF(AND(M3046&gt;#REF!,Cartera!O3046="Dólares americanos"),"Rendimiento significativo","Rendimiento no significativo"))</f>
        <v>#REF!</v>
      </c>
      <c r="O3046" s="5" t="s">
        <v>41</v>
      </c>
      <c r="P3046" s="12">
        <v>794520.54790000001</v>
      </c>
      <c r="Q3046" s="12">
        <f>IF(O3046="Guaraníes",P3046,P3046*#REF!)</f>
        <v>794520.54790000001</v>
      </c>
      <c r="R3046" s="12" t="e">
        <f>IF(O3046="Guaraníes",P3046/#REF!,P3046)</f>
        <v>#REF!</v>
      </c>
      <c r="S3046" s="5" t="s">
        <v>42</v>
      </c>
      <c r="T3046" s="5">
        <v>9243</v>
      </c>
      <c r="W3046" s="5" t="s">
        <v>65</v>
      </c>
      <c r="X3046" s="5">
        <v>0</v>
      </c>
      <c r="Y3046" s="5">
        <v>0</v>
      </c>
      <c r="Z3046" s="5">
        <v>7945.2054790000002</v>
      </c>
      <c r="AA3046" s="5">
        <v>100</v>
      </c>
      <c r="AB3046" s="5">
        <v>794520.54790000001</v>
      </c>
      <c r="AC3046" s="5" t="str">
        <f t="shared" si="145"/>
        <v>Bonos</v>
      </c>
      <c r="AD3046" s="5" t="s">
        <v>43</v>
      </c>
      <c r="AE3046" s="5">
        <f t="shared" si="146"/>
        <v>2</v>
      </c>
      <c r="AF3046" s="5">
        <f t="shared" si="147"/>
        <v>2028</v>
      </c>
    </row>
    <row r="3047" s="5" customFormat="1" ht="13">
      <c r="A3047" s="5">
        <v>12316</v>
      </c>
      <c r="B3047" s="5" t="s">
        <v>78</v>
      </c>
      <c r="C3047" s="5" t="s">
        <v>99</v>
      </c>
      <c r="D3047" s="5" t="s">
        <v>21</v>
      </c>
      <c r="E3047" s="5" t="s">
        <v>34</v>
      </c>
      <c r="F3047" s="5" t="s">
        <v>100</v>
      </c>
      <c r="G3047" s="5" t="s">
        <v>86</v>
      </c>
      <c r="H3047" s="9" t="s">
        <v>155</v>
      </c>
      <c r="I3047" s="10"/>
      <c r="J3047" s="10">
        <v>46815</v>
      </c>
      <c r="K3047" s="5" t="s">
        <v>102</v>
      </c>
      <c r="L3047" s="5" t="s">
        <v>102</v>
      </c>
      <c r="M3047" s="11">
        <v>0.081000000000000003</v>
      </c>
      <c r="N3047" s="5" t="e">
        <f>IF(AND(M3047&gt;#REF!,Cartera!O3047="Guaraníes"),"Rendimiento significativo",IF(AND(M3047&gt;#REF!,Cartera!O3047="Dólares americanos"),"Rendimiento significativo","Rendimiento no significativo"))</f>
        <v>#REF!</v>
      </c>
      <c r="O3047" s="5" t="s">
        <v>41</v>
      </c>
      <c r="P3047" s="12">
        <v>28000000</v>
      </c>
      <c r="Q3047" s="12">
        <f>IF(O3047="Guaraníes",P3047,P3047*#REF!)</f>
        <v>28000000</v>
      </c>
      <c r="R3047" s="12" t="e">
        <f>IF(O3047="Guaraníes",P3047/#REF!,P3047)</f>
        <v>#REF!</v>
      </c>
      <c r="S3047" s="5" t="s">
        <v>42</v>
      </c>
      <c r="T3047" s="5">
        <v>10834</v>
      </c>
      <c r="W3047" s="5" t="s">
        <v>65</v>
      </c>
      <c r="X3047" s="5">
        <v>0</v>
      </c>
      <c r="Y3047" s="5">
        <v>0</v>
      </c>
      <c r="Z3047" s="5">
        <v>40000</v>
      </c>
      <c r="AA3047" s="5">
        <v>700</v>
      </c>
      <c r="AB3047" s="5">
        <v>28000000</v>
      </c>
      <c r="AC3047" s="5" t="str">
        <f t="shared" si="145"/>
        <v>Bonos</v>
      </c>
      <c r="AD3047" s="5" t="s">
        <v>43</v>
      </c>
      <c r="AE3047" s="5">
        <f t="shared" si="146"/>
        <v>3</v>
      </c>
      <c r="AF3047" s="5">
        <f t="shared" si="147"/>
        <v>2028</v>
      </c>
    </row>
    <row r="3048" s="5" customFormat="1" ht="13">
      <c r="A3048" s="5">
        <v>12316</v>
      </c>
      <c r="B3048" s="5" t="s">
        <v>78</v>
      </c>
      <c r="C3048" s="5" t="s">
        <v>99</v>
      </c>
      <c r="D3048" s="5" t="s">
        <v>21</v>
      </c>
      <c r="E3048" s="5" t="s">
        <v>34</v>
      </c>
      <c r="F3048" s="5" t="s">
        <v>100</v>
      </c>
      <c r="G3048" s="5" t="s">
        <v>75</v>
      </c>
      <c r="H3048" s="9" t="s">
        <v>159</v>
      </c>
      <c r="I3048" s="10"/>
      <c r="J3048" s="10">
        <v>46815</v>
      </c>
      <c r="K3048" s="5" t="s">
        <v>102</v>
      </c>
      <c r="L3048" s="5" t="s">
        <v>102</v>
      </c>
      <c r="M3048" s="11">
        <v>0.078</v>
      </c>
      <c r="N3048" s="5" t="e">
        <f>IF(AND(M3048&gt;#REF!,Cartera!O3048="Guaraníes"),"Rendimiento significativo",IF(AND(M3048&gt;#REF!,Cartera!O3048="Dólares americanos"),"Rendimiento significativo","Rendimiento no significativo"))</f>
        <v>#REF!</v>
      </c>
      <c r="O3048" s="5" t="s">
        <v>41</v>
      </c>
      <c r="P3048" s="12">
        <v>31200000</v>
      </c>
      <c r="Q3048" s="12">
        <f>IF(O3048="Guaraníes",P3048,P3048*#REF!)</f>
        <v>31200000</v>
      </c>
      <c r="R3048" s="12" t="e">
        <f>IF(O3048="Guaraníes",P3048/#REF!,P3048)</f>
        <v>#REF!</v>
      </c>
      <c r="S3048" s="5" t="s">
        <v>42</v>
      </c>
      <c r="T3048" s="5">
        <v>25</v>
      </c>
      <c r="W3048" s="5" t="s">
        <v>65</v>
      </c>
      <c r="X3048" s="5">
        <v>0</v>
      </c>
      <c r="Y3048" s="5">
        <v>0</v>
      </c>
      <c r="Z3048" s="5">
        <v>39000</v>
      </c>
      <c r="AA3048" s="5">
        <v>800</v>
      </c>
      <c r="AB3048" s="5">
        <v>31200000</v>
      </c>
      <c r="AC3048" s="5" t="str">
        <f t="shared" si="145"/>
        <v>Bonos</v>
      </c>
      <c r="AD3048" s="5" t="s">
        <v>43</v>
      </c>
      <c r="AE3048" s="5">
        <f t="shared" si="146"/>
        <v>3</v>
      </c>
      <c r="AF3048" s="5">
        <f t="shared" si="147"/>
        <v>2028</v>
      </c>
    </row>
    <row r="3049" s="5" customFormat="1" ht="13">
      <c r="A3049" s="5">
        <v>12316</v>
      </c>
      <c r="B3049" s="5" t="s">
        <v>78</v>
      </c>
      <c r="C3049" s="5" t="s">
        <v>99</v>
      </c>
      <c r="D3049" s="5" t="s">
        <v>21</v>
      </c>
      <c r="E3049" s="5" t="s">
        <v>34</v>
      </c>
      <c r="F3049" s="5" t="s">
        <v>100</v>
      </c>
      <c r="G3049" s="5" t="s">
        <v>145</v>
      </c>
      <c r="H3049" s="9" t="s">
        <v>159</v>
      </c>
      <c r="I3049" s="10">
        <v>44657</v>
      </c>
      <c r="J3049" s="10">
        <v>46815</v>
      </c>
      <c r="K3049" s="5" t="s">
        <v>102</v>
      </c>
      <c r="L3049" s="5" t="s">
        <v>102</v>
      </c>
      <c r="M3049" s="11">
        <v>0.078</v>
      </c>
      <c r="N3049" s="5" t="e">
        <f>IF(AND(M3049&gt;#REF!,Cartera!O3049="Guaraníes"),"Rendimiento significativo",IF(AND(M3049&gt;#REF!,Cartera!O3049="Dólares americanos"),"Rendimiento significativo","Rendimiento no significativo"))</f>
        <v>#REF!</v>
      </c>
      <c r="O3049" s="5" t="s">
        <v>41</v>
      </c>
      <c r="P3049" s="12">
        <v>35100000</v>
      </c>
      <c r="Q3049" s="12">
        <f>IF(O3049="Guaraníes",P3049,P3049*#REF!)</f>
        <v>35100000</v>
      </c>
      <c r="R3049" s="12" t="e">
        <f>IF(O3049="Guaraníes",P3049/#REF!,P3049)</f>
        <v>#REF!</v>
      </c>
      <c r="S3049" s="5" t="s">
        <v>42</v>
      </c>
      <c r="V3049" s="5">
        <v>39000</v>
      </c>
      <c r="AA3049" s="5">
        <v>900</v>
      </c>
      <c r="AC3049" s="5" t="str">
        <f t="shared" si="145"/>
        <v>Bonos</v>
      </c>
      <c r="AD3049" s="5" t="s">
        <v>43</v>
      </c>
      <c r="AE3049" s="5">
        <f t="shared" si="146"/>
        <v>3</v>
      </c>
      <c r="AF3049" s="5">
        <f t="shared" si="147"/>
        <v>2028</v>
      </c>
    </row>
    <row r="3050" s="5" customFormat="1" ht="13">
      <c r="A3050" s="5">
        <v>12316</v>
      </c>
      <c r="B3050" s="5" t="s">
        <v>78</v>
      </c>
      <c r="C3050" s="5" t="s">
        <v>138</v>
      </c>
      <c r="D3050" s="5" t="s">
        <v>21</v>
      </c>
      <c r="E3050" s="5" t="s">
        <v>34</v>
      </c>
      <c r="F3050" s="5" t="s">
        <v>68</v>
      </c>
      <c r="G3050" s="5" t="s">
        <v>86</v>
      </c>
      <c r="H3050" s="9" t="s">
        <v>139</v>
      </c>
      <c r="I3050" s="10">
        <v>43948</v>
      </c>
      <c r="J3050" s="10">
        <v>46815</v>
      </c>
      <c r="K3050" s="5" t="s">
        <v>140</v>
      </c>
      <c r="L3050" s="5" t="s">
        <v>58</v>
      </c>
      <c r="M3050" s="11">
        <v>0.11</v>
      </c>
      <c r="N3050" s="5" t="e">
        <f>IF(AND(M3050&gt;#REF!,Cartera!O3050="Guaraníes"),"Rendimiento significativo",IF(AND(M3050&gt;#REF!,Cartera!O3050="Dólares americanos"),"Rendimiento significativo","Rendimiento no significativo"))</f>
        <v>#REF!</v>
      </c>
      <c r="O3050" s="5" t="s">
        <v>41</v>
      </c>
      <c r="P3050" s="12">
        <v>709258.48159999994</v>
      </c>
      <c r="Q3050" s="12">
        <f>IF(O3050="Guaraníes",P3050,P3050*#REF!)</f>
        <v>709258.48159999994</v>
      </c>
      <c r="R3050" s="12" t="e">
        <f>IF(O3050="Guaraníes",P3050/#REF!,P3050)</f>
        <v>#REF!</v>
      </c>
      <c r="S3050" s="5" t="s">
        <v>42</v>
      </c>
      <c r="AC3050" s="5" t="str">
        <f t="shared" si="145"/>
        <v>Bonos</v>
      </c>
      <c r="AD3050" s="5" t="s">
        <v>43</v>
      </c>
      <c r="AE3050" s="5">
        <f t="shared" si="146"/>
        <v>3</v>
      </c>
      <c r="AF3050" s="5">
        <f t="shared" si="147"/>
        <v>2028</v>
      </c>
    </row>
    <row r="3051" s="5" customFormat="1" ht="13">
      <c r="A3051" s="5">
        <v>12316</v>
      </c>
      <c r="B3051" s="5" t="s">
        <v>78</v>
      </c>
      <c r="C3051" s="5" t="s">
        <v>183</v>
      </c>
      <c r="D3051" s="5" t="s">
        <v>21</v>
      </c>
      <c r="E3051" s="5" t="s">
        <v>34</v>
      </c>
      <c r="F3051" s="5" t="s">
        <v>184</v>
      </c>
      <c r="H3051" s="9">
        <v>6217</v>
      </c>
      <c r="I3051" s="10"/>
      <c r="J3051" s="10">
        <v>46819</v>
      </c>
      <c r="K3051" s="5" t="s">
        <v>124</v>
      </c>
      <c r="L3051" s="5" t="s">
        <v>82</v>
      </c>
      <c r="M3051" s="11">
        <v>0.072499999999999995</v>
      </c>
      <c r="N3051" s="5" t="e">
        <f>IF(AND(M3051&gt;#REF!,Cartera!O3051="Guaraníes"),"Rendimiento significativo",IF(AND(M3051&gt;#REF!,Cartera!O3051="Dólares americanos"),"Rendimiento significativo","Rendimiento no significativo"))</f>
        <v>#REF!</v>
      </c>
      <c r="O3051" s="5" t="s">
        <v>41</v>
      </c>
      <c r="P3051" s="12">
        <v>17252690</v>
      </c>
      <c r="Q3051" s="12">
        <f>IF(O3051="Guaraníes",P3051,P3051*#REF!)</f>
        <v>17252690</v>
      </c>
      <c r="R3051" s="12" t="e">
        <f>IF(O3051="Guaraníes",P3051/#REF!,P3051)</f>
        <v>#REF!</v>
      </c>
      <c r="S3051" s="5" t="s">
        <v>42</v>
      </c>
      <c r="V3051" s="5">
        <v>17252690</v>
      </c>
      <c r="W3051" s="5" t="s">
        <v>706</v>
      </c>
      <c r="AC3051" s="5" t="str">
        <f t="shared" si="145"/>
        <v>CDA</v>
      </c>
      <c r="AD3051" s="5" t="s">
        <v>43</v>
      </c>
      <c r="AE3051" s="5">
        <f t="shared" si="146"/>
        <v>3</v>
      </c>
      <c r="AF3051" s="5">
        <f t="shared" si="147"/>
        <v>2028</v>
      </c>
    </row>
    <row r="3052" s="5" customFormat="1" ht="13">
      <c r="A3052" s="5">
        <v>12315</v>
      </c>
      <c r="B3052" s="5" t="s">
        <v>73</v>
      </c>
      <c r="C3052" s="5" t="s">
        <v>33</v>
      </c>
      <c r="D3052" s="5" t="s">
        <v>21</v>
      </c>
      <c r="E3052" s="5" t="s">
        <v>34</v>
      </c>
      <c r="F3052" s="5" t="s">
        <v>35</v>
      </c>
      <c r="G3052" s="5" t="s">
        <v>75</v>
      </c>
      <c r="H3052" s="9" t="s">
        <v>186</v>
      </c>
      <c r="I3052" s="10"/>
      <c r="J3052" s="10">
        <v>46820</v>
      </c>
      <c r="K3052" s="5" t="s">
        <v>39</v>
      </c>
      <c r="L3052" s="5" t="s">
        <v>50</v>
      </c>
      <c r="M3052" s="11">
        <v>0.044999999999999998</v>
      </c>
      <c r="N3052" s="5" t="e">
        <f>IF(AND(M3052&gt;#REF!,Cartera!O3052="Guaraníes"),"Rendimiento significativo",IF(AND(M3052&gt;#REF!,Cartera!O3052="Dólares americanos"),"Rendimiento significativo","Rendimiento no significativo"))</f>
        <v>#REF!</v>
      </c>
      <c r="O3052" s="5" t="s">
        <v>51</v>
      </c>
      <c r="P3052" s="13">
        <v>336.57533999999998</v>
      </c>
      <c r="Q3052" s="12" t="e">
        <f>IF(O3052="Guaraníes",P3052,P3052*#REF!)</f>
        <v>#REF!</v>
      </c>
      <c r="R3052" s="12">
        <f>IF(O3052="Guaraníes",P3052/#REF!,P3052)</f>
        <v>336.57533999999998</v>
      </c>
      <c r="S3052" s="5" t="s">
        <v>42</v>
      </c>
      <c r="T3052" s="5">
        <v>25</v>
      </c>
      <c r="W3052" s="5" t="s">
        <v>65</v>
      </c>
      <c r="X3052" s="5">
        <v>0</v>
      </c>
      <c r="Y3052" s="5">
        <v>0</v>
      </c>
      <c r="Z3052" s="5">
        <v>11.219177999999999</v>
      </c>
      <c r="AA3052" s="5">
        <v>30</v>
      </c>
      <c r="AB3052" s="5">
        <v>336.57533999999998</v>
      </c>
      <c r="AC3052" s="5" t="str">
        <f t="shared" si="145"/>
        <v>Bonos</v>
      </c>
      <c r="AD3052" s="5" t="s">
        <v>43</v>
      </c>
      <c r="AE3052" s="5">
        <f t="shared" si="146"/>
        <v>3</v>
      </c>
      <c r="AF3052" s="5">
        <f t="shared" si="147"/>
        <v>2028</v>
      </c>
    </row>
    <row r="3053" s="5" customFormat="1" ht="13">
      <c r="A3053" s="5">
        <v>12315</v>
      </c>
      <c r="B3053" s="5" t="s">
        <v>73</v>
      </c>
      <c r="C3053" s="5" t="s">
        <v>33</v>
      </c>
      <c r="D3053" s="5" t="s">
        <v>21</v>
      </c>
      <c r="E3053" s="5" t="s">
        <v>34</v>
      </c>
      <c r="F3053" s="5" t="s">
        <v>35</v>
      </c>
      <c r="G3053" s="5" t="s">
        <v>69</v>
      </c>
      <c r="H3053" s="9" t="s">
        <v>186</v>
      </c>
      <c r="I3053" s="10"/>
      <c r="J3053" s="10">
        <v>46820</v>
      </c>
      <c r="K3053" s="5" t="s">
        <v>39</v>
      </c>
      <c r="L3053" s="5" t="s">
        <v>50</v>
      </c>
      <c r="M3053" s="11">
        <v>0.044999999999999998</v>
      </c>
      <c r="N3053" s="5" t="e">
        <f>IF(AND(M3053&gt;#REF!,Cartera!O3053="Guaraníes"),"Rendimiento significativo",IF(AND(M3053&gt;#REF!,Cartera!O3053="Dólares americanos"),"Rendimiento significativo","Rendimiento no significativo"))</f>
        <v>#REF!</v>
      </c>
      <c r="O3053" s="5" t="s">
        <v>51</v>
      </c>
      <c r="P3053" s="13">
        <v>448.76711999999998</v>
      </c>
      <c r="Q3053" s="12" t="e">
        <f>IF(O3053="Guaraníes",P3053,P3053*#REF!)</f>
        <v>#REF!</v>
      </c>
      <c r="R3053" s="12">
        <f>IF(O3053="Guaraníes",P3053/#REF!,P3053)</f>
        <v>448.76711999999998</v>
      </c>
      <c r="S3053" s="5" t="s">
        <v>42</v>
      </c>
      <c r="T3053" s="5">
        <v>593</v>
      </c>
      <c r="W3053" s="5" t="s">
        <v>65</v>
      </c>
      <c r="X3053" s="5">
        <v>0</v>
      </c>
      <c r="Y3053" s="5">
        <v>0</v>
      </c>
      <c r="Z3053" s="5">
        <v>11.219177999999999</v>
      </c>
      <c r="AA3053" s="5">
        <v>40</v>
      </c>
      <c r="AB3053" s="5">
        <v>448.76711999999998</v>
      </c>
      <c r="AC3053" s="5" t="str">
        <f t="shared" si="145"/>
        <v>Bonos</v>
      </c>
      <c r="AD3053" s="5" t="s">
        <v>43</v>
      </c>
      <c r="AE3053" s="5">
        <f t="shared" si="146"/>
        <v>3</v>
      </c>
      <c r="AF3053" s="5">
        <f t="shared" si="147"/>
        <v>2028</v>
      </c>
    </row>
    <row r="3054" s="5" customFormat="1" ht="13">
      <c r="A3054" s="5">
        <v>12316</v>
      </c>
      <c r="B3054" s="5" t="s">
        <v>78</v>
      </c>
      <c r="C3054" s="5" t="s">
        <v>54</v>
      </c>
      <c r="D3054" s="5" t="s">
        <v>21</v>
      </c>
      <c r="E3054" s="5" t="s">
        <v>34</v>
      </c>
      <c r="F3054" s="5" t="s">
        <v>46</v>
      </c>
      <c r="G3054" s="5" t="s">
        <v>86</v>
      </c>
      <c r="H3054" s="9" t="s">
        <v>147</v>
      </c>
      <c r="I3054" s="10"/>
      <c r="J3054" s="10">
        <v>46832</v>
      </c>
      <c r="K3054" s="5" t="s">
        <v>57</v>
      </c>
      <c r="L3054" s="5" t="s">
        <v>58</v>
      </c>
      <c r="M3054" s="11">
        <v>0.12</v>
      </c>
      <c r="N3054" s="5" t="e">
        <f>IF(AND(M3054&gt;#REF!,Cartera!O3054="Guaraníes"),"Rendimiento significativo",IF(AND(M3054&gt;#REF!,Cartera!O3054="Dólares americanos"),"Rendimiento significativo","Rendimiento no significativo"))</f>
        <v>#REF!</v>
      </c>
      <c r="O3054" s="5" t="s">
        <v>41</v>
      </c>
      <c r="P3054" s="12">
        <v>2991780.8218999999</v>
      </c>
      <c r="Q3054" s="12">
        <f>IF(O3054="Guaraníes",P3054,P3054*#REF!)</f>
        <v>2991780.8218999999</v>
      </c>
      <c r="R3054" s="12" t="e">
        <f>IF(O3054="Guaraníes",P3054/#REF!,P3054)</f>
        <v>#REF!</v>
      </c>
      <c r="S3054" s="5" t="s">
        <v>42</v>
      </c>
      <c r="T3054" s="5">
        <v>10834</v>
      </c>
      <c r="W3054" s="5" t="s">
        <v>65</v>
      </c>
      <c r="X3054" s="5">
        <v>0</v>
      </c>
      <c r="Y3054" s="5">
        <v>0</v>
      </c>
      <c r="Z3054" s="5">
        <v>29917.808218999999</v>
      </c>
      <c r="AA3054" s="5">
        <v>100</v>
      </c>
      <c r="AB3054" s="5">
        <v>2991780.8218999999</v>
      </c>
      <c r="AC3054" s="5" t="str">
        <f t="shared" si="145"/>
        <v>Bonos</v>
      </c>
      <c r="AD3054" s="5" t="s">
        <v>43</v>
      </c>
      <c r="AE3054" s="5">
        <f t="shared" si="146"/>
        <v>3</v>
      </c>
      <c r="AF3054" s="5">
        <f t="shared" si="147"/>
        <v>2028</v>
      </c>
    </row>
    <row r="3055" s="5" customFormat="1" ht="13">
      <c r="A3055" s="5">
        <v>12301</v>
      </c>
      <c r="B3055" s="5" t="s">
        <v>107</v>
      </c>
      <c r="C3055" s="5" t="s">
        <v>99</v>
      </c>
      <c r="D3055" s="5" t="s">
        <v>20</v>
      </c>
      <c r="E3055" s="5" t="s">
        <v>34</v>
      </c>
      <c r="F3055" s="5" t="s">
        <v>100</v>
      </c>
      <c r="G3055" s="5" t="s">
        <v>91</v>
      </c>
      <c r="H3055" s="9" t="s">
        <v>174</v>
      </c>
      <c r="I3055" s="10">
        <v>44971</v>
      </c>
      <c r="J3055" s="10">
        <v>47529</v>
      </c>
      <c r="K3055" s="5" t="s">
        <v>102</v>
      </c>
      <c r="L3055" s="5" t="s">
        <v>102</v>
      </c>
      <c r="M3055" s="11">
        <v>0.090300000000000005</v>
      </c>
      <c r="N3055" s="5" t="e">
        <f>IF(AND(M3055&gt;#REF!,Cartera!O3055="Guaraníes"),"Rendimiento significativo",IF(AND(M3055&gt;#REF!,Cartera!O3055="Dólares americanos"),"Rendimiento significativo","Rendimiento no significativo"))</f>
        <v>#REF!</v>
      </c>
      <c r="O3055" s="5" t="s">
        <v>41</v>
      </c>
      <c r="P3055" s="12">
        <v>452000000</v>
      </c>
      <c r="Q3055" s="12">
        <f>IF(O3055="Guaraníes",P3055,P3055*#REF!)</f>
        <v>452000000</v>
      </c>
      <c r="R3055" s="12" t="e">
        <f>IF(O3055="Guaraníes",P3055/#REF!,P3055)</f>
        <v>#REF!</v>
      </c>
      <c r="S3055" s="5" t="s">
        <v>42</v>
      </c>
      <c r="AC3055" s="5" t="str">
        <f t="shared" si="145"/>
        <v>Bonos</v>
      </c>
      <c r="AD3055" s="5" t="s">
        <v>43</v>
      </c>
      <c r="AE3055" s="5">
        <f t="shared" si="146"/>
        <v>2</v>
      </c>
      <c r="AF3055" s="5">
        <f t="shared" si="147"/>
        <v>2030</v>
      </c>
    </row>
    <row r="3056" s="5" customFormat="1" ht="13">
      <c r="A3056" s="5">
        <v>12312</v>
      </c>
      <c r="B3056" s="5" t="s">
        <v>707</v>
      </c>
      <c r="C3056" s="5" t="s">
        <v>708</v>
      </c>
      <c r="D3056" s="5" t="s">
        <v>20</v>
      </c>
      <c r="E3056" s="5" t="s">
        <v>34</v>
      </c>
      <c r="F3056" s="5" t="s">
        <v>184</v>
      </c>
      <c r="G3056" s="5" t="s">
        <v>276</v>
      </c>
      <c r="H3056" s="9" t="s">
        <v>151</v>
      </c>
      <c r="I3056" s="10" t="s">
        <v>152</v>
      </c>
      <c r="J3056" s="10" t="s">
        <v>152</v>
      </c>
      <c r="K3056" s="5" t="s">
        <v>153</v>
      </c>
      <c r="L3056" s="5" t="s">
        <v>151</v>
      </c>
      <c r="M3056" s="11">
        <v>0.070000000000000007</v>
      </c>
      <c r="N3056" s="5" t="e">
        <f>IF(AND(M3056&gt;#REF!,Cartera!O3056="Guaraníes"),"Rendimiento significativo",IF(AND(M3056&gt;#REF!,Cartera!O3056="Dólares americanos"),"Rendimiento significativo","Rendimiento no significativo"))</f>
        <v>#REF!</v>
      </c>
      <c r="O3056" s="5" t="s">
        <v>41</v>
      </c>
      <c r="P3056" s="12">
        <v>0</v>
      </c>
      <c r="Q3056" s="12">
        <f>IF(O3056="Guaraníes",P3056,P3056*#REF!)</f>
        <v>0</v>
      </c>
      <c r="R3056" s="13" t="e">
        <f>IF(O3056="Guaraníes",P3056/#REF!,P3056)</f>
        <v>#REF!</v>
      </c>
      <c r="S3056" s="5" t="s">
        <v>120</v>
      </c>
      <c r="AC3056" s="5" t="str">
        <f t="shared" si="145"/>
        <v>Fondo</v>
      </c>
      <c r="AD3056" s="5" t="s">
        <v>43</v>
      </c>
      <c r="AE3056" s="5">
        <f t="shared" si="146"/>
        <v>0</v>
      </c>
      <c r="AF3056" s="5">
        <f t="shared" si="147"/>
        <v>0</v>
      </c>
    </row>
    <row r="3057" s="5" customFormat="1" ht="13">
      <c r="A3057" s="5">
        <v>12314</v>
      </c>
      <c r="B3057" s="5" t="s">
        <v>709</v>
      </c>
      <c r="C3057" s="5" t="s">
        <v>710</v>
      </c>
      <c r="D3057" s="5" t="s">
        <v>20</v>
      </c>
      <c r="E3057" s="5" t="s">
        <v>34</v>
      </c>
      <c r="F3057" s="5" t="s">
        <v>61</v>
      </c>
      <c r="G3057" s="5" t="s">
        <v>62</v>
      </c>
      <c r="H3057" s="9" t="s">
        <v>151</v>
      </c>
      <c r="I3057" s="10" t="s">
        <v>152</v>
      </c>
      <c r="J3057" s="10" t="s">
        <v>152</v>
      </c>
      <c r="K3057" s="5" t="s">
        <v>153</v>
      </c>
      <c r="L3057" s="5" t="s">
        <v>151</v>
      </c>
      <c r="M3057" s="11">
        <v>0.037100000000000001</v>
      </c>
      <c r="N3057" s="5" t="e">
        <f>IF(AND(M3057&gt;#REF!,Cartera!O3057="Guaraníes"),"Rendimiento significativo",IF(AND(M3057&gt;#REF!,Cartera!O3057="Dólares americanos"),"Rendimiento significativo","Rendimiento no significativo"))</f>
        <v>#REF!</v>
      </c>
      <c r="O3057" s="5" t="s">
        <v>51</v>
      </c>
      <c r="P3057" s="13">
        <v>263048.83000000002</v>
      </c>
      <c r="Q3057" s="12" t="e">
        <f>IF(O3057="Guaraníes",P3057,P3057*#REF!)</f>
        <v>#REF!</v>
      </c>
      <c r="R3057" s="12">
        <f>IF(O3057="Guaraníes",P3057/#REF!,P3057)</f>
        <v>263048.83000000002</v>
      </c>
      <c r="S3057" s="5" t="s">
        <v>52</v>
      </c>
      <c r="AC3057" s="5" t="str">
        <f t="shared" si="145"/>
        <v>Fondo</v>
      </c>
      <c r="AD3057" s="5" t="s">
        <v>43</v>
      </c>
      <c r="AE3057" s="5">
        <f t="shared" si="146"/>
        <v>0</v>
      </c>
      <c r="AF3057" s="5">
        <f t="shared" si="147"/>
        <v>0</v>
      </c>
    </row>
    <row r="3058" s="5" customFormat="1" ht="13">
      <c r="A3058" s="5" t="s">
        <v>44</v>
      </c>
      <c r="B3058" s="5" t="s">
        <v>44</v>
      </c>
      <c r="C3058" s="5" t="s">
        <v>33</v>
      </c>
      <c r="D3058" s="5" t="s">
        <v>21</v>
      </c>
      <c r="E3058" s="5" t="s">
        <v>44</v>
      </c>
      <c r="F3058" s="5" t="s">
        <v>35</v>
      </c>
      <c r="G3058" s="5" t="s">
        <v>141</v>
      </c>
      <c r="H3058" s="9" t="s">
        <v>142</v>
      </c>
      <c r="I3058" s="10">
        <v>44956</v>
      </c>
      <c r="J3058" s="10">
        <v>45139</v>
      </c>
      <c r="K3058" s="5" t="s">
        <v>39</v>
      </c>
      <c r="L3058" s="5" t="s">
        <v>50</v>
      </c>
      <c r="M3058" s="11">
        <v>0.065000000000000002</v>
      </c>
      <c r="N3058" s="5" t="e">
        <f>IF(AND(M3058&gt;#REF!,Cartera!O3058="Guaraníes"),"Rendimiento significativo",IF(AND(M3058&gt;#REF!,Cartera!O3058="Dólares americanos"),"Rendimiento significativo","Rendimiento no significativo"))</f>
        <v>#REF!</v>
      </c>
      <c r="O3058" s="5" t="s">
        <v>51</v>
      </c>
      <c r="P3058" s="13">
        <v>1296.43832</v>
      </c>
      <c r="Q3058" s="12" t="e">
        <f>IF(O3058="Guaraníes",P3058,P3058*#REF!)</f>
        <v>#REF!</v>
      </c>
      <c r="R3058" s="12">
        <f>IF(O3058="Guaraníes",P3058/#REF!,P3058)</f>
        <v>1296.43832</v>
      </c>
      <c r="S3058" s="5" t="s">
        <v>52</v>
      </c>
      <c r="AC3058" s="5" t="str">
        <f t="shared" si="145"/>
        <v>Bonos</v>
      </c>
      <c r="AD3058" s="5" t="s">
        <v>43</v>
      </c>
      <c r="AE3058" s="5">
        <f t="shared" si="146"/>
        <v>8</v>
      </c>
      <c r="AF3058" s="5">
        <f t="shared" si="147"/>
        <v>2023</v>
      </c>
    </row>
    <row r="3059" s="5" customFormat="1" ht="13">
      <c r="A3059" s="5" t="s">
        <v>44</v>
      </c>
      <c r="B3059" s="5" t="s">
        <v>44</v>
      </c>
      <c r="C3059" s="5" t="s">
        <v>33</v>
      </c>
      <c r="D3059" s="5" t="s">
        <v>21</v>
      </c>
      <c r="E3059" s="5" t="s">
        <v>44</v>
      </c>
      <c r="F3059" s="5" t="s">
        <v>35</v>
      </c>
      <c r="G3059" s="5" t="s">
        <v>141</v>
      </c>
      <c r="H3059" s="9" t="s">
        <v>142</v>
      </c>
      <c r="I3059" s="10">
        <v>44956</v>
      </c>
      <c r="J3059" s="10">
        <v>45230</v>
      </c>
      <c r="K3059" s="5" t="s">
        <v>39</v>
      </c>
      <c r="L3059" s="5" t="s">
        <v>50</v>
      </c>
      <c r="M3059" s="11">
        <v>0.065000000000000002</v>
      </c>
      <c r="N3059" s="5" t="e">
        <f>IF(AND(M3059&gt;#REF!,Cartera!O3059="Guaraníes"),"Rendimiento significativo",IF(AND(M3059&gt;#REF!,Cartera!O3059="Dólares americanos"),"Rendimiento significativo","Rendimiento no significativo"))</f>
        <v>#REF!</v>
      </c>
      <c r="O3059" s="5" t="s">
        <v>51</v>
      </c>
      <c r="P3059" s="13">
        <v>1296.43832</v>
      </c>
      <c r="Q3059" s="12" t="e">
        <f>IF(O3059="Guaraníes",P3059,P3059*#REF!)</f>
        <v>#REF!</v>
      </c>
      <c r="R3059" s="12">
        <f>IF(O3059="Guaraníes",P3059/#REF!,P3059)</f>
        <v>1296.43832</v>
      </c>
      <c r="S3059" s="5" t="s">
        <v>52</v>
      </c>
      <c r="AC3059" s="5" t="str">
        <f t="shared" si="145"/>
        <v>Bonos</v>
      </c>
      <c r="AD3059" s="5" t="s">
        <v>43</v>
      </c>
      <c r="AE3059" s="5">
        <f t="shared" si="146"/>
        <v>10</v>
      </c>
      <c r="AF3059" s="5">
        <f t="shared" si="147"/>
        <v>2023</v>
      </c>
    </row>
    <row r="3060" s="5" customFormat="1" ht="13">
      <c r="A3060" s="5" t="s">
        <v>44</v>
      </c>
      <c r="B3060" s="5" t="s">
        <v>44</v>
      </c>
      <c r="C3060" s="5" t="s">
        <v>33</v>
      </c>
      <c r="D3060" s="5" t="s">
        <v>21</v>
      </c>
      <c r="E3060" s="5" t="s">
        <v>44</v>
      </c>
      <c r="F3060" s="5" t="s">
        <v>35</v>
      </c>
      <c r="G3060" s="5" t="s">
        <v>141</v>
      </c>
      <c r="H3060" s="9" t="s">
        <v>142</v>
      </c>
      <c r="I3060" s="10">
        <v>44956</v>
      </c>
      <c r="J3060" s="10">
        <v>45321</v>
      </c>
      <c r="K3060" s="5" t="s">
        <v>39</v>
      </c>
      <c r="L3060" s="5" t="s">
        <v>50</v>
      </c>
      <c r="M3060" s="11">
        <v>0.065000000000000002</v>
      </c>
      <c r="N3060" s="5" t="e">
        <f>IF(AND(M3060&gt;#REF!,Cartera!O3060="Guaraníes"),"Rendimiento significativo",IF(AND(M3060&gt;#REF!,Cartera!O3060="Dólares americanos"),"Rendimiento significativo","Rendimiento no significativo"))</f>
        <v>#REF!</v>
      </c>
      <c r="O3060" s="5" t="s">
        <v>51</v>
      </c>
      <c r="P3060" s="13">
        <v>1296.43832</v>
      </c>
      <c r="Q3060" s="12" t="e">
        <f>IF(O3060="Guaraníes",P3060,P3060*#REF!)</f>
        <v>#REF!</v>
      </c>
      <c r="R3060" s="12">
        <f>IF(O3060="Guaraníes",P3060/#REF!,P3060)</f>
        <v>1296.43832</v>
      </c>
      <c r="S3060" s="5" t="s">
        <v>52</v>
      </c>
      <c r="AC3060" s="5" t="str">
        <f t="shared" si="145"/>
        <v>Bonos</v>
      </c>
      <c r="AD3060" s="5" t="s">
        <v>43</v>
      </c>
      <c r="AE3060" s="5">
        <f t="shared" si="146"/>
        <v>1</v>
      </c>
      <c r="AF3060" s="5">
        <f t="shared" si="147"/>
        <v>2024</v>
      </c>
    </row>
    <row r="3061" s="5" customFormat="1" ht="13">
      <c r="A3061" s="5" t="s">
        <v>44</v>
      </c>
      <c r="B3061" s="5" t="s">
        <v>44</v>
      </c>
      <c r="C3061" s="5" t="s">
        <v>33</v>
      </c>
      <c r="D3061" s="5" t="s">
        <v>21</v>
      </c>
      <c r="E3061" s="5" t="s">
        <v>44</v>
      </c>
      <c r="F3061" s="5" t="s">
        <v>35</v>
      </c>
      <c r="G3061" s="5" t="s">
        <v>141</v>
      </c>
      <c r="H3061" s="9" t="s">
        <v>142</v>
      </c>
      <c r="I3061" s="10">
        <v>44956</v>
      </c>
      <c r="J3061" s="10">
        <v>45412</v>
      </c>
      <c r="K3061" s="5" t="s">
        <v>39</v>
      </c>
      <c r="L3061" s="5" t="s">
        <v>50</v>
      </c>
      <c r="M3061" s="11">
        <v>0.065000000000000002</v>
      </c>
      <c r="N3061" s="5" t="e">
        <f>IF(AND(M3061&gt;#REF!,Cartera!O3061="Guaraníes"),"Rendimiento significativo",IF(AND(M3061&gt;#REF!,Cartera!O3061="Dólares americanos"),"Rendimiento significativo","Rendimiento no significativo"))</f>
        <v>#REF!</v>
      </c>
      <c r="O3061" s="5" t="s">
        <v>51</v>
      </c>
      <c r="P3061" s="13">
        <v>1296.43832</v>
      </c>
      <c r="Q3061" s="12" t="e">
        <f>IF(O3061="Guaraníes",P3061,P3061*#REF!)</f>
        <v>#REF!</v>
      </c>
      <c r="R3061" s="12">
        <f>IF(O3061="Guaraníes",P3061/#REF!,P3061)</f>
        <v>1296.43832</v>
      </c>
      <c r="S3061" s="5" t="s">
        <v>52</v>
      </c>
      <c r="AC3061" s="5" t="str">
        <f t="shared" si="145"/>
        <v>Bonos</v>
      </c>
      <c r="AD3061" s="5" t="s">
        <v>43</v>
      </c>
      <c r="AE3061" s="5">
        <f t="shared" si="146"/>
        <v>4</v>
      </c>
      <c r="AF3061" s="5">
        <f t="shared" si="147"/>
        <v>2024</v>
      </c>
    </row>
    <row r="3062" s="5" customFormat="1" ht="13">
      <c r="A3062" s="5" t="s">
        <v>44</v>
      </c>
      <c r="B3062" s="5" t="s">
        <v>44</v>
      </c>
      <c r="C3062" s="5" t="s">
        <v>33</v>
      </c>
      <c r="D3062" s="5" t="s">
        <v>21</v>
      </c>
      <c r="E3062" s="5" t="s">
        <v>44</v>
      </c>
      <c r="F3062" s="5" t="s">
        <v>35</v>
      </c>
      <c r="G3062" s="5" t="s">
        <v>141</v>
      </c>
      <c r="H3062" s="9" t="s">
        <v>142</v>
      </c>
      <c r="I3062" s="10">
        <v>44956</v>
      </c>
      <c r="J3062" s="10">
        <v>45503</v>
      </c>
      <c r="K3062" s="5" t="s">
        <v>39</v>
      </c>
      <c r="L3062" s="5" t="s">
        <v>50</v>
      </c>
      <c r="M3062" s="11">
        <v>0.065000000000000002</v>
      </c>
      <c r="N3062" s="5" t="e">
        <f>IF(AND(M3062&gt;#REF!,Cartera!O3062="Guaraníes"),"Rendimiento significativo",IF(AND(M3062&gt;#REF!,Cartera!O3062="Dólares americanos"),"Rendimiento significativo","Rendimiento no significativo"))</f>
        <v>#REF!</v>
      </c>
      <c r="O3062" s="5" t="s">
        <v>51</v>
      </c>
      <c r="P3062" s="13">
        <v>1296.43832</v>
      </c>
      <c r="Q3062" s="12" t="e">
        <f>IF(O3062="Guaraníes",P3062,P3062*#REF!)</f>
        <v>#REF!</v>
      </c>
      <c r="R3062" s="12">
        <f>IF(O3062="Guaraníes",P3062/#REF!,P3062)</f>
        <v>1296.43832</v>
      </c>
      <c r="S3062" s="5" t="s">
        <v>52</v>
      </c>
      <c r="AC3062" s="5" t="str">
        <f t="shared" si="145"/>
        <v>Bonos</v>
      </c>
      <c r="AD3062" s="5" t="s">
        <v>43</v>
      </c>
      <c r="AE3062" s="5">
        <f t="shared" si="146"/>
        <v>7</v>
      </c>
      <c r="AF3062" s="5">
        <f t="shared" si="147"/>
        <v>2024</v>
      </c>
    </row>
    <row r="3063" s="5" customFormat="1" ht="13">
      <c r="A3063" s="5">
        <v>12316</v>
      </c>
      <c r="B3063" s="5" t="s">
        <v>78</v>
      </c>
      <c r="C3063" s="5" t="s">
        <v>54</v>
      </c>
      <c r="D3063" s="5" t="s">
        <v>21</v>
      </c>
      <c r="E3063" s="5" t="s">
        <v>34</v>
      </c>
      <c r="F3063" s="5" t="s">
        <v>46</v>
      </c>
      <c r="G3063" s="5" t="s">
        <v>86</v>
      </c>
      <c r="H3063" s="9" t="s">
        <v>148</v>
      </c>
      <c r="I3063" s="10"/>
      <c r="J3063" s="10">
        <v>46832</v>
      </c>
      <c r="K3063" s="5" t="s">
        <v>57</v>
      </c>
      <c r="L3063" s="5" t="s">
        <v>58</v>
      </c>
      <c r="M3063" s="11">
        <v>0.097500000000000003</v>
      </c>
      <c r="N3063" s="5" t="e">
        <f>IF(AND(M3063&gt;#REF!,Cartera!O3063="Guaraníes"),"Rendimiento significativo",IF(AND(M3063&gt;#REF!,Cartera!O3063="Dólares americanos"),"Rendimiento significativo","Rendimiento no significativo"))</f>
        <v>#REF!</v>
      </c>
      <c r="O3063" s="5" t="s">
        <v>41</v>
      </c>
      <c r="P3063" s="12">
        <v>12154109.589</v>
      </c>
      <c r="Q3063" s="12">
        <f>IF(O3063="Guaraníes",P3063,P3063*#REF!)</f>
        <v>12154109.589</v>
      </c>
      <c r="R3063" s="12" t="e">
        <f>IF(O3063="Guaraníes",P3063/#REF!,P3063)</f>
        <v>#REF!</v>
      </c>
      <c r="S3063" s="5" t="s">
        <v>42</v>
      </c>
      <c r="T3063" s="5">
        <v>10834</v>
      </c>
      <c r="W3063" s="5" t="s">
        <v>65</v>
      </c>
      <c r="X3063" s="5">
        <v>0</v>
      </c>
      <c r="Y3063" s="5">
        <v>0</v>
      </c>
      <c r="Z3063" s="5">
        <v>24308.219177999999</v>
      </c>
      <c r="AA3063" s="5">
        <v>500</v>
      </c>
      <c r="AB3063" s="5">
        <v>12154109.589</v>
      </c>
      <c r="AC3063" s="5" t="str">
        <f t="shared" ref="AC3063:AC3126" si="148">IF(ISNUMBER(SEARCH("Acciones",L3063)),"Acciones",IF(ISNUMBER(SEARCH("Bono",L3063)),"Bonos",IF(ISNUMBER(SEARCH("CDA",L3063)),"CDA",IF(ISNUMBER(SEARCH("Fondo",L3063)),"Fondo",0))))</f>
        <v>Bonos</v>
      </c>
      <c r="AD3063" s="5" t="s">
        <v>43</v>
      </c>
      <c r="AE3063" s="5">
        <f t="shared" si="146"/>
        <v>3</v>
      </c>
      <c r="AF3063" s="5">
        <f t="shared" si="147"/>
        <v>2028</v>
      </c>
    </row>
    <row r="3064" s="5" customFormat="1" ht="13">
      <c r="A3064" s="5">
        <v>12316</v>
      </c>
      <c r="B3064" s="5" t="s">
        <v>78</v>
      </c>
      <c r="C3064" s="5" t="s">
        <v>54</v>
      </c>
      <c r="D3064" s="5" t="s">
        <v>21</v>
      </c>
      <c r="E3064" s="5" t="s">
        <v>34</v>
      </c>
      <c r="F3064" s="5" t="s">
        <v>46</v>
      </c>
      <c r="G3064" s="5" t="s">
        <v>75</v>
      </c>
      <c r="H3064" s="9" t="s">
        <v>147</v>
      </c>
      <c r="I3064" s="10"/>
      <c r="J3064" s="10">
        <v>46832</v>
      </c>
      <c r="K3064" s="5" t="s">
        <v>57</v>
      </c>
      <c r="L3064" s="5" t="s">
        <v>58</v>
      </c>
      <c r="M3064" s="11">
        <v>0.12</v>
      </c>
      <c r="N3064" s="5" t="e">
        <f>IF(AND(M3064&gt;#REF!,Cartera!O3064="Guaraníes"),"Rendimiento significativo",IF(AND(M3064&gt;#REF!,Cartera!O3064="Dólares americanos"),"Rendimiento significativo","Rendimiento no significativo"))</f>
        <v>#REF!</v>
      </c>
      <c r="O3064" s="5" t="s">
        <v>41</v>
      </c>
      <c r="P3064" s="12">
        <v>4487671.2328500003</v>
      </c>
      <c r="Q3064" s="12">
        <f>IF(O3064="Guaraníes",P3064,P3064*#REF!)</f>
        <v>4487671.2328500003</v>
      </c>
      <c r="R3064" s="12" t="e">
        <f>IF(O3064="Guaraníes",P3064/#REF!,P3064)</f>
        <v>#REF!</v>
      </c>
      <c r="S3064" s="5" t="s">
        <v>42</v>
      </c>
      <c r="T3064" s="5">
        <v>25</v>
      </c>
      <c r="W3064" s="5" t="s">
        <v>192</v>
      </c>
      <c r="X3064" s="5">
        <v>0</v>
      </c>
      <c r="Y3064" s="5">
        <v>0</v>
      </c>
      <c r="Z3064" s="5">
        <v>29917.808218999999</v>
      </c>
      <c r="AA3064" s="5">
        <v>150</v>
      </c>
      <c r="AB3064" s="5">
        <v>4487671.2328500003</v>
      </c>
      <c r="AC3064" s="5" t="str">
        <f t="shared" si="148"/>
        <v>Bonos</v>
      </c>
      <c r="AD3064" s="5" t="s">
        <v>43</v>
      </c>
      <c r="AE3064" s="5">
        <f t="shared" si="146"/>
        <v>3</v>
      </c>
      <c r="AF3064" s="5">
        <f t="shared" si="147"/>
        <v>2028</v>
      </c>
    </row>
    <row r="3065" s="5" customFormat="1" ht="13">
      <c r="A3065" s="5">
        <v>12316</v>
      </c>
      <c r="B3065" s="5" t="s">
        <v>78</v>
      </c>
      <c r="C3065" s="5" t="s">
        <v>138</v>
      </c>
      <c r="D3065" s="5" t="s">
        <v>21</v>
      </c>
      <c r="E3065" s="5" t="s">
        <v>34</v>
      </c>
      <c r="F3065" s="5" t="s">
        <v>68</v>
      </c>
      <c r="G3065" s="5" t="s">
        <v>86</v>
      </c>
      <c r="H3065" s="9" t="s">
        <v>193</v>
      </c>
      <c r="I3065" s="10">
        <v>44104</v>
      </c>
      <c r="J3065" s="10">
        <v>46833</v>
      </c>
      <c r="K3065" s="5" t="s">
        <v>140</v>
      </c>
      <c r="L3065" s="5" t="s">
        <v>58</v>
      </c>
      <c r="M3065" s="11">
        <v>0.10000000000000001</v>
      </c>
      <c r="N3065" s="5" t="e">
        <f>IF(AND(M3065&gt;#REF!,Cartera!O3065="Guaraníes"),"Rendimiento significativo",IF(AND(M3065&gt;#REF!,Cartera!O3065="Dólares americanos"),"Rendimiento significativo","Rendimiento no significativo"))</f>
        <v>#REF!</v>
      </c>
      <c r="O3065" s="5" t="s">
        <v>41</v>
      </c>
      <c r="P3065" s="12">
        <v>2493150.6849000002</v>
      </c>
      <c r="Q3065" s="12">
        <f>IF(O3065="Guaraníes",P3065,P3065*#REF!)</f>
        <v>2493150.6849000002</v>
      </c>
      <c r="R3065" s="12" t="e">
        <f>IF(O3065="Guaraníes",P3065/#REF!,P3065)</f>
        <v>#REF!</v>
      </c>
      <c r="S3065" s="5" t="s">
        <v>42</v>
      </c>
      <c r="AC3065" s="5" t="str">
        <f t="shared" si="148"/>
        <v>Bonos</v>
      </c>
      <c r="AD3065" s="5" t="s">
        <v>43</v>
      </c>
      <c r="AE3065" s="5">
        <f t="shared" si="146"/>
        <v>3</v>
      </c>
      <c r="AF3065" s="5">
        <f t="shared" si="147"/>
        <v>2028</v>
      </c>
    </row>
    <row r="3066" s="5" customFormat="1" ht="13">
      <c r="A3066" s="5">
        <v>12315</v>
      </c>
      <c r="B3066" s="5" t="s">
        <v>73</v>
      </c>
      <c r="C3066" s="5" t="s">
        <v>116</v>
      </c>
      <c r="D3066" s="5" t="s">
        <v>21</v>
      </c>
      <c r="E3066" s="5" t="s">
        <v>34</v>
      </c>
      <c r="F3066" s="5" t="s">
        <v>68</v>
      </c>
      <c r="G3066" s="5" t="s">
        <v>69</v>
      </c>
      <c r="H3066" s="9" t="s">
        <v>194</v>
      </c>
      <c r="I3066" s="10"/>
      <c r="J3066" s="10">
        <v>46834</v>
      </c>
      <c r="K3066" s="5" t="s">
        <v>118</v>
      </c>
      <c r="L3066" s="5" t="s">
        <v>50</v>
      </c>
      <c r="M3066" s="11">
        <v>0.065000000000000002</v>
      </c>
      <c r="N3066" s="5" t="e">
        <f>IF(AND(M3066&gt;#REF!,Cartera!O3066="Guaraníes"),"Rendimiento significativo",IF(AND(M3066&gt;#REF!,Cartera!O3066="Dólares americanos"),"Rendimiento significativo","Rendimiento no significativo"))</f>
        <v>#REF!</v>
      </c>
      <c r="O3066" s="5" t="s">
        <v>51</v>
      </c>
      <c r="P3066" s="13">
        <v>324.10958999999997</v>
      </c>
      <c r="Q3066" s="12" t="e">
        <f>IF(O3066="Guaraníes",P3066,P3066*#REF!)</f>
        <v>#REF!</v>
      </c>
      <c r="R3066" s="12">
        <f>IF(O3066="Guaraníes",P3066/#REF!,P3066)</f>
        <v>324.10958999999997</v>
      </c>
      <c r="S3066" s="5" t="s">
        <v>42</v>
      </c>
      <c r="T3066" s="5">
        <v>593</v>
      </c>
      <c r="W3066" s="5" t="s">
        <v>218</v>
      </c>
      <c r="X3066" s="5">
        <v>0</v>
      </c>
      <c r="Y3066" s="5">
        <v>0</v>
      </c>
      <c r="Z3066" s="5">
        <v>32.410958999999998</v>
      </c>
      <c r="AA3066" s="5">
        <v>10</v>
      </c>
      <c r="AB3066" s="5">
        <v>324.10959000000003</v>
      </c>
      <c r="AC3066" s="5" t="str">
        <f t="shared" si="148"/>
        <v>Bonos</v>
      </c>
      <c r="AD3066" s="5" t="s">
        <v>43</v>
      </c>
      <c r="AE3066" s="5">
        <f t="shared" si="146"/>
        <v>3</v>
      </c>
      <c r="AF3066" s="5">
        <f t="shared" si="147"/>
        <v>2028</v>
      </c>
    </row>
    <row r="3067" s="5" customFormat="1" ht="13">
      <c r="A3067" s="5">
        <v>12315</v>
      </c>
      <c r="B3067" s="5" t="s">
        <v>73</v>
      </c>
      <c r="C3067" s="5" t="s">
        <v>212</v>
      </c>
      <c r="D3067" s="5" t="s">
        <v>21</v>
      </c>
      <c r="E3067" s="5" t="s">
        <v>34</v>
      </c>
      <c r="F3067" s="5" t="s">
        <v>68</v>
      </c>
      <c r="G3067" s="5" t="s">
        <v>86</v>
      </c>
      <c r="H3067" s="9" t="s">
        <v>213</v>
      </c>
      <c r="I3067" s="10">
        <v>44651</v>
      </c>
      <c r="J3067" s="10">
        <v>46835</v>
      </c>
      <c r="K3067" s="5" t="s">
        <v>81</v>
      </c>
      <c r="L3067" s="5" t="s">
        <v>58</v>
      </c>
      <c r="M3067" s="11">
        <v>0.053499999999999999</v>
      </c>
      <c r="N3067" s="5" t="e">
        <f>IF(AND(M3067&gt;#REF!,Cartera!O3067="Guaraníes"),"Rendimiento significativo",IF(AND(M3067&gt;#REF!,Cartera!O3067="Dólares americanos"),"Rendimiento significativo","Rendimiento no significativo"))</f>
        <v>#REF!</v>
      </c>
      <c r="O3067" s="5" t="s">
        <v>51</v>
      </c>
      <c r="P3067" s="13">
        <v>2667.6712000000002</v>
      </c>
      <c r="Q3067" s="12" t="e">
        <f>IF(O3067="Guaraníes",P3067,P3067*#REF!)</f>
        <v>#REF!</v>
      </c>
      <c r="R3067" s="12">
        <f>IF(O3067="Guaraníes",P3067/#REF!,P3067)</f>
        <v>2667.6712000000002</v>
      </c>
      <c r="S3067" s="5" t="s">
        <v>42</v>
      </c>
      <c r="V3067" s="5">
        <v>26.676711999999998</v>
      </c>
      <c r="AA3067" s="5">
        <v>100</v>
      </c>
      <c r="AC3067" s="5" t="str">
        <f t="shared" si="148"/>
        <v>Bonos</v>
      </c>
      <c r="AD3067" s="5" t="s">
        <v>43</v>
      </c>
      <c r="AE3067" s="5">
        <f t="shared" si="146"/>
        <v>3</v>
      </c>
      <c r="AF3067" s="5">
        <f t="shared" si="147"/>
        <v>2028</v>
      </c>
    </row>
    <row r="3068" s="5" customFormat="1" ht="13">
      <c r="A3068" s="5">
        <v>12316</v>
      </c>
      <c r="B3068" s="5" t="s">
        <v>78</v>
      </c>
      <c r="C3068" s="5" t="s">
        <v>164</v>
      </c>
      <c r="D3068" s="5" t="s">
        <v>21</v>
      </c>
      <c r="E3068" s="5" t="s">
        <v>34</v>
      </c>
      <c r="F3068" s="5" t="s">
        <v>68</v>
      </c>
      <c r="G3068" s="5" t="s">
        <v>145</v>
      </c>
      <c r="H3068" s="9" t="s">
        <v>165</v>
      </c>
      <c r="I3068" s="10"/>
      <c r="J3068" s="10">
        <v>46843</v>
      </c>
      <c r="K3068" s="5" t="s">
        <v>124</v>
      </c>
      <c r="L3068" s="5" t="s">
        <v>58</v>
      </c>
      <c r="M3068" s="11">
        <v>0.10000000000000001</v>
      </c>
      <c r="N3068" s="5" t="e">
        <f>IF(AND(M3068&gt;#REF!,Cartera!O3068="Guaraníes"),"Rendimiento significativo",IF(AND(M3068&gt;#REF!,Cartera!O3068="Dólares americanos"),"Rendimiento significativo","Rendimiento no significativo"))</f>
        <v>#REF!</v>
      </c>
      <c r="O3068" s="5" t="s">
        <v>41</v>
      </c>
      <c r="P3068" s="12">
        <v>3397260.2740000002</v>
      </c>
      <c r="Q3068" s="12">
        <f>IF(O3068="Guaraníes",P3068,P3068*#REF!)</f>
        <v>3397260.2740000002</v>
      </c>
      <c r="R3068" s="12" t="e">
        <f>IF(O3068="Guaraníes",P3068/#REF!,P3068)</f>
        <v>#REF!</v>
      </c>
      <c r="S3068" s="5" t="s">
        <v>42</v>
      </c>
      <c r="T3068" s="5">
        <v>1057</v>
      </c>
      <c r="W3068" s="5" t="s">
        <v>65</v>
      </c>
      <c r="X3068" s="5">
        <v>0</v>
      </c>
      <c r="Y3068" s="5">
        <v>0</v>
      </c>
      <c r="Z3068" s="5">
        <v>8493.1506850000005</v>
      </c>
      <c r="AA3068" s="5">
        <v>400</v>
      </c>
      <c r="AB3068" s="5">
        <v>3397260.2740000002</v>
      </c>
      <c r="AC3068" s="5" t="str">
        <f t="shared" si="148"/>
        <v>Bonos</v>
      </c>
      <c r="AD3068" s="5" t="s">
        <v>43</v>
      </c>
      <c r="AE3068" s="5">
        <f t="shared" si="146"/>
        <v>3</v>
      </c>
      <c r="AF3068" s="5">
        <f t="shared" si="147"/>
        <v>2028</v>
      </c>
    </row>
    <row r="3069" s="5" customFormat="1" ht="13">
      <c r="A3069" s="5">
        <v>12316</v>
      </c>
      <c r="B3069" s="5" t="s">
        <v>78</v>
      </c>
      <c r="C3069" s="5" t="s">
        <v>164</v>
      </c>
      <c r="D3069" s="5" t="s">
        <v>21</v>
      </c>
      <c r="E3069" s="5" t="s">
        <v>34</v>
      </c>
      <c r="F3069" s="5" t="s">
        <v>68</v>
      </c>
      <c r="G3069" s="5" t="s">
        <v>141</v>
      </c>
      <c r="H3069" s="9" t="s">
        <v>165</v>
      </c>
      <c r="I3069" s="10"/>
      <c r="J3069" s="10">
        <v>46843</v>
      </c>
      <c r="K3069" s="5" t="s">
        <v>124</v>
      </c>
      <c r="L3069" s="5" t="s">
        <v>58</v>
      </c>
      <c r="M3069" s="11">
        <v>0.10000000000000001</v>
      </c>
      <c r="N3069" s="5" t="e">
        <f>IF(AND(M3069&gt;#REF!,Cartera!O3069="Guaraníes"),"Rendimiento significativo",IF(AND(M3069&gt;#REF!,Cartera!O3069="Dólares americanos"),"Rendimiento significativo","Rendimiento no significativo"))</f>
        <v>#REF!</v>
      </c>
      <c r="O3069" s="5" t="s">
        <v>41</v>
      </c>
      <c r="P3069" s="12">
        <v>849315.06850000005</v>
      </c>
      <c r="Q3069" s="12">
        <f>IF(O3069="Guaraníes",P3069,P3069*#REF!)</f>
        <v>849315.06850000005</v>
      </c>
      <c r="R3069" s="12" t="e">
        <f>IF(O3069="Guaraníes",P3069/#REF!,P3069)</f>
        <v>#REF!</v>
      </c>
      <c r="S3069" s="5" t="s">
        <v>42</v>
      </c>
      <c r="T3069" s="5">
        <v>9243</v>
      </c>
      <c r="W3069" s="5" t="s">
        <v>65</v>
      </c>
      <c r="X3069" s="5">
        <v>0</v>
      </c>
      <c r="Y3069" s="5">
        <v>0</v>
      </c>
      <c r="Z3069" s="5">
        <v>8493.1506850000005</v>
      </c>
      <c r="AA3069" s="5">
        <v>100</v>
      </c>
      <c r="AB3069" s="5">
        <v>849315.06850000005</v>
      </c>
      <c r="AC3069" s="5" t="str">
        <f t="shared" si="148"/>
        <v>Bonos</v>
      </c>
      <c r="AD3069" s="5" t="s">
        <v>43</v>
      </c>
      <c r="AE3069" s="5">
        <f t="shared" si="146"/>
        <v>3</v>
      </c>
      <c r="AF3069" s="5">
        <f t="shared" si="147"/>
        <v>2028</v>
      </c>
    </row>
    <row r="3070" s="5" customFormat="1" ht="13">
      <c r="A3070" s="5">
        <v>12315</v>
      </c>
      <c r="B3070" s="5" t="s">
        <v>73</v>
      </c>
      <c r="C3070" s="5" t="s">
        <v>74</v>
      </c>
      <c r="D3070" s="5" t="s">
        <v>21</v>
      </c>
      <c r="E3070" s="5" t="s">
        <v>34</v>
      </c>
      <c r="F3070" s="5" t="s">
        <v>68</v>
      </c>
      <c r="G3070" s="5" t="s">
        <v>75</v>
      </c>
      <c r="H3070" s="9" t="s">
        <v>76</v>
      </c>
      <c r="I3070" s="10"/>
      <c r="J3070" s="10">
        <v>46846</v>
      </c>
      <c r="K3070" s="5" t="s">
        <v>77</v>
      </c>
      <c r="L3070" s="5" t="s">
        <v>50</v>
      </c>
      <c r="M3070" s="11">
        <v>0.055</v>
      </c>
      <c r="N3070" s="5" t="e">
        <f>IF(AND(M3070&gt;#REF!,Cartera!O3070="Guaraníes"),"Rendimiento significativo",IF(AND(M3070&gt;#REF!,Cartera!O3070="Dólares americanos"),"Rendimiento significativo","Rendimiento no significativo"))</f>
        <v>#REF!</v>
      </c>
      <c r="O3070" s="5" t="s">
        <v>51</v>
      </c>
      <c r="P3070" s="13">
        <v>411.36986999999999</v>
      </c>
      <c r="Q3070" s="12" t="e">
        <f>IF(O3070="Guaraníes",P3070,P3070*#REF!)</f>
        <v>#REF!</v>
      </c>
      <c r="R3070" s="12">
        <f>IF(O3070="Guaraníes",P3070/#REF!,P3070)</f>
        <v>411.36986999999999</v>
      </c>
      <c r="S3070" s="5" t="s">
        <v>42</v>
      </c>
      <c r="T3070" s="5">
        <v>25</v>
      </c>
      <c r="W3070" s="5" t="s">
        <v>65</v>
      </c>
      <c r="X3070" s="5">
        <v>0</v>
      </c>
      <c r="Y3070" s="5">
        <v>0</v>
      </c>
      <c r="Z3070" s="5">
        <v>13.712329</v>
      </c>
      <c r="AA3070" s="5">
        <v>30</v>
      </c>
      <c r="AB3070" s="5">
        <v>411.37</v>
      </c>
      <c r="AC3070" s="5" t="str">
        <f t="shared" si="148"/>
        <v>Bonos</v>
      </c>
      <c r="AD3070" s="5" t="s">
        <v>43</v>
      </c>
      <c r="AE3070" s="5">
        <f t="shared" si="146"/>
        <v>4</v>
      </c>
      <c r="AF3070" s="5">
        <f t="shared" si="147"/>
        <v>2028</v>
      </c>
    </row>
    <row r="3071" s="5" customFormat="1" ht="13">
      <c r="A3071" s="5">
        <v>12316</v>
      </c>
      <c r="B3071" s="5" t="s">
        <v>78</v>
      </c>
      <c r="C3071" s="5" t="s">
        <v>138</v>
      </c>
      <c r="D3071" s="5" t="s">
        <v>21</v>
      </c>
      <c r="E3071" s="5" t="s">
        <v>34</v>
      </c>
      <c r="F3071" s="5" t="s">
        <v>68</v>
      </c>
      <c r="G3071" s="5" t="s">
        <v>86</v>
      </c>
      <c r="H3071" s="9" t="s">
        <v>139</v>
      </c>
      <c r="I3071" s="10">
        <v>43948</v>
      </c>
      <c r="J3071" s="10">
        <v>46846</v>
      </c>
      <c r="K3071" s="5" t="s">
        <v>140</v>
      </c>
      <c r="L3071" s="5" t="s">
        <v>58</v>
      </c>
      <c r="M3071" s="11">
        <v>0.11</v>
      </c>
      <c r="N3071" s="5" t="e">
        <f>IF(AND(M3071&gt;#REF!,Cartera!O3071="Guaraníes"),"Rendimiento significativo",IF(AND(M3071&gt;#REF!,Cartera!O3071="Dólares americanos"),"Rendimiento significativo","Rendimiento no significativo"))</f>
        <v>#REF!</v>
      </c>
      <c r="O3071" s="5" t="s">
        <v>41</v>
      </c>
      <c r="P3071" s="12">
        <v>721836.16190000006</v>
      </c>
      <c r="Q3071" s="12">
        <f>IF(O3071="Guaraníes",P3071,P3071*#REF!)</f>
        <v>721836.16190000006</v>
      </c>
      <c r="R3071" s="12" t="e">
        <f>IF(O3071="Guaraníes",P3071/#REF!,P3071)</f>
        <v>#REF!</v>
      </c>
      <c r="S3071" s="5" t="s">
        <v>42</v>
      </c>
      <c r="AC3071" s="5" t="str">
        <f t="shared" si="148"/>
        <v>Bonos</v>
      </c>
      <c r="AD3071" s="5" t="s">
        <v>43</v>
      </c>
      <c r="AE3071" s="5">
        <f t="shared" si="146"/>
        <v>4</v>
      </c>
      <c r="AF3071" s="5">
        <f t="shared" si="147"/>
        <v>2028</v>
      </c>
    </row>
    <row r="3072" s="5" customFormat="1" ht="13">
      <c r="A3072" s="5">
        <v>12315</v>
      </c>
      <c r="B3072" s="5" t="s">
        <v>73</v>
      </c>
      <c r="C3072" s="5" t="s">
        <v>85</v>
      </c>
      <c r="D3072" s="5" t="s">
        <v>21</v>
      </c>
      <c r="E3072" s="5" t="s">
        <v>34</v>
      </c>
      <c r="F3072" s="5" t="s">
        <v>68</v>
      </c>
      <c r="G3072" s="5" t="s">
        <v>86</v>
      </c>
      <c r="H3072" s="9" t="s">
        <v>87</v>
      </c>
      <c r="I3072" s="10"/>
      <c r="J3072" s="10">
        <v>46856</v>
      </c>
      <c r="K3072" s="5" t="s">
        <v>39</v>
      </c>
      <c r="L3072" s="5" t="s">
        <v>58</v>
      </c>
      <c r="M3072" s="11">
        <v>0.059999999999999998</v>
      </c>
      <c r="N3072" s="5" t="e">
        <f>IF(AND(M3072&gt;#REF!,Cartera!O3072="Guaraníes"),"Rendimiento significativo",IF(AND(M3072&gt;#REF!,Cartera!O3072="Dólares americanos"),"Rendimiento significativo","Rendimiento no significativo"))</f>
        <v>#REF!</v>
      </c>
      <c r="O3072" s="5" t="s">
        <v>51</v>
      </c>
      <c r="P3072" s="13">
        <v>747.9452</v>
      </c>
      <c r="Q3072" s="12" t="e">
        <f>IF(O3072="Guaraníes",P3072,P3072*#REF!)</f>
        <v>#REF!</v>
      </c>
      <c r="R3072" s="12">
        <f>IF(O3072="Guaraníes",P3072/#REF!,P3072)</f>
        <v>747.9452</v>
      </c>
      <c r="S3072" s="5" t="s">
        <v>42</v>
      </c>
      <c r="T3072" s="5">
        <v>10834</v>
      </c>
      <c r="W3072" s="5" t="s">
        <v>711</v>
      </c>
      <c r="X3072" s="5">
        <v>0</v>
      </c>
      <c r="Y3072" s="5">
        <v>0</v>
      </c>
      <c r="Z3072" s="5">
        <v>14.958904</v>
      </c>
      <c r="AA3072" s="5">
        <v>50</v>
      </c>
      <c r="AB3072" s="5">
        <v>747.9452</v>
      </c>
      <c r="AC3072" s="5" t="str">
        <f t="shared" si="148"/>
        <v>Bonos</v>
      </c>
      <c r="AD3072" s="5" t="s">
        <v>43</v>
      </c>
      <c r="AE3072" s="5">
        <f t="shared" si="146"/>
        <v>4</v>
      </c>
      <c r="AF3072" s="5">
        <f t="shared" si="147"/>
        <v>2028</v>
      </c>
    </row>
    <row r="3073" s="5" customFormat="1" ht="13">
      <c r="A3073" s="5">
        <v>12315</v>
      </c>
      <c r="B3073" s="5" t="s">
        <v>73</v>
      </c>
      <c r="C3073" s="5" t="s">
        <v>54</v>
      </c>
      <c r="D3073" s="5" t="s">
        <v>21</v>
      </c>
      <c r="E3073" s="5" t="s">
        <v>34</v>
      </c>
      <c r="F3073" s="5" t="s">
        <v>46</v>
      </c>
      <c r="G3073" s="5" t="s">
        <v>55</v>
      </c>
      <c r="H3073" s="9" t="s">
        <v>56</v>
      </c>
      <c r="I3073" s="10">
        <v>44680</v>
      </c>
      <c r="J3073" s="10">
        <v>46864</v>
      </c>
      <c r="K3073" s="5" t="s">
        <v>57</v>
      </c>
      <c r="L3073" s="5" t="s">
        <v>58</v>
      </c>
      <c r="M3073" s="11">
        <v>0.059999999999999998</v>
      </c>
      <c r="N3073" s="5" t="e">
        <f>IF(AND(M3073&gt;#REF!,Cartera!O3073="Guaraníes"),"Rendimiento significativo",IF(AND(M3073&gt;#REF!,Cartera!O3073="Dólares americanos"),"Rendimiento significativo","Rendimiento no significativo"))</f>
        <v>#REF!</v>
      </c>
      <c r="O3073" s="5" t="s">
        <v>51</v>
      </c>
      <c r="P3073" s="13">
        <v>747.9452</v>
      </c>
      <c r="Q3073" s="12" t="e">
        <f>IF(O3073="Guaraníes",P3073,P3073*#REF!)</f>
        <v>#REF!</v>
      </c>
      <c r="R3073" s="12">
        <f>IF(O3073="Guaraníes",P3073/#REF!,P3073)</f>
        <v>747.9452</v>
      </c>
      <c r="S3073" s="5" t="s">
        <v>42</v>
      </c>
      <c r="T3073" s="5">
        <v>17035</v>
      </c>
      <c r="V3073" s="5">
        <v>14.960000000000001</v>
      </c>
      <c r="X3073" s="5">
        <v>0</v>
      </c>
      <c r="AA3073" s="5">
        <v>50</v>
      </c>
      <c r="AC3073" s="5" t="str">
        <f t="shared" si="148"/>
        <v>Bonos</v>
      </c>
      <c r="AD3073" s="5" t="s">
        <v>43</v>
      </c>
      <c r="AE3073" s="5">
        <f t="shared" si="146"/>
        <v>4</v>
      </c>
      <c r="AF3073" s="5">
        <f t="shared" si="147"/>
        <v>2028</v>
      </c>
    </row>
    <row r="3074" s="5" customFormat="1" ht="13">
      <c r="A3074" s="5">
        <v>12316</v>
      </c>
      <c r="B3074" s="5" t="s">
        <v>78</v>
      </c>
      <c r="C3074" s="5" t="s">
        <v>99</v>
      </c>
      <c r="D3074" s="5" t="s">
        <v>21</v>
      </c>
      <c r="E3074" s="5" t="s">
        <v>34</v>
      </c>
      <c r="F3074" s="5" t="s">
        <v>100</v>
      </c>
      <c r="G3074" s="5" t="s">
        <v>75</v>
      </c>
      <c r="H3074" s="9" t="s">
        <v>217</v>
      </c>
      <c r="I3074" s="10"/>
      <c r="J3074" s="10">
        <v>46867</v>
      </c>
      <c r="K3074" s="5" t="s">
        <v>102</v>
      </c>
      <c r="L3074" s="5" t="s">
        <v>102</v>
      </c>
      <c r="M3074" s="11">
        <v>0.080000000000000002</v>
      </c>
      <c r="N3074" s="5" t="e">
        <f>IF(AND(M3074&gt;#REF!,Cartera!O3074="Guaraníes"),"Rendimiento significativo",IF(AND(M3074&gt;#REF!,Cartera!O3074="Dólares americanos"),"Rendimiento significativo","Rendimiento no significativo"))</f>
        <v>#REF!</v>
      </c>
      <c r="O3074" s="5" t="s">
        <v>41</v>
      </c>
      <c r="P3074" s="12">
        <v>5767000</v>
      </c>
      <c r="Q3074" s="12">
        <f>IF(O3074="Guaraníes",P3074,P3074*#REF!)</f>
        <v>5767000</v>
      </c>
      <c r="R3074" s="12" t="e">
        <f>IF(O3074="Guaraníes",P3074/#REF!,P3074)</f>
        <v>#REF!</v>
      </c>
      <c r="S3074" s="5" t="s">
        <v>42</v>
      </c>
      <c r="T3074" s="5">
        <v>25</v>
      </c>
      <c r="W3074" s="5" t="s">
        <v>218</v>
      </c>
      <c r="X3074" s="5">
        <v>0</v>
      </c>
      <c r="Y3074" s="5">
        <v>0</v>
      </c>
      <c r="Z3074" s="5">
        <v>39500</v>
      </c>
      <c r="AA3074" s="5">
        <v>146</v>
      </c>
      <c r="AB3074" s="5">
        <v>5767000</v>
      </c>
      <c r="AC3074" s="5" t="str">
        <f t="shared" si="148"/>
        <v>Bonos</v>
      </c>
      <c r="AD3074" s="5" t="s">
        <v>43</v>
      </c>
      <c r="AE3074" s="5">
        <f t="shared" si="146"/>
        <v>4</v>
      </c>
      <c r="AF3074" s="5">
        <f t="shared" si="147"/>
        <v>2028</v>
      </c>
    </row>
    <row r="3075" s="5" customFormat="1" ht="13">
      <c r="A3075" s="5">
        <v>12315</v>
      </c>
      <c r="B3075" s="5" t="s">
        <v>73</v>
      </c>
      <c r="C3075" s="5" t="s">
        <v>33</v>
      </c>
      <c r="D3075" s="5" t="s">
        <v>21</v>
      </c>
      <c r="E3075" s="5" t="s">
        <v>34</v>
      </c>
      <c r="F3075" s="5" t="s">
        <v>35</v>
      </c>
      <c r="G3075" s="5" t="s">
        <v>141</v>
      </c>
      <c r="H3075" s="9" t="s">
        <v>142</v>
      </c>
      <c r="I3075" s="10">
        <v>44956</v>
      </c>
      <c r="J3075" s="10">
        <v>46868</v>
      </c>
      <c r="K3075" s="5" t="s">
        <v>39</v>
      </c>
      <c r="L3075" s="5" t="s">
        <v>50</v>
      </c>
      <c r="M3075" s="11">
        <v>0.065000000000000002</v>
      </c>
      <c r="N3075" s="5" t="e">
        <f>IF(AND(M3075&gt;#REF!,Cartera!O3075="Guaraníes"),"Rendimiento significativo",IF(AND(M3075&gt;#REF!,Cartera!O3075="Dólares americanos"),"Rendimiento significativo","Rendimiento no significativo"))</f>
        <v>#REF!</v>
      </c>
      <c r="O3075" s="5" t="s">
        <v>51</v>
      </c>
      <c r="P3075" s="13">
        <v>1296.43832</v>
      </c>
      <c r="Q3075" s="12" t="e">
        <f>IF(O3075="Guaraníes",P3075,P3075*#REF!)</f>
        <v>#REF!</v>
      </c>
      <c r="R3075" s="12">
        <f>IF(O3075="Guaraníes",P3075/#REF!,P3075)</f>
        <v>1296.43832</v>
      </c>
      <c r="S3075" s="5" t="s">
        <v>42</v>
      </c>
      <c r="AC3075" s="5" t="str">
        <f t="shared" si="148"/>
        <v>Bonos</v>
      </c>
      <c r="AD3075" s="5" t="s">
        <v>43</v>
      </c>
      <c r="AE3075" s="5">
        <f t="shared" si="146"/>
        <v>4</v>
      </c>
      <c r="AF3075" s="5">
        <f t="shared" si="147"/>
        <v>2028</v>
      </c>
    </row>
    <row r="3076" s="5" customFormat="1" ht="13">
      <c r="A3076" s="5">
        <v>12316</v>
      </c>
      <c r="B3076" s="5" t="s">
        <v>78</v>
      </c>
      <c r="C3076" s="5" t="s">
        <v>164</v>
      </c>
      <c r="D3076" s="5" t="s">
        <v>21</v>
      </c>
      <c r="E3076" s="5" t="s">
        <v>34</v>
      </c>
      <c r="F3076" s="5" t="s">
        <v>68</v>
      </c>
      <c r="G3076" s="5" t="s">
        <v>145</v>
      </c>
      <c r="H3076" s="9" t="s">
        <v>165</v>
      </c>
      <c r="I3076" s="10"/>
      <c r="J3076" s="10">
        <v>46871</v>
      </c>
      <c r="K3076" s="5" t="s">
        <v>124</v>
      </c>
      <c r="L3076" s="5" t="s">
        <v>58</v>
      </c>
      <c r="M3076" s="11">
        <v>0.10000000000000001</v>
      </c>
      <c r="N3076" s="5" t="e">
        <f>IF(AND(M3076&gt;#REF!,Cartera!O3076="Guaraníes"),"Rendimiento significativo",IF(AND(M3076&gt;#REF!,Cartera!O3076="Dólares americanos"),"Rendimiento significativo","Rendimiento no significativo"))</f>
        <v>#REF!</v>
      </c>
      <c r="O3076" s="5" t="s">
        <v>41</v>
      </c>
      <c r="P3076" s="12">
        <v>3068493.1507999999</v>
      </c>
      <c r="Q3076" s="12">
        <f>IF(O3076="Guaraníes",P3076,P3076*#REF!)</f>
        <v>3068493.1507999999</v>
      </c>
      <c r="R3076" s="12" t="e">
        <f>IF(O3076="Guaraníes",P3076/#REF!,P3076)</f>
        <v>#REF!</v>
      </c>
      <c r="S3076" s="5" t="s">
        <v>42</v>
      </c>
      <c r="T3076" s="5">
        <v>1057</v>
      </c>
      <c r="W3076" s="5" t="s">
        <v>65</v>
      </c>
      <c r="X3076" s="5">
        <v>0</v>
      </c>
      <c r="Y3076" s="5">
        <v>0</v>
      </c>
      <c r="Z3076" s="5">
        <v>7671.2328770000004</v>
      </c>
      <c r="AA3076" s="5">
        <v>400</v>
      </c>
      <c r="AB3076" s="5">
        <v>3068493.1507999999</v>
      </c>
      <c r="AC3076" s="5" t="str">
        <f t="shared" si="148"/>
        <v>Bonos</v>
      </c>
      <c r="AD3076" s="5" t="s">
        <v>43</v>
      </c>
      <c r="AE3076" s="5">
        <f t="shared" si="146"/>
        <v>4</v>
      </c>
      <c r="AF3076" s="5">
        <f t="shared" si="147"/>
        <v>2028</v>
      </c>
    </row>
    <row r="3077" s="5" customFormat="1" ht="13">
      <c r="A3077" s="5">
        <v>12316</v>
      </c>
      <c r="B3077" s="5" t="s">
        <v>78</v>
      </c>
      <c r="C3077" s="5" t="s">
        <v>164</v>
      </c>
      <c r="D3077" s="5" t="s">
        <v>21</v>
      </c>
      <c r="E3077" s="5" t="s">
        <v>34</v>
      </c>
      <c r="F3077" s="5" t="s">
        <v>68</v>
      </c>
      <c r="G3077" s="5" t="s">
        <v>141</v>
      </c>
      <c r="H3077" s="9" t="s">
        <v>165</v>
      </c>
      <c r="I3077" s="10"/>
      <c r="J3077" s="10">
        <v>46871</v>
      </c>
      <c r="K3077" s="5" t="s">
        <v>124</v>
      </c>
      <c r="L3077" s="5" t="s">
        <v>58</v>
      </c>
      <c r="M3077" s="11">
        <v>0.10000000000000001</v>
      </c>
      <c r="N3077" s="5" t="e">
        <f>IF(AND(M3077&gt;#REF!,Cartera!O3077="Guaraníes"),"Rendimiento significativo",IF(AND(M3077&gt;#REF!,Cartera!O3077="Dólares americanos"),"Rendimiento significativo","Rendimiento no significativo"))</f>
        <v>#REF!</v>
      </c>
      <c r="O3077" s="5" t="s">
        <v>41</v>
      </c>
      <c r="P3077" s="12">
        <v>767123.28769999999</v>
      </c>
      <c r="Q3077" s="12">
        <f>IF(O3077="Guaraníes",P3077,P3077*#REF!)</f>
        <v>767123.28769999999</v>
      </c>
      <c r="R3077" s="12" t="e">
        <f>IF(O3077="Guaraníes",P3077/#REF!,P3077)</f>
        <v>#REF!</v>
      </c>
      <c r="S3077" s="5" t="s">
        <v>42</v>
      </c>
      <c r="T3077" s="5">
        <v>9243</v>
      </c>
      <c r="W3077" s="5" t="s">
        <v>65</v>
      </c>
      <c r="X3077" s="5">
        <v>0</v>
      </c>
      <c r="Y3077" s="5">
        <v>0</v>
      </c>
      <c r="Z3077" s="5">
        <v>7671.2328770000004</v>
      </c>
      <c r="AA3077" s="5">
        <v>100</v>
      </c>
      <c r="AB3077" s="5">
        <v>767123.28769999999</v>
      </c>
      <c r="AC3077" s="5" t="str">
        <f t="shared" si="148"/>
        <v>Bonos</v>
      </c>
      <c r="AD3077" s="5" t="s">
        <v>43</v>
      </c>
      <c r="AE3077" s="5">
        <f t="shared" si="146"/>
        <v>4</v>
      </c>
      <c r="AF3077" s="5">
        <f t="shared" si="147"/>
        <v>2028</v>
      </c>
    </row>
    <row r="3078" s="5" customFormat="1" ht="13">
      <c r="A3078" s="5">
        <v>12316</v>
      </c>
      <c r="B3078" s="5" t="s">
        <v>78</v>
      </c>
      <c r="C3078" s="5" t="s">
        <v>138</v>
      </c>
      <c r="D3078" s="5" t="s">
        <v>21</v>
      </c>
      <c r="E3078" s="5" t="s">
        <v>34</v>
      </c>
      <c r="F3078" s="5" t="s">
        <v>68</v>
      </c>
      <c r="G3078" s="5" t="s">
        <v>86</v>
      </c>
      <c r="H3078" s="9" t="s">
        <v>139</v>
      </c>
      <c r="I3078" s="10">
        <v>43948</v>
      </c>
      <c r="J3078" s="10">
        <v>46876</v>
      </c>
      <c r="K3078" s="5" t="s">
        <v>140</v>
      </c>
      <c r="L3078" s="5" t="s">
        <v>58</v>
      </c>
      <c r="M3078" s="11">
        <v>0.11</v>
      </c>
      <c r="N3078" s="5" t="e">
        <f>IF(AND(M3078&gt;#REF!,Cartera!O3078="Guaraníes"),"Rendimiento significativo",IF(AND(M3078&gt;#REF!,Cartera!O3078="Dólares americanos"),"Rendimiento significativo","Rendimiento no significativo"))</f>
        <v>#REF!</v>
      </c>
      <c r="O3078" s="5" t="s">
        <v>41</v>
      </c>
      <c r="P3078" s="12">
        <v>687745.61609999998</v>
      </c>
      <c r="Q3078" s="12">
        <f>IF(O3078="Guaraníes",P3078,P3078*#REF!)</f>
        <v>687745.61609999998</v>
      </c>
      <c r="R3078" s="12" t="e">
        <f>IF(O3078="Guaraníes",P3078/#REF!,P3078)</f>
        <v>#REF!</v>
      </c>
      <c r="S3078" s="5" t="s">
        <v>42</v>
      </c>
      <c r="AC3078" s="5" t="str">
        <f t="shared" si="148"/>
        <v>Bonos</v>
      </c>
      <c r="AD3078" s="5" t="s">
        <v>43</v>
      </c>
      <c r="AE3078" s="5">
        <f t="shared" si="146"/>
        <v>5</v>
      </c>
      <c r="AF3078" s="5">
        <f t="shared" si="147"/>
        <v>2028</v>
      </c>
    </row>
    <row r="3079" s="5" customFormat="1" ht="13">
      <c r="A3079" s="5">
        <v>12316</v>
      </c>
      <c r="B3079" s="5" t="s">
        <v>78</v>
      </c>
      <c r="C3079" s="5" t="s">
        <v>183</v>
      </c>
      <c r="D3079" s="5" t="s">
        <v>21</v>
      </c>
      <c r="E3079" s="5" t="s">
        <v>34</v>
      </c>
      <c r="F3079" s="5" t="s">
        <v>184</v>
      </c>
      <c r="H3079" s="9">
        <v>6389</v>
      </c>
      <c r="I3079" s="10"/>
      <c r="J3079" s="10">
        <v>46882</v>
      </c>
      <c r="K3079" s="5" t="s">
        <v>124</v>
      </c>
      <c r="L3079" s="5" t="s">
        <v>82</v>
      </c>
      <c r="M3079" s="11">
        <v>0.079000000000000001</v>
      </c>
      <c r="N3079" s="5" t="e">
        <f>IF(AND(M3079&gt;#REF!,Cartera!O3079="Guaraníes"),"Rendimiento significativo",IF(AND(M3079&gt;#REF!,Cartera!O3079="Dólares americanos"),"Rendimiento significativo","Rendimiento no significativo"))</f>
        <v>#REF!</v>
      </c>
      <c r="O3079" s="5" t="s">
        <v>41</v>
      </c>
      <c r="P3079" s="12">
        <v>9848020</v>
      </c>
      <c r="Q3079" s="12">
        <f>IF(O3079="Guaraníes",P3079,P3079*#REF!)</f>
        <v>9848020</v>
      </c>
      <c r="R3079" s="12" t="e">
        <f>IF(O3079="Guaraníes",P3079/#REF!,P3079)</f>
        <v>#REF!</v>
      </c>
      <c r="S3079" s="5" t="s">
        <v>42</v>
      </c>
      <c r="V3079" s="5">
        <v>9848020</v>
      </c>
      <c r="W3079" s="5" t="s">
        <v>313</v>
      </c>
      <c r="AC3079" s="5" t="str">
        <f t="shared" si="148"/>
        <v>CDA</v>
      </c>
      <c r="AD3079" s="5" t="s">
        <v>43</v>
      </c>
      <c r="AE3079" s="5">
        <f t="shared" si="146"/>
        <v>5</v>
      </c>
      <c r="AF3079" s="5">
        <f t="shared" si="147"/>
        <v>2028</v>
      </c>
    </row>
    <row r="3080" s="5" customFormat="1" ht="13">
      <c r="A3080" s="5">
        <v>12316</v>
      </c>
      <c r="B3080" s="5" t="s">
        <v>78</v>
      </c>
      <c r="C3080" s="5" t="s">
        <v>183</v>
      </c>
      <c r="D3080" s="5" t="s">
        <v>21</v>
      </c>
      <c r="E3080" s="5" t="s">
        <v>34</v>
      </c>
      <c r="F3080" s="5" t="s">
        <v>184</v>
      </c>
      <c r="H3080" s="9">
        <v>6390</v>
      </c>
      <c r="I3080" s="10"/>
      <c r="J3080" s="10">
        <v>46882</v>
      </c>
      <c r="K3080" s="5" t="s">
        <v>124</v>
      </c>
      <c r="L3080" s="5" t="s">
        <v>82</v>
      </c>
      <c r="M3080" s="11">
        <v>0.079000000000000001</v>
      </c>
      <c r="N3080" s="5" t="e">
        <f>IF(AND(M3080&gt;#REF!,Cartera!O3080="Guaraníes"),"Rendimiento significativo",IF(AND(M3080&gt;#REF!,Cartera!O3080="Dólares americanos"),"Rendimiento significativo","Rendimiento no significativo"))</f>
        <v>#REF!</v>
      </c>
      <c r="O3080" s="5" t="s">
        <v>41</v>
      </c>
      <c r="P3080" s="12">
        <v>9848020</v>
      </c>
      <c r="Q3080" s="12">
        <f>IF(O3080="Guaraníes",P3080,P3080*#REF!)</f>
        <v>9848020</v>
      </c>
      <c r="R3080" s="12" t="e">
        <f>IF(O3080="Guaraníes",P3080/#REF!,P3080)</f>
        <v>#REF!</v>
      </c>
      <c r="S3080" s="5" t="s">
        <v>42</v>
      </c>
      <c r="V3080" s="5">
        <v>9848020</v>
      </c>
      <c r="W3080" s="5" t="s">
        <v>313</v>
      </c>
      <c r="AC3080" s="5" t="str">
        <f t="shared" si="148"/>
        <v>CDA</v>
      </c>
      <c r="AD3080" s="5" t="s">
        <v>43</v>
      </c>
      <c r="AE3080" s="5">
        <f t="shared" si="146"/>
        <v>5</v>
      </c>
      <c r="AF3080" s="5">
        <f t="shared" si="147"/>
        <v>2028</v>
      </c>
    </row>
    <row r="3081" s="5" customFormat="1" ht="13">
      <c r="A3081" s="5">
        <v>12316</v>
      </c>
      <c r="B3081" s="5" t="s">
        <v>78</v>
      </c>
      <c r="C3081" s="5" t="s">
        <v>183</v>
      </c>
      <c r="D3081" s="5" t="s">
        <v>21</v>
      </c>
      <c r="E3081" s="5" t="s">
        <v>34</v>
      </c>
      <c r="F3081" s="5" t="s">
        <v>184</v>
      </c>
      <c r="H3081" s="9">
        <v>6391</v>
      </c>
      <c r="I3081" s="10"/>
      <c r="J3081" s="10">
        <v>46882</v>
      </c>
      <c r="K3081" s="5" t="s">
        <v>124</v>
      </c>
      <c r="L3081" s="5" t="s">
        <v>82</v>
      </c>
      <c r="M3081" s="11">
        <v>0.079000000000000001</v>
      </c>
      <c r="N3081" s="5" t="e">
        <f>IF(AND(M3081&gt;#REF!,Cartera!O3081="Guaraníes"),"Rendimiento significativo",IF(AND(M3081&gt;#REF!,Cartera!O3081="Dólares americanos"),"Rendimiento significativo","Rendimiento no significativo"))</f>
        <v>#REF!</v>
      </c>
      <c r="O3081" s="5" t="s">
        <v>41</v>
      </c>
      <c r="P3081" s="12">
        <v>9848020</v>
      </c>
      <c r="Q3081" s="12">
        <f>IF(O3081="Guaraníes",P3081,P3081*#REF!)</f>
        <v>9848020</v>
      </c>
      <c r="R3081" s="12" t="e">
        <f>IF(O3081="Guaraníes",P3081/#REF!,P3081)</f>
        <v>#REF!</v>
      </c>
      <c r="S3081" s="5" t="s">
        <v>42</v>
      </c>
      <c r="V3081" s="5">
        <v>9848020</v>
      </c>
      <c r="W3081" s="5" t="s">
        <v>313</v>
      </c>
      <c r="AC3081" s="5" t="str">
        <f t="shared" si="148"/>
        <v>CDA</v>
      </c>
      <c r="AD3081" s="5" t="s">
        <v>43</v>
      </c>
      <c r="AE3081" s="5">
        <f t="shared" si="146"/>
        <v>5</v>
      </c>
      <c r="AF3081" s="5">
        <f t="shared" si="147"/>
        <v>2028</v>
      </c>
    </row>
    <row r="3082" s="5" customFormat="1" ht="13">
      <c r="A3082" s="5">
        <v>12316</v>
      </c>
      <c r="B3082" s="5" t="s">
        <v>78</v>
      </c>
      <c r="C3082" s="5" t="s">
        <v>183</v>
      </c>
      <c r="D3082" s="5" t="s">
        <v>21</v>
      </c>
      <c r="E3082" s="5" t="s">
        <v>34</v>
      </c>
      <c r="F3082" s="5" t="s">
        <v>184</v>
      </c>
      <c r="H3082" s="9">
        <v>6388</v>
      </c>
      <c r="I3082" s="10"/>
      <c r="J3082" s="10">
        <v>46882</v>
      </c>
      <c r="K3082" s="5" t="s">
        <v>124</v>
      </c>
      <c r="L3082" s="5" t="s">
        <v>82</v>
      </c>
      <c r="M3082" s="11">
        <v>0.079000000000000001</v>
      </c>
      <c r="N3082" s="5" t="e">
        <f>IF(AND(M3082&gt;#REF!,Cartera!O3082="Guaraníes"),"Rendimiento significativo",IF(AND(M3082&gt;#REF!,Cartera!O3082="Dólares americanos"),"Rendimiento significativo","Rendimiento no significativo"))</f>
        <v>#REF!</v>
      </c>
      <c r="O3082" s="5" t="s">
        <v>41</v>
      </c>
      <c r="P3082" s="12">
        <v>9848020</v>
      </c>
      <c r="Q3082" s="12">
        <f>IF(O3082="Guaraníes",P3082,P3082*#REF!)</f>
        <v>9848020</v>
      </c>
      <c r="R3082" s="12" t="e">
        <f>IF(O3082="Guaraníes",P3082/#REF!,P3082)</f>
        <v>#REF!</v>
      </c>
      <c r="S3082" s="5" t="s">
        <v>42</v>
      </c>
      <c r="V3082" s="5">
        <v>9956240</v>
      </c>
      <c r="W3082" s="5" t="s">
        <v>712</v>
      </c>
      <c r="AC3082" s="5" t="str">
        <f t="shared" si="148"/>
        <v>CDA</v>
      </c>
      <c r="AD3082" s="5" t="s">
        <v>43</v>
      </c>
      <c r="AE3082" s="5">
        <f t="shared" si="146"/>
        <v>5</v>
      </c>
      <c r="AF3082" s="5">
        <f t="shared" si="147"/>
        <v>2028</v>
      </c>
    </row>
    <row r="3083" s="5" customFormat="1" ht="13">
      <c r="A3083" s="5">
        <v>12316</v>
      </c>
      <c r="B3083" s="5" t="s">
        <v>78</v>
      </c>
      <c r="C3083" s="5" t="s">
        <v>164</v>
      </c>
      <c r="D3083" s="5" t="s">
        <v>21</v>
      </c>
      <c r="E3083" s="5" t="s">
        <v>34</v>
      </c>
      <c r="F3083" s="5" t="s">
        <v>68</v>
      </c>
      <c r="G3083" s="5" t="s">
        <v>145</v>
      </c>
      <c r="H3083" s="9" t="s">
        <v>165</v>
      </c>
      <c r="I3083" s="10"/>
      <c r="J3083" s="10">
        <v>46904</v>
      </c>
      <c r="K3083" s="5" t="s">
        <v>124</v>
      </c>
      <c r="L3083" s="5" t="s">
        <v>58</v>
      </c>
      <c r="M3083" s="11">
        <v>0.10000000000000001</v>
      </c>
      <c r="N3083" s="5" t="e">
        <f>IF(AND(M3083&gt;#REF!,Cartera!O3083="Guaraníes"),"Rendimiento significativo",IF(AND(M3083&gt;#REF!,Cartera!O3083="Dólares americanos"),"Rendimiento significativo","Rendimiento no significativo"))</f>
        <v>#REF!</v>
      </c>
      <c r="O3083" s="5" t="s">
        <v>41</v>
      </c>
      <c r="P3083" s="12">
        <v>3616438.3560000001</v>
      </c>
      <c r="Q3083" s="12">
        <f>IF(O3083="Guaraníes",P3083,P3083*#REF!)</f>
        <v>3616438.3560000001</v>
      </c>
      <c r="R3083" s="12" t="e">
        <f>IF(O3083="Guaraníes",P3083/#REF!,P3083)</f>
        <v>#REF!</v>
      </c>
      <c r="S3083" s="5" t="s">
        <v>42</v>
      </c>
      <c r="T3083" s="5">
        <v>1057</v>
      </c>
      <c r="W3083" s="5" t="s">
        <v>65</v>
      </c>
      <c r="X3083" s="5">
        <v>0</v>
      </c>
      <c r="Y3083" s="5">
        <v>0</v>
      </c>
      <c r="Z3083" s="5">
        <v>9041.0958900000005</v>
      </c>
      <c r="AA3083" s="5">
        <v>400</v>
      </c>
      <c r="AB3083" s="5">
        <v>3616438.3560000001</v>
      </c>
      <c r="AC3083" s="5" t="str">
        <f t="shared" si="148"/>
        <v>Bonos</v>
      </c>
      <c r="AD3083" s="5" t="s">
        <v>43</v>
      </c>
      <c r="AE3083" s="5">
        <f t="shared" si="146"/>
        <v>5</v>
      </c>
      <c r="AF3083" s="5">
        <f t="shared" si="147"/>
        <v>2028</v>
      </c>
    </row>
    <row r="3084" s="5" customFormat="1" ht="13">
      <c r="A3084" s="5">
        <v>12316</v>
      </c>
      <c r="B3084" s="5" t="s">
        <v>78</v>
      </c>
      <c r="C3084" s="5" t="s">
        <v>164</v>
      </c>
      <c r="D3084" s="5" t="s">
        <v>21</v>
      </c>
      <c r="E3084" s="5" t="s">
        <v>34</v>
      </c>
      <c r="F3084" s="5" t="s">
        <v>68</v>
      </c>
      <c r="G3084" s="5" t="s">
        <v>141</v>
      </c>
      <c r="H3084" s="9" t="s">
        <v>165</v>
      </c>
      <c r="I3084" s="10"/>
      <c r="J3084" s="10">
        <v>46904</v>
      </c>
      <c r="K3084" s="5" t="s">
        <v>124</v>
      </c>
      <c r="L3084" s="5" t="s">
        <v>58</v>
      </c>
      <c r="M3084" s="11">
        <v>0.10000000000000001</v>
      </c>
      <c r="N3084" s="5" t="e">
        <f>IF(AND(M3084&gt;#REF!,Cartera!O3084="Guaraníes"),"Rendimiento significativo",IF(AND(M3084&gt;#REF!,Cartera!O3084="Dólares americanos"),"Rendimiento significativo","Rendimiento no significativo"))</f>
        <v>#REF!</v>
      </c>
      <c r="O3084" s="5" t="s">
        <v>41</v>
      </c>
      <c r="P3084" s="12">
        <v>904109.58900000004</v>
      </c>
      <c r="Q3084" s="12">
        <f>IF(O3084="Guaraníes",P3084,P3084*#REF!)</f>
        <v>904109.58900000004</v>
      </c>
      <c r="R3084" s="12" t="e">
        <f>IF(O3084="Guaraníes",P3084/#REF!,P3084)</f>
        <v>#REF!</v>
      </c>
      <c r="S3084" s="5" t="s">
        <v>42</v>
      </c>
      <c r="T3084" s="5">
        <v>9243</v>
      </c>
      <c r="W3084" s="5" t="s">
        <v>65</v>
      </c>
      <c r="X3084" s="5">
        <v>0</v>
      </c>
      <c r="Y3084" s="5">
        <v>0</v>
      </c>
      <c r="Z3084" s="5">
        <v>9041.0958900000005</v>
      </c>
      <c r="AA3084" s="5">
        <v>100</v>
      </c>
      <c r="AB3084" s="5">
        <v>904109.58900000004</v>
      </c>
      <c r="AC3084" s="5" t="str">
        <f t="shared" si="148"/>
        <v>Bonos</v>
      </c>
      <c r="AD3084" s="5" t="s">
        <v>43</v>
      </c>
      <c r="AE3084" s="5">
        <f t="shared" si="146"/>
        <v>5</v>
      </c>
      <c r="AF3084" s="5">
        <f t="shared" si="147"/>
        <v>2028</v>
      </c>
    </row>
    <row r="3085" s="5" customFormat="1" ht="13">
      <c r="A3085" s="5">
        <v>12302</v>
      </c>
      <c r="B3085" s="5" t="s">
        <v>98</v>
      </c>
      <c r="C3085" s="5" t="s">
        <v>33</v>
      </c>
      <c r="D3085" s="5" t="s">
        <v>20</v>
      </c>
      <c r="E3085" s="5" t="s">
        <v>34</v>
      </c>
      <c r="F3085" s="5" t="s">
        <v>35</v>
      </c>
      <c r="G3085" s="5" t="s">
        <v>141</v>
      </c>
      <c r="H3085" s="9" t="s">
        <v>142</v>
      </c>
      <c r="I3085" s="10">
        <v>44956</v>
      </c>
      <c r="J3085" s="10">
        <v>47505</v>
      </c>
      <c r="K3085" s="5" t="s">
        <v>39</v>
      </c>
      <c r="L3085" s="5" t="s">
        <v>50</v>
      </c>
      <c r="M3085" s="11">
        <v>0.065000000000000002</v>
      </c>
      <c r="N3085" s="5" t="e">
        <f>IF(AND(M3085&gt;#REF!,Cartera!O3085="Guaraníes"),"Rendimiento significativo",IF(AND(M3085&gt;#REF!,Cartera!O3085="Dólares americanos"),"Rendimiento significativo","Rendimiento no significativo"))</f>
        <v>#REF!</v>
      </c>
      <c r="O3085" s="5" t="s">
        <v>51</v>
      </c>
      <c r="P3085" s="13">
        <v>80000</v>
      </c>
      <c r="Q3085" s="12" t="e">
        <f>IF(O3085="Guaraníes",P3085,P3085*#REF!)</f>
        <v>#REF!</v>
      </c>
      <c r="R3085" s="12">
        <f>IF(O3085="Guaraníes",P3085/#REF!,P3085)</f>
        <v>80000</v>
      </c>
      <c r="S3085" s="5" t="s">
        <v>42</v>
      </c>
      <c r="AC3085" s="5" t="str">
        <f t="shared" si="148"/>
        <v>Bonos</v>
      </c>
      <c r="AD3085" s="5" t="s">
        <v>43</v>
      </c>
      <c r="AE3085" s="5">
        <f t="shared" si="146"/>
        <v>1</v>
      </c>
      <c r="AF3085" s="5">
        <f t="shared" si="147"/>
        <v>2030</v>
      </c>
    </row>
    <row r="3086" s="5" customFormat="1" ht="13">
      <c r="A3086" s="5" t="s">
        <v>44</v>
      </c>
      <c r="B3086" s="5" t="s">
        <v>44</v>
      </c>
      <c r="C3086" s="5" t="s">
        <v>33</v>
      </c>
      <c r="D3086" s="5" t="s">
        <v>21</v>
      </c>
      <c r="E3086" s="5" t="s">
        <v>44</v>
      </c>
      <c r="F3086" s="5" t="s">
        <v>35</v>
      </c>
      <c r="G3086" s="5" t="s">
        <v>141</v>
      </c>
      <c r="H3086" s="9" t="s">
        <v>214</v>
      </c>
      <c r="I3086" s="10">
        <v>45015</v>
      </c>
      <c r="J3086" s="10">
        <v>45106</v>
      </c>
      <c r="K3086" s="5" t="s">
        <v>39</v>
      </c>
      <c r="L3086" s="5" t="s">
        <v>106</v>
      </c>
      <c r="M3086" s="11">
        <v>0.092700000000000005</v>
      </c>
      <c r="N3086" s="5" t="e">
        <f>IF(AND(M3086&gt;#REF!,Cartera!O3086="Guaraníes"),"Rendimiento significativo",IF(AND(M3086&gt;#REF!,Cartera!O3086="Dólares americanos"),"Rendimiento significativo","Rendimiento no significativo"))</f>
        <v>#REF!</v>
      </c>
      <c r="O3086" s="5" t="s">
        <v>41</v>
      </c>
      <c r="P3086" s="12">
        <v>6933452.0547000002</v>
      </c>
      <c r="Q3086" s="12">
        <f>IF(O3086="Guaraníes",P3086,P3086*#REF!)</f>
        <v>6933452.0547000002</v>
      </c>
      <c r="R3086" s="12" t="e">
        <f>IF(O3086="Guaraníes",P3086/#REF!,P3086)</f>
        <v>#REF!</v>
      </c>
      <c r="S3086" s="5" t="s">
        <v>52</v>
      </c>
      <c r="AC3086" s="5" t="str">
        <f t="shared" si="148"/>
        <v>Bonos</v>
      </c>
      <c r="AD3086" s="5" t="s">
        <v>43</v>
      </c>
      <c r="AE3086" s="5">
        <f t="shared" si="146"/>
        <v>6</v>
      </c>
      <c r="AF3086" s="5">
        <f t="shared" si="147"/>
        <v>2023</v>
      </c>
    </row>
    <row r="3087" s="5" customFormat="1" ht="13">
      <c r="A3087" s="5" t="s">
        <v>44</v>
      </c>
      <c r="B3087" s="5" t="s">
        <v>44</v>
      </c>
      <c r="C3087" s="5" t="s">
        <v>33</v>
      </c>
      <c r="D3087" s="5" t="s">
        <v>21</v>
      </c>
      <c r="E3087" s="5" t="s">
        <v>44</v>
      </c>
      <c r="F3087" s="5" t="s">
        <v>35</v>
      </c>
      <c r="G3087" s="5" t="s">
        <v>141</v>
      </c>
      <c r="H3087" s="9" t="s">
        <v>214</v>
      </c>
      <c r="I3087" s="10">
        <v>45015</v>
      </c>
      <c r="J3087" s="10">
        <v>45197</v>
      </c>
      <c r="K3087" s="5" t="s">
        <v>39</v>
      </c>
      <c r="L3087" s="5" t="s">
        <v>106</v>
      </c>
      <c r="M3087" s="11">
        <v>0.092700000000000005</v>
      </c>
      <c r="N3087" s="5" t="e">
        <f>IF(AND(M3087&gt;#REF!,Cartera!O3087="Guaraníes"),"Rendimiento significativo",IF(AND(M3087&gt;#REF!,Cartera!O3087="Dólares americanos"),"Rendimiento significativo","Rendimiento no significativo"))</f>
        <v>#REF!</v>
      </c>
      <c r="O3087" s="5" t="s">
        <v>41</v>
      </c>
      <c r="P3087" s="12">
        <v>6933452.0547000002</v>
      </c>
      <c r="Q3087" s="12">
        <f>IF(O3087="Guaraníes",P3087,P3087*#REF!)</f>
        <v>6933452.0547000002</v>
      </c>
      <c r="R3087" s="12" t="e">
        <f>IF(O3087="Guaraníes",P3087/#REF!,P3087)</f>
        <v>#REF!</v>
      </c>
      <c r="S3087" s="5" t="s">
        <v>52</v>
      </c>
      <c r="AC3087" s="5" t="str">
        <f t="shared" si="148"/>
        <v>Bonos</v>
      </c>
      <c r="AD3087" s="5" t="s">
        <v>43</v>
      </c>
      <c r="AE3087" s="5">
        <f t="shared" si="146"/>
        <v>9</v>
      </c>
      <c r="AF3087" s="5">
        <f t="shared" si="147"/>
        <v>2023</v>
      </c>
    </row>
    <row r="3088" s="5" customFormat="1" ht="13">
      <c r="A3088" s="5" t="s">
        <v>44</v>
      </c>
      <c r="B3088" s="5" t="s">
        <v>44</v>
      </c>
      <c r="C3088" s="5" t="s">
        <v>33</v>
      </c>
      <c r="D3088" s="5" t="s">
        <v>21</v>
      </c>
      <c r="E3088" s="5" t="s">
        <v>44</v>
      </c>
      <c r="F3088" s="5" t="s">
        <v>35</v>
      </c>
      <c r="G3088" s="5" t="s">
        <v>141</v>
      </c>
      <c r="H3088" s="9" t="s">
        <v>214</v>
      </c>
      <c r="I3088" s="10">
        <v>45015</v>
      </c>
      <c r="J3088" s="10">
        <v>45288</v>
      </c>
      <c r="K3088" s="5" t="s">
        <v>39</v>
      </c>
      <c r="L3088" s="5" t="s">
        <v>106</v>
      </c>
      <c r="M3088" s="11">
        <v>0.092700000000000005</v>
      </c>
      <c r="N3088" s="5" t="e">
        <f>IF(AND(M3088&gt;#REF!,Cartera!O3088="Guaraníes"),"Rendimiento significativo",IF(AND(M3088&gt;#REF!,Cartera!O3088="Dólares americanos"),"Rendimiento significativo","Rendimiento no significativo"))</f>
        <v>#REF!</v>
      </c>
      <c r="O3088" s="5" t="s">
        <v>41</v>
      </c>
      <c r="P3088" s="12">
        <v>6933452.0547000002</v>
      </c>
      <c r="Q3088" s="12">
        <f>IF(O3088="Guaraníes",P3088,P3088*#REF!)</f>
        <v>6933452.0547000002</v>
      </c>
      <c r="R3088" s="12" t="e">
        <f>IF(O3088="Guaraníes",P3088/#REF!,P3088)</f>
        <v>#REF!</v>
      </c>
      <c r="S3088" s="5" t="s">
        <v>52</v>
      </c>
      <c r="AC3088" s="5" t="str">
        <f t="shared" si="148"/>
        <v>Bonos</v>
      </c>
      <c r="AD3088" s="5" t="s">
        <v>43</v>
      </c>
      <c r="AE3088" s="5">
        <f t="shared" si="146"/>
        <v>12</v>
      </c>
      <c r="AF3088" s="5">
        <f t="shared" si="147"/>
        <v>2023</v>
      </c>
    </row>
    <row r="3089" s="5" customFormat="1" ht="13">
      <c r="A3089" s="5" t="s">
        <v>44</v>
      </c>
      <c r="B3089" s="5" t="s">
        <v>44</v>
      </c>
      <c r="C3089" s="5" t="s">
        <v>33</v>
      </c>
      <c r="D3089" s="5" t="s">
        <v>21</v>
      </c>
      <c r="E3089" s="5" t="s">
        <v>44</v>
      </c>
      <c r="F3089" s="5" t="s">
        <v>35</v>
      </c>
      <c r="G3089" s="5" t="s">
        <v>141</v>
      </c>
      <c r="H3089" s="9" t="s">
        <v>214</v>
      </c>
      <c r="I3089" s="10">
        <v>45015</v>
      </c>
      <c r="J3089" s="10">
        <v>45378</v>
      </c>
      <c r="K3089" s="5" t="s">
        <v>39</v>
      </c>
      <c r="L3089" s="5" t="s">
        <v>106</v>
      </c>
      <c r="M3089" s="11">
        <v>0.092700000000000005</v>
      </c>
      <c r="N3089" s="5" t="e">
        <f>IF(AND(M3089&gt;#REF!,Cartera!O3089="Guaraníes"),"Rendimiento significativo",IF(AND(M3089&gt;#REF!,Cartera!O3089="Dólares americanos"),"Rendimiento significativo","Rendimiento no significativo"))</f>
        <v>#REF!</v>
      </c>
      <c r="O3089" s="5" t="s">
        <v>41</v>
      </c>
      <c r="P3089" s="12">
        <v>6857260.2741</v>
      </c>
      <c r="Q3089" s="12">
        <f>IF(O3089="Guaraníes",P3089,P3089*#REF!)</f>
        <v>6857260.2741</v>
      </c>
      <c r="R3089" s="12" t="e">
        <f>IF(O3089="Guaraníes",P3089/#REF!,P3089)</f>
        <v>#REF!</v>
      </c>
      <c r="S3089" s="5" t="s">
        <v>52</v>
      </c>
      <c r="AC3089" s="5" t="str">
        <f t="shared" si="148"/>
        <v>Bonos</v>
      </c>
      <c r="AD3089" s="5" t="s">
        <v>43</v>
      </c>
      <c r="AE3089" s="5">
        <f t="shared" si="146"/>
        <v>3</v>
      </c>
      <c r="AF3089" s="5">
        <f t="shared" si="147"/>
        <v>2024</v>
      </c>
    </row>
    <row r="3090" s="5" customFormat="1" ht="13">
      <c r="A3090" s="5" t="s">
        <v>544</v>
      </c>
      <c r="B3090" s="5" t="s">
        <v>544</v>
      </c>
      <c r="C3090" s="5" t="s">
        <v>33</v>
      </c>
      <c r="D3090" s="5" t="s">
        <v>21</v>
      </c>
      <c r="E3090" s="5" t="s">
        <v>544</v>
      </c>
      <c r="F3090" s="5" t="s">
        <v>35</v>
      </c>
      <c r="G3090" s="5" t="s">
        <v>141</v>
      </c>
      <c r="H3090" s="9" t="s">
        <v>214</v>
      </c>
      <c r="I3090" s="10">
        <v>45015</v>
      </c>
      <c r="J3090" s="10">
        <v>45470</v>
      </c>
      <c r="K3090" s="5" t="s">
        <v>39</v>
      </c>
      <c r="L3090" s="5" t="s">
        <v>106</v>
      </c>
      <c r="M3090" s="11">
        <v>0.092700000000000005</v>
      </c>
      <c r="N3090" s="5" t="e">
        <f>IF(AND(M3090&gt;#REF!,Cartera!O3090="Guaraníes"),"Rendimiento significativo",IF(AND(M3090&gt;#REF!,Cartera!O3090="Dólares americanos"),"Rendimiento significativo","Rendimiento no significativo"))</f>
        <v>#REF!</v>
      </c>
      <c r="O3090" s="5" t="s">
        <v>41</v>
      </c>
      <c r="P3090" s="12">
        <v>7009643.8355999999</v>
      </c>
      <c r="Q3090" s="12">
        <f>IF(O3090="Guaraníes",P3090,P3090*#REF!)</f>
        <v>7009643.8355999999</v>
      </c>
      <c r="R3090" s="12" t="e">
        <f>IF(O3090="Guaraníes",P3090/#REF!,P3090)</f>
        <v>#REF!</v>
      </c>
      <c r="S3090" s="5" t="s">
        <v>52</v>
      </c>
      <c r="AC3090" s="5" t="str">
        <f t="shared" si="148"/>
        <v>Bonos</v>
      </c>
      <c r="AD3090" s="5" t="s">
        <v>43</v>
      </c>
      <c r="AE3090" s="5">
        <f t="shared" ref="AE3090:AE3153" si="149">IFERROR((MONTH(J3090)),0)</f>
        <v>6</v>
      </c>
      <c r="AF3090" s="5">
        <f t="shared" ref="AF3090:AF3153" si="150">IFERROR((YEAR(J3090)),0)</f>
        <v>2024</v>
      </c>
    </row>
    <row r="3091" s="5" customFormat="1" ht="13">
      <c r="A3091" s="5" t="s">
        <v>44</v>
      </c>
      <c r="B3091" s="5" t="s">
        <v>44</v>
      </c>
      <c r="C3091" s="5" t="s">
        <v>89</v>
      </c>
      <c r="D3091" s="5" t="s">
        <v>21</v>
      </c>
      <c r="E3091" s="5" t="s">
        <v>44</v>
      </c>
      <c r="F3091" s="5" t="s">
        <v>68</v>
      </c>
      <c r="G3091" s="5" t="s">
        <v>112</v>
      </c>
      <c r="H3091" s="9" t="s">
        <v>113</v>
      </c>
      <c r="I3091" s="10"/>
      <c r="J3091" s="10">
        <v>45588</v>
      </c>
      <c r="K3091" s="5" t="s">
        <v>64</v>
      </c>
      <c r="L3091" s="5" t="s">
        <v>58</v>
      </c>
      <c r="M3091" s="11">
        <v>0.085000000000000006</v>
      </c>
      <c r="N3091" s="5" t="e">
        <f>IF(AND(M3091&gt;#REF!,Cartera!O3091="Guaraníes"),"Rendimiento significativo",IF(AND(M3091&gt;#REF!,Cartera!O3091="Dólares americanos"),"Rendimiento significativo","Rendimiento no significativo"))</f>
        <v>#REF!</v>
      </c>
      <c r="O3091" s="5" t="s">
        <v>51</v>
      </c>
      <c r="P3091" s="13">
        <v>423.83561999999995</v>
      </c>
      <c r="Q3091" s="12" t="e">
        <f>IF(O3091="Guaraníes",P3091,P3091*#REF!)</f>
        <v>#REF!</v>
      </c>
      <c r="R3091" s="12">
        <f>IF(O3091="Guaraníes",P3091/#REF!,P3091)</f>
        <v>423.83561999999995</v>
      </c>
      <c r="S3091" s="5" t="s">
        <v>52</v>
      </c>
      <c r="T3091" s="5">
        <v>2475</v>
      </c>
      <c r="W3091" s="5" t="s">
        <v>65</v>
      </c>
      <c r="X3091" s="5">
        <v>0</v>
      </c>
      <c r="Y3091" s="5">
        <v>0</v>
      </c>
      <c r="Z3091" s="5">
        <v>21.191780999999999</v>
      </c>
      <c r="AA3091" s="5">
        <v>20</v>
      </c>
      <c r="AB3091" s="5">
        <v>423.83562000000001</v>
      </c>
      <c r="AC3091" s="5" t="str">
        <f t="shared" si="148"/>
        <v>Bonos</v>
      </c>
      <c r="AD3091" s="5" t="s">
        <v>43</v>
      </c>
      <c r="AE3091" s="5">
        <f t="shared" si="149"/>
        <v>10</v>
      </c>
      <c r="AF3091" s="5">
        <f t="shared" si="150"/>
        <v>2024</v>
      </c>
    </row>
    <row r="3092" s="5" customFormat="1" ht="13">
      <c r="A3092" s="5" t="s">
        <v>44</v>
      </c>
      <c r="B3092" s="5" t="s">
        <v>44</v>
      </c>
      <c r="C3092" s="5" t="s">
        <v>54</v>
      </c>
      <c r="D3092" s="5" t="s">
        <v>21</v>
      </c>
      <c r="E3092" s="5" t="s">
        <v>44</v>
      </c>
      <c r="F3092" s="5" t="s">
        <v>46</v>
      </c>
      <c r="G3092" s="5" t="s">
        <v>75</v>
      </c>
      <c r="H3092" s="9" t="s">
        <v>147</v>
      </c>
      <c r="I3092" s="10"/>
      <c r="J3092" s="10">
        <v>45649</v>
      </c>
      <c r="K3092" s="5" t="s">
        <v>57</v>
      </c>
      <c r="L3092" s="5" t="s">
        <v>58</v>
      </c>
      <c r="M3092" s="11">
        <v>0.12</v>
      </c>
      <c r="N3092" s="5" t="e">
        <f>IF(AND(M3092&gt;#REF!,Cartera!O3092="Guaraníes"),"Rendimiento significativo",IF(AND(M3092&gt;#REF!,Cartera!O3092="Dólares americanos"),"Rendimiento significativo","Rendimiento no significativo"))</f>
        <v>#REF!</v>
      </c>
      <c r="O3092" s="5" t="s">
        <v>41</v>
      </c>
      <c r="P3092" s="12">
        <v>4487671.2328500003</v>
      </c>
      <c r="Q3092" s="12">
        <f>IF(O3092="Guaraníes",P3092,P3092*#REF!)</f>
        <v>4487671.2328500003</v>
      </c>
      <c r="R3092" s="12" t="e">
        <f>IF(O3092="Guaraníes",P3092/#REF!,P3092)</f>
        <v>#REF!</v>
      </c>
      <c r="S3092" s="5" t="s">
        <v>52</v>
      </c>
      <c r="T3092" s="5">
        <v>25</v>
      </c>
      <c r="W3092" s="5" t="s">
        <v>273</v>
      </c>
      <c r="X3092" s="5">
        <v>0</v>
      </c>
      <c r="Y3092" s="5">
        <v>0</v>
      </c>
      <c r="Z3092" s="5">
        <v>29917.808218999999</v>
      </c>
      <c r="AA3092" s="5">
        <v>150</v>
      </c>
      <c r="AB3092" s="5">
        <v>4487671.2328500003</v>
      </c>
      <c r="AC3092" s="5" t="str">
        <f t="shared" si="148"/>
        <v>Bonos</v>
      </c>
      <c r="AD3092" s="5" t="s">
        <v>43</v>
      </c>
      <c r="AE3092" s="5">
        <f t="shared" si="149"/>
        <v>12</v>
      </c>
      <c r="AF3092" s="5">
        <f t="shared" si="150"/>
        <v>2024</v>
      </c>
    </row>
    <row r="3093" s="5" customFormat="1" ht="13">
      <c r="A3093" s="5">
        <v>12316</v>
      </c>
      <c r="B3093" s="5" t="s">
        <v>78</v>
      </c>
      <c r="C3093" s="5" t="s">
        <v>138</v>
      </c>
      <c r="D3093" s="5" t="s">
        <v>21</v>
      </c>
      <c r="E3093" s="5" t="s">
        <v>34</v>
      </c>
      <c r="F3093" s="5" t="s">
        <v>68</v>
      </c>
      <c r="G3093" s="5" t="s">
        <v>86</v>
      </c>
      <c r="H3093" s="9" t="s">
        <v>139</v>
      </c>
      <c r="I3093" s="10">
        <v>43948</v>
      </c>
      <c r="J3093" s="10">
        <v>46906</v>
      </c>
      <c r="K3093" s="5" t="s">
        <v>140</v>
      </c>
      <c r="L3093" s="5" t="s">
        <v>58</v>
      </c>
      <c r="M3093" s="11">
        <v>0.11</v>
      </c>
      <c r="N3093" s="5" t="e">
        <f>IF(AND(M3093&gt;#REF!,Cartera!O3093="Guaraníes"),"Rendimiento significativo",IF(AND(M3093&gt;#REF!,Cartera!O3093="Dólares americanos"),"Rendimiento significativo","Rendimiento no significativo"))</f>
        <v>#REF!</v>
      </c>
      <c r="O3093" s="5" t="s">
        <v>41</v>
      </c>
      <c r="P3093" s="12">
        <v>676841.05729999999</v>
      </c>
      <c r="Q3093" s="12">
        <f>IF(O3093="Guaraníes",P3093,P3093*#REF!)</f>
        <v>676841.05729999999</v>
      </c>
      <c r="R3093" s="12" t="e">
        <f>IF(O3093="Guaraníes",P3093/#REF!,P3093)</f>
        <v>#REF!</v>
      </c>
      <c r="S3093" s="5" t="s">
        <v>42</v>
      </c>
      <c r="AC3093" s="5" t="str">
        <f t="shared" si="148"/>
        <v>Bonos</v>
      </c>
      <c r="AD3093" s="5" t="s">
        <v>43</v>
      </c>
      <c r="AE3093" s="5">
        <f t="shared" si="149"/>
        <v>6</v>
      </c>
      <c r="AF3093" s="5">
        <f t="shared" si="150"/>
        <v>2028</v>
      </c>
    </row>
    <row r="3094" s="5" customFormat="1" ht="13">
      <c r="A3094" s="5">
        <v>12315</v>
      </c>
      <c r="B3094" s="5" t="s">
        <v>73</v>
      </c>
      <c r="C3094" s="5" t="s">
        <v>33</v>
      </c>
      <c r="D3094" s="5" t="s">
        <v>21</v>
      </c>
      <c r="E3094" s="5" t="s">
        <v>34</v>
      </c>
      <c r="F3094" s="5" t="s">
        <v>35</v>
      </c>
      <c r="G3094" s="5" t="s">
        <v>75</v>
      </c>
      <c r="H3094" s="9" t="s">
        <v>186</v>
      </c>
      <c r="I3094" s="10"/>
      <c r="J3094" s="10">
        <v>46911</v>
      </c>
      <c r="K3094" s="5" t="s">
        <v>39</v>
      </c>
      <c r="L3094" s="5" t="s">
        <v>50</v>
      </c>
      <c r="M3094" s="11">
        <v>0.044999999999999998</v>
      </c>
      <c r="N3094" s="5" t="e">
        <f>IF(AND(M3094&gt;#REF!,Cartera!O3094="Guaraníes"),"Rendimiento significativo",IF(AND(M3094&gt;#REF!,Cartera!O3094="Dólares americanos"),"Rendimiento significativo","Rendimiento no significativo"))</f>
        <v>#REF!</v>
      </c>
      <c r="O3094" s="5" t="s">
        <v>51</v>
      </c>
      <c r="P3094" s="13">
        <v>336.57533999999998</v>
      </c>
      <c r="Q3094" s="12" t="e">
        <f>IF(O3094="Guaraníes",P3094,P3094*#REF!)</f>
        <v>#REF!</v>
      </c>
      <c r="R3094" s="12">
        <f>IF(O3094="Guaraníes",P3094/#REF!,P3094)</f>
        <v>336.57533999999998</v>
      </c>
      <c r="S3094" s="5" t="s">
        <v>42</v>
      </c>
      <c r="T3094" s="5">
        <v>25</v>
      </c>
      <c r="W3094" s="5" t="s">
        <v>65</v>
      </c>
      <c r="X3094" s="5">
        <v>0</v>
      </c>
      <c r="Y3094" s="5">
        <v>0</v>
      </c>
      <c r="Z3094" s="5">
        <v>11.219177999999999</v>
      </c>
      <c r="AA3094" s="5">
        <v>30</v>
      </c>
      <c r="AB3094" s="5">
        <v>336.57533999999998</v>
      </c>
      <c r="AC3094" s="5" t="str">
        <f t="shared" si="148"/>
        <v>Bonos</v>
      </c>
      <c r="AD3094" s="5" t="s">
        <v>43</v>
      </c>
      <c r="AE3094" s="5">
        <f t="shared" si="149"/>
        <v>6</v>
      </c>
      <c r="AF3094" s="5">
        <f t="shared" si="150"/>
        <v>2028</v>
      </c>
    </row>
    <row r="3095" s="5" customFormat="1" ht="13">
      <c r="A3095" s="5">
        <v>12315</v>
      </c>
      <c r="B3095" s="5" t="s">
        <v>73</v>
      </c>
      <c r="C3095" s="5" t="s">
        <v>33</v>
      </c>
      <c r="D3095" s="5" t="s">
        <v>21</v>
      </c>
      <c r="E3095" s="5" t="s">
        <v>34</v>
      </c>
      <c r="F3095" s="5" t="s">
        <v>35</v>
      </c>
      <c r="G3095" s="5" t="s">
        <v>69</v>
      </c>
      <c r="H3095" s="9" t="s">
        <v>186</v>
      </c>
      <c r="I3095" s="10"/>
      <c r="J3095" s="10">
        <v>46911</v>
      </c>
      <c r="K3095" s="5" t="s">
        <v>39</v>
      </c>
      <c r="L3095" s="5" t="s">
        <v>50</v>
      </c>
      <c r="M3095" s="11">
        <v>0.044999999999999998</v>
      </c>
      <c r="N3095" s="5" t="e">
        <f>IF(AND(M3095&gt;#REF!,Cartera!O3095="Guaraníes"),"Rendimiento significativo",IF(AND(M3095&gt;#REF!,Cartera!O3095="Dólares americanos"),"Rendimiento significativo","Rendimiento no significativo"))</f>
        <v>#REF!</v>
      </c>
      <c r="O3095" s="5" t="s">
        <v>51</v>
      </c>
      <c r="P3095" s="13">
        <v>448.76711999999998</v>
      </c>
      <c r="Q3095" s="12" t="e">
        <f>IF(O3095="Guaraníes",P3095,P3095*#REF!)</f>
        <v>#REF!</v>
      </c>
      <c r="R3095" s="12">
        <f>IF(O3095="Guaraníes",P3095/#REF!,P3095)</f>
        <v>448.76711999999998</v>
      </c>
      <c r="S3095" s="5" t="s">
        <v>42</v>
      </c>
      <c r="T3095" s="5">
        <v>593</v>
      </c>
      <c r="W3095" s="5" t="s">
        <v>65</v>
      </c>
      <c r="X3095" s="5">
        <v>0</v>
      </c>
      <c r="Y3095" s="5">
        <v>0</v>
      </c>
      <c r="Z3095" s="5">
        <v>11.219177999999999</v>
      </c>
      <c r="AA3095" s="5">
        <v>40</v>
      </c>
      <c r="AB3095" s="5">
        <v>448.76711999999998</v>
      </c>
      <c r="AC3095" s="5" t="str">
        <f t="shared" si="148"/>
        <v>Bonos</v>
      </c>
      <c r="AD3095" s="5" t="s">
        <v>43</v>
      </c>
      <c r="AE3095" s="5">
        <f t="shared" si="149"/>
        <v>6</v>
      </c>
      <c r="AF3095" s="5">
        <f t="shared" si="150"/>
        <v>2028</v>
      </c>
    </row>
    <row r="3096" s="5" customFormat="1" ht="13">
      <c r="A3096" s="5">
        <v>12316</v>
      </c>
      <c r="B3096" s="5" t="s">
        <v>78</v>
      </c>
      <c r="C3096" s="5" t="s">
        <v>160</v>
      </c>
      <c r="D3096" s="5" t="s">
        <v>21</v>
      </c>
      <c r="E3096" s="5" t="s">
        <v>34</v>
      </c>
      <c r="F3096" s="5" t="s">
        <v>68</v>
      </c>
      <c r="G3096" s="5" t="s">
        <v>91</v>
      </c>
      <c r="H3096" s="9" t="s">
        <v>161</v>
      </c>
      <c r="I3096" s="10">
        <v>44581</v>
      </c>
      <c r="J3096" s="10">
        <v>46916</v>
      </c>
      <c r="K3096" s="5" t="s">
        <v>162</v>
      </c>
      <c r="L3096" s="5" t="s">
        <v>58</v>
      </c>
      <c r="M3096" s="11">
        <v>0.086999999999999994</v>
      </c>
      <c r="N3096" s="5" t="e">
        <f>IF(AND(M3096&gt;#REF!,Cartera!O3096="Guaraníes"),"Rendimiento significativo",IF(AND(M3096&gt;#REF!,Cartera!O3096="Dólares americanos"),"Rendimiento significativo","Rendimiento no significativo"))</f>
        <v>#REF!</v>
      </c>
      <c r="O3096" s="5" t="s">
        <v>41</v>
      </c>
      <c r="P3096" s="12">
        <v>17352328.767200001</v>
      </c>
      <c r="Q3096" s="12">
        <f>IF(O3096="Guaraníes",P3096,P3096*#REF!)</f>
        <v>17352328.767200001</v>
      </c>
      <c r="R3096" s="12" t="e">
        <f>IF(O3096="Guaraníes",P3096/#REF!,P3096)</f>
        <v>#REF!</v>
      </c>
      <c r="S3096" s="5" t="s">
        <v>42</v>
      </c>
      <c r="AC3096" s="5" t="str">
        <f t="shared" si="148"/>
        <v>Bonos</v>
      </c>
      <c r="AD3096" s="5" t="s">
        <v>43</v>
      </c>
      <c r="AE3096" s="5">
        <f t="shared" si="149"/>
        <v>6</v>
      </c>
      <c r="AF3096" s="5">
        <f t="shared" si="150"/>
        <v>2028</v>
      </c>
    </row>
    <row r="3097" s="5" customFormat="1" ht="13">
      <c r="A3097" s="5">
        <v>12316</v>
      </c>
      <c r="B3097" s="5" t="s">
        <v>78</v>
      </c>
      <c r="C3097" s="5" t="s">
        <v>54</v>
      </c>
      <c r="D3097" s="5" t="s">
        <v>21</v>
      </c>
      <c r="E3097" s="5" t="s">
        <v>34</v>
      </c>
      <c r="F3097" s="5" t="s">
        <v>46</v>
      </c>
      <c r="G3097" s="5" t="s">
        <v>86</v>
      </c>
      <c r="H3097" s="9" t="s">
        <v>147</v>
      </c>
      <c r="I3097" s="10"/>
      <c r="J3097" s="10">
        <v>46923</v>
      </c>
      <c r="K3097" s="5" t="s">
        <v>57</v>
      </c>
      <c r="L3097" s="5" t="s">
        <v>58</v>
      </c>
      <c r="M3097" s="11">
        <v>0.12</v>
      </c>
      <c r="N3097" s="5" t="e">
        <f>IF(AND(M3097&gt;#REF!,Cartera!O3097="Guaraníes"),"Rendimiento significativo",IF(AND(M3097&gt;#REF!,Cartera!O3097="Dólares americanos"),"Rendimiento significativo","Rendimiento no significativo"))</f>
        <v>#REF!</v>
      </c>
      <c r="O3097" s="5" t="s">
        <v>41</v>
      </c>
      <c r="P3097" s="12">
        <v>2991780.8218999999</v>
      </c>
      <c r="Q3097" s="12">
        <f>IF(O3097="Guaraníes",P3097,P3097*#REF!)</f>
        <v>2991780.8218999999</v>
      </c>
      <c r="R3097" s="12" t="e">
        <f>IF(O3097="Guaraníes",P3097/#REF!,P3097)</f>
        <v>#REF!</v>
      </c>
      <c r="S3097" s="5" t="s">
        <v>42</v>
      </c>
      <c r="T3097" s="5">
        <v>10834</v>
      </c>
      <c r="W3097" s="5" t="s">
        <v>65</v>
      </c>
      <c r="X3097" s="5">
        <v>0</v>
      </c>
      <c r="Y3097" s="5">
        <v>0</v>
      </c>
      <c r="Z3097" s="5">
        <v>29917.808218999999</v>
      </c>
      <c r="AA3097" s="5">
        <v>100</v>
      </c>
      <c r="AB3097" s="5">
        <v>2991780.8218999999</v>
      </c>
      <c r="AC3097" s="5" t="str">
        <f t="shared" si="148"/>
        <v>Bonos</v>
      </c>
      <c r="AD3097" s="5" t="s">
        <v>43</v>
      </c>
      <c r="AE3097" s="5">
        <f t="shared" si="149"/>
        <v>6</v>
      </c>
      <c r="AF3097" s="5">
        <f t="shared" si="150"/>
        <v>2028</v>
      </c>
    </row>
    <row r="3098" s="5" customFormat="1" ht="13">
      <c r="A3098" s="5">
        <v>12301</v>
      </c>
      <c r="B3098" s="5" t="s">
        <v>107</v>
      </c>
      <c r="C3098" s="5" t="s">
        <v>33</v>
      </c>
      <c r="D3098" s="5" t="s">
        <v>20</v>
      </c>
      <c r="E3098" s="5" t="s">
        <v>34</v>
      </c>
      <c r="F3098" s="5" t="s">
        <v>35</v>
      </c>
      <c r="G3098" s="5" t="s">
        <v>141</v>
      </c>
      <c r="H3098" s="9" t="s">
        <v>214</v>
      </c>
      <c r="I3098" s="10">
        <v>45015</v>
      </c>
      <c r="J3098" s="10">
        <v>46107</v>
      </c>
      <c r="K3098" s="5" t="s">
        <v>39</v>
      </c>
      <c r="L3098" s="5" t="s">
        <v>106</v>
      </c>
      <c r="M3098" s="11">
        <v>0.092700000000000005</v>
      </c>
      <c r="N3098" s="5" t="e">
        <f>IF(AND(M3098&gt;#REF!,Cartera!O3098="Guaraníes"),"Rendimiento significativo",IF(AND(M3098&gt;#REF!,Cartera!O3098="Dólares americanos"),"Rendimiento significativo","Rendimiento no significativo"))</f>
        <v>#REF!</v>
      </c>
      <c r="O3098" s="5" t="s">
        <v>41</v>
      </c>
      <c r="P3098" s="12">
        <v>300000000</v>
      </c>
      <c r="Q3098" s="12">
        <f>IF(O3098="Guaraníes",P3098,P3098*#REF!)</f>
        <v>300000000</v>
      </c>
      <c r="R3098" s="12" t="e">
        <f>IF(O3098="Guaraníes",P3098/#REF!,P3098)</f>
        <v>#REF!</v>
      </c>
      <c r="S3098" s="5" t="s">
        <v>42</v>
      </c>
      <c r="AC3098" s="5" t="str">
        <f t="shared" si="148"/>
        <v>Bonos</v>
      </c>
      <c r="AD3098" s="5" t="s">
        <v>43</v>
      </c>
      <c r="AE3098" s="5">
        <f t="shared" si="149"/>
        <v>3</v>
      </c>
      <c r="AF3098" s="5">
        <f t="shared" si="150"/>
        <v>2026</v>
      </c>
    </row>
    <row r="3099" s="5" customFormat="1" ht="13">
      <c r="A3099" s="5" t="s">
        <v>544</v>
      </c>
      <c r="B3099" s="5" t="s">
        <v>544</v>
      </c>
      <c r="C3099" s="5" t="s">
        <v>79</v>
      </c>
      <c r="D3099" s="5" t="s">
        <v>21</v>
      </c>
      <c r="E3099" s="5" t="s">
        <v>544</v>
      </c>
      <c r="F3099" s="5" t="s">
        <v>68</v>
      </c>
      <c r="H3099" s="9" t="s">
        <v>80</v>
      </c>
      <c r="I3099" s="10">
        <v>45013</v>
      </c>
      <c r="J3099" s="10">
        <v>45105</v>
      </c>
      <c r="K3099" s="5" t="s">
        <v>81</v>
      </c>
      <c r="L3099" s="5" t="s">
        <v>82</v>
      </c>
      <c r="M3099" s="11">
        <v>0.098000000000000004</v>
      </c>
      <c r="N3099" s="5" t="e">
        <f>IF(AND(M3099&gt;#REF!,Cartera!O3099="Guaraníes"),"Rendimiento significativo",IF(AND(M3099&gt;#REF!,Cartera!O3099="Dólares americanos"),"Rendimiento significativo","Rendimiento no significativo"))</f>
        <v>#REF!</v>
      </c>
      <c r="O3099" s="5" t="s">
        <v>41</v>
      </c>
      <c r="P3099" s="12">
        <v>4310993</v>
      </c>
      <c r="Q3099" s="12">
        <f>IF(O3099="Guaraníes",P3099,P3099*#REF!)</f>
        <v>4310993</v>
      </c>
      <c r="R3099" s="12" t="e">
        <f>IF(O3099="Guaraníes",P3099/#REF!,P3099)</f>
        <v>#REF!</v>
      </c>
      <c r="S3099" s="5" t="s">
        <v>52</v>
      </c>
      <c r="AC3099" s="5" t="str">
        <f t="shared" si="148"/>
        <v>CDA</v>
      </c>
      <c r="AD3099" s="5" t="s">
        <v>43</v>
      </c>
      <c r="AE3099" s="5">
        <f t="shared" si="149"/>
        <v>6</v>
      </c>
      <c r="AF3099" s="5">
        <f t="shared" si="150"/>
        <v>2023</v>
      </c>
    </row>
    <row r="3100" s="5" customFormat="1" ht="13">
      <c r="A3100" s="5" t="s">
        <v>544</v>
      </c>
      <c r="B3100" s="5" t="s">
        <v>544</v>
      </c>
      <c r="C3100" s="5" t="s">
        <v>79</v>
      </c>
      <c r="D3100" s="5" t="s">
        <v>21</v>
      </c>
      <c r="E3100" s="5" t="s">
        <v>544</v>
      </c>
      <c r="F3100" s="5" t="s">
        <v>68</v>
      </c>
      <c r="H3100" s="9" t="s">
        <v>80</v>
      </c>
      <c r="I3100" s="10">
        <v>45013</v>
      </c>
      <c r="J3100" s="10">
        <v>45197</v>
      </c>
      <c r="K3100" s="5" t="s">
        <v>81</v>
      </c>
      <c r="L3100" s="5" t="s">
        <v>82</v>
      </c>
      <c r="M3100" s="11">
        <v>0.098000000000000004</v>
      </c>
      <c r="N3100" s="5" t="e">
        <f>IF(AND(M3100&gt;#REF!,Cartera!O3100="Guaraníes"),"Rendimiento significativo",IF(AND(M3100&gt;#REF!,Cartera!O3100="Dólares americanos"),"Rendimiento significativo","Rendimiento no significativo"))</f>
        <v>#REF!</v>
      </c>
      <c r="O3100" s="5" t="s">
        <v>41</v>
      </c>
      <c r="P3100" s="12">
        <v>4310993</v>
      </c>
      <c r="Q3100" s="12">
        <f>IF(O3100="Guaraníes",P3100,P3100*#REF!)</f>
        <v>4310993</v>
      </c>
      <c r="R3100" s="12" t="e">
        <f>IF(O3100="Guaraníes",P3100/#REF!,P3100)</f>
        <v>#REF!</v>
      </c>
      <c r="S3100" s="5" t="s">
        <v>52</v>
      </c>
      <c r="AC3100" s="5" t="str">
        <f t="shared" si="148"/>
        <v>CDA</v>
      </c>
      <c r="AD3100" s="5" t="s">
        <v>43</v>
      </c>
      <c r="AE3100" s="5">
        <f t="shared" si="149"/>
        <v>9</v>
      </c>
      <c r="AF3100" s="5">
        <f t="shared" si="150"/>
        <v>2023</v>
      </c>
    </row>
    <row r="3101" s="5" customFormat="1" ht="13">
      <c r="A3101" s="5" t="s">
        <v>44</v>
      </c>
      <c r="B3101" s="5" t="s">
        <v>44</v>
      </c>
      <c r="C3101" s="5" t="s">
        <v>79</v>
      </c>
      <c r="D3101" s="5" t="s">
        <v>21</v>
      </c>
      <c r="E3101" s="5" t="s">
        <v>44</v>
      </c>
      <c r="F3101" s="5" t="s">
        <v>68</v>
      </c>
      <c r="H3101" s="9" t="s">
        <v>80</v>
      </c>
      <c r="I3101" s="10">
        <v>45013</v>
      </c>
      <c r="J3101" s="10">
        <v>45288</v>
      </c>
      <c r="K3101" s="5" t="s">
        <v>81</v>
      </c>
      <c r="L3101" s="5" t="s">
        <v>82</v>
      </c>
      <c r="M3101" s="11">
        <v>0.098000000000000004</v>
      </c>
      <c r="N3101" s="5" t="e">
        <f>IF(AND(M3101&gt;#REF!,Cartera!O3101="Guaraníes"),"Rendimiento significativo",IF(AND(M3101&gt;#REF!,Cartera!O3101="Dólares americanos"),"Rendimiento significativo","Rendimiento no significativo"))</f>
        <v>#REF!</v>
      </c>
      <c r="O3101" s="5" t="s">
        <v>41</v>
      </c>
      <c r="P3101" s="12">
        <v>4310993</v>
      </c>
      <c r="Q3101" s="12">
        <f>IF(O3101="Guaraníes",P3101,P3101*#REF!)</f>
        <v>4310993</v>
      </c>
      <c r="R3101" s="12" t="e">
        <f>IF(O3101="Guaraníes",P3101/#REF!,P3101)</f>
        <v>#REF!</v>
      </c>
      <c r="S3101" s="5" t="s">
        <v>52</v>
      </c>
      <c r="AC3101" s="5" t="str">
        <f t="shared" si="148"/>
        <v>CDA</v>
      </c>
      <c r="AD3101" s="5" t="s">
        <v>43</v>
      </c>
      <c r="AE3101" s="5">
        <f t="shared" si="149"/>
        <v>12</v>
      </c>
      <c r="AF3101" s="5">
        <f t="shared" si="150"/>
        <v>2023</v>
      </c>
    </row>
    <row r="3102" s="5" customFormat="1" ht="13">
      <c r="A3102" s="5" t="s">
        <v>44</v>
      </c>
      <c r="B3102" s="5" t="s">
        <v>44</v>
      </c>
      <c r="C3102" s="5" t="s">
        <v>79</v>
      </c>
      <c r="D3102" s="5" t="s">
        <v>21</v>
      </c>
      <c r="E3102" s="5" t="s">
        <v>44</v>
      </c>
      <c r="F3102" s="5" t="s">
        <v>68</v>
      </c>
      <c r="H3102" s="9" t="s">
        <v>80</v>
      </c>
      <c r="I3102" s="10">
        <v>45013</v>
      </c>
      <c r="J3102" s="10">
        <v>45379</v>
      </c>
      <c r="K3102" s="5" t="s">
        <v>81</v>
      </c>
      <c r="L3102" s="5" t="s">
        <v>82</v>
      </c>
      <c r="M3102" s="11">
        <v>0.098000000000000004</v>
      </c>
      <c r="N3102" s="5" t="e">
        <f>IF(AND(M3102&gt;#REF!,Cartera!O3102="Guaraníes"),"Rendimiento significativo",IF(AND(M3102&gt;#REF!,Cartera!O3102="Dólares americanos"),"Rendimiento significativo","Rendimiento no significativo"))</f>
        <v>#REF!</v>
      </c>
      <c r="O3102" s="5" t="s">
        <v>41</v>
      </c>
      <c r="P3102" s="12">
        <v>4310993</v>
      </c>
      <c r="Q3102" s="12">
        <f>IF(O3102="Guaraníes",P3102,P3102*#REF!)</f>
        <v>4310993</v>
      </c>
      <c r="R3102" s="12" t="e">
        <f>IF(O3102="Guaraníes",P3102/#REF!,P3102)</f>
        <v>#REF!</v>
      </c>
      <c r="S3102" s="5" t="s">
        <v>52</v>
      </c>
      <c r="AC3102" s="5" t="str">
        <f t="shared" si="148"/>
        <v>CDA</v>
      </c>
      <c r="AD3102" s="5" t="s">
        <v>43</v>
      </c>
      <c r="AE3102" s="5">
        <f t="shared" si="149"/>
        <v>3</v>
      </c>
      <c r="AF3102" s="5">
        <f t="shared" si="150"/>
        <v>2024</v>
      </c>
    </row>
    <row r="3103" s="5" customFormat="1" ht="13">
      <c r="A3103" s="5" t="s">
        <v>44</v>
      </c>
      <c r="B3103" s="5" t="s">
        <v>44</v>
      </c>
      <c r="C3103" s="5" t="s">
        <v>79</v>
      </c>
      <c r="D3103" s="5" t="s">
        <v>21</v>
      </c>
      <c r="E3103" s="5" t="s">
        <v>44</v>
      </c>
      <c r="F3103" s="5" t="s">
        <v>68</v>
      </c>
      <c r="H3103" s="9" t="s">
        <v>80</v>
      </c>
      <c r="I3103" s="10">
        <v>45013</v>
      </c>
      <c r="J3103" s="10">
        <v>45471</v>
      </c>
      <c r="K3103" s="5" t="s">
        <v>81</v>
      </c>
      <c r="L3103" s="5" t="s">
        <v>82</v>
      </c>
      <c r="M3103" s="11">
        <v>0.098000000000000004</v>
      </c>
      <c r="N3103" s="5" t="e">
        <f>IF(AND(M3103&gt;#REF!,Cartera!O3103="Guaraníes"),"Rendimiento significativo",IF(AND(M3103&gt;#REF!,Cartera!O3103="Dólares americanos"),"Rendimiento significativo","Rendimiento no significativo"))</f>
        <v>#REF!</v>
      </c>
      <c r="O3103" s="5" t="s">
        <v>41</v>
      </c>
      <c r="P3103" s="12">
        <v>4310993</v>
      </c>
      <c r="Q3103" s="12">
        <f>IF(O3103="Guaraníes",P3103,P3103*#REF!)</f>
        <v>4310993</v>
      </c>
      <c r="R3103" s="12" t="e">
        <f>IF(O3103="Guaraníes",P3103/#REF!,P3103)</f>
        <v>#REF!</v>
      </c>
      <c r="S3103" s="5" t="s">
        <v>52</v>
      </c>
      <c r="AC3103" s="5" t="str">
        <f t="shared" si="148"/>
        <v>CDA</v>
      </c>
      <c r="AD3103" s="5" t="s">
        <v>43</v>
      </c>
      <c r="AE3103" s="5">
        <f t="shared" si="149"/>
        <v>6</v>
      </c>
      <c r="AF3103" s="5">
        <f t="shared" si="150"/>
        <v>2024</v>
      </c>
    </row>
    <row r="3104" s="5" customFormat="1" ht="13">
      <c r="A3104" s="5" t="s">
        <v>44</v>
      </c>
      <c r="B3104" s="5" t="s">
        <v>44</v>
      </c>
      <c r="C3104" s="5" t="s">
        <v>212</v>
      </c>
      <c r="D3104" s="5" t="s">
        <v>21</v>
      </c>
      <c r="E3104" s="5" t="s">
        <v>44</v>
      </c>
      <c r="F3104" s="5" t="s">
        <v>68</v>
      </c>
      <c r="G3104" s="5" t="s">
        <v>86</v>
      </c>
      <c r="H3104" s="9" t="s">
        <v>213</v>
      </c>
      <c r="I3104" s="10">
        <v>44651</v>
      </c>
      <c r="J3104" s="10">
        <v>45561</v>
      </c>
      <c r="K3104" s="5" t="s">
        <v>81</v>
      </c>
      <c r="L3104" s="5" t="s">
        <v>58</v>
      </c>
      <c r="M3104" s="11">
        <v>0.053499999999999999</v>
      </c>
      <c r="N3104" s="5" t="e">
        <f>IF(AND(M3104&gt;#REF!,Cartera!O3104="Guaraníes"),"Rendimiento significativo",IF(AND(M3104&gt;#REF!,Cartera!O3104="Dólares americanos"),"Rendimiento significativo","Rendimiento no significativo"))</f>
        <v>#REF!</v>
      </c>
      <c r="O3104" s="5" t="s">
        <v>51</v>
      </c>
      <c r="P3104" s="13">
        <v>2667.6712000000002</v>
      </c>
      <c r="Q3104" s="12" t="e">
        <f>IF(O3104="Guaraníes",P3104,P3104*#REF!)</f>
        <v>#REF!</v>
      </c>
      <c r="R3104" s="12">
        <f>IF(O3104="Guaraníes",P3104/#REF!,P3104)</f>
        <v>2667.6712000000002</v>
      </c>
      <c r="S3104" s="5" t="s">
        <v>52</v>
      </c>
      <c r="V3104" s="5">
        <v>26.676711999999998</v>
      </c>
      <c r="AA3104" s="5">
        <v>100</v>
      </c>
      <c r="AC3104" s="5" t="str">
        <f t="shared" si="148"/>
        <v>Bonos</v>
      </c>
      <c r="AD3104" s="5" t="s">
        <v>43</v>
      </c>
      <c r="AE3104" s="5">
        <f t="shared" si="149"/>
        <v>9</v>
      </c>
      <c r="AF3104" s="5">
        <f t="shared" si="150"/>
        <v>2024</v>
      </c>
    </row>
    <row r="3105" s="5" customFormat="1" ht="13">
      <c r="A3105" s="5">
        <v>12316</v>
      </c>
      <c r="B3105" s="5" t="s">
        <v>78</v>
      </c>
      <c r="C3105" s="5" t="s">
        <v>54</v>
      </c>
      <c r="D3105" s="5" t="s">
        <v>21</v>
      </c>
      <c r="E3105" s="5" t="s">
        <v>34</v>
      </c>
      <c r="F3105" s="5" t="s">
        <v>46</v>
      </c>
      <c r="G3105" s="5" t="s">
        <v>86</v>
      </c>
      <c r="H3105" s="9" t="s">
        <v>148</v>
      </c>
      <c r="I3105" s="10"/>
      <c r="J3105" s="10">
        <v>46923</v>
      </c>
      <c r="K3105" s="5" t="s">
        <v>57</v>
      </c>
      <c r="L3105" s="5" t="s">
        <v>58</v>
      </c>
      <c r="M3105" s="11">
        <v>0.097500000000000003</v>
      </c>
      <c r="N3105" s="5" t="e">
        <f>IF(AND(M3105&gt;#REF!,Cartera!O3105="Guaraníes"),"Rendimiento significativo",IF(AND(M3105&gt;#REF!,Cartera!O3105="Dólares americanos"),"Rendimiento significativo","Rendimiento no significativo"))</f>
        <v>#REF!</v>
      </c>
      <c r="O3105" s="5" t="s">
        <v>41</v>
      </c>
      <c r="P3105" s="12">
        <v>12154109.589</v>
      </c>
      <c r="Q3105" s="12">
        <f>IF(O3105="Guaraníes",P3105,P3105*#REF!)</f>
        <v>12154109.589</v>
      </c>
      <c r="R3105" s="12" t="e">
        <f>IF(O3105="Guaraníes",P3105/#REF!,P3105)</f>
        <v>#REF!</v>
      </c>
      <c r="S3105" s="5" t="s">
        <v>42</v>
      </c>
      <c r="T3105" s="5">
        <v>10834</v>
      </c>
      <c r="W3105" s="5" t="s">
        <v>65</v>
      </c>
      <c r="X3105" s="5">
        <v>0</v>
      </c>
      <c r="Y3105" s="5">
        <v>0</v>
      </c>
      <c r="Z3105" s="5">
        <v>24308.219177999999</v>
      </c>
      <c r="AA3105" s="5">
        <v>500</v>
      </c>
      <c r="AB3105" s="5">
        <v>12154109.589</v>
      </c>
      <c r="AC3105" s="5" t="str">
        <f t="shared" si="148"/>
        <v>Bonos</v>
      </c>
      <c r="AD3105" s="5" t="s">
        <v>43</v>
      </c>
      <c r="AE3105" s="5">
        <f t="shared" si="149"/>
        <v>6</v>
      </c>
      <c r="AF3105" s="5">
        <f t="shared" si="150"/>
        <v>2028</v>
      </c>
    </row>
    <row r="3106" s="5" customFormat="1" ht="13">
      <c r="A3106" s="5">
        <v>12316</v>
      </c>
      <c r="B3106" s="5" t="s">
        <v>78</v>
      </c>
      <c r="C3106" s="5" t="s">
        <v>54</v>
      </c>
      <c r="D3106" s="5" t="s">
        <v>21</v>
      </c>
      <c r="E3106" s="5" t="s">
        <v>34</v>
      </c>
      <c r="F3106" s="5" t="s">
        <v>46</v>
      </c>
      <c r="G3106" s="5" t="s">
        <v>75</v>
      </c>
      <c r="H3106" s="9" t="s">
        <v>147</v>
      </c>
      <c r="I3106" s="10"/>
      <c r="J3106" s="10">
        <v>46923</v>
      </c>
      <c r="K3106" s="5" t="s">
        <v>57</v>
      </c>
      <c r="L3106" s="5" t="s">
        <v>58</v>
      </c>
      <c r="M3106" s="11">
        <v>0.12</v>
      </c>
      <c r="N3106" s="5" t="e">
        <f>IF(AND(M3106&gt;#REF!,Cartera!O3106="Guaraníes"),"Rendimiento significativo",IF(AND(M3106&gt;#REF!,Cartera!O3106="Dólares americanos"),"Rendimiento significativo","Rendimiento no significativo"))</f>
        <v>#REF!</v>
      </c>
      <c r="O3106" s="5" t="s">
        <v>41</v>
      </c>
      <c r="P3106" s="12">
        <v>4487671.2328500003</v>
      </c>
      <c r="Q3106" s="12">
        <f>IF(O3106="Guaraníes",P3106,P3106*#REF!)</f>
        <v>4487671.2328500003</v>
      </c>
      <c r="R3106" s="12" t="e">
        <f>IF(O3106="Guaraníes",P3106/#REF!,P3106)</f>
        <v>#REF!</v>
      </c>
      <c r="S3106" s="5" t="s">
        <v>42</v>
      </c>
      <c r="T3106" s="5">
        <v>25</v>
      </c>
      <c r="W3106" s="5" t="s">
        <v>192</v>
      </c>
      <c r="X3106" s="5">
        <v>0</v>
      </c>
      <c r="Y3106" s="5">
        <v>0</v>
      </c>
      <c r="Z3106" s="5">
        <v>29917.808218999999</v>
      </c>
      <c r="AA3106" s="5">
        <v>150</v>
      </c>
      <c r="AB3106" s="5">
        <v>4487671.2328500003</v>
      </c>
      <c r="AC3106" s="5" t="str">
        <f t="shared" si="148"/>
        <v>Bonos</v>
      </c>
      <c r="AD3106" s="5" t="s">
        <v>43</v>
      </c>
      <c r="AE3106" s="5">
        <f t="shared" si="149"/>
        <v>6</v>
      </c>
      <c r="AF3106" s="5">
        <f t="shared" si="150"/>
        <v>2028</v>
      </c>
    </row>
    <row r="3107" s="5" customFormat="1" ht="13">
      <c r="A3107" s="5">
        <v>12306</v>
      </c>
      <c r="B3107" s="5" t="s">
        <v>373</v>
      </c>
      <c r="C3107" s="5" t="s">
        <v>79</v>
      </c>
      <c r="D3107" s="5" t="s">
        <v>20</v>
      </c>
      <c r="E3107" s="5" t="s">
        <v>34</v>
      </c>
      <c r="F3107" s="5" t="s">
        <v>68</v>
      </c>
      <c r="H3107" s="9" t="s">
        <v>80</v>
      </c>
      <c r="I3107" s="10">
        <v>45013</v>
      </c>
      <c r="J3107" s="10">
        <v>45747</v>
      </c>
      <c r="K3107" s="5" t="s">
        <v>81</v>
      </c>
      <c r="L3107" s="5" t="s">
        <v>82</v>
      </c>
      <c r="M3107" s="11">
        <v>0.098000000000000004</v>
      </c>
      <c r="N3107" s="5" t="e">
        <f>IF(AND(M3107&gt;#REF!,Cartera!O3107="Guaraníes"),"Rendimiento significativo",IF(AND(M3107&gt;#REF!,Cartera!O3107="Dólares americanos"),"Rendimiento significativo","Rendimiento no significativo"))</f>
        <v>#REF!</v>
      </c>
      <c r="O3107" s="5" t="s">
        <v>41</v>
      </c>
      <c r="P3107" s="12">
        <v>175000000</v>
      </c>
      <c r="Q3107" s="12">
        <f>IF(O3107="Guaraníes",P3107,P3107*#REF!)</f>
        <v>175000000</v>
      </c>
      <c r="R3107" s="12" t="e">
        <f>IF(O3107="Guaraníes",P3107/#REF!,P3107)</f>
        <v>#REF!</v>
      </c>
      <c r="S3107" s="5" t="s">
        <v>42</v>
      </c>
      <c r="AC3107" s="5" t="str">
        <f t="shared" si="148"/>
        <v>CDA</v>
      </c>
      <c r="AD3107" s="5" t="s">
        <v>43</v>
      </c>
      <c r="AE3107" s="5">
        <f t="shared" si="149"/>
        <v>3</v>
      </c>
      <c r="AF3107" s="5">
        <f t="shared" si="150"/>
        <v>2025</v>
      </c>
    </row>
    <row r="3108" s="5" customFormat="1" ht="13">
      <c r="A3108" s="5" t="s">
        <v>44</v>
      </c>
      <c r="B3108" s="5" t="s">
        <v>44</v>
      </c>
      <c r="C3108" s="5" t="s">
        <v>45</v>
      </c>
      <c r="D3108" s="5" t="s">
        <v>21</v>
      </c>
      <c r="E3108" s="5" t="s">
        <v>44</v>
      </c>
      <c r="F3108" s="5" t="s">
        <v>46</v>
      </c>
      <c r="G3108" s="5" t="s">
        <v>91</v>
      </c>
      <c r="H3108" s="9" t="s">
        <v>365</v>
      </c>
      <c r="I3108" s="10"/>
      <c r="J3108" s="10">
        <v>45036</v>
      </c>
      <c r="K3108" s="5" t="s">
        <v>49</v>
      </c>
      <c r="L3108" s="5" t="s">
        <v>58</v>
      </c>
      <c r="M3108" s="11">
        <v>0.059999999999999998</v>
      </c>
      <c r="N3108" s="5" t="e">
        <f>IF(AND(M3108&gt;#REF!,Cartera!O3108="Guaraníes"),"Rendimiento significativo",IF(AND(M3108&gt;#REF!,Cartera!O3108="Dólares americanos"),"Rendimiento significativo","Rendimiento no significativo"))</f>
        <v>#REF!</v>
      </c>
      <c r="O3108" s="5" t="s">
        <v>51</v>
      </c>
      <c r="P3108" s="13">
        <v>458.11643500000002</v>
      </c>
      <c r="Q3108" s="12" t="e">
        <f>IF(O3108="Guaraníes",P3108,P3108*#REF!)</f>
        <v>#REF!</v>
      </c>
      <c r="R3108" s="12">
        <f>IF(O3108="Guaraníes",P3108/#REF!,P3108)</f>
        <v>458.11643500000002</v>
      </c>
      <c r="S3108" s="5" t="s">
        <v>52</v>
      </c>
      <c r="T3108" s="5">
        <v>3253</v>
      </c>
      <c r="AC3108" s="5" t="str">
        <f t="shared" si="148"/>
        <v>Bonos</v>
      </c>
      <c r="AD3108" s="5" t="s">
        <v>43</v>
      </c>
      <c r="AE3108" s="5">
        <f t="shared" si="149"/>
        <v>4</v>
      </c>
      <c r="AF3108" s="5">
        <f t="shared" si="150"/>
        <v>2023</v>
      </c>
    </row>
    <row r="3109" s="5" customFormat="1" ht="13">
      <c r="A3109" s="5" t="s">
        <v>44</v>
      </c>
      <c r="B3109" s="5" t="s">
        <v>44</v>
      </c>
      <c r="C3109" s="5" t="s">
        <v>99</v>
      </c>
      <c r="D3109" s="5" t="s">
        <v>21</v>
      </c>
      <c r="E3109" s="5" t="s">
        <v>44</v>
      </c>
      <c r="F3109" s="5" t="s">
        <v>100</v>
      </c>
      <c r="G3109" s="5" t="s">
        <v>47</v>
      </c>
      <c r="H3109" s="9" t="s">
        <v>238</v>
      </c>
      <c r="I3109" s="10"/>
      <c r="J3109" s="10">
        <v>44959</v>
      </c>
      <c r="K3109" s="5" t="s">
        <v>102</v>
      </c>
      <c r="L3109" s="5" t="s">
        <v>102</v>
      </c>
      <c r="M3109" s="11">
        <v>0.081000000000000003</v>
      </c>
      <c r="N3109" s="5" t="e">
        <f>IF(AND(M3109&gt;#REF!,Cartera!O3109="Guaraníes"),"Rendimiento significativo",IF(AND(M3109&gt;#REF!,Cartera!O3109="Dólares americanos"),"Rendimiento significativo","Rendimiento no significativo"))</f>
        <v>#REF!</v>
      </c>
      <c r="O3109" s="5" t="s">
        <v>41</v>
      </c>
      <c r="P3109" s="12">
        <v>6124932</v>
      </c>
      <c r="Q3109" s="12">
        <f>IF(O3109="Guaraníes",P3109,P3109*#REF!)</f>
        <v>6124932</v>
      </c>
      <c r="R3109" s="12" t="e">
        <f>IF(O3109="Guaraníes",P3109/#REF!,P3109)</f>
        <v>#REF!</v>
      </c>
      <c r="S3109" s="5" t="s">
        <v>52</v>
      </c>
      <c r="AC3109" s="5" t="str">
        <f t="shared" si="148"/>
        <v>Bonos</v>
      </c>
      <c r="AD3109" s="5" t="s">
        <v>43</v>
      </c>
      <c r="AE3109" s="5">
        <f t="shared" si="149"/>
        <v>2</v>
      </c>
      <c r="AF3109" s="5">
        <f t="shared" si="150"/>
        <v>2023</v>
      </c>
    </row>
    <row r="3110" s="5" customFormat="1" ht="13">
      <c r="A3110" s="5" t="s">
        <v>44</v>
      </c>
      <c r="B3110" s="5" t="s">
        <v>44</v>
      </c>
      <c r="C3110" s="5" t="s">
        <v>99</v>
      </c>
      <c r="D3110" s="5" t="s">
        <v>21</v>
      </c>
      <c r="E3110" s="5" t="s">
        <v>44</v>
      </c>
      <c r="F3110" s="5" t="s">
        <v>100</v>
      </c>
      <c r="G3110" s="5" t="s">
        <v>69</v>
      </c>
      <c r="H3110" s="9" t="s">
        <v>238</v>
      </c>
      <c r="I3110" s="10"/>
      <c r="J3110" s="10">
        <v>44959</v>
      </c>
      <c r="K3110" s="5" t="s">
        <v>102</v>
      </c>
      <c r="L3110" s="5" t="s">
        <v>102</v>
      </c>
      <c r="M3110" s="11">
        <v>0.070000000000000007</v>
      </c>
      <c r="N3110" s="5" t="e">
        <f>IF(AND(M3110&gt;#REF!,Cartera!O3110="Guaraníes"),"Rendimiento significativo",IF(AND(M3110&gt;#REF!,Cartera!O3110="Dólares americanos"),"Rendimiento significativo","Rendimiento no significativo"))</f>
        <v>#REF!</v>
      </c>
      <c r="O3110" s="5" t="s">
        <v>41</v>
      </c>
      <c r="P3110" s="12">
        <v>2041643.8355999999</v>
      </c>
      <c r="Q3110" s="12">
        <f>IF(O3110="Guaraníes",P3110,P3110*#REF!)</f>
        <v>2041643.8355999999</v>
      </c>
      <c r="R3110" s="12" t="e">
        <f>IF(O3110="Guaraníes",P3110/#REF!,P3110)</f>
        <v>#REF!</v>
      </c>
      <c r="S3110" s="5" t="s">
        <v>52</v>
      </c>
      <c r="T3110" s="5">
        <v>593</v>
      </c>
      <c r="W3110" s="5" t="s">
        <v>483</v>
      </c>
      <c r="X3110" s="5">
        <v>0</v>
      </c>
      <c r="Y3110" s="5">
        <v>0</v>
      </c>
      <c r="Z3110" s="5">
        <v>40167.123288000003</v>
      </c>
      <c r="AA3110" s="5">
        <v>50</v>
      </c>
      <c r="AB3110" s="5">
        <v>2008356.1643999999</v>
      </c>
      <c r="AC3110" s="5" t="str">
        <f t="shared" si="148"/>
        <v>Bonos</v>
      </c>
      <c r="AD3110" s="5" t="s">
        <v>43</v>
      </c>
      <c r="AE3110" s="5">
        <f t="shared" si="149"/>
        <v>2</v>
      </c>
      <c r="AF3110" s="5">
        <f t="shared" si="150"/>
        <v>2023</v>
      </c>
    </row>
    <row r="3111" s="5" customFormat="1" ht="13">
      <c r="A3111" s="5">
        <v>12316</v>
      </c>
      <c r="B3111" s="5" t="s">
        <v>78</v>
      </c>
      <c r="C3111" s="5" t="s">
        <v>138</v>
      </c>
      <c r="D3111" s="5" t="s">
        <v>21</v>
      </c>
      <c r="E3111" s="5" t="s">
        <v>34</v>
      </c>
      <c r="F3111" s="5" t="s">
        <v>68</v>
      </c>
      <c r="G3111" s="5" t="s">
        <v>86</v>
      </c>
      <c r="H3111" s="9" t="s">
        <v>193</v>
      </c>
      <c r="I3111" s="10">
        <v>44104</v>
      </c>
      <c r="J3111" s="10">
        <v>46924</v>
      </c>
      <c r="K3111" s="5" t="s">
        <v>140</v>
      </c>
      <c r="L3111" s="5" t="s">
        <v>58</v>
      </c>
      <c r="M3111" s="11">
        <v>0.10000000000000001</v>
      </c>
      <c r="N3111" s="5" t="e">
        <f>IF(AND(M3111&gt;#REF!,Cartera!O3111="Guaraníes"),"Rendimiento significativo",IF(AND(M3111&gt;#REF!,Cartera!O3111="Dólares americanos"),"Rendimiento significativo","Rendimiento no significativo"))</f>
        <v>#REF!</v>
      </c>
      <c r="O3111" s="5" t="s">
        <v>41</v>
      </c>
      <c r="P3111" s="12">
        <v>2493150.6849000002</v>
      </c>
      <c r="Q3111" s="12">
        <f>IF(O3111="Guaraníes",P3111,P3111*#REF!)</f>
        <v>2493150.6849000002</v>
      </c>
      <c r="R3111" s="12" t="e">
        <f>IF(O3111="Guaraníes",P3111/#REF!,P3111)</f>
        <v>#REF!</v>
      </c>
      <c r="S3111" s="5" t="s">
        <v>42</v>
      </c>
      <c r="AC3111" s="5" t="str">
        <f t="shared" si="148"/>
        <v>Bonos</v>
      </c>
      <c r="AD3111" s="5" t="s">
        <v>43</v>
      </c>
      <c r="AE3111" s="5">
        <f t="shared" si="149"/>
        <v>6</v>
      </c>
      <c r="AF3111" s="5">
        <f t="shared" si="150"/>
        <v>2028</v>
      </c>
    </row>
    <row r="3112" s="5" customFormat="1" ht="13">
      <c r="A3112" s="5">
        <v>12316</v>
      </c>
      <c r="B3112" s="5" t="s">
        <v>78</v>
      </c>
      <c r="C3112" s="5" t="s">
        <v>164</v>
      </c>
      <c r="D3112" s="5" t="s">
        <v>21</v>
      </c>
      <c r="E3112" s="5" t="s">
        <v>34</v>
      </c>
      <c r="F3112" s="5" t="s">
        <v>68</v>
      </c>
      <c r="G3112" s="5" t="s">
        <v>145</v>
      </c>
      <c r="H3112" s="9" t="s">
        <v>165</v>
      </c>
      <c r="I3112" s="10"/>
      <c r="J3112" s="10">
        <v>46934</v>
      </c>
      <c r="K3112" s="5" t="s">
        <v>124</v>
      </c>
      <c r="L3112" s="5" t="s">
        <v>58</v>
      </c>
      <c r="M3112" s="11">
        <v>0.10000000000000001</v>
      </c>
      <c r="N3112" s="5" t="e">
        <f>IF(AND(M3112&gt;#REF!,Cartera!O3112="Guaraníes"),"Rendimiento significativo",IF(AND(M3112&gt;#REF!,Cartera!O3112="Dólares americanos"),"Rendimiento significativo","Rendimiento no significativo"))</f>
        <v>#REF!</v>
      </c>
      <c r="O3112" s="5" t="s">
        <v>41</v>
      </c>
      <c r="P3112" s="12">
        <v>3287671.2328000003</v>
      </c>
      <c r="Q3112" s="12">
        <f>IF(O3112="Guaraníes",P3112,P3112*#REF!)</f>
        <v>3287671.2328000003</v>
      </c>
      <c r="R3112" s="12" t="e">
        <f>IF(O3112="Guaraníes",P3112/#REF!,P3112)</f>
        <v>#REF!</v>
      </c>
      <c r="S3112" s="5" t="s">
        <v>42</v>
      </c>
      <c r="T3112" s="5">
        <v>1057</v>
      </c>
      <c r="W3112" s="5" t="s">
        <v>65</v>
      </c>
      <c r="X3112" s="5">
        <v>0</v>
      </c>
      <c r="Y3112" s="5">
        <v>0</v>
      </c>
      <c r="Z3112" s="5">
        <v>8219.1780820000004</v>
      </c>
      <c r="AA3112" s="5">
        <v>400</v>
      </c>
      <c r="AB3112" s="5">
        <v>3287671.2327999999</v>
      </c>
      <c r="AC3112" s="5" t="str">
        <f t="shared" si="148"/>
        <v>Bonos</v>
      </c>
      <c r="AD3112" s="5" t="s">
        <v>43</v>
      </c>
      <c r="AE3112" s="5">
        <f t="shared" si="149"/>
        <v>6</v>
      </c>
      <c r="AF3112" s="5">
        <f t="shared" si="150"/>
        <v>2028</v>
      </c>
    </row>
    <row r="3113" s="5" customFormat="1" ht="13">
      <c r="A3113" s="5">
        <v>12316</v>
      </c>
      <c r="B3113" s="5" t="s">
        <v>78</v>
      </c>
      <c r="C3113" s="5" t="s">
        <v>164</v>
      </c>
      <c r="D3113" s="5" t="s">
        <v>21</v>
      </c>
      <c r="E3113" s="5" t="s">
        <v>34</v>
      </c>
      <c r="F3113" s="5" t="s">
        <v>68</v>
      </c>
      <c r="G3113" s="5" t="s">
        <v>141</v>
      </c>
      <c r="H3113" s="9" t="s">
        <v>165</v>
      </c>
      <c r="I3113" s="10"/>
      <c r="J3113" s="10">
        <v>46934</v>
      </c>
      <c r="K3113" s="5" t="s">
        <v>124</v>
      </c>
      <c r="L3113" s="5" t="s">
        <v>58</v>
      </c>
      <c r="M3113" s="11">
        <v>0.10000000000000001</v>
      </c>
      <c r="N3113" s="5" t="e">
        <f>IF(AND(M3113&gt;#REF!,Cartera!O3113="Guaraníes"),"Rendimiento significativo",IF(AND(M3113&gt;#REF!,Cartera!O3113="Dólares americanos"),"Rendimiento significativo","Rendimiento no significativo"))</f>
        <v>#REF!</v>
      </c>
      <c r="O3113" s="5" t="s">
        <v>41</v>
      </c>
      <c r="P3113" s="12">
        <v>821917.80820000009</v>
      </c>
      <c r="Q3113" s="12">
        <f>IF(O3113="Guaraníes",P3113,P3113*#REF!)</f>
        <v>821917.80820000009</v>
      </c>
      <c r="R3113" s="12" t="e">
        <f>IF(O3113="Guaraníes",P3113/#REF!,P3113)</f>
        <v>#REF!</v>
      </c>
      <c r="S3113" s="5" t="s">
        <v>42</v>
      </c>
      <c r="T3113" s="5">
        <v>9243</v>
      </c>
      <c r="W3113" s="5" t="s">
        <v>65</v>
      </c>
      <c r="X3113" s="5">
        <v>0</v>
      </c>
      <c r="Y3113" s="5">
        <v>0</v>
      </c>
      <c r="Z3113" s="5">
        <v>8219.1780820000004</v>
      </c>
      <c r="AA3113" s="5">
        <v>100</v>
      </c>
      <c r="AB3113" s="5">
        <v>821917.80819999997</v>
      </c>
      <c r="AC3113" s="5" t="str">
        <f t="shared" si="148"/>
        <v>Bonos</v>
      </c>
      <c r="AD3113" s="5" t="s">
        <v>43</v>
      </c>
      <c r="AE3113" s="5">
        <f t="shared" si="149"/>
        <v>6</v>
      </c>
      <c r="AF3113" s="5">
        <f t="shared" si="150"/>
        <v>2028</v>
      </c>
    </row>
    <row r="3114" s="5" customFormat="1" ht="13">
      <c r="A3114" s="5">
        <v>12315</v>
      </c>
      <c r="B3114" s="5" t="s">
        <v>73</v>
      </c>
      <c r="C3114" s="5" t="s">
        <v>74</v>
      </c>
      <c r="D3114" s="5" t="s">
        <v>21</v>
      </c>
      <c r="E3114" s="5" t="s">
        <v>34</v>
      </c>
      <c r="F3114" s="5" t="s">
        <v>68</v>
      </c>
      <c r="G3114" s="5" t="s">
        <v>75</v>
      </c>
      <c r="H3114" s="9" t="s">
        <v>76</v>
      </c>
      <c r="I3114" s="10"/>
      <c r="J3114" s="10">
        <v>46937</v>
      </c>
      <c r="K3114" s="5" t="s">
        <v>77</v>
      </c>
      <c r="L3114" s="5" t="s">
        <v>50</v>
      </c>
      <c r="M3114" s="11">
        <v>0.055</v>
      </c>
      <c r="N3114" s="5" t="e">
        <f>IF(AND(M3114&gt;#REF!,Cartera!O3114="Guaraníes"),"Rendimiento significativo",IF(AND(M3114&gt;#REF!,Cartera!O3114="Dólares americanos"),"Rendimiento significativo","Rendimiento no significativo"))</f>
        <v>#REF!</v>
      </c>
      <c r="O3114" s="5" t="s">
        <v>51</v>
      </c>
      <c r="P3114" s="13">
        <v>411.36986999999999</v>
      </c>
      <c r="Q3114" s="12" t="e">
        <f>IF(O3114="Guaraníes",P3114,P3114*#REF!)</f>
        <v>#REF!</v>
      </c>
      <c r="R3114" s="12">
        <f>IF(O3114="Guaraníes",P3114/#REF!,P3114)</f>
        <v>411.36986999999999</v>
      </c>
      <c r="S3114" s="5" t="s">
        <v>42</v>
      </c>
      <c r="T3114" s="5">
        <v>25</v>
      </c>
      <c r="W3114" s="5" t="s">
        <v>65</v>
      </c>
      <c r="X3114" s="5">
        <v>0</v>
      </c>
      <c r="Y3114" s="5">
        <v>0</v>
      </c>
      <c r="Z3114" s="5">
        <v>13.712329</v>
      </c>
      <c r="AA3114" s="5">
        <v>30</v>
      </c>
      <c r="AB3114" s="5">
        <v>411.37</v>
      </c>
      <c r="AC3114" s="5" t="str">
        <f t="shared" si="148"/>
        <v>Bonos</v>
      </c>
      <c r="AD3114" s="5" t="s">
        <v>43</v>
      </c>
      <c r="AE3114" s="5">
        <f t="shared" si="149"/>
        <v>7</v>
      </c>
      <c r="AF3114" s="5">
        <f t="shared" si="150"/>
        <v>2028</v>
      </c>
    </row>
    <row r="3115" s="5" customFormat="1" ht="13">
      <c r="A3115" s="5" t="s">
        <v>44</v>
      </c>
      <c r="B3115" s="5" t="s">
        <v>44</v>
      </c>
      <c r="C3115" s="5" t="s">
        <v>45</v>
      </c>
      <c r="D3115" s="5" t="s">
        <v>21</v>
      </c>
      <c r="E3115" s="5" t="s">
        <v>44</v>
      </c>
      <c r="F3115" s="5" t="s">
        <v>46</v>
      </c>
      <c r="G3115" s="5" t="s">
        <v>145</v>
      </c>
      <c r="H3115" s="9" t="s">
        <v>359</v>
      </c>
      <c r="I3115" s="10"/>
      <c r="J3115" s="10">
        <v>45155</v>
      </c>
      <c r="K3115" s="5" t="s">
        <v>49</v>
      </c>
      <c r="L3115" s="5" t="s">
        <v>50</v>
      </c>
      <c r="M3115" s="11">
        <v>0.070000000000000007</v>
      </c>
      <c r="N3115" s="5" t="e">
        <f>IF(AND(M3115&gt;#REF!,Cartera!O3115="Guaraníes"),"Rendimiento significativo",IF(AND(M3115&gt;#REF!,Cartera!O3115="Dólares americanos"),"Rendimiento significativo","Rendimiento no significativo"))</f>
        <v>#REF!</v>
      </c>
      <c r="O3115" s="5" t="s">
        <v>51</v>
      </c>
      <c r="P3115" s="13">
        <v>149.59</v>
      </c>
      <c r="Q3115" s="12" t="e">
        <f>IF(O3115="Guaraníes",P3115,P3115*#REF!)</f>
        <v>#REF!</v>
      </c>
      <c r="R3115" s="12">
        <f>IF(O3115="Guaraníes",P3115/#REF!,P3115)</f>
        <v>149.59</v>
      </c>
      <c r="S3115" s="5" t="s">
        <v>52</v>
      </c>
      <c r="T3115" s="5">
        <v>1057</v>
      </c>
      <c r="AC3115" s="5" t="str">
        <f t="shared" si="148"/>
        <v>Bonos</v>
      </c>
      <c r="AD3115" s="5" t="s">
        <v>43</v>
      </c>
      <c r="AE3115" s="5">
        <f t="shared" si="149"/>
        <v>8</v>
      </c>
      <c r="AF3115" s="5">
        <f t="shared" si="150"/>
        <v>2023</v>
      </c>
    </row>
    <row r="3116" s="5" customFormat="1" ht="13">
      <c r="A3116" s="5" t="s">
        <v>44</v>
      </c>
      <c r="B3116" s="5" t="s">
        <v>44</v>
      </c>
      <c r="C3116" s="5" t="s">
        <v>389</v>
      </c>
      <c r="D3116" s="5" t="s">
        <v>21</v>
      </c>
      <c r="E3116" s="5" t="s">
        <v>44</v>
      </c>
      <c r="F3116" s="5" t="s">
        <v>68</v>
      </c>
      <c r="G3116" s="5" t="s">
        <v>141</v>
      </c>
      <c r="H3116" s="9" t="s">
        <v>390</v>
      </c>
      <c r="I3116" s="10"/>
      <c r="J3116" s="10">
        <v>47079</v>
      </c>
      <c r="K3116" s="5" t="s">
        <v>391</v>
      </c>
      <c r="L3116" s="5" t="s">
        <v>58</v>
      </c>
      <c r="M3116" s="11">
        <v>0.1125</v>
      </c>
      <c r="N3116" s="5" t="e">
        <f>IF(AND(M3116&gt;#REF!,Cartera!O3116="Guaraníes"),"Rendimiento significativo",IF(AND(M3116&gt;#REF!,Cartera!O3116="Dólares americanos"),"Rendimiento significativo","Rendimiento no significativo"))</f>
        <v>#REF!</v>
      </c>
      <c r="O3116" s="5" t="s">
        <v>41</v>
      </c>
      <c r="P3116" s="12">
        <v>841438.35999999999</v>
      </c>
      <c r="Q3116" s="12">
        <f>IF(O3116="Guaraníes",P3116,P3116*#REF!)</f>
        <v>841438.35999999999</v>
      </c>
      <c r="R3116" s="12" t="e">
        <f>IF(O3116="Guaraníes",P3116/#REF!,P3116)</f>
        <v>#REF!</v>
      </c>
      <c r="S3116" s="5" t="s">
        <v>52</v>
      </c>
      <c r="T3116" s="5">
        <v>9243</v>
      </c>
      <c r="AC3116" s="5" t="str">
        <f t="shared" si="148"/>
        <v>Bonos</v>
      </c>
      <c r="AD3116" s="5" t="s">
        <v>43</v>
      </c>
      <c r="AE3116" s="5">
        <f t="shared" si="149"/>
        <v>11</v>
      </c>
      <c r="AF3116" s="5">
        <f t="shared" si="150"/>
        <v>2028</v>
      </c>
    </row>
    <row r="3117" s="5" customFormat="1" ht="13">
      <c r="A3117" s="5">
        <v>12316</v>
      </c>
      <c r="B3117" s="5" t="s">
        <v>78</v>
      </c>
      <c r="C3117" s="5" t="s">
        <v>138</v>
      </c>
      <c r="D3117" s="5" t="s">
        <v>21</v>
      </c>
      <c r="E3117" s="5" t="s">
        <v>34</v>
      </c>
      <c r="F3117" s="5" t="s">
        <v>68</v>
      </c>
      <c r="G3117" s="5" t="s">
        <v>86</v>
      </c>
      <c r="H3117" s="9" t="s">
        <v>139</v>
      </c>
      <c r="I3117" s="10">
        <v>43948</v>
      </c>
      <c r="J3117" s="10">
        <v>46937</v>
      </c>
      <c r="K3117" s="5" t="s">
        <v>140</v>
      </c>
      <c r="L3117" s="5" t="s">
        <v>58</v>
      </c>
      <c r="M3117" s="11">
        <v>0.11</v>
      </c>
      <c r="N3117" s="5" t="e">
        <f>IF(AND(M3117&gt;#REF!,Cartera!O3117="Guaraníes"),"Rendimiento significativo",IF(AND(M3117&gt;#REF!,Cartera!O3117="Dólares americanos"),"Rendimiento significativo","Rendimiento no significativo"))</f>
        <v>#REF!</v>
      </c>
      <c r="O3117" s="5" t="s">
        <v>41</v>
      </c>
      <c r="P3117" s="12">
        <v>688031.09139999992</v>
      </c>
      <c r="Q3117" s="12">
        <f>IF(O3117="Guaraníes",P3117,P3117*#REF!)</f>
        <v>688031.09139999992</v>
      </c>
      <c r="R3117" s="12" t="e">
        <f>IF(O3117="Guaraníes",P3117/#REF!,P3117)</f>
        <v>#REF!</v>
      </c>
      <c r="S3117" s="5" t="s">
        <v>42</v>
      </c>
      <c r="AC3117" s="5" t="str">
        <f t="shared" si="148"/>
        <v>Bonos</v>
      </c>
      <c r="AD3117" s="5" t="s">
        <v>43</v>
      </c>
      <c r="AE3117" s="5">
        <f t="shared" si="149"/>
        <v>7</v>
      </c>
      <c r="AF3117" s="5">
        <f t="shared" si="150"/>
        <v>2028</v>
      </c>
    </row>
    <row r="3118" s="5" customFormat="1" ht="13">
      <c r="A3118" s="5">
        <v>12315</v>
      </c>
      <c r="B3118" s="5" t="s">
        <v>73</v>
      </c>
      <c r="C3118" s="5" t="s">
        <v>85</v>
      </c>
      <c r="D3118" s="5" t="s">
        <v>21</v>
      </c>
      <c r="E3118" s="5" t="s">
        <v>34</v>
      </c>
      <c r="F3118" s="5" t="s">
        <v>68</v>
      </c>
      <c r="G3118" s="5" t="s">
        <v>86</v>
      </c>
      <c r="H3118" s="9" t="s">
        <v>87</v>
      </c>
      <c r="I3118" s="10"/>
      <c r="J3118" s="10">
        <v>46947</v>
      </c>
      <c r="K3118" s="5" t="s">
        <v>39</v>
      </c>
      <c r="L3118" s="5" t="s">
        <v>58</v>
      </c>
      <c r="M3118" s="11">
        <v>0.059999999999999998</v>
      </c>
      <c r="N3118" s="5" t="e">
        <f>IF(AND(M3118&gt;#REF!,Cartera!O3118="Guaraníes"),"Rendimiento significativo",IF(AND(M3118&gt;#REF!,Cartera!O3118="Dólares americanos"),"Rendimiento significativo","Rendimiento no significativo"))</f>
        <v>#REF!</v>
      </c>
      <c r="O3118" s="5" t="s">
        <v>51</v>
      </c>
      <c r="P3118" s="13">
        <v>747.9452</v>
      </c>
      <c r="Q3118" s="12" t="e">
        <f>IF(O3118="Guaraníes",P3118,P3118*#REF!)</f>
        <v>#REF!</v>
      </c>
      <c r="R3118" s="12">
        <f>IF(O3118="Guaraníes",P3118/#REF!,P3118)</f>
        <v>747.9452</v>
      </c>
      <c r="S3118" s="5" t="s">
        <v>42</v>
      </c>
      <c r="T3118" s="5">
        <v>10834</v>
      </c>
      <c r="W3118" s="5" t="s">
        <v>713</v>
      </c>
      <c r="X3118" s="5">
        <v>0</v>
      </c>
      <c r="Y3118" s="5">
        <v>0</v>
      </c>
      <c r="Z3118" s="5">
        <v>14.958904</v>
      </c>
      <c r="AA3118" s="5">
        <v>50</v>
      </c>
      <c r="AB3118" s="5">
        <v>747.9452</v>
      </c>
      <c r="AC3118" s="5" t="str">
        <f t="shared" si="148"/>
        <v>Bonos</v>
      </c>
      <c r="AD3118" s="5" t="s">
        <v>43</v>
      </c>
      <c r="AE3118" s="5">
        <f t="shared" si="149"/>
        <v>7</v>
      </c>
      <c r="AF3118" s="5">
        <f t="shared" si="150"/>
        <v>2028</v>
      </c>
    </row>
    <row r="3119" s="5" customFormat="1" ht="13">
      <c r="A3119" s="5">
        <v>12315</v>
      </c>
      <c r="B3119" s="5" t="s">
        <v>73</v>
      </c>
      <c r="C3119" s="5" t="s">
        <v>33</v>
      </c>
      <c r="D3119" s="5" t="s">
        <v>21</v>
      </c>
      <c r="E3119" s="5" t="s">
        <v>34</v>
      </c>
      <c r="F3119" s="5" t="s">
        <v>35</v>
      </c>
      <c r="G3119" s="5" t="s">
        <v>141</v>
      </c>
      <c r="H3119" s="9" t="s">
        <v>142</v>
      </c>
      <c r="I3119" s="10">
        <v>44956</v>
      </c>
      <c r="J3119" s="10">
        <v>46959</v>
      </c>
      <c r="K3119" s="5" t="s">
        <v>39</v>
      </c>
      <c r="L3119" s="5" t="s">
        <v>50</v>
      </c>
      <c r="M3119" s="11">
        <v>0.065000000000000002</v>
      </c>
      <c r="N3119" s="5" t="e">
        <f>IF(AND(M3119&gt;#REF!,Cartera!O3119="Guaraníes"),"Rendimiento significativo",IF(AND(M3119&gt;#REF!,Cartera!O3119="Dólares americanos"),"Rendimiento significativo","Rendimiento no significativo"))</f>
        <v>#REF!</v>
      </c>
      <c r="O3119" s="5" t="s">
        <v>51</v>
      </c>
      <c r="P3119" s="13">
        <v>1296.43832</v>
      </c>
      <c r="Q3119" s="12" t="e">
        <f>IF(O3119="Guaraníes",P3119,P3119*#REF!)</f>
        <v>#REF!</v>
      </c>
      <c r="R3119" s="12">
        <f>IF(O3119="Guaraníes",P3119/#REF!,P3119)</f>
        <v>1296.43832</v>
      </c>
      <c r="S3119" s="5" t="s">
        <v>42</v>
      </c>
      <c r="AC3119" s="5" t="str">
        <f t="shared" si="148"/>
        <v>Bonos</v>
      </c>
      <c r="AD3119" s="5" t="s">
        <v>43</v>
      </c>
      <c r="AE3119" s="5">
        <f t="shared" si="149"/>
        <v>7</v>
      </c>
      <c r="AF3119" s="5">
        <f t="shared" si="150"/>
        <v>2028</v>
      </c>
    </row>
    <row r="3120" s="5" customFormat="1" ht="13">
      <c r="A3120" s="5">
        <v>12316</v>
      </c>
      <c r="B3120" s="5" t="s">
        <v>78</v>
      </c>
      <c r="C3120" s="5" t="s">
        <v>164</v>
      </c>
      <c r="D3120" s="5" t="s">
        <v>21</v>
      </c>
      <c r="E3120" s="5" t="s">
        <v>34</v>
      </c>
      <c r="F3120" s="5" t="s">
        <v>68</v>
      </c>
      <c r="G3120" s="5" t="s">
        <v>145</v>
      </c>
      <c r="H3120" s="9" t="s">
        <v>165</v>
      </c>
      <c r="I3120" s="10"/>
      <c r="J3120" s="10">
        <v>46965</v>
      </c>
      <c r="K3120" s="5" t="s">
        <v>124</v>
      </c>
      <c r="L3120" s="5" t="s">
        <v>58</v>
      </c>
      <c r="M3120" s="11">
        <v>0.10000000000000001</v>
      </c>
      <c r="N3120" s="5" t="e">
        <f>IF(AND(M3120&gt;#REF!,Cartera!O3120="Guaraníes"),"Rendimiento significativo",IF(AND(M3120&gt;#REF!,Cartera!O3120="Dólares americanos"),"Rendimiento significativo","Rendimiento no significativo"))</f>
        <v>#REF!</v>
      </c>
      <c r="O3120" s="5" t="s">
        <v>41</v>
      </c>
      <c r="P3120" s="12">
        <v>3397260.2740000002</v>
      </c>
      <c r="Q3120" s="12">
        <f>IF(O3120="Guaraníes",P3120,P3120*#REF!)</f>
        <v>3397260.2740000002</v>
      </c>
      <c r="R3120" s="12" t="e">
        <f>IF(O3120="Guaraníes",P3120/#REF!,P3120)</f>
        <v>#REF!</v>
      </c>
      <c r="S3120" s="5" t="s">
        <v>42</v>
      </c>
      <c r="T3120" s="5">
        <v>1057</v>
      </c>
      <c r="W3120" s="5" t="s">
        <v>65</v>
      </c>
      <c r="X3120" s="5">
        <v>0</v>
      </c>
      <c r="Y3120" s="5">
        <v>0</v>
      </c>
      <c r="Z3120" s="5">
        <v>8493.1506850000005</v>
      </c>
      <c r="AA3120" s="5">
        <v>400</v>
      </c>
      <c r="AB3120" s="5">
        <v>3397260.2740000002</v>
      </c>
      <c r="AC3120" s="5" t="str">
        <f t="shared" si="148"/>
        <v>Bonos</v>
      </c>
      <c r="AD3120" s="5" t="s">
        <v>43</v>
      </c>
      <c r="AE3120" s="5">
        <f t="shared" si="149"/>
        <v>7</v>
      </c>
      <c r="AF3120" s="5">
        <f t="shared" si="150"/>
        <v>2028</v>
      </c>
    </row>
    <row r="3121" s="5" customFormat="1" ht="13">
      <c r="A3121" s="5" t="s">
        <v>44</v>
      </c>
      <c r="B3121" s="5" t="s">
        <v>44</v>
      </c>
      <c r="C3121" s="5" t="s">
        <v>197</v>
      </c>
      <c r="D3121" s="5" t="s">
        <v>21</v>
      </c>
      <c r="E3121" s="5" t="s">
        <v>44</v>
      </c>
      <c r="F3121" s="5" t="s">
        <v>68</v>
      </c>
      <c r="G3121" s="5" t="s">
        <v>75</v>
      </c>
      <c r="H3121" s="9" t="s">
        <v>198</v>
      </c>
      <c r="I3121" s="10"/>
      <c r="J3121" s="10">
        <v>45120</v>
      </c>
      <c r="K3121" s="5" t="s">
        <v>199</v>
      </c>
      <c r="L3121" s="5" t="s">
        <v>58</v>
      </c>
      <c r="M3121" s="11">
        <v>0.10000000000000001</v>
      </c>
      <c r="N3121" s="5" t="e">
        <f>IF(AND(M3121&gt;#REF!,Cartera!O3121="Guaraníes"),"Rendimiento significativo",IF(AND(M3121&gt;#REF!,Cartera!O3121="Dólares americanos"),"Rendimiento significativo","Rendimiento no significativo"))</f>
        <v>#REF!</v>
      </c>
      <c r="O3121" s="5" t="s">
        <v>41</v>
      </c>
      <c r="P3121" s="12">
        <v>1421095.8899999999</v>
      </c>
      <c r="Q3121" s="12">
        <f>IF(O3121="Guaraníes",P3121,P3121*#REF!)</f>
        <v>1421095.8899999999</v>
      </c>
      <c r="R3121" s="12" t="e">
        <f>IF(O3121="Guaraníes",P3121/#REF!,P3121)</f>
        <v>#REF!</v>
      </c>
      <c r="S3121" s="5" t="s">
        <v>52</v>
      </c>
      <c r="T3121" s="5">
        <v>25</v>
      </c>
      <c r="AC3121" s="5" t="str">
        <f t="shared" si="148"/>
        <v>Bonos</v>
      </c>
      <c r="AD3121" s="5" t="s">
        <v>43</v>
      </c>
      <c r="AE3121" s="5">
        <f t="shared" si="149"/>
        <v>7</v>
      </c>
      <c r="AF3121" s="5">
        <f t="shared" si="150"/>
        <v>2023</v>
      </c>
    </row>
    <row r="3122" s="5" customFormat="1" ht="13">
      <c r="A3122" s="5" t="s">
        <v>44</v>
      </c>
      <c r="B3122" s="5" t="s">
        <v>44</v>
      </c>
      <c r="C3122" s="5" t="s">
        <v>156</v>
      </c>
      <c r="D3122" s="5" t="s">
        <v>21</v>
      </c>
      <c r="E3122" s="5" t="s">
        <v>44</v>
      </c>
      <c r="F3122" s="5" t="s">
        <v>68</v>
      </c>
      <c r="G3122" s="5" t="s">
        <v>75</v>
      </c>
      <c r="H3122" s="9" t="s">
        <v>157</v>
      </c>
      <c r="I3122" s="10"/>
      <c r="J3122" s="10">
        <v>45090</v>
      </c>
      <c r="K3122" s="5" t="s">
        <v>158</v>
      </c>
      <c r="L3122" s="5" t="s">
        <v>58</v>
      </c>
      <c r="M3122" s="11">
        <v>0.16</v>
      </c>
      <c r="N3122" s="5" t="e">
        <f>IF(AND(M3122&gt;#REF!,Cartera!O3122="Guaraníes"),"Rendimiento significativo",IF(AND(M3122&gt;#REF!,Cartera!O3122="Dólares americanos"),"Rendimiento significativo","Rendimiento no significativo"))</f>
        <v>#REF!</v>
      </c>
      <c r="O3122" s="5" t="s">
        <v>41</v>
      </c>
      <c r="P3122" s="12">
        <v>2899726.0274399999</v>
      </c>
      <c r="Q3122" s="12">
        <f>IF(O3122="Guaraníes",P3122,P3122*#REF!)</f>
        <v>2899726.0274399999</v>
      </c>
      <c r="R3122" s="12" t="e">
        <f>IF(O3122="Guaraníes",P3122/#REF!,P3122)</f>
        <v>#REF!</v>
      </c>
      <c r="S3122" s="5" t="s">
        <v>52</v>
      </c>
      <c r="T3122" s="5">
        <v>25</v>
      </c>
      <c r="AC3122" s="5" t="str">
        <f t="shared" si="148"/>
        <v>Bonos</v>
      </c>
      <c r="AD3122" s="5" t="s">
        <v>43</v>
      </c>
      <c r="AE3122" s="5">
        <f t="shared" si="149"/>
        <v>6</v>
      </c>
      <c r="AF3122" s="5">
        <f t="shared" si="150"/>
        <v>2023</v>
      </c>
    </row>
    <row r="3123" s="5" customFormat="1" ht="13">
      <c r="A3123" s="5" t="s">
        <v>44</v>
      </c>
      <c r="B3123" s="5" t="s">
        <v>44</v>
      </c>
      <c r="C3123" s="5" t="s">
        <v>156</v>
      </c>
      <c r="D3123" s="5" t="s">
        <v>21</v>
      </c>
      <c r="E3123" s="5" t="s">
        <v>44</v>
      </c>
      <c r="F3123" s="5" t="s">
        <v>68</v>
      </c>
      <c r="G3123" s="5" t="s">
        <v>75</v>
      </c>
      <c r="H3123" s="9" t="s">
        <v>246</v>
      </c>
      <c r="I3123" s="10"/>
      <c r="J3123" s="10">
        <v>45232</v>
      </c>
      <c r="K3123" s="5" t="s">
        <v>158</v>
      </c>
      <c r="L3123" s="5" t="s">
        <v>58</v>
      </c>
      <c r="M3123" s="11">
        <v>0.125</v>
      </c>
      <c r="N3123" s="5" t="e">
        <f>IF(AND(M3123&gt;#REF!,Cartera!O3123="Guaraníes"),"Rendimiento significativo",IF(AND(M3123&gt;#REF!,Cartera!O3123="Dólares americanos"),"Rendimiento significativo","Rendimiento no significativo"))</f>
        <v>#REF!</v>
      </c>
      <c r="O3123" s="5" t="s">
        <v>41</v>
      </c>
      <c r="P3123" s="12">
        <v>1610960</v>
      </c>
      <c r="Q3123" s="12">
        <f>IF(O3123="Guaraníes",P3123,P3123*#REF!)</f>
        <v>1610960</v>
      </c>
      <c r="R3123" s="12" t="e">
        <f>IF(O3123="Guaraníes",P3123/#REF!,P3123)</f>
        <v>#REF!</v>
      </c>
      <c r="S3123" s="5" t="s">
        <v>52</v>
      </c>
      <c r="AC3123" s="5" t="str">
        <f t="shared" si="148"/>
        <v>Bonos</v>
      </c>
      <c r="AD3123" s="5" t="s">
        <v>43</v>
      </c>
      <c r="AE3123" s="5">
        <f t="shared" si="149"/>
        <v>11</v>
      </c>
      <c r="AF3123" s="5">
        <f t="shared" si="150"/>
        <v>2023</v>
      </c>
    </row>
    <row r="3124" s="5" customFormat="1" ht="13">
      <c r="A3124" s="5" t="s">
        <v>44</v>
      </c>
      <c r="B3124" s="5" t="s">
        <v>44</v>
      </c>
      <c r="C3124" s="5" t="s">
        <v>99</v>
      </c>
      <c r="D3124" s="5" t="s">
        <v>21</v>
      </c>
      <c r="E3124" s="5" t="s">
        <v>44</v>
      </c>
      <c r="F3124" s="5" t="s">
        <v>100</v>
      </c>
      <c r="G3124" s="5" t="s">
        <v>75</v>
      </c>
      <c r="H3124" s="9" t="s">
        <v>217</v>
      </c>
      <c r="I3124" s="10"/>
      <c r="J3124" s="10">
        <v>45589</v>
      </c>
      <c r="K3124" s="5" t="s">
        <v>102</v>
      </c>
      <c r="L3124" s="5" t="s">
        <v>102</v>
      </c>
      <c r="M3124" s="11">
        <v>0.080000000000000002</v>
      </c>
      <c r="N3124" s="5" t="e">
        <f>IF(AND(M3124&gt;#REF!,Cartera!O3124="Guaraníes"),"Rendimiento significativo",IF(AND(M3124&gt;#REF!,Cartera!O3124="Dólares americanos"),"Rendimiento significativo","Rendimiento no significativo"))</f>
        <v>#REF!</v>
      </c>
      <c r="O3124" s="5" t="s">
        <v>41</v>
      </c>
      <c r="P3124" s="12">
        <v>5767000</v>
      </c>
      <c r="Q3124" s="12">
        <f>IF(O3124="Guaraníes",P3124,P3124*#REF!)</f>
        <v>5767000</v>
      </c>
      <c r="R3124" s="12" t="e">
        <f>IF(O3124="Guaraníes",P3124/#REF!,P3124)</f>
        <v>#REF!</v>
      </c>
      <c r="S3124" s="5" t="s">
        <v>52</v>
      </c>
      <c r="T3124" s="5">
        <v>25</v>
      </c>
      <c r="W3124" s="5" t="s">
        <v>218</v>
      </c>
      <c r="X3124" s="5">
        <v>0</v>
      </c>
      <c r="Y3124" s="5">
        <v>0</v>
      </c>
      <c r="Z3124" s="5">
        <v>39500</v>
      </c>
      <c r="AA3124" s="5">
        <v>146</v>
      </c>
      <c r="AB3124" s="5">
        <v>5767000</v>
      </c>
      <c r="AC3124" s="5" t="str">
        <f t="shared" si="148"/>
        <v>Bonos</v>
      </c>
      <c r="AD3124" s="5" t="s">
        <v>43</v>
      </c>
      <c r="AE3124" s="5">
        <f t="shared" si="149"/>
        <v>10</v>
      </c>
      <c r="AF3124" s="5">
        <f t="shared" si="150"/>
        <v>2024</v>
      </c>
    </row>
    <row r="3125" s="5" customFormat="1" ht="13">
      <c r="A3125" s="5">
        <v>12316</v>
      </c>
      <c r="B3125" s="5" t="s">
        <v>78</v>
      </c>
      <c r="C3125" s="5" t="s">
        <v>164</v>
      </c>
      <c r="D3125" s="5" t="s">
        <v>21</v>
      </c>
      <c r="E3125" s="5" t="s">
        <v>34</v>
      </c>
      <c r="F3125" s="5" t="s">
        <v>68</v>
      </c>
      <c r="G3125" s="5" t="s">
        <v>141</v>
      </c>
      <c r="H3125" s="9" t="s">
        <v>165</v>
      </c>
      <c r="I3125" s="10"/>
      <c r="J3125" s="10">
        <v>46965</v>
      </c>
      <c r="K3125" s="5" t="s">
        <v>124</v>
      </c>
      <c r="L3125" s="5" t="s">
        <v>58</v>
      </c>
      <c r="M3125" s="11">
        <v>0.10000000000000001</v>
      </c>
      <c r="N3125" s="5" t="e">
        <f>IF(AND(M3125&gt;#REF!,Cartera!O3125="Guaraníes"),"Rendimiento significativo",IF(AND(M3125&gt;#REF!,Cartera!O3125="Dólares americanos"),"Rendimiento significativo","Rendimiento no significativo"))</f>
        <v>#REF!</v>
      </c>
      <c r="O3125" s="5" t="s">
        <v>41</v>
      </c>
      <c r="P3125" s="12">
        <v>849315.06850000005</v>
      </c>
      <c r="Q3125" s="12">
        <f>IF(O3125="Guaraníes",P3125,P3125*#REF!)</f>
        <v>849315.06850000005</v>
      </c>
      <c r="R3125" s="12" t="e">
        <f>IF(O3125="Guaraníes",P3125/#REF!,P3125)</f>
        <v>#REF!</v>
      </c>
      <c r="S3125" s="5" t="s">
        <v>42</v>
      </c>
      <c r="T3125" s="5">
        <v>9243</v>
      </c>
      <c r="W3125" s="5" t="s">
        <v>65</v>
      </c>
      <c r="X3125" s="5">
        <v>0</v>
      </c>
      <c r="Y3125" s="5">
        <v>0</v>
      </c>
      <c r="Z3125" s="5">
        <v>8493.1506850000005</v>
      </c>
      <c r="AA3125" s="5">
        <v>100</v>
      </c>
      <c r="AB3125" s="5">
        <v>849315.06850000005</v>
      </c>
      <c r="AC3125" s="5" t="str">
        <f t="shared" si="148"/>
        <v>Bonos</v>
      </c>
      <c r="AD3125" s="5" t="s">
        <v>43</v>
      </c>
      <c r="AE3125" s="5">
        <f t="shared" si="149"/>
        <v>7</v>
      </c>
      <c r="AF3125" s="5">
        <f t="shared" si="150"/>
        <v>2028</v>
      </c>
    </row>
    <row r="3126" s="5" customFormat="1" ht="13">
      <c r="A3126" s="5">
        <v>12316</v>
      </c>
      <c r="B3126" s="5" t="s">
        <v>78</v>
      </c>
      <c r="C3126" s="5" t="s">
        <v>138</v>
      </c>
      <c r="D3126" s="5" t="s">
        <v>21</v>
      </c>
      <c r="E3126" s="5" t="s">
        <v>34</v>
      </c>
      <c r="F3126" s="5" t="s">
        <v>68</v>
      </c>
      <c r="G3126" s="5" t="s">
        <v>86</v>
      </c>
      <c r="H3126" s="9" t="s">
        <v>139</v>
      </c>
      <c r="I3126" s="10">
        <v>43948</v>
      </c>
      <c r="J3126" s="10">
        <v>46967</v>
      </c>
      <c r="K3126" s="5" t="s">
        <v>140</v>
      </c>
      <c r="L3126" s="5" t="s">
        <v>58</v>
      </c>
      <c r="M3126" s="11">
        <v>0.11</v>
      </c>
      <c r="N3126" s="5" t="e">
        <f>IF(AND(M3126&gt;#REF!,Cartera!O3126="Guaraníes"),"Rendimiento significativo",IF(AND(M3126&gt;#REF!,Cartera!O3126="Dólares americanos"),"Rendimiento significativo","Rendimiento no significativo"))</f>
        <v>#REF!</v>
      </c>
      <c r="O3126" s="5" t="s">
        <v>41</v>
      </c>
      <c r="P3126" s="12">
        <v>654731.14859999996</v>
      </c>
      <c r="Q3126" s="12">
        <f>IF(O3126="Guaraníes",P3126,P3126*#REF!)</f>
        <v>654731.14859999996</v>
      </c>
      <c r="R3126" s="12" t="e">
        <f>IF(O3126="Guaraníes",P3126/#REF!,P3126)</f>
        <v>#REF!</v>
      </c>
      <c r="S3126" s="5" t="s">
        <v>42</v>
      </c>
      <c r="AC3126" s="5" t="str">
        <f t="shared" si="148"/>
        <v>Bonos</v>
      </c>
      <c r="AD3126" s="5" t="s">
        <v>43</v>
      </c>
      <c r="AE3126" s="5">
        <f t="shared" si="149"/>
        <v>8</v>
      </c>
      <c r="AF3126" s="5">
        <f t="shared" si="150"/>
        <v>2028</v>
      </c>
    </row>
    <row r="3127" s="5" customFormat="1" ht="13">
      <c r="A3127" s="5">
        <v>12316</v>
      </c>
      <c r="B3127" s="5" t="s">
        <v>78</v>
      </c>
      <c r="C3127" s="5" t="s">
        <v>99</v>
      </c>
      <c r="D3127" s="5" t="s">
        <v>21</v>
      </c>
      <c r="E3127" s="5" t="s">
        <v>34</v>
      </c>
      <c r="F3127" s="5" t="s">
        <v>100</v>
      </c>
      <c r="G3127" s="5" t="s">
        <v>91</v>
      </c>
      <c r="H3127" s="9" t="s">
        <v>174</v>
      </c>
      <c r="I3127" s="10">
        <v>44971</v>
      </c>
      <c r="J3127" s="10">
        <v>46980</v>
      </c>
      <c r="K3127" s="5" t="s">
        <v>102</v>
      </c>
      <c r="L3127" s="5" t="s">
        <v>102</v>
      </c>
      <c r="M3127" s="11">
        <v>0.090300000000000005</v>
      </c>
      <c r="N3127" s="5" t="e">
        <f>IF(AND(M3127&gt;#REF!,Cartera!O3127="Guaraníes"),"Rendimiento significativo",IF(AND(M3127&gt;#REF!,Cartera!O3127="Dólares americanos"),"Rendimiento significativo","Rendimiento no significativo"))</f>
        <v>#REF!</v>
      </c>
      <c r="O3127" s="5" t="s">
        <v>41</v>
      </c>
      <c r="P3127" s="12">
        <v>20407800</v>
      </c>
      <c r="Q3127" s="12">
        <f>IF(O3127="Guaraníes",P3127,P3127*#REF!)</f>
        <v>20407800</v>
      </c>
      <c r="R3127" s="12" t="e">
        <f>IF(O3127="Guaraníes",P3127/#REF!,P3127)</f>
        <v>#REF!</v>
      </c>
      <c r="S3127" s="5" t="s">
        <v>42</v>
      </c>
      <c r="AC3127" s="5" t="str">
        <f t="shared" ref="AC3127:AC3190" si="151">IF(ISNUMBER(SEARCH("Acciones",L3127)),"Acciones",IF(ISNUMBER(SEARCH("Bono",L3127)),"Bonos",IF(ISNUMBER(SEARCH("CDA",L3127)),"CDA",IF(ISNUMBER(SEARCH("Fondo",L3127)),"Fondo",0))))</f>
        <v>Bonos</v>
      </c>
      <c r="AD3127" s="5" t="s">
        <v>43</v>
      </c>
      <c r="AE3127" s="5">
        <f t="shared" si="149"/>
        <v>8</v>
      </c>
      <c r="AF3127" s="5">
        <f t="shared" si="150"/>
        <v>2028</v>
      </c>
    </row>
    <row r="3128" s="5" customFormat="1" ht="13">
      <c r="A3128" s="5">
        <v>12316</v>
      </c>
      <c r="B3128" s="5" t="s">
        <v>78</v>
      </c>
      <c r="C3128" s="5" t="s">
        <v>164</v>
      </c>
      <c r="D3128" s="5" t="s">
        <v>21</v>
      </c>
      <c r="E3128" s="5" t="s">
        <v>34</v>
      </c>
      <c r="F3128" s="5" t="s">
        <v>68</v>
      </c>
      <c r="G3128" s="5" t="s">
        <v>145</v>
      </c>
      <c r="H3128" s="9" t="s">
        <v>165</v>
      </c>
      <c r="I3128" s="10"/>
      <c r="J3128" s="10">
        <v>46996</v>
      </c>
      <c r="K3128" s="5" t="s">
        <v>124</v>
      </c>
      <c r="L3128" s="5" t="s">
        <v>58</v>
      </c>
      <c r="M3128" s="11">
        <v>0.10000000000000001</v>
      </c>
      <c r="N3128" s="5" t="e">
        <f>IF(AND(M3128&gt;#REF!,Cartera!O3128="Guaraníes"),"Rendimiento significativo",IF(AND(M3128&gt;#REF!,Cartera!O3128="Dólares americanos"),"Rendimiento significativo","Rendimiento no significativo"))</f>
        <v>#REF!</v>
      </c>
      <c r="O3128" s="5" t="s">
        <v>41</v>
      </c>
      <c r="P3128" s="12">
        <v>3397260.2740000002</v>
      </c>
      <c r="Q3128" s="12">
        <f>IF(O3128="Guaraníes",P3128,P3128*#REF!)</f>
        <v>3397260.2740000002</v>
      </c>
      <c r="R3128" s="12" t="e">
        <f>IF(O3128="Guaraníes",P3128/#REF!,P3128)</f>
        <v>#REF!</v>
      </c>
      <c r="S3128" s="5" t="s">
        <v>42</v>
      </c>
      <c r="T3128" s="5">
        <v>1057</v>
      </c>
      <c r="W3128" s="5" t="s">
        <v>65</v>
      </c>
      <c r="X3128" s="5">
        <v>0</v>
      </c>
      <c r="Y3128" s="5">
        <v>0</v>
      </c>
      <c r="Z3128" s="5">
        <v>8493.1506850000005</v>
      </c>
      <c r="AA3128" s="5">
        <v>400</v>
      </c>
      <c r="AB3128" s="5">
        <v>3397260.2740000002</v>
      </c>
      <c r="AC3128" s="5" t="str">
        <f t="shared" si="151"/>
        <v>Bonos</v>
      </c>
      <c r="AD3128" s="5" t="s">
        <v>43</v>
      </c>
      <c r="AE3128" s="5">
        <f t="shared" si="149"/>
        <v>8</v>
      </c>
      <c r="AF3128" s="5">
        <f t="shared" si="150"/>
        <v>2028</v>
      </c>
    </row>
    <row r="3129" s="5" customFormat="1" ht="13">
      <c r="A3129" s="5">
        <v>12316</v>
      </c>
      <c r="B3129" s="5" t="s">
        <v>78</v>
      </c>
      <c r="C3129" s="5" t="s">
        <v>164</v>
      </c>
      <c r="D3129" s="5" t="s">
        <v>21</v>
      </c>
      <c r="E3129" s="5" t="s">
        <v>34</v>
      </c>
      <c r="F3129" s="5" t="s">
        <v>68</v>
      </c>
      <c r="G3129" s="5" t="s">
        <v>141</v>
      </c>
      <c r="H3129" s="9" t="s">
        <v>165</v>
      </c>
      <c r="I3129" s="10"/>
      <c r="J3129" s="10">
        <v>46996</v>
      </c>
      <c r="K3129" s="5" t="s">
        <v>124</v>
      </c>
      <c r="L3129" s="5" t="s">
        <v>58</v>
      </c>
      <c r="M3129" s="11">
        <v>0.10000000000000001</v>
      </c>
      <c r="N3129" s="5" t="e">
        <f>IF(AND(M3129&gt;#REF!,Cartera!O3129="Guaraníes"),"Rendimiento significativo",IF(AND(M3129&gt;#REF!,Cartera!O3129="Dólares americanos"),"Rendimiento significativo","Rendimiento no significativo"))</f>
        <v>#REF!</v>
      </c>
      <c r="O3129" s="5" t="s">
        <v>41</v>
      </c>
      <c r="P3129" s="12">
        <v>849315.06850000005</v>
      </c>
      <c r="Q3129" s="12">
        <f>IF(O3129="Guaraníes",P3129,P3129*#REF!)</f>
        <v>849315.06850000005</v>
      </c>
      <c r="R3129" s="12" t="e">
        <f>IF(O3129="Guaraníes",P3129/#REF!,P3129)</f>
        <v>#REF!</v>
      </c>
      <c r="S3129" s="5" t="s">
        <v>42</v>
      </c>
      <c r="T3129" s="5">
        <v>9243</v>
      </c>
      <c r="W3129" s="5" t="s">
        <v>65</v>
      </c>
      <c r="X3129" s="5">
        <v>0</v>
      </c>
      <c r="Y3129" s="5">
        <v>0</v>
      </c>
      <c r="Z3129" s="5">
        <v>8493.1506850000005</v>
      </c>
      <c r="AA3129" s="5">
        <v>100</v>
      </c>
      <c r="AB3129" s="5">
        <v>849315.06850000005</v>
      </c>
      <c r="AC3129" s="5" t="str">
        <f t="shared" si="151"/>
        <v>Bonos</v>
      </c>
      <c r="AD3129" s="5" t="s">
        <v>43</v>
      </c>
      <c r="AE3129" s="5">
        <f t="shared" si="149"/>
        <v>8</v>
      </c>
      <c r="AF3129" s="5">
        <f t="shared" si="150"/>
        <v>2028</v>
      </c>
    </row>
    <row r="3130" s="5" customFormat="1" ht="13">
      <c r="A3130" s="5">
        <v>12316</v>
      </c>
      <c r="B3130" s="5" t="s">
        <v>78</v>
      </c>
      <c r="C3130" s="5" t="s">
        <v>138</v>
      </c>
      <c r="D3130" s="5" t="s">
        <v>21</v>
      </c>
      <c r="E3130" s="5" t="s">
        <v>34</v>
      </c>
      <c r="F3130" s="5" t="s">
        <v>68</v>
      </c>
      <c r="G3130" s="5" t="s">
        <v>86</v>
      </c>
      <c r="H3130" s="9" t="s">
        <v>139</v>
      </c>
      <c r="I3130" s="10">
        <v>43948</v>
      </c>
      <c r="J3130" s="10">
        <v>46997</v>
      </c>
      <c r="K3130" s="5" t="s">
        <v>140</v>
      </c>
      <c r="L3130" s="5" t="s">
        <v>58</v>
      </c>
      <c r="M3130" s="11">
        <v>0.11</v>
      </c>
      <c r="N3130" s="5" t="e">
        <f>IF(AND(M3130&gt;#REF!,Cartera!O3130="Guaraníes"),"Rendimiento significativo",IF(AND(M3130&gt;#REF!,Cartera!O3130="Dólares americanos"),"Rendimiento significativo","Rendimiento no significativo"))</f>
        <v>#REF!</v>
      </c>
      <c r="O3130" s="5" t="s">
        <v>41</v>
      </c>
      <c r="P3130" s="12">
        <v>643523.9571</v>
      </c>
      <c r="Q3130" s="12">
        <f>IF(O3130="Guaraníes",P3130,P3130*#REF!)</f>
        <v>643523.9571</v>
      </c>
      <c r="R3130" s="12" t="e">
        <f>IF(O3130="Guaraníes",P3130/#REF!,P3130)</f>
        <v>#REF!</v>
      </c>
      <c r="S3130" s="5" t="s">
        <v>42</v>
      </c>
      <c r="AC3130" s="5" t="str">
        <f t="shared" si="151"/>
        <v>Bonos</v>
      </c>
      <c r="AD3130" s="5" t="s">
        <v>43</v>
      </c>
      <c r="AE3130" s="5">
        <f t="shared" si="149"/>
        <v>9</v>
      </c>
      <c r="AF3130" s="5">
        <f t="shared" si="150"/>
        <v>2028</v>
      </c>
    </row>
    <row r="3131" s="5" customFormat="1" ht="13">
      <c r="A3131" s="5">
        <v>12316</v>
      </c>
      <c r="B3131" s="5" t="s">
        <v>78</v>
      </c>
      <c r="C3131" s="5" t="s">
        <v>99</v>
      </c>
      <c r="D3131" s="5" t="s">
        <v>21</v>
      </c>
      <c r="E3131" s="5" t="s">
        <v>34</v>
      </c>
      <c r="F3131" s="5" t="s">
        <v>100</v>
      </c>
      <c r="G3131" s="5" t="s">
        <v>86</v>
      </c>
      <c r="H3131" s="9" t="s">
        <v>155</v>
      </c>
      <c r="I3131" s="10"/>
      <c r="J3131" s="10">
        <v>46999</v>
      </c>
      <c r="K3131" s="5" t="s">
        <v>102</v>
      </c>
      <c r="L3131" s="5" t="s">
        <v>102</v>
      </c>
      <c r="M3131" s="11">
        <v>0.081000000000000003</v>
      </c>
      <c r="N3131" s="5" t="e">
        <f>IF(AND(M3131&gt;#REF!,Cartera!O3131="Guaraníes"),"Rendimiento significativo",IF(AND(M3131&gt;#REF!,Cartera!O3131="Dólares americanos"),"Rendimiento significativo","Rendimiento no significativo"))</f>
        <v>#REF!</v>
      </c>
      <c r="O3131" s="5" t="s">
        <v>41</v>
      </c>
      <c r="P3131" s="12">
        <v>28000000</v>
      </c>
      <c r="Q3131" s="12">
        <f>IF(O3131="Guaraníes",P3131,P3131*#REF!)</f>
        <v>28000000</v>
      </c>
      <c r="R3131" s="12" t="e">
        <f>IF(O3131="Guaraníes",P3131/#REF!,P3131)</f>
        <v>#REF!</v>
      </c>
      <c r="S3131" s="5" t="s">
        <v>42</v>
      </c>
      <c r="T3131" s="5">
        <v>10834</v>
      </c>
      <c r="W3131" s="5" t="s">
        <v>65</v>
      </c>
      <c r="X3131" s="5">
        <v>0</v>
      </c>
      <c r="Y3131" s="5">
        <v>0</v>
      </c>
      <c r="Z3131" s="5">
        <v>40000</v>
      </c>
      <c r="AA3131" s="5">
        <v>700</v>
      </c>
      <c r="AB3131" s="5">
        <v>28000000</v>
      </c>
      <c r="AC3131" s="5" t="str">
        <f t="shared" si="151"/>
        <v>Bonos</v>
      </c>
      <c r="AD3131" s="5" t="s">
        <v>43</v>
      </c>
      <c r="AE3131" s="5">
        <f t="shared" si="149"/>
        <v>9</v>
      </c>
      <c r="AF3131" s="5">
        <f t="shared" si="150"/>
        <v>2028</v>
      </c>
    </row>
    <row r="3132" s="5" customFormat="1" ht="13">
      <c r="A3132" s="5">
        <v>12316</v>
      </c>
      <c r="B3132" s="5" t="s">
        <v>78</v>
      </c>
      <c r="C3132" s="5" t="s">
        <v>99</v>
      </c>
      <c r="D3132" s="5" t="s">
        <v>21</v>
      </c>
      <c r="E3132" s="5" t="s">
        <v>34</v>
      </c>
      <c r="F3132" s="5" t="s">
        <v>100</v>
      </c>
      <c r="G3132" s="5" t="s">
        <v>75</v>
      </c>
      <c r="H3132" s="9" t="s">
        <v>159</v>
      </c>
      <c r="I3132" s="10"/>
      <c r="J3132" s="10">
        <v>46999</v>
      </c>
      <c r="K3132" s="5" t="s">
        <v>102</v>
      </c>
      <c r="L3132" s="5" t="s">
        <v>102</v>
      </c>
      <c r="M3132" s="11">
        <v>0.078</v>
      </c>
      <c r="N3132" s="5" t="e">
        <f>IF(AND(M3132&gt;#REF!,Cartera!O3132="Guaraníes"),"Rendimiento significativo",IF(AND(M3132&gt;#REF!,Cartera!O3132="Dólares americanos"),"Rendimiento significativo","Rendimiento no significativo"))</f>
        <v>#REF!</v>
      </c>
      <c r="O3132" s="5" t="s">
        <v>41</v>
      </c>
      <c r="P3132" s="12">
        <v>31200000</v>
      </c>
      <c r="Q3132" s="12">
        <f>IF(O3132="Guaraníes",P3132,P3132*#REF!)</f>
        <v>31200000</v>
      </c>
      <c r="R3132" s="12" t="e">
        <f>IF(O3132="Guaraníes",P3132/#REF!,P3132)</f>
        <v>#REF!</v>
      </c>
      <c r="S3132" s="5" t="s">
        <v>42</v>
      </c>
      <c r="T3132" s="5">
        <v>25</v>
      </c>
      <c r="W3132" s="5" t="s">
        <v>65</v>
      </c>
      <c r="X3132" s="5">
        <v>0</v>
      </c>
      <c r="Y3132" s="5">
        <v>0</v>
      </c>
      <c r="Z3132" s="5">
        <v>39000</v>
      </c>
      <c r="AA3132" s="5">
        <v>800</v>
      </c>
      <c r="AB3132" s="5">
        <v>31200000</v>
      </c>
      <c r="AC3132" s="5" t="str">
        <f t="shared" si="151"/>
        <v>Bonos</v>
      </c>
      <c r="AD3132" s="5" t="s">
        <v>43</v>
      </c>
      <c r="AE3132" s="5">
        <f t="shared" si="149"/>
        <v>9</v>
      </c>
      <c r="AF3132" s="5">
        <f t="shared" si="150"/>
        <v>2028</v>
      </c>
    </row>
    <row r="3133" s="5" customFormat="1" ht="13">
      <c r="A3133" s="5">
        <v>12316</v>
      </c>
      <c r="B3133" s="5" t="s">
        <v>78</v>
      </c>
      <c r="C3133" s="5" t="s">
        <v>99</v>
      </c>
      <c r="D3133" s="5" t="s">
        <v>21</v>
      </c>
      <c r="E3133" s="5" t="s">
        <v>34</v>
      </c>
      <c r="F3133" s="5" t="s">
        <v>100</v>
      </c>
      <c r="G3133" s="5" t="s">
        <v>145</v>
      </c>
      <c r="H3133" s="9" t="s">
        <v>159</v>
      </c>
      <c r="I3133" s="10">
        <v>44657</v>
      </c>
      <c r="J3133" s="10">
        <v>46999</v>
      </c>
      <c r="K3133" s="5" t="s">
        <v>102</v>
      </c>
      <c r="L3133" s="5" t="s">
        <v>102</v>
      </c>
      <c r="M3133" s="11">
        <v>0.078</v>
      </c>
      <c r="N3133" s="5" t="e">
        <f>IF(AND(M3133&gt;#REF!,Cartera!O3133="Guaraníes"),"Rendimiento significativo",IF(AND(M3133&gt;#REF!,Cartera!O3133="Dólares americanos"),"Rendimiento significativo","Rendimiento no significativo"))</f>
        <v>#REF!</v>
      </c>
      <c r="O3133" s="5" t="s">
        <v>41</v>
      </c>
      <c r="P3133" s="12">
        <v>35100000</v>
      </c>
      <c r="Q3133" s="12">
        <f>IF(O3133="Guaraníes",P3133,P3133*#REF!)</f>
        <v>35100000</v>
      </c>
      <c r="R3133" s="12" t="e">
        <f>IF(O3133="Guaraníes",P3133/#REF!,P3133)</f>
        <v>#REF!</v>
      </c>
      <c r="S3133" s="5" t="s">
        <v>42</v>
      </c>
      <c r="V3133" s="5">
        <v>39000</v>
      </c>
      <c r="AA3133" s="5">
        <v>900</v>
      </c>
      <c r="AC3133" s="5" t="str">
        <f t="shared" si="151"/>
        <v>Bonos</v>
      </c>
      <c r="AD3133" s="5" t="s">
        <v>43</v>
      </c>
      <c r="AE3133" s="5">
        <f t="shared" si="149"/>
        <v>9</v>
      </c>
      <c r="AF3133" s="5">
        <f t="shared" si="150"/>
        <v>2028</v>
      </c>
    </row>
    <row r="3134" s="5" customFormat="1" ht="13">
      <c r="A3134" s="5">
        <v>12315</v>
      </c>
      <c r="B3134" s="5" t="s">
        <v>73</v>
      </c>
      <c r="C3134" s="5" t="s">
        <v>33</v>
      </c>
      <c r="D3134" s="5" t="s">
        <v>21</v>
      </c>
      <c r="E3134" s="5" t="s">
        <v>34</v>
      </c>
      <c r="F3134" s="5" t="s">
        <v>35</v>
      </c>
      <c r="G3134" s="5" t="s">
        <v>75</v>
      </c>
      <c r="H3134" s="9" t="s">
        <v>186</v>
      </c>
      <c r="I3134" s="10"/>
      <c r="J3134" s="10">
        <v>47002</v>
      </c>
      <c r="K3134" s="5" t="s">
        <v>39</v>
      </c>
      <c r="L3134" s="5" t="s">
        <v>50</v>
      </c>
      <c r="M3134" s="11">
        <v>0.044999999999999998</v>
      </c>
      <c r="N3134" s="5" t="e">
        <f>IF(AND(M3134&gt;#REF!,Cartera!O3134="Guaraníes"),"Rendimiento significativo",IF(AND(M3134&gt;#REF!,Cartera!O3134="Dólares americanos"),"Rendimiento significativo","Rendimiento no significativo"))</f>
        <v>#REF!</v>
      </c>
      <c r="O3134" s="5" t="s">
        <v>51</v>
      </c>
      <c r="P3134" s="13">
        <v>336.57533999999998</v>
      </c>
      <c r="Q3134" s="12" t="e">
        <f>IF(O3134="Guaraníes",P3134,P3134*#REF!)</f>
        <v>#REF!</v>
      </c>
      <c r="R3134" s="12">
        <f>IF(O3134="Guaraníes",P3134/#REF!,P3134)</f>
        <v>336.57533999999998</v>
      </c>
      <c r="S3134" s="5" t="s">
        <v>42</v>
      </c>
      <c r="T3134" s="5">
        <v>25</v>
      </c>
      <c r="W3134" s="5" t="s">
        <v>65</v>
      </c>
      <c r="X3134" s="5">
        <v>0</v>
      </c>
      <c r="Y3134" s="5">
        <v>0</v>
      </c>
      <c r="Z3134" s="5">
        <v>11.219177999999999</v>
      </c>
      <c r="AA3134" s="5">
        <v>30</v>
      </c>
      <c r="AB3134" s="5">
        <v>336.57533999999998</v>
      </c>
      <c r="AC3134" s="5" t="str">
        <f t="shared" si="151"/>
        <v>Bonos</v>
      </c>
      <c r="AD3134" s="5" t="s">
        <v>43</v>
      </c>
      <c r="AE3134" s="5">
        <f t="shared" si="149"/>
        <v>9</v>
      </c>
      <c r="AF3134" s="5">
        <f t="shared" si="150"/>
        <v>2028</v>
      </c>
    </row>
    <row r="3135" s="5" customFormat="1" ht="13">
      <c r="A3135" s="5">
        <v>12315</v>
      </c>
      <c r="B3135" s="5" t="s">
        <v>73</v>
      </c>
      <c r="C3135" s="5" t="s">
        <v>33</v>
      </c>
      <c r="D3135" s="5" t="s">
        <v>21</v>
      </c>
      <c r="E3135" s="5" t="s">
        <v>34</v>
      </c>
      <c r="F3135" s="5" t="s">
        <v>35</v>
      </c>
      <c r="G3135" s="5" t="s">
        <v>69</v>
      </c>
      <c r="H3135" s="9" t="s">
        <v>186</v>
      </c>
      <c r="I3135" s="10"/>
      <c r="J3135" s="10">
        <v>47002</v>
      </c>
      <c r="K3135" s="5" t="s">
        <v>39</v>
      </c>
      <c r="L3135" s="5" t="s">
        <v>50</v>
      </c>
      <c r="M3135" s="11">
        <v>0.044999999999999998</v>
      </c>
      <c r="N3135" s="5" t="e">
        <f>IF(AND(M3135&gt;#REF!,Cartera!O3135="Guaraníes"),"Rendimiento significativo",IF(AND(M3135&gt;#REF!,Cartera!O3135="Dólares americanos"),"Rendimiento significativo","Rendimiento no significativo"))</f>
        <v>#REF!</v>
      </c>
      <c r="O3135" s="5" t="s">
        <v>51</v>
      </c>
      <c r="P3135" s="13">
        <v>448.76711999999998</v>
      </c>
      <c r="Q3135" s="12" t="e">
        <f>IF(O3135="Guaraníes",P3135,P3135*#REF!)</f>
        <v>#REF!</v>
      </c>
      <c r="R3135" s="12">
        <f>IF(O3135="Guaraníes",P3135/#REF!,P3135)</f>
        <v>448.76711999999998</v>
      </c>
      <c r="S3135" s="5" t="s">
        <v>42</v>
      </c>
      <c r="T3135" s="5">
        <v>593</v>
      </c>
      <c r="W3135" s="5" t="s">
        <v>65</v>
      </c>
      <c r="X3135" s="5">
        <v>0</v>
      </c>
      <c r="Y3135" s="5">
        <v>0</v>
      </c>
      <c r="Z3135" s="5">
        <v>11.219177999999999</v>
      </c>
      <c r="AA3135" s="5">
        <v>40</v>
      </c>
      <c r="AB3135" s="5">
        <v>448.76711999999998</v>
      </c>
      <c r="AC3135" s="5" t="str">
        <f t="shared" si="151"/>
        <v>Bonos</v>
      </c>
      <c r="AD3135" s="5" t="s">
        <v>43</v>
      </c>
      <c r="AE3135" s="5">
        <f t="shared" si="149"/>
        <v>9</v>
      </c>
      <c r="AF3135" s="5">
        <f t="shared" si="150"/>
        <v>2028</v>
      </c>
    </row>
    <row r="3136" s="5" customFormat="1" ht="13">
      <c r="A3136" s="5">
        <v>12316</v>
      </c>
      <c r="B3136" s="5" t="s">
        <v>78</v>
      </c>
      <c r="C3136" s="5" t="s">
        <v>183</v>
      </c>
      <c r="D3136" s="5" t="s">
        <v>21</v>
      </c>
      <c r="E3136" s="5" t="s">
        <v>34</v>
      </c>
      <c r="F3136" s="5" t="s">
        <v>184</v>
      </c>
      <c r="H3136" s="9">
        <v>6217</v>
      </c>
      <c r="I3136" s="10"/>
      <c r="J3136" s="10">
        <v>47003</v>
      </c>
      <c r="K3136" s="5" t="s">
        <v>124</v>
      </c>
      <c r="L3136" s="5" t="s">
        <v>82</v>
      </c>
      <c r="M3136" s="11">
        <v>0.072499999999999995</v>
      </c>
      <c r="N3136" s="5" t="e">
        <f>IF(AND(M3136&gt;#REF!,Cartera!O3136="Guaraníes"),"Rendimiento significativo",IF(AND(M3136&gt;#REF!,Cartera!O3136="Dólares americanos"),"Rendimiento significativo","Rendimiento no significativo"))</f>
        <v>#REF!</v>
      </c>
      <c r="O3136" s="5" t="s">
        <v>41</v>
      </c>
      <c r="P3136" s="12">
        <v>17442280</v>
      </c>
      <c r="Q3136" s="12">
        <f>IF(O3136="Guaraníes",P3136,P3136*#REF!)</f>
        <v>17442280</v>
      </c>
      <c r="R3136" s="12" t="e">
        <f>IF(O3136="Guaraníes",P3136/#REF!,P3136)</f>
        <v>#REF!</v>
      </c>
      <c r="S3136" s="5" t="s">
        <v>42</v>
      </c>
      <c r="V3136" s="5">
        <v>17442280</v>
      </c>
      <c r="W3136" s="5" t="s">
        <v>714</v>
      </c>
      <c r="AC3136" s="5" t="str">
        <f t="shared" si="151"/>
        <v>CDA</v>
      </c>
      <c r="AD3136" s="5" t="s">
        <v>43</v>
      </c>
      <c r="AE3136" s="5">
        <f t="shared" si="149"/>
        <v>9</v>
      </c>
      <c r="AF3136" s="5">
        <f t="shared" si="150"/>
        <v>2028</v>
      </c>
    </row>
    <row r="3137" s="5" customFormat="1" ht="13">
      <c r="A3137" s="5">
        <v>12316</v>
      </c>
      <c r="B3137" s="5" t="s">
        <v>78</v>
      </c>
      <c r="C3137" s="5" t="s">
        <v>54</v>
      </c>
      <c r="D3137" s="5" t="s">
        <v>21</v>
      </c>
      <c r="E3137" s="5" t="s">
        <v>34</v>
      </c>
      <c r="F3137" s="5" t="s">
        <v>46</v>
      </c>
      <c r="G3137" s="5" t="s">
        <v>86</v>
      </c>
      <c r="H3137" s="9" t="s">
        <v>147</v>
      </c>
      <c r="I3137" s="10"/>
      <c r="J3137" s="10">
        <v>47014</v>
      </c>
      <c r="K3137" s="5" t="s">
        <v>57</v>
      </c>
      <c r="L3137" s="5" t="s">
        <v>58</v>
      </c>
      <c r="M3137" s="11">
        <v>0.12</v>
      </c>
      <c r="N3137" s="5" t="e">
        <f>IF(AND(M3137&gt;#REF!,Cartera!O3137="Guaraníes"),"Rendimiento significativo",IF(AND(M3137&gt;#REF!,Cartera!O3137="Dólares americanos"),"Rendimiento significativo","Rendimiento no significativo"))</f>
        <v>#REF!</v>
      </c>
      <c r="O3137" s="5" t="s">
        <v>41</v>
      </c>
      <c r="P3137" s="12">
        <v>2991780.8218999999</v>
      </c>
      <c r="Q3137" s="12">
        <f>IF(O3137="Guaraníes",P3137,P3137*#REF!)</f>
        <v>2991780.8218999999</v>
      </c>
      <c r="R3137" s="12" t="e">
        <f>IF(O3137="Guaraníes",P3137/#REF!,P3137)</f>
        <v>#REF!</v>
      </c>
      <c r="S3137" s="5" t="s">
        <v>42</v>
      </c>
      <c r="T3137" s="5">
        <v>10834</v>
      </c>
      <c r="W3137" s="5" t="s">
        <v>65</v>
      </c>
      <c r="X3137" s="5">
        <v>0</v>
      </c>
      <c r="Y3137" s="5">
        <v>0</v>
      </c>
      <c r="Z3137" s="5">
        <v>29917.808218999999</v>
      </c>
      <c r="AA3137" s="5">
        <v>100</v>
      </c>
      <c r="AB3137" s="5">
        <v>2991780.8218999999</v>
      </c>
      <c r="AC3137" s="5" t="str">
        <f t="shared" si="151"/>
        <v>Bonos</v>
      </c>
      <c r="AD3137" s="5" t="s">
        <v>43</v>
      </c>
      <c r="AE3137" s="5">
        <f t="shared" si="149"/>
        <v>9</v>
      </c>
      <c r="AF3137" s="5">
        <f t="shared" si="150"/>
        <v>2028</v>
      </c>
    </row>
    <row r="3138" s="5" customFormat="1" ht="13">
      <c r="A3138" s="5">
        <v>12316</v>
      </c>
      <c r="B3138" s="5" t="s">
        <v>78</v>
      </c>
      <c r="C3138" s="5" t="s">
        <v>54</v>
      </c>
      <c r="D3138" s="5" t="s">
        <v>21</v>
      </c>
      <c r="E3138" s="5" t="s">
        <v>34</v>
      </c>
      <c r="F3138" s="5" t="s">
        <v>46</v>
      </c>
      <c r="G3138" s="5" t="s">
        <v>86</v>
      </c>
      <c r="H3138" s="9" t="s">
        <v>148</v>
      </c>
      <c r="I3138" s="10"/>
      <c r="J3138" s="10">
        <v>47014</v>
      </c>
      <c r="K3138" s="5" t="s">
        <v>57</v>
      </c>
      <c r="L3138" s="5" t="s">
        <v>58</v>
      </c>
      <c r="M3138" s="11">
        <v>0.097500000000000003</v>
      </c>
      <c r="N3138" s="5" t="e">
        <f>IF(AND(M3138&gt;#REF!,Cartera!O3138="Guaraníes"),"Rendimiento significativo",IF(AND(M3138&gt;#REF!,Cartera!O3138="Dólares americanos"),"Rendimiento significativo","Rendimiento no significativo"))</f>
        <v>#REF!</v>
      </c>
      <c r="O3138" s="5" t="s">
        <v>41</v>
      </c>
      <c r="P3138" s="12">
        <v>12154109.589</v>
      </c>
      <c r="Q3138" s="12">
        <f>IF(O3138="Guaraníes",P3138,P3138*#REF!)</f>
        <v>12154109.589</v>
      </c>
      <c r="R3138" s="12" t="e">
        <f>IF(O3138="Guaraníes",P3138/#REF!,P3138)</f>
        <v>#REF!</v>
      </c>
      <c r="S3138" s="5" t="s">
        <v>42</v>
      </c>
      <c r="T3138" s="5">
        <v>10834</v>
      </c>
      <c r="W3138" s="5" t="s">
        <v>65</v>
      </c>
      <c r="X3138" s="5">
        <v>0</v>
      </c>
      <c r="Y3138" s="5">
        <v>0</v>
      </c>
      <c r="Z3138" s="5">
        <v>24308.219177999999</v>
      </c>
      <c r="AA3138" s="5">
        <v>500</v>
      </c>
      <c r="AB3138" s="5">
        <v>12154109.589</v>
      </c>
      <c r="AC3138" s="5" t="str">
        <f t="shared" si="151"/>
        <v>Bonos</v>
      </c>
      <c r="AD3138" s="5" t="s">
        <v>43</v>
      </c>
      <c r="AE3138" s="5">
        <f t="shared" si="149"/>
        <v>9</v>
      </c>
      <c r="AF3138" s="5">
        <f t="shared" si="150"/>
        <v>2028</v>
      </c>
    </row>
    <row r="3139" s="5" customFormat="1" ht="13">
      <c r="A3139" s="5" t="s">
        <v>44</v>
      </c>
      <c r="B3139" s="5" t="s">
        <v>44</v>
      </c>
      <c r="C3139" s="5" t="s">
        <v>138</v>
      </c>
      <c r="D3139" s="5" t="s">
        <v>21</v>
      </c>
      <c r="E3139" s="5" t="s">
        <v>44</v>
      </c>
      <c r="F3139" s="5" t="s">
        <v>68</v>
      </c>
      <c r="G3139" s="5" t="s">
        <v>86</v>
      </c>
      <c r="H3139" s="9" t="s">
        <v>193</v>
      </c>
      <c r="I3139" s="10">
        <v>44104</v>
      </c>
      <c r="J3139" s="10">
        <v>45650</v>
      </c>
      <c r="K3139" s="5" t="s">
        <v>140</v>
      </c>
      <c r="L3139" s="5" t="s">
        <v>58</v>
      </c>
      <c r="M3139" s="11">
        <v>0.10000000000000001</v>
      </c>
      <c r="N3139" s="5" t="e">
        <f>IF(AND(M3139&gt;#REF!,Cartera!O3139="Guaraníes"),"Rendimiento significativo",IF(AND(M3139&gt;#REF!,Cartera!O3139="Dólares americanos"),"Rendimiento significativo","Rendimiento no significativo"))</f>
        <v>#REF!</v>
      </c>
      <c r="O3139" s="5" t="s">
        <v>41</v>
      </c>
      <c r="P3139" s="12">
        <v>2493150.6849000002</v>
      </c>
      <c r="Q3139" s="12">
        <f>IF(O3139="Guaraníes",P3139,P3139*#REF!)</f>
        <v>2493150.6849000002</v>
      </c>
      <c r="R3139" s="12" t="e">
        <f>IF(O3139="Guaraníes",P3139/#REF!,P3139)</f>
        <v>#REF!</v>
      </c>
      <c r="S3139" s="5" t="s">
        <v>52</v>
      </c>
      <c r="AC3139" s="5" t="str">
        <f t="shared" si="151"/>
        <v>Bonos</v>
      </c>
      <c r="AD3139" s="5" t="s">
        <v>43</v>
      </c>
      <c r="AE3139" s="5">
        <f t="shared" si="149"/>
        <v>12</v>
      </c>
      <c r="AF3139" s="5">
        <f t="shared" si="150"/>
        <v>2024</v>
      </c>
    </row>
    <row r="3140" s="5" customFormat="1" ht="13">
      <c r="A3140" s="5" t="s">
        <v>44</v>
      </c>
      <c r="B3140" s="5" t="s">
        <v>44</v>
      </c>
      <c r="C3140" s="5" t="s">
        <v>160</v>
      </c>
      <c r="D3140" s="5" t="s">
        <v>21</v>
      </c>
      <c r="E3140" s="5" t="s">
        <v>44</v>
      </c>
      <c r="F3140" s="5" t="s">
        <v>68</v>
      </c>
      <c r="G3140" s="5" t="s">
        <v>91</v>
      </c>
      <c r="H3140" s="9" t="s">
        <v>161</v>
      </c>
      <c r="I3140" s="10">
        <v>44581</v>
      </c>
      <c r="J3140" s="10">
        <v>45460</v>
      </c>
      <c r="K3140" s="5" t="s">
        <v>162</v>
      </c>
      <c r="L3140" s="5" t="s">
        <v>58</v>
      </c>
      <c r="M3140" s="11">
        <v>0.086999999999999994</v>
      </c>
      <c r="N3140" s="5" t="e">
        <f>IF(AND(M3140&gt;#REF!,Cartera!O3140="Guaraníes"),"Rendimiento significativo",IF(AND(M3140&gt;#REF!,Cartera!O3140="Dólares americanos"),"Rendimiento significativo","Rendimiento no significativo"))</f>
        <v>#REF!</v>
      </c>
      <c r="O3140" s="5" t="s">
        <v>41</v>
      </c>
      <c r="P3140" s="12">
        <v>17352328.767200001</v>
      </c>
      <c r="Q3140" s="12">
        <f>IF(O3140="Guaraníes",P3140,P3140*#REF!)</f>
        <v>17352328.767200001</v>
      </c>
      <c r="R3140" s="12" t="e">
        <f>IF(O3140="Guaraníes",P3140/#REF!,P3140)</f>
        <v>#REF!</v>
      </c>
      <c r="S3140" s="5" t="s">
        <v>52</v>
      </c>
      <c r="AC3140" s="5" t="str">
        <f t="shared" si="151"/>
        <v>Bonos</v>
      </c>
      <c r="AD3140" s="5" t="s">
        <v>43</v>
      </c>
      <c r="AE3140" s="5">
        <f t="shared" si="149"/>
        <v>6</v>
      </c>
      <c r="AF3140" s="5">
        <f t="shared" si="150"/>
        <v>2024</v>
      </c>
    </row>
    <row r="3141" s="5" customFormat="1" ht="13">
      <c r="A3141" s="5" t="s">
        <v>44</v>
      </c>
      <c r="B3141" s="5" t="s">
        <v>44</v>
      </c>
      <c r="C3141" s="5" t="s">
        <v>160</v>
      </c>
      <c r="D3141" s="5" t="s">
        <v>21</v>
      </c>
      <c r="E3141" s="5" t="s">
        <v>44</v>
      </c>
      <c r="F3141" s="5" t="s">
        <v>68</v>
      </c>
      <c r="G3141" s="5" t="s">
        <v>91</v>
      </c>
      <c r="H3141" s="9" t="s">
        <v>161</v>
      </c>
      <c r="I3141" s="10">
        <v>44581</v>
      </c>
      <c r="J3141" s="10">
        <v>45278</v>
      </c>
      <c r="K3141" s="5" t="s">
        <v>162</v>
      </c>
      <c r="L3141" s="5" t="s">
        <v>58</v>
      </c>
      <c r="M3141" s="11">
        <v>0.086999999999999994</v>
      </c>
      <c r="N3141" s="5" t="e">
        <f>IF(AND(M3141&gt;#REF!,Cartera!O3141="Guaraníes"),"Rendimiento significativo",IF(AND(M3141&gt;#REF!,Cartera!O3141="Dólares americanos"),"Rendimiento significativo","Rendimiento no significativo"))</f>
        <v>#REF!</v>
      </c>
      <c r="O3141" s="5" t="s">
        <v>41</v>
      </c>
      <c r="P3141" s="12">
        <v>17352328.767200001</v>
      </c>
      <c r="Q3141" s="12">
        <f>IF(O3141="Guaraníes",P3141,P3141*#REF!)</f>
        <v>17352328.767200001</v>
      </c>
      <c r="R3141" s="12" t="e">
        <f>IF(O3141="Guaraníes",P3141/#REF!,P3141)</f>
        <v>#REF!</v>
      </c>
      <c r="S3141" s="5" t="s">
        <v>52</v>
      </c>
      <c r="AC3141" s="5" t="str">
        <f t="shared" si="151"/>
        <v>Bonos</v>
      </c>
      <c r="AD3141" s="5" t="s">
        <v>43</v>
      </c>
      <c r="AE3141" s="5">
        <f t="shared" si="149"/>
        <v>12</v>
      </c>
      <c r="AF3141" s="5">
        <f t="shared" si="150"/>
        <v>2023</v>
      </c>
    </row>
    <row r="3142" s="5" customFormat="1" ht="13">
      <c r="A3142" s="5" t="s">
        <v>44</v>
      </c>
      <c r="B3142" s="5" t="s">
        <v>44</v>
      </c>
      <c r="C3142" s="5" t="s">
        <v>160</v>
      </c>
      <c r="D3142" s="5" t="s">
        <v>21</v>
      </c>
      <c r="E3142" s="5" t="s">
        <v>44</v>
      </c>
      <c r="F3142" s="5" t="s">
        <v>68</v>
      </c>
      <c r="G3142" s="5" t="s">
        <v>91</v>
      </c>
      <c r="H3142" s="9" t="s">
        <v>161</v>
      </c>
      <c r="I3142" s="10">
        <v>44581</v>
      </c>
      <c r="J3142" s="10">
        <v>45096</v>
      </c>
      <c r="K3142" s="5" t="s">
        <v>162</v>
      </c>
      <c r="L3142" s="5" t="s">
        <v>58</v>
      </c>
      <c r="M3142" s="11">
        <v>0.086999999999999994</v>
      </c>
      <c r="N3142" s="5" t="e">
        <f>IF(AND(M3142&gt;#REF!,Cartera!O3142="Guaraníes"),"Rendimiento significativo",IF(AND(M3142&gt;#REF!,Cartera!O3142="Dólares americanos"),"Rendimiento significativo","Rendimiento no significativo"))</f>
        <v>#REF!</v>
      </c>
      <c r="O3142" s="5" t="s">
        <v>41</v>
      </c>
      <c r="P3142" s="12">
        <v>17352328.767200001</v>
      </c>
      <c r="Q3142" s="12">
        <f>IF(O3142="Guaraníes",P3142,P3142*#REF!)</f>
        <v>17352328.767200001</v>
      </c>
      <c r="R3142" s="12" t="e">
        <f>IF(O3142="Guaraníes",P3142/#REF!,P3142)</f>
        <v>#REF!</v>
      </c>
      <c r="S3142" s="5" t="s">
        <v>52</v>
      </c>
      <c r="AC3142" s="5" t="str">
        <f t="shared" si="151"/>
        <v>Bonos</v>
      </c>
      <c r="AD3142" s="5" t="s">
        <v>43</v>
      </c>
      <c r="AE3142" s="5">
        <f t="shared" si="149"/>
        <v>6</v>
      </c>
      <c r="AF3142" s="5">
        <f t="shared" si="150"/>
        <v>2023</v>
      </c>
    </row>
    <row r="3143" s="5" customFormat="1" ht="13">
      <c r="A3143" s="5" t="s">
        <v>44</v>
      </c>
      <c r="B3143" s="5" t="s">
        <v>44</v>
      </c>
      <c r="C3143" s="5" t="s">
        <v>160</v>
      </c>
      <c r="D3143" s="5" t="s">
        <v>21</v>
      </c>
      <c r="E3143" s="5" t="s">
        <v>44</v>
      </c>
      <c r="F3143" s="5" t="s">
        <v>68</v>
      </c>
      <c r="G3143" s="5" t="s">
        <v>91</v>
      </c>
      <c r="H3143" s="9" t="s">
        <v>161</v>
      </c>
      <c r="I3143" s="10">
        <v>44581</v>
      </c>
      <c r="J3143" s="10">
        <v>44914</v>
      </c>
      <c r="K3143" s="5" t="s">
        <v>162</v>
      </c>
      <c r="L3143" s="5" t="s">
        <v>58</v>
      </c>
      <c r="M3143" s="11">
        <v>0.086999999999999994</v>
      </c>
      <c r="N3143" s="5" t="e">
        <f>IF(AND(M3143&gt;#REF!,Cartera!O3143="Guaraníes"),"Rendimiento significativo",IF(AND(M3143&gt;#REF!,Cartera!O3143="Dólares americanos"),"Rendimiento significativo","Rendimiento no significativo"))</f>
        <v>#REF!</v>
      </c>
      <c r="O3143" s="5" t="s">
        <v>41</v>
      </c>
      <c r="P3143" s="12">
        <v>17352328.767200001</v>
      </c>
      <c r="Q3143" s="12">
        <f>IF(O3143="Guaraníes",P3143,P3143*#REF!)</f>
        <v>17352328.767200001</v>
      </c>
      <c r="R3143" s="12" t="e">
        <f>IF(O3143="Guaraníes",P3143/#REF!,P3143)</f>
        <v>#REF!</v>
      </c>
      <c r="S3143" s="5" t="s">
        <v>52</v>
      </c>
      <c r="AC3143" s="5" t="str">
        <f t="shared" si="151"/>
        <v>Bonos</v>
      </c>
      <c r="AD3143" s="5" t="s">
        <v>43</v>
      </c>
      <c r="AE3143" s="5">
        <f t="shared" si="149"/>
        <v>12</v>
      </c>
      <c r="AF3143" s="5">
        <f t="shared" si="150"/>
        <v>2022</v>
      </c>
    </row>
    <row r="3144" s="5" customFormat="1" ht="13">
      <c r="A3144" s="5" t="s">
        <v>44</v>
      </c>
      <c r="B3144" s="5" t="s">
        <v>44</v>
      </c>
      <c r="C3144" s="5" t="s">
        <v>160</v>
      </c>
      <c r="D3144" s="5" t="s">
        <v>21</v>
      </c>
      <c r="E3144" s="5" t="s">
        <v>44</v>
      </c>
      <c r="F3144" s="5" t="s">
        <v>68</v>
      </c>
      <c r="G3144" s="5" t="s">
        <v>91</v>
      </c>
      <c r="H3144" s="9" t="s">
        <v>161</v>
      </c>
      <c r="I3144" s="10">
        <v>44581</v>
      </c>
      <c r="J3144" s="10">
        <v>44732</v>
      </c>
      <c r="K3144" s="5" t="s">
        <v>162</v>
      </c>
      <c r="L3144" s="5" t="s">
        <v>58</v>
      </c>
      <c r="M3144" s="11">
        <v>0.086999999999999994</v>
      </c>
      <c r="N3144" s="5" t="e">
        <f>IF(AND(M3144&gt;#REF!,Cartera!O3144="Guaraníes"),"Rendimiento significativo",IF(AND(M3144&gt;#REF!,Cartera!O3144="Dólares americanos"),"Rendimiento significativo","Rendimiento no significativo"))</f>
        <v>#REF!</v>
      </c>
      <c r="O3144" s="5" t="s">
        <v>41</v>
      </c>
      <c r="P3144" s="12">
        <v>14396712.3288</v>
      </c>
      <c r="Q3144" s="12">
        <f>IF(O3144="Guaraníes",P3144,P3144*#REF!)</f>
        <v>14396712.3288</v>
      </c>
      <c r="R3144" s="12" t="e">
        <f>IF(O3144="Guaraníes",P3144/#REF!,P3144)</f>
        <v>#REF!</v>
      </c>
      <c r="S3144" s="5" t="s">
        <v>52</v>
      </c>
      <c r="AC3144" s="5" t="str">
        <f t="shared" si="151"/>
        <v>Bonos</v>
      </c>
      <c r="AD3144" s="5" t="s">
        <v>43</v>
      </c>
      <c r="AE3144" s="5">
        <f t="shared" si="149"/>
        <v>6</v>
      </c>
      <c r="AF3144" s="5">
        <f t="shared" si="150"/>
        <v>2022</v>
      </c>
    </row>
    <row r="3145" s="5" customFormat="1" ht="13">
      <c r="A3145" s="5" t="s">
        <v>44</v>
      </c>
      <c r="B3145" s="5" t="s">
        <v>44</v>
      </c>
      <c r="C3145" s="5" t="s">
        <v>304</v>
      </c>
      <c r="D3145" s="5" t="s">
        <v>21</v>
      </c>
      <c r="E3145" s="5" t="s">
        <v>44</v>
      </c>
      <c r="F3145" s="5" t="s">
        <v>68</v>
      </c>
      <c r="G3145" s="5" t="s">
        <v>145</v>
      </c>
      <c r="H3145" s="9" t="s">
        <v>363</v>
      </c>
      <c r="I3145" s="10"/>
      <c r="J3145" s="10">
        <v>45362</v>
      </c>
      <c r="K3145" s="5" t="s">
        <v>39</v>
      </c>
      <c r="L3145" s="5" t="s">
        <v>58</v>
      </c>
      <c r="M3145" s="11">
        <v>0.089999999999999997</v>
      </c>
      <c r="N3145" s="5" t="e">
        <f>IF(AND(M3145&gt;#REF!,Cartera!O3145="Guaraníes"),"Rendimiento significativo",IF(AND(M3145&gt;#REF!,Cartera!O3145="Dólares americanos"),"Rendimiento significativo","Rendimiento no significativo"))</f>
        <v>#REF!</v>
      </c>
      <c r="O3145" s="5" t="s">
        <v>41</v>
      </c>
      <c r="P3145" s="12">
        <v>8975342.4656000007</v>
      </c>
      <c r="Q3145" s="12">
        <f>IF(O3145="Guaraníes",P3145,P3145*#REF!)</f>
        <v>8975342.4656000007</v>
      </c>
      <c r="R3145" s="12" t="e">
        <f>IF(O3145="Guaraníes",P3145/#REF!,P3145)</f>
        <v>#REF!</v>
      </c>
      <c r="S3145" s="5" t="s">
        <v>52</v>
      </c>
      <c r="T3145" s="5">
        <v>1057</v>
      </c>
      <c r="AC3145" s="5" t="str">
        <f t="shared" si="151"/>
        <v>Bonos</v>
      </c>
      <c r="AD3145" s="5" t="s">
        <v>43</v>
      </c>
      <c r="AE3145" s="5">
        <f t="shared" si="149"/>
        <v>3</v>
      </c>
      <c r="AF3145" s="5">
        <f t="shared" si="150"/>
        <v>2024</v>
      </c>
    </row>
    <row r="3146" s="5" customFormat="1" ht="13">
      <c r="A3146" s="5" t="s">
        <v>44</v>
      </c>
      <c r="B3146" s="5" t="s">
        <v>44</v>
      </c>
      <c r="C3146" s="5" t="s">
        <v>304</v>
      </c>
      <c r="D3146" s="5" t="s">
        <v>21</v>
      </c>
      <c r="E3146" s="5" t="s">
        <v>44</v>
      </c>
      <c r="F3146" s="5" t="s">
        <v>68</v>
      </c>
      <c r="G3146" s="5" t="s">
        <v>47</v>
      </c>
      <c r="H3146" s="9" t="s">
        <v>305</v>
      </c>
      <c r="I3146" s="10"/>
      <c r="J3146" s="10">
        <v>45377</v>
      </c>
      <c r="K3146" s="5" t="s">
        <v>39</v>
      </c>
      <c r="L3146" s="5" t="s">
        <v>58</v>
      </c>
      <c r="M3146" s="11">
        <v>0.089999999999999997</v>
      </c>
      <c r="N3146" s="5" t="e">
        <f>IF(AND(M3146&gt;#REF!,Cartera!O3146="Guaraníes"),"Rendimiento significativo",IF(AND(M3146&gt;#REF!,Cartera!O3146="Dólares americanos"),"Rendimiento significativo","Rendimiento no significativo"))</f>
        <v>#REF!</v>
      </c>
      <c r="O3146" s="5" t="s">
        <v>41</v>
      </c>
      <c r="P3146" s="12">
        <v>2243835.6164000002</v>
      </c>
      <c r="Q3146" s="12">
        <f>IF(O3146="Guaraníes",P3146,P3146*#REF!)</f>
        <v>2243835.6164000002</v>
      </c>
      <c r="R3146" s="12" t="e">
        <f>IF(O3146="Guaraníes",P3146/#REF!,P3146)</f>
        <v>#REF!</v>
      </c>
      <c r="S3146" s="5" t="s">
        <v>52</v>
      </c>
      <c r="AC3146" s="5" t="str">
        <f t="shared" si="151"/>
        <v>Bonos</v>
      </c>
      <c r="AD3146" s="5" t="s">
        <v>43</v>
      </c>
      <c r="AE3146" s="5">
        <f t="shared" si="149"/>
        <v>3</v>
      </c>
      <c r="AF3146" s="5">
        <f t="shared" si="150"/>
        <v>2024</v>
      </c>
    </row>
    <row r="3147" s="5" customFormat="1" ht="13">
      <c r="A3147" s="5">
        <v>12316</v>
      </c>
      <c r="B3147" s="5" t="s">
        <v>78</v>
      </c>
      <c r="C3147" s="5" t="s">
        <v>54</v>
      </c>
      <c r="D3147" s="5" t="s">
        <v>21</v>
      </c>
      <c r="E3147" s="5" t="s">
        <v>34</v>
      </c>
      <c r="F3147" s="5" t="s">
        <v>46</v>
      </c>
      <c r="G3147" s="5" t="s">
        <v>75</v>
      </c>
      <c r="H3147" s="9" t="s">
        <v>147</v>
      </c>
      <c r="I3147" s="10"/>
      <c r="J3147" s="10">
        <v>47014</v>
      </c>
      <c r="K3147" s="5" t="s">
        <v>57</v>
      </c>
      <c r="L3147" s="5" t="s">
        <v>58</v>
      </c>
      <c r="M3147" s="11">
        <v>0.12</v>
      </c>
      <c r="N3147" s="5" t="e">
        <f>IF(AND(M3147&gt;#REF!,Cartera!O3147="Guaraníes"),"Rendimiento significativo",IF(AND(M3147&gt;#REF!,Cartera!O3147="Dólares americanos"),"Rendimiento significativo","Rendimiento no significativo"))</f>
        <v>#REF!</v>
      </c>
      <c r="O3147" s="5" t="s">
        <v>41</v>
      </c>
      <c r="P3147" s="12">
        <v>4487671.2328500003</v>
      </c>
      <c r="Q3147" s="12">
        <f>IF(O3147="Guaraníes",P3147,P3147*#REF!)</f>
        <v>4487671.2328500003</v>
      </c>
      <c r="R3147" s="12" t="e">
        <f>IF(O3147="Guaraníes",P3147/#REF!,P3147)</f>
        <v>#REF!</v>
      </c>
      <c r="S3147" s="5" t="s">
        <v>42</v>
      </c>
      <c r="T3147" s="5">
        <v>25</v>
      </c>
      <c r="W3147" s="5" t="s">
        <v>192</v>
      </c>
      <c r="X3147" s="5">
        <v>0</v>
      </c>
      <c r="Y3147" s="5">
        <v>0</v>
      </c>
      <c r="Z3147" s="5">
        <v>29917.808218999999</v>
      </c>
      <c r="AA3147" s="5">
        <v>150</v>
      </c>
      <c r="AB3147" s="5">
        <v>4487671.2328500003</v>
      </c>
      <c r="AC3147" s="5" t="str">
        <f t="shared" si="151"/>
        <v>Bonos</v>
      </c>
      <c r="AD3147" s="5" t="s">
        <v>43</v>
      </c>
      <c r="AE3147" s="5">
        <f t="shared" si="149"/>
        <v>9</v>
      </c>
      <c r="AF3147" s="5">
        <f t="shared" si="150"/>
        <v>2028</v>
      </c>
    </row>
    <row r="3148" s="5" customFormat="1" ht="13">
      <c r="A3148" s="5">
        <v>12316</v>
      </c>
      <c r="B3148" s="5" t="s">
        <v>78</v>
      </c>
      <c r="C3148" s="5" t="s">
        <v>138</v>
      </c>
      <c r="D3148" s="5" t="s">
        <v>21</v>
      </c>
      <c r="E3148" s="5" t="s">
        <v>34</v>
      </c>
      <c r="F3148" s="5" t="s">
        <v>68</v>
      </c>
      <c r="G3148" s="5" t="s">
        <v>86</v>
      </c>
      <c r="H3148" s="9" t="s">
        <v>193</v>
      </c>
      <c r="I3148" s="10">
        <v>44104</v>
      </c>
      <c r="J3148" s="10">
        <v>47015</v>
      </c>
      <c r="K3148" s="5" t="s">
        <v>140</v>
      </c>
      <c r="L3148" s="5" t="s">
        <v>58</v>
      </c>
      <c r="M3148" s="11">
        <v>0.10000000000000001</v>
      </c>
      <c r="N3148" s="5" t="e">
        <f>IF(AND(M3148&gt;#REF!,Cartera!O3148="Guaraníes"),"Rendimiento significativo",IF(AND(M3148&gt;#REF!,Cartera!O3148="Dólares americanos"),"Rendimiento significativo","Rendimiento no significativo"))</f>
        <v>#REF!</v>
      </c>
      <c r="O3148" s="5" t="s">
        <v>41</v>
      </c>
      <c r="P3148" s="12">
        <v>2493150.6849000002</v>
      </c>
      <c r="Q3148" s="12">
        <f>IF(O3148="Guaraníes",P3148,P3148*#REF!)</f>
        <v>2493150.6849000002</v>
      </c>
      <c r="R3148" s="12" t="e">
        <f>IF(O3148="Guaraníes",P3148/#REF!,P3148)</f>
        <v>#REF!</v>
      </c>
      <c r="S3148" s="5" t="s">
        <v>42</v>
      </c>
      <c r="AC3148" s="5" t="str">
        <f t="shared" si="151"/>
        <v>Bonos</v>
      </c>
      <c r="AD3148" s="5" t="s">
        <v>43</v>
      </c>
      <c r="AE3148" s="5">
        <f t="shared" si="149"/>
        <v>9</v>
      </c>
      <c r="AF3148" s="5">
        <f t="shared" si="150"/>
        <v>2028</v>
      </c>
    </row>
    <row r="3149" s="5" customFormat="1" ht="13">
      <c r="A3149" s="5">
        <v>12315</v>
      </c>
      <c r="B3149" s="5" t="s">
        <v>73</v>
      </c>
      <c r="C3149" s="5" t="s">
        <v>116</v>
      </c>
      <c r="D3149" s="5" t="s">
        <v>21</v>
      </c>
      <c r="E3149" s="5" t="s">
        <v>34</v>
      </c>
      <c r="F3149" s="5" t="s">
        <v>68</v>
      </c>
      <c r="G3149" s="5" t="s">
        <v>69</v>
      </c>
      <c r="H3149" s="9" t="s">
        <v>194</v>
      </c>
      <c r="I3149" s="10"/>
      <c r="J3149" s="10">
        <v>47016</v>
      </c>
      <c r="K3149" s="5" t="s">
        <v>118</v>
      </c>
      <c r="L3149" s="5" t="s">
        <v>50</v>
      </c>
      <c r="M3149" s="11">
        <v>0.065000000000000002</v>
      </c>
      <c r="N3149" s="5" t="e">
        <f>IF(AND(M3149&gt;#REF!,Cartera!O3149="Guaraníes"),"Rendimiento significativo",IF(AND(M3149&gt;#REF!,Cartera!O3149="Dólares americanos"),"Rendimiento significativo","Rendimiento no significativo"))</f>
        <v>#REF!</v>
      </c>
      <c r="O3149" s="5" t="s">
        <v>51</v>
      </c>
      <c r="P3149" s="13">
        <v>324.10958999999997</v>
      </c>
      <c r="Q3149" s="12" t="e">
        <f>IF(O3149="Guaraníes",P3149,P3149*#REF!)</f>
        <v>#REF!</v>
      </c>
      <c r="R3149" s="12">
        <f>IF(O3149="Guaraníes",P3149/#REF!,P3149)</f>
        <v>324.10958999999997</v>
      </c>
      <c r="S3149" s="5" t="s">
        <v>42</v>
      </c>
      <c r="T3149" s="5">
        <v>593</v>
      </c>
      <c r="W3149" s="5" t="s">
        <v>218</v>
      </c>
      <c r="X3149" s="5">
        <v>0</v>
      </c>
      <c r="Y3149" s="5">
        <v>0</v>
      </c>
      <c r="Z3149" s="5">
        <v>32.410958999999998</v>
      </c>
      <c r="AA3149" s="5">
        <v>10</v>
      </c>
      <c r="AB3149" s="5">
        <v>324.10959000000003</v>
      </c>
      <c r="AC3149" s="5" t="str">
        <f t="shared" si="151"/>
        <v>Bonos</v>
      </c>
      <c r="AD3149" s="5" t="s">
        <v>43</v>
      </c>
      <c r="AE3149" s="5">
        <f t="shared" si="149"/>
        <v>9</v>
      </c>
      <c r="AF3149" s="5">
        <f t="shared" si="150"/>
        <v>2028</v>
      </c>
    </row>
    <row r="3150" s="5" customFormat="1" ht="13">
      <c r="A3150" s="5">
        <v>12315</v>
      </c>
      <c r="B3150" s="5" t="s">
        <v>73</v>
      </c>
      <c r="C3150" s="5" t="s">
        <v>212</v>
      </c>
      <c r="D3150" s="5" t="s">
        <v>21</v>
      </c>
      <c r="E3150" s="5" t="s">
        <v>34</v>
      </c>
      <c r="F3150" s="5" t="s">
        <v>68</v>
      </c>
      <c r="G3150" s="5" t="s">
        <v>86</v>
      </c>
      <c r="H3150" s="9" t="s">
        <v>213</v>
      </c>
      <c r="I3150" s="10">
        <v>44651</v>
      </c>
      <c r="J3150" s="10">
        <v>47017</v>
      </c>
      <c r="K3150" s="5" t="s">
        <v>81</v>
      </c>
      <c r="L3150" s="5" t="s">
        <v>58</v>
      </c>
      <c r="M3150" s="11">
        <v>0.053499999999999999</v>
      </c>
      <c r="N3150" s="5" t="e">
        <f>IF(AND(M3150&gt;#REF!,Cartera!O3150="Guaraníes"),"Rendimiento significativo",IF(AND(M3150&gt;#REF!,Cartera!O3150="Dólares americanos"),"Rendimiento significativo","Rendimiento no significativo"))</f>
        <v>#REF!</v>
      </c>
      <c r="O3150" s="5" t="s">
        <v>51</v>
      </c>
      <c r="P3150" s="13">
        <v>2667.6712000000002</v>
      </c>
      <c r="Q3150" s="12" t="e">
        <f>IF(O3150="Guaraníes",P3150,P3150*#REF!)</f>
        <v>#REF!</v>
      </c>
      <c r="R3150" s="12">
        <f>IF(O3150="Guaraníes",P3150/#REF!,P3150)</f>
        <v>2667.6712000000002</v>
      </c>
      <c r="S3150" s="5" t="s">
        <v>42</v>
      </c>
      <c r="V3150" s="5">
        <v>26.676711999999998</v>
      </c>
      <c r="AA3150" s="5">
        <v>100</v>
      </c>
      <c r="AC3150" s="5" t="str">
        <f t="shared" si="151"/>
        <v>Bonos</v>
      </c>
      <c r="AD3150" s="5" t="s">
        <v>43</v>
      </c>
      <c r="AE3150" s="5">
        <f t="shared" si="149"/>
        <v>9</v>
      </c>
      <c r="AF3150" s="5">
        <f t="shared" si="150"/>
        <v>2028</v>
      </c>
    </row>
    <row r="3151" s="5" customFormat="1" ht="13">
      <c r="A3151" s="5" t="s">
        <v>44</v>
      </c>
      <c r="B3151" s="5" t="s">
        <v>44</v>
      </c>
      <c r="C3151" s="5" t="s">
        <v>164</v>
      </c>
      <c r="D3151" s="5" t="s">
        <v>21</v>
      </c>
      <c r="E3151" s="5" t="s">
        <v>44</v>
      </c>
      <c r="F3151" s="5" t="s">
        <v>68</v>
      </c>
      <c r="G3151" s="5" t="s">
        <v>141</v>
      </c>
      <c r="H3151" s="9" t="s">
        <v>393</v>
      </c>
      <c r="I3151" s="10"/>
      <c r="J3151" s="10">
        <v>45446</v>
      </c>
      <c r="K3151" s="5" t="s">
        <v>124</v>
      </c>
      <c r="L3151" s="5" t="s">
        <v>58</v>
      </c>
      <c r="M3151" s="11">
        <v>0.087499999999999994</v>
      </c>
      <c r="N3151" s="5" t="e">
        <f>IF(AND(M3151&gt;#REF!,Cartera!O3151="Guaraníes"),"Rendimiento significativo",IF(AND(M3151&gt;#REF!,Cartera!O3151="Dólares americanos"),"Rendimiento significativo","Rendimiento no significativo"))</f>
        <v>#REF!</v>
      </c>
      <c r="O3151" s="5" t="s">
        <v>41</v>
      </c>
      <c r="P3151" s="12">
        <v>10907534</v>
      </c>
      <c r="Q3151" s="12">
        <f>IF(O3151="Guaraníes",P3151,P3151*#REF!)</f>
        <v>10907534</v>
      </c>
      <c r="R3151" s="12" t="e">
        <f>IF(O3151="Guaraníes",P3151/#REF!,P3151)</f>
        <v>#REF!</v>
      </c>
      <c r="S3151" s="5" t="s">
        <v>52</v>
      </c>
      <c r="AC3151" s="5" t="str">
        <f t="shared" si="151"/>
        <v>Bonos</v>
      </c>
      <c r="AD3151" s="5" t="s">
        <v>43</v>
      </c>
      <c r="AE3151" s="5">
        <f t="shared" si="149"/>
        <v>6</v>
      </c>
      <c r="AF3151" s="5">
        <f t="shared" si="150"/>
        <v>2024</v>
      </c>
    </row>
    <row r="3152" s="5" customFormat="1" ht="13">
      <c r="A3152" s="5" t="s">
        <v>44</v>
      </c>
      <c r="B3152" s="5" t="s">
        <v>44</v>
      </c>
      <c r="C3152" s="5" t="s">
        <v>114</v>
      </c>
      <c r="D3152" s="5" t="s">
        <v>21</v>
      </c>
      <c r="E3152" s="5" t="s">
        <v>44</v>
      </c>
      <c r="F3152" s="5" t="s">
        <v>68</v>
      </c>
      <c r="G3152" s="5" t="s">
        <v>69</v>
      </c>
      <c r="H3152" s="9" t="s">
        <v>520</v>
      </c>
      <c r="I3152" s="10"/>
      <c r="J3152" s="10">
        <v>45434</v>
      </c>
      <c r="K3152" s="5" t="s">
        <v>77</v>
      </c>
      <c r="L3152" s="5" t="s">
        <v>50</v>
      </c>
      <c r="M3152" s="11">
        <v>0.14249999999999999</v>
      </c>
      <c r="N3152" s="5" t="e">
        <f>IF(AND(M3152&gt;#REF!,Cartera!O3152="Guaraníes"),"Rendimiento significativo",IF(AND(M3152&gt;#REF!,Cartera!O3152="Dólares americanos"),"Rendimiento significativo","Rendimiento no significativo"))</f>
        <v>#REF!</v>
      </c>
      <c r="O3152" s="5" t="s">
        <v>41</v>
      </c>
      <c r="P3152" s="12">
        <v>3552739.73</v>
      </c>
      <c r="Q3152" s="12">
        <f>IF(O3152="Guaraníes",P3152,P3152*#REF!)</f>
        <v>3552739.73</v>
      </c>
      <c r="R3152" s="12" t="e">
        <f>IF(O3152="Guaraníes",P3152/#REF!,P3152)</f>
        <v>#REF!</v>
      </c>
      <c r="S3152" s="5" t="s">
        <v>52</v>
      </c>
      <c r="AC3152" s="5" t="str">
        <f t="shared" si="151"/>
        <v>Bonos</v>
      </c>
      <c r="AD3152" s="5" t="s">
        <v>43</v>
      </c>
      <c r="AE3152" s="5">
        <f t="shared" si="149"/>
        <v>5</v>
      </c>
      <c r="AF3152" s="5">
        <f t="shared" si="150"/>
        <v>2024</v>
      </c>
    </row>
    <row r="3153" s="5" customFormat="1" ht="13">
      <c r="A3153" s="5">
        <v>12316</v>
      </c>
      <c r="B3153" s="5" t="s">
        <v>78</v>
      </c>
      <c r="C3153" s="5" t="s">
        <v>164</v>
      </c>
      <c r="D3153" s="5" t="s">
        <v>21</v>
      </c>
      <c r="E3153" s="5" t="s">
        <v>34</v>
      </c>
      <c r="F3153" s="5" t="s">
        <v>68</v>
      </c>
      <c r="G3153" s="5" t="s">
        <v>145</v>
      </c>
      <c r="H3153" s="9" t="s">
        <v>165</v>
      </c>
      <c r="I3153" s="10"/>
      <c r="J3153" s="10">
        <v>47024</v>
      </c>
      <c r="K3153" s="5" t="s">
        <v>124</v>
      </c>
      <c r="L3153" s="5" t="s">
        <v>58</v>
      </c>
      <c r="M3153" s="11">
        <v>0.10000000000000001</v>
      </c>
      <c r="N3153" s="5" t="e">
        <f>IF(AND(M3153&gt;#REF!,Cartera!O3153="Guaraníes"),"Rendimiento significativo",IF(AND(M3153&gt;#REF!,Cartera!O3153="Dólares americanos"),"Rendimiento significativo","Rendimiento no significativo"))</f>
        <v>#REF!</v>
      </c>
      <c r="O3153" s="5" t="s">
        <v>41</v>
      </c>
      <c r="P3153" s="12">
        <v>3068493.1507999999</v>
      </c>
      <c r="Q3153" s="12">
        <f>IF(O3153="Guaraníes",P3153,P3153*#REF!)</f>
        <v>3068493.1507999999</v>
      </c>
      <c r="R3153" s="12" t="e">
        <f>IF(O3153="Guaraníes",P3153/#REF!,P3153)</f>
        <v>#REF!</v>
      </c>
      <c r="S3153" s="5" t="s">
        <v>42</v>
      </c>
      <c r="T3153" s="5">
        <v>1057</v>
      </c>
      <c r="W3153" s="5" t="s">
        <v>65</v>
      </c>
      <c r="X3153" s="5">
        <v>0</v>
      </c>
      <c r="Y3153" s="5">
        <v>0</v>
      </c>
      <c r="Z3153" s="5">
        <v>7671.2328770000004</v>
      </c>
      <c r="AA3153" s="5">
        <v>400</v>
      </c>
      <c r="AB3153" s="5">
        <v>3068493.1507999999</v>
      </c>
      <c r="AC3153" s="5" t="str">
        <f t="shared" si="151"/>
        <v>Bonos</v>
      </c>
      <c r="AD3153" s="5" t="s">
        <v>43</v>
      </c>
      <c r="AE3153" s="5">
        <f t="shared" si="149"/>
        <v>9</v>
      </c>
      <c r="AF3153" s="5">
        <f t="shared" si="150"/>
        <v>2028</v>
      </c>
    </row>
    <row r="3154" s="5" customFormat="1" ht="13">
      <c r="A3154" s="5" t="s">
        <v>44</v>
      </c>
      <c r="B3154" s="5" t="s">
        <v>44</v>
      </c>
      <c r="C3154" s="5" t="s">
        <v>114</v>
      </c>
      <c r="D3154" s="5" t="s">
        <v>21</v>
      </c>
      <c r="E3154" s="5" t="s">
        <v>44</v>
      </c>
      <c r="F3154" s="5" t="s">
        <v>68</v>
      </c>
      <c r="G3154" s="5" t="s">
        <v>112</v>
      </c>
      <c r="H3154" s="9" t="s">
        <v>236</v>
      </c>
      <c r="I3154" s="10"/>
      <c r="J3154" s="10">
        <v>45274</v>
      </c>
      <c r="K3154" s="5" t="s">
        <v>77</v>
      </c>
      <c r="L3154" s="5" t="s">
        <v>50</v>
      </c>
      <c r="M3154" s="11">
        <v>0.14999999999999999</v>
      </c>
      <c r="N3154" s="5" t="e">
        <f>IF(AND(M3154&gt;#REF!,Cartera!O3154="Guaraníes"),"Rendimiento significativo",IF(AND(M3154&gt;#REF!,Cartera!O3154="Dólares americanos"),"Rendimiento significativo","Rendimiento no significativo"))</f>
        <v>#REF!</v>
      </c>
      <c r="O3154" s="5" t="s">
        <v>41</v>
      </c>
      <c r="P3154" s="12">
        <v>3739726.0299999998</v>
      </c>
      <c r="Q3154" s="12">
        <f>IF(O3154="Guaraníes",P3154,P3154*#REF!)</f>
        <v>3739726.0299999998</v>
      </c>
      <c r="R3154" s="12" t="e">
        <f>IF(O3154="Guaraníes",P3154/#REF!,P3154)</f>
        <v>#REF!</v>
      </c>
      <c r="S3154" s="5" t="s">
        <v>52</v>
      </c>
      <c r="AC3154" s="5" t="str">
        <f t="shared" si="151"/>
        <v>Bonos</v>
      </c>
      <c r="AD3154" s="5" t="s">
        <v>43</v>
      </c>
      <c r="AE3154" s="5">
        <f t="shared" ref="AE3154:AE3217" si="152">IFERROR((MONTH(J3154)),0)</f>
        <v>12</v>
      </c>
      <c r="AF3154" s="5">
        <f t="shared" ref="AF3154:AF3217" si="153">IFERROR((YEAR(J3154)),0)</f>
        <v>2023</v>
      </c>
    </row>
    <row r="3155" s="5" customFormat="1" ht="13">
      <c r="A3155" s="5">
        <v>12316</v>
      </c>
      <c r="B3155" s="5" t="s">
        <v>78</v>
      </c>
      <c r="C3155" s="5" t="s">
        <v>164</v>
      </c>
      <c r="D3155" s="5" t="s">
        <v>21</v>
      </c>
      <c r="E3155" s="5" t="s">
        <v>34</v>
      </c>
      <c r="F3155" s="5" t="s">
        <v>68</v>
      </c>
      <c r="G3155" s="5" t="s">
        <v>141</v>
      </c>
      <c r="H3155" s="9" t="s">
        <v>165</v>
      </c>
      <c r="I3155" s="10"/>
      <c r="J3155" s="10">
        <v>47024</v>
      </c>
      <c r="K3155" s="5" t="s">
        <v>124</v>
      </c>
      <c r="L3155" s="5" t="s">
        <v>58</v>
      </c>
      <c r="M3155" s="11">
        <v>0.10000000000000001</v>
      </c>
      <c r="N3155" s="5" t="e">
        <f>IF(AND(M3155&gt;#REF!,Cartera!O3155="Guaraníes"),"Rendimiento significativo",IF(AND(M3155&gt;#REF!,Cartera!O3155="Dólares americanos"),"Rendimiento significativo","Rendimiento no significativo"))</f>
        <v>#REF!</v>
      </c>
      <c r="O3155" s="5" t="s">
        <v>41</v>
      </c>
      <c r="P3155" s="12">
        <v>767123.28769999999</v>
      </c>
      <c r="Q3155" s="12">
        <f>IF(O3155="Guaraníes",P3155,P3155*#REF!)</f>
        <v>767123.28769999999</v>
      </c>
      <c r="R3155" s="12" t="e">
        <f>IF(O3155="Guaraníes",P3155/#REF!,P3155)</f>
        <v>#REF!</v>
      </c>
      <c r="S3155" s="5" t="s">
        <v>42</v>
      </c>
      <c r="T3155" s="5">
        <v>9243</v>
      </c>
      <c r="W3155" s="5" t="s">
        <v>65</v>
      </c>
      <c r="X3155" s="5">
        <v>0</v>
      </c>
      <c r="Y3155" s="5">
        <v>0</v>
      </c>
      <c r="Z3155" s="5">
        <v>7671.2328770000004</v>
      </c>
      <c r="AA3155" s="5">
        <v>100</v>
      </c>
      <c r="AB3155" s="5">
        <v>767123.28769999999</v>
      </c>
      <c r="AC3155" s="5" t="str">
        <f t="shared" si="151"/>
        <v>Bonos</v>
      </c>
      <c r="AD3155" s="5" t="s">
        <v>43</v>
      </c>
      <c r="AE3155" s="5">
        <f t="shared" si="152"/>
        <v>9</v>
      </c>
      <c r="AF3155" s="5">
        <f t="shared" si="153"/>
        <v>2028</v>
      </c>
    </row>
    <row r="3156" s="5" customFormat="1" ht="13">
      <c r="A3156" s="5">
        <v>12315</v>
      </c>
      <c r="B3156" s="5" t="s">
        <v>73</v>
      </c>
      <c r="C3156" s="5" t="s">
        <v>74</v>
      </c>
      <c r="D3156" s="5" t="s">
        <v>21</v>
      </c>
      <c r="E3156" s="5" t="s">
        <v>34</v>
      </c>
      <c r="F3156" s="5" t="s">
        <v>68</v>
      </c>
      <c r="G3156" s="5" t="s">
        <v>75</v>
      </c>
      <c r="H3156" s="9" t="s">
        <v>76</v>
      </c>
      <c r="I3156" s="10"/>
      <c r="J3156" s="10">
        <v>47028</v>
      </c>
      <c r="K3156" s="5" t="s">
        <v>77</v>
      </c>
      <c r="L3156" s="5" t="s">
        <v>50</v>
      </c>
      <c r="M3156" s="11">
        <v>0.055</v>
      </c>
      <c r="N3156" s="5" t="e">
        <f>IF(AND(M3156&gt;#REF!,Cartera!O3156="Guaraníes"),"Rendimiento significativo",IF(AND(M3156&gt;#REF!,Cartera!O3156="Dólares americanos"),"Rendimiento significativo","Rendimiento no significativo"))</f>
        <v>#REF!</v>
      </c>
      <c r="O3156" s="5" t="s">
        <v>51</v>
      </c>
      <c r="P3156" s="13">
        <v>411.36986999999999</v>
      </c>
      <c r="Q3156" s="12" t="e">
        <f>IF(O3156="Guaraníes",P3156,P3156*#REF!)</f>
        <v>#REF!</v>
      </c>
      <c r="R3156" s="12">
        <f>IF(O3156="Guaraníes",P3156/#REF!,P3156)</f>
        <v>411.36986999999999</v>
      </c>
      <c r="S3156" s="5" t="s">
        <v>42</v>
      </c>
      <c r="T3156" s="5">
        <v>25</v>
      </c>
      <c r="W3156" s="5" t="s">
        <v>65</v>
      </c>
      <c r="X3156" s="5">
        <v>0</v>
      </c>
      <c r="Y3156" s="5">
        <v>0</v>
      </c>
      <c r="Z3156" s="5">
        <v>13.712329</v>
      </c>
      <c r="AA3156" s="5">
        <v>30</v>
      </c>
      <c r="AB3156" s="5">
        <v>411.37</v>
      </c>
      <c r="AC3156" s="5" t="str">
        <f t="shared" si="151"/>
        <v>Bonos</v>
      </c>
      <c r="AD3156" s="5" t="s">
        <v>43</v>
      </c>
      <c r="AE3156" s="5">
        <f t="shared" si="152"/>
        <v>10</v>
      </c>
      <c r="AF3156" s="5">
        <f t="shared" si="153"/>
        <v>2028</v>
      </c>
    </row>
    <row r="3157" s="5" customFormat="1" ht="13">
      <c r="A3157" s="5" t="s">
        <v>44</v>
      </c>
      <c r="B3157" s="5" t="s">
        <v>44</v>
      </c>
      <c r="C3157" s="5" t="s">
        <v>99</v>
      </c>
      <c r="D3157" s="5" t="s">
        <v>21</v>
      </c>
      <c r="E3157" s="5" t="s">
        <v>44</v>
      </c>
      <c r="F3157" s="5" t="s">
        <v>100</v>
      </c>
      <c r="G3157" s="5" t="s">
        <v>112</v>
      </c>
      <c r="H3157" s="9" t="s">
        <v>238</v>
      </c>
      <c r="I3157" s="10"/>
      <c r="J3157" s="10">
        <v>44959</v>
      </c>
      <c r="K3157" s="5" t="s">
        <v>102</v>
      </c>
      <c r="L3157" s="5" t="s">
        <v>102</v>
      </c>
      <c r="M3157" s="11">
        <v>0.081000000000000003</v>
      </c>
      <c r="N3157" s="5" t="e">
        <f>IF(AND(M3157&gt;#REF!,Cartera!O3157="Guaraníes"),"Rendimiento significativo",IF(AND(M3157&gt;#REF!,Cartera!O3157="Dólares americanos"),"Rendimiento significativo","Rendimiento no significativo"))</f>
        <v>#REF!</v>
      </c>
      <c r="O3157" s="5" t="s">
        <v>41</v>
      </c>
      <c r="P3157" s="12">
        <v>2041644</v>
      </c>
      <c r="Q3157" s="12">
        <f>IF(O3157="Guaraníes",P3157,P3157*#REF!)</f>
        <v>2041644</v>
      </c>
      <c r="R3157" s="12" t="e">
        <f>IF(O3157="Guaraníes",P3157/#REF!,P3157)</f>
        <v>#REF!</v>
      </c>
      <c r="S3157" s="5" t="s">
        <v>52</v>
      </c>
      <c r="T3157" s="5">
        <v>2475</v>
      </c>
      <c r="W3157" s="5">
        <v>2022</v>
      </c>
      <c r="AC3157" s="5" t="str">
        <f t="shared" si="151"/>
        <v>Bonos</v>
      </c>
      <c r="AD3157" s="5" t="s">
        <v>43</v>
      </c>
      <c r="AE3157" s="5">
        <f t="shared" si="152"/>
        <v>2</v>
      </c>
      <c r="AF3157" s="5">
        <f t="shared" si="153"/>
        <v>2023</v>
      </c>
    </row>
    <row r="3158" s="5" customFormat="1" ht="13">
      <c r="A3158" s="5">
        <v>12316</v>
      </c>
      <c r="B3158" s="5" t="s">
        <v>78</v>
      </c>
      <c r="C3158" s="5" t="s">
        <v>138</v>
      </c>
      <c r="D3158" s="5" t="s">
        <v>21</v>
      </c>
      <c r="E3158" s="5" t="s">
        <v>34</v>
      </c>
      <c r="F3158" s="5" t="s">
        <v>68</v>
      </c>
      <c r="G3158" s="5" t="s">
        <v>86</v>
      </c>
      <c r="H3158" s="9" t="s">
        <v>139</v>
      </c>
      <c r="I3158" s="10">
        <v>43948</v>
      </c>
      <c r="J3158" s="10">
        <v>47028</v>
      </c>
      <c r="K3158" s="5" t="s">
        <v>140</v>
      </c>
      <c r="L3158" s="5" t="s">
        <v>58</v>
      </c>
      <c r="M3158" s="11">
        <v>0.11</v>
      </c>
      <c r="N3158" s="5" t="e">
        <f>IF(AND(M3158&gt;#REF!,Cartera!O3158="Guaraníes"),"Rendimiento significativo",IF(AND(M3158&gt;#REF!,Cartera!O3158="Dólares americanos"),"Rendimiento significativo","Rendimiento no significativo"))</f>
        <v>#REF!</v>
      </c>
      <c r="O3158" s="5" t="s">
        <v>41</v>
      </c>
      <c r="P3158" s="12">
        <v>653287.83460000006</v>
      </c>
      <c r="Q3158" s="12">
        <f>IF(O3158="Guaraníes",P3158,P3158*#REF!)</f>
        <v>653287.83460000006</v>
      </c>
      <c r="R3158" s="12" t="e">
        <f>IF(O3158="Guaraníes",P3158/#REF!,P3158)</f>
        <v>#REF!</v>
      </c>
      <c r="S3158" s="5" t="s">
        <v>42</v>
      </c>
      <c r="AC3158" s="5" t="str">
        <f t="shared" si="151"/>
        <v>Bonos</v>
      </c>
      <c r="AD3158" s="5" t="s">
        <v>43</v>
      </c>
      <c r="AE3158" s="5">
        <f t="shared" si="152"/>
        <v>10</v>
      </c>
      <c r="AF3158" s="5">
        <f t="shared" si="153"/>
        <v>2028</v>
      </c>
    </row>
    <row r="3159" s="5" customFormat="1" ht="13">
      <c r="A3159" s="5">
        <v>12301</v>
      </c>
      <c r="B3159" s="5" t="s">
        <v>107</v>
      </c>
      <c r="C3159" s="5" t="s">
        <v>99</v>
      </c>
      <c r="D3159" s="5" t="s">
        <v>20</v>
      </c>
      <c r="E3159" s="5" t="s">
        <v>34</v>
      </c>
      <c r="F3159" s="5" t="s">
        <v>100</v>
      </c>
      <c r="G3159" s="5" t="s">
        <v>86</v>
      </c>
      <c r="H3159" s="9" t="s">
        <v>155</v>
      </c>
      <c r="I3159" s="10"/>
      <c r="J3159" s="10">
        <v>49737</v>
      </c>
      <c r="K3159" s="5" t="s">
        <v>102</v>
      </c>
      <c r="L3159" s="5" t="s">
        <v>102</v>
      </c>
      <c r="M3159" s="11">
        <v>0.081000000000000003</v>
      </c>
      <c r="N3159" s="5" t="e">
        <f>IF(AND(M3159&gt;#REF!,Cartera!O3159="Guaraníes"),"Rendimiento significativo",IF(AND(M3159&gt;#REF!,Cartera!O3159="Dólares americanos"),"Rendimiento significativo","Rendimiento no significativo"))</f>
        <v>#REF!</v>
      </c>
      <c r="O3159" s="5" t="s">
        <v>41</v>
      </c>
      <c r="P3159" s="12">
        <v>700000000</v>
      </c>
      <c r="Q3159" s="12">
        <f>IF(O3159="Guaraníes",P3159,P3159*#REF!)</f>
        <v>700000000</v>
      </c>
      <c r="R3159" s="12" t="e">
        <f>IF(O3159="Guaraníes",P3159/#REF!,P3159)</f>
        <v>#REF!</v>
      </c>
      <c r="S3159" s="5" t="s">
        <v>42</v>
      </c>
      <c r="T3159" s="5">
        <v>10834</v>
      </c>
      <c r="AC3159" s="5" t="str">
        <f t="shared" si="151"/>
        <v>Bonos</v>
      </c>
      <c r="AD3159" s="5" t="s">
        <v>43</v>
      </c>
      <c r="AE3159" s="5">
        <f t="shared" si="152"/>
        <v>3</v>
      </c>
      <c r="AF3159" s="5">
        <f t="shared" si="153"/>
        <v>2036</v>
      </c>
    </row>
    <row r="3160" s="5" customFormat="1" ht="13">
      <c r="A3160" s="5">
        <v>12315</v>
      </c>
      <c r="B3160" s="5" t="s">
        <v>73</v>
      </c>
      <c r="C3160" s="5" t="s">
        <v>85</v>
      </c>
      <c r="D3160" s="5" t="s">
        <v>21</v>
      </c>
      <c r="E3160" s="5" t="s">
        <v>34</v>
      </c>
      <c r="F3160" s="5" t="s">
        <v>68</v>
      </c>
      <c r="G3160" s="5" t="s">
        <v>86</v>
      </c>
      <c r="H3160" s="9" t="s">
        <v>87</v>
      </c>
      <c r="I3160" s="10"/>
      <c r="J3160" s="10">
        <v>47038</v>
      </c>
      <c r="K3160" s="5" t="s">
        <v>39</v>
      </c>
      <c r="L3160" s="5" t="s">
        <v>58</v>
      </c>
      <c r="M3160" s="11">
        <v>0.059999999999999998</v>
      </c>
      <c r="N3160" s="5" t="e">
        <f>IF(AND(M3160&gt;#REF!,Cartera!O3160="Guaraníes"),"Rendimiento significativo",IF(AND(M3160&gt;#REF!,Cartera!O3160="Dólares americanos"),"Rendimiento significativo","Rendimiento no significativo"))</f>
        <v>#REF!</v>
      </c>
      <c r="O3160" s="5" t="s">
        <v>51</v>
      </c>
      <c r="P3160" s="13">
        <v>747.9452</v>
      </c>
      <c r="Q3160" s="12" t="e">
        <f>IF(O3160="Guaraníes",P3160,P3160*#REF!)</f>
        <v>#REF!</v>
      </c>
      <c r="R3160" s="12">
        <f>IF(O3160="Guaraníes",P3160/#REF!,P3160)</f>
        <v>747.9452</v>
      </c>
      <c r="S3160" s="5" t="s">
        <v>42</v>
      </c>
      <c r="T3160" s="5">
        <v>10834</v>
      </c>
      <c r="W3160" s="5" t="s">
        <v>715</v>
      </c>
      <c r="X3160" s="5">
        <v>0</v>
      </c>
      <c r="Y3160" s="5">
        <v>0</v>
      </c>
      <c r="Z3160" s="5">
        <v>14.958904</v>
      </c>
      <c r="AA3160" s="5">
        <v>50</v>
      </c>
      <c r="AB3160" s="5">
        <v>747.9452</v>
      </c>
      <c r="AC3160" s="5" t="str">
        <f t="shared" si="151"/>
        <v>Bonos</v>
      </c>
      <c r="AD3160" s="5" t="s">
        <v>43</v>
      </c>
      <c r="AE3160" s="5">
        <f t="shared" si="152"/>
        <v>10</v>
      </c>
      <c r="AF3160" s="5">
        <f t="shared" si="153"/>
        <v>2028</v>
      </c>
    </row>
    <row r="3161" s="5" customFormat="1" ht="13">
      <c r="A3161" s="5" t="s">
        <v>44</v>
      </c>
      <c r="B3161" s="5" t="s">
        <v>44</v>
      </c>
      <c r="C3161" s="5" t="s">
        <v>171</v>
      </c>
      <c r="D3161" s="5" t="s">
        <v>20</v>
      </c>
      <c r="E3161" s="5" t="s">
        <v>44</v>
      </c>
      <c r="F3161" s="5" t="s">
        <v>100</v>
      </c>
      <c r="G3161" s="5" t="s">
        <v>69</v>
      </c>
      <c r="H3161" s="9" t="s">
        <v>172</v>
      </c>
      <c r="I3161" s="10"/>
      <c r="J3161" s="10">
        <v>45306</v>
      </c>
      <c r="K3161" s="5" t="s">
        <v>173</v>
      </c>
      <c r="L3161" s="5" t="s">
        <v>58</v>
      </c>
      <c r="M3161" s="11">
        <v>0.14999999999999999</v>
      </c>
      <c r="N3161" s="5" t="e">
        <f>IF(AND(M3161&gt;#REF!,Cartera!O3161="Guaraníes"),"Rendimiento significativo",IF(AND(M3161&gt;#REF!,Cartera!O3161="Dólares americanos"),"Rendimiento significativo","Rendimiento no significativo"))</f>
        <v>#REF!</v>
      </c>
      <c r="O3161" s="5" t="s">
        <v>41</v>
      </c>
      <c r="P3161" s="12">
        <v>2700000</v>
      </c>
      <c r="Q3161" s="12">
        <f>IF(O3161="Guaraníes",P3161,P3161*#REF!)</f>
        <v>2700000</v>
      </c>
      <c r="R3161" s="12" t="e">
        <f>IF(O3161="Guaraníes",P3161/#REF!,P3161)</f>
        <v>#REF!</v>
      </c>
      <c r="S3161" s="5" t="s">
        <v>52</v>
      </c>
      <c r="T3161" s="5">
        <v>593</v>
      </c>
      <c r="AC3161" s="5" t="str">
        <f t="shared" si="151"/>
        <v>Bonos</v>
      </c>
      <c r="AD3161" s="5" t="s">
        <v>43</v>
      </c>
      <c r="AE3161" s="5">
        <f t="shared" si="152"/>
        <v>1</v>
      </c>
      <c r="AF3161" s="5">
        <f t="shared" si="153"/>
        <v>2024</v>
      </c>
    </row>
    <row r="3162" s="5" customFormat="1" ht="13">
      <c r="A3162" s="5" t="s">
        <v>44</v>
      </c>
      <c r="B3162" s="5" t="s">
        <v>44</v>
      </c>
      <c r="C3162" s="5" t="s">
        <v>171</v>
      </c>
      <c r="D3162" s="5" t="s">
        <v>20</v>
      </c>
      <c r="E3162" s="5" t="s">
        <v>44</v>
      </c>
      <c r="F3162" s="5" t="s">
        <v>100</v>
      </c>
      <c r="G3162" s="5" t="s">
        <v>69</v>
      </c>
      <c r="H3162" s="9" t="s">
        <v>172</v>
      </c>
      <c r="I3162" s="10"/>
      <c r="J3162" s="10">
        <v>44939</v>
      </c>
      <c r="K3162" s="5" t="s">
        <v>173</v>
      </c>
      <c r="L3162" s="5" t="s">
        <v>58</v>
      </c>
      <c r="M3162" s="11">
        <v>0.14999999999999999</v>
      </c>
      <c r="N3162" s="5" t="e">
        <f>IF(AND(M3162&gt;#REF!,Cartera!O3162="Guaraníes"),"Rendimiento significativo",IF(AND(M3162&gt;#REF!,Cartera!O3162="Dólares americanos"),"Rendimiento significativo","Rendimiento no significativo"))</f>
        <v>#REF!</v>
      </c>
      <c r="O3162" s="5" t="s">
        <v>41</v>
      </c>
      <c r="P3162" s="12">
        <v>1800000</v>
      </c>
      <c r="Q3162" s="12">
        <f>IF(O3162="Guaraníes",P3162,P3162*#REF!)</f>
        <v>1800000</v>
      </c>
      <c r="R3162" s="12" t="e">
        <f>IF(O3162="Guaraníes",P3162/#REF!,P3162)</f>
        <v>#REF!</v>
      </c>
      <c r="S3162" s="5" t="s">
        <v>52</v>
      </c>
      <c r="T3162" s="5">
        <v>593</v>
      </c>
      <c r="AC3162" s="5" t="str">
        <f t="shared" si="151"/>
        <v>Bonos</v>
      </c>
      <c r="AD3162" s="5" t="s">
        <v>43</v>
      </c>
      <c r="AE3162" s="5">
        <f t="shared" si="152"/>
        <v>1</v>
      </c>
      <c r="AF3162" s="5">
        <f t="shared" si="153"/>
        <v>2023</v>
      </c>
    </row>
    <row r="3163" s="5" customFormat="1" ht="13">
      <c r="A3163" s="5" t="s">
        <v>44</v>
      </c>
      <c r="B3163" s="5" t="s">
        <v>44</v>
      </c>
      <c r="C3163" s="5" t="s">
        <v>79</v>
      </c>
      <c r="D3163" s="5" t="s">
        <v>21</v>
      </c>
      <c r="E3163" s="5" t="s">
        <v>44</v>
      </c>
      <c r="F3163" s="5" t="s">
        <v>68</v>
      </c>
      <c r="H3163" s="9">
        <v>5351</v>
      </c>
      <c r="I3163" s="10">
        <v>44218</v>
      </c>
      <c r="J3163" s="10">
        <v>45314</v>
      </c>
      <c r="K3163" s="5" t="s">
        <v>81</v>
      </c>
      <c r="L3163" s="5" t="s">
        <v>82</v>
      </c>
      <c r="M3163" s="11">
        <v>0.080000000000000002</v>
      </c>
      <c r="N3163" s="5" t="e">
        <f>IF(AND(M3163&gt;#REF!,Cartera!O3163="Guaraníes"),"Rendimiento significativo",IF(AND(M3163&gt;#REF!,Cartera!O3163="Dólares americanos"),"Rendimiento significativo","Rendimiento no significativo"))</f>
        <v>#REF!</v>
      </c>
      <c r="O3163" s="5" t="s">
        <v>41</v>
      </c>
      <c r="P3163" s="12">
        <v>24021918</v>
      </c>
      <c r="Q3163" s="12">
        <f>IF(O3163="Guaraníes",P3163,P3163*#REF!)</f>
        <v>24021918</v>
      </c>
      <c r="R3163" s="12" t="e">
        <f>IF(O3163="Guaraníes",P3163/#REF!,P3163)</f>
        <v>#REF!</v>
      </c>
      <c r="S3163" s="5" t="s">
        <v>52</v>
      </c>
      <c r="AC3163" s="5" t="str">
        <f t="shared" si="151"/>
        <v>CDA</v>
      </c>
      <c r="AD3163" s="5" t="s">
        <v>43</v>
      </c>
      <c r="AE3163" s="5">
        <f t="shared" si="152"/>
        <v>1</v>
      </c>
      <c r="AF3163" s="5">
        <f t="shared" si="153"/>
        <v>2024</v>
      </c>
    </row>
    <row r="3164" s="5" customFormat="1" ht="13">
      <c r="A3164" s="5" t="s">
        <v>44</v>
      </c>
      <c r="B3164" s="5" t="s">
        <v>44</v>
      </c>
      <c r="C3164" s="5" t="s">
        <v>135</v>
      </c>
      <c r="D3164" s="5" t="s">
        <v>20</v>
      </c>
      <c r="E3164" s="5" t="s">
        <v>44</v>
      </c>
      <c r="F3164" s="5" t="s">
        <v>68</v>
      </c>
      <c r="G3164" s="5" t="s">
        <v>75</v>
      </c>
      <c r="H3164" s="9" t="s">
        <v>136</v>
      </c>
      <c r="I3164" s="10"/>
      <c r="J3164" s="10">
        <v>44728</v>
      </c>
      <c r="K3164" s="5" t="s">
        <v>124</v>
      </c>
      <c r="L3164" s="5" t="s">
        <v>58</v>
      </c>
      <c r="M3164" s="11">
        <v>0.060999999999999999</v>
      </c>
      <c r="N3164" s="5" t="e">
        <f>IF(AND(M3164&gt;#REF!,Cartera!O3164="Guaraníes"),"Rendimiento significativo",IF(AND(M3164&gt;#REF!,Cartera!O3164="Dólares americanos"),"Rendimiento significativo","Rendimiento no significativo"))</f>
        <v>#REF!</v>
      </c>
      <c r="O3164" s="5" t="s">
        <v>41</v>
      </c>
      <c r="P3164" s="12">
        <v>28571429</v>
      </c>
      <c r="Q3164" s="12">
        <f>IF(O3164="Guaraníes",P3164,P3164*#REF!)</f>
        <v>28571429</v>
      </c>
      <c r="R3164" s="12" t="e">
        <f>IF(O3164="Guaraníes",P3164/#REF!,P3164)</f>
        <v>#REF!</v>
      </c>
      <c r="S3164" s="5" t="s">
        <v>52</v>
      </c>
      <c r="T3164" s="5">
        <v>25</v>
      </c>
      <c r="AC3164" s="5" t="str">
        <f t="shared" si="151"/>
        <v>Bonos</v>
      </c>
      <c r="AD3164" s="5" t="s">
        <v>43</v>
      </c>
      <c r="AE3164" s="5">
        <f t="shared" si="152"/>
        <v>6</v>
      </c>
      <c r="AF3164" s="5">
        <f t="shared" si="153"/>
        <v>2022</v>
      </c>
    </row>
    <row r="3165" s="5" customFormat="1" ht="13">
      <c r="A3165" s="5" t="s">
        <v>44</v>
      </c>
      <c r="B3165" s="5" t="s">
        <v>44</v>
      </c>
      <c r="C3165" s="5" t="s">
        <v>135</v>
      </c>
      <c r="D3165" s="5" t="s">
        <v>20</v>
      </c>
      <c r="E3165" s="5" t="s">
        <v>44</v>
      </c>
      <c r="F3165" s="5" t="s">
        <v>68</v>
      </c>
      <c r="G3165" s="5" t="s">
        <v>75</v>
      </c>
      <c r="H3165" s="9" t="s">
        <v>136</v>
      </c>
      <c r="I3165" s="10"/>
      <c r="J3165" s="10">
        <v>44911</v>
      </c>
      <c r="K3165" s="5" t="s">
        <v>124</v>
      </c>
      <c r="L3165" s="5" t="s">
        <v>58</v>
      </c>
      <c r="M3165" s="11">
        <v>0.060999999999999999</v>
      </c>
      <c r="N3165" s="5" t="e">
        <f>IF(AND(M3165&gt;#REF!,Cartera!O3165="Guaraníes"),"Rendimiento significativo",IF(AND(M3165&gt;#REF!,Cartera!O3165="Dólares americanos"),"Rendimiento significativo","Rendimiento no significativo"))</f>
        <v>#REF!</v>
      </c>
      <c r="O3165" s="5" t="s">
        <v>41</v>
      </c>
      <c r="P3165" s="12">
        <v>28571428.579999998</v>
      </c>
      <c r="Q3165" s="12">
        <f>IF(O3165="Guaraníes",P3165,P3165*#REF!)</f>
        <v>28571428.579999998</v>
      </c>
      <c r="R3165" s="12" t="e">
        <f>IF(O3165="Guaraníes",P3165/#REF!,P3165)</f>
        <v>#REF!</v>
      </c>
      <c r="S3165" s="5" t="s">
        <v>52</v>
      </c>
      <c r="T3165" s="5">
        <v>25</v>
      </c>
      <c r="AC3165" s="5" t="str">
        <f t="shared" si="151"/>
        <v>Bonos</v>
      </c>
      <c r="AD3165" s="5" t="s">
        <v>43</v>
      </c>
      <c r="AE3165" s="5">
        <f t="shared" si="152"/>
        <v>12</v>
      </c>
      <c r="AF3165" s="5">
        <f t="shared" si="153"/>
        <v>2022</v>
      </c>
    </row>
    <row r="3166" s="5" customFormat="1" ht="13">
      <c r="A3166" s="5" t="s">
        <v>44</v>
      </c>
      <c r="B3166" s="5" t="s">
        <v>44</v>
      </c>
      <c r="C3166" s="5" t="s">
        <v>135</v>
      </c>
      <c r="D3166" s="5" t="s">
        <v>20</v>
      </c>
      <c r="E3166" s="5" t="s">
        <v>44</v>
      </c>
      <c r="F3166" s="5" t="s">
        <v>68</v>
      </c>
      <c r="G3166" s="5" t="s">
        <v>75</v>
      </c>
      <c r="H3166" s="9" t="s">
        <v>136</v>
      </c>
      <c r="I3166" s="10"/>
      <c r="J3166" s="10">
        <v>45093</v>
      </c>
      <c r="K3166" s="5" t="s">
        <v>124</v>
      </c>
      <c r="L3166" s="5" t="s">
        <v>58</v>
      </c>
      <c r="M3166" s="11">
        <v>0.060999999999999999</v>
      </c>
      <c r="N3166" s="5" t="e">
        <f>IF(AND(M3166&gt;#REF!,Cartera!O3166="Guaraníes"),"Rendimiento significativo",IF(AND(M3166&gt;#REF!,Cartera!O3166="Dólares americanos"),"Rendimiento significativo","Rendimiento no significativo"))</f>
        <v>#REF!</v>
      </c>
      <c r="O3166" s="5" t="s">
        <v>41</v>
      </c>
      <c r="P3166" s="12">
        <v>28571428.579999998</v>
      </c>
      <c r="Q3166" s="12">
        <f>IF(O3166="Guaraníes",P3166,P3166*#REF!)</f>
        <v>28571428.579999998</v>
      </c>
      <c r="R3166" s="12" t="e">
        <f>IF(O3166="Guaraníes",P3166/#REF!,P3166)</f>
        <v>#REF!</v>
      </c>
      <c r="S3166" s="5" t="s">
        <v>52</v>
      </c>
      <c r="T3166" s="5">
        <v>25</v>
      </c>
      <c r="AC3166" s="5" t="str">
        <f t="shared" si="151"/>
        <v>Bonos</v>
      </c>
      <c r="AD3166" s="5" t="s">
        <v>43</v>
      </c>
      <c r="AE3166" s="5">
        <f t="shared" si="152"/>
        <v>6</v>
      </c>
      <c r="AF3166" s="5">
        <f t="shared" si="153"/>
        <v>2023</v>
      </c>
    </row>
    <row r="3167" s="5" customFormat="1" ht="13">
      <c r="A3167" s="5" t="s">
        <v>44</v>
      </c>
      <c r="B3167" s="5" t="s">
        <v>44</v>
      </c>
      <c r="C3167" s="5" t="s">
        <v>135</v>
      </c>
      <c r="D3167" s="5" t="s">
        <v>20</v>
      </c>
      <c r="E3167" s="5" t="s">
        <v>44</v>
      </c>
      <c r="F3167" s="5" t="s">
        <v>68</v>
      </c>
      <c r="G3167" s="5" t="s">
        <v>75</v>
      </c>
      <c r="H3167" s="9" t="s">
        <v>136</v>
      </c>
      <c r="I3167" s="10"/>
      <c r="J3167" s="10">
        <v>45278</v>
      </c>
      <c r="K3167" s="5" t="s">
        <v>124</v>
      </c>
      <c r="L3167" s="5" t="s">
        <v>58</v>
      </c>
      <c r="M3167" s="11">
        <v>0.060999999999999999</v>
      </c>
      <c r="N3167" s="5" t="e">
        <f>IF(AND(M3167&gt;#REF!,Cartera!O3167="Guaraníes"),"Rendimiento significativo",IF(AND(M3167&gt;#REF!,Cartera!O3167="Dólares americanos"),"Rendimiento significativo","Rendimiento no significativo"))</f>
        <v>#REF!</v>
      </c>
      <c r="O3167" s="5" t="s">
        <v>41</v>
      </c>
      <c r="P3167" s="12">
        <v>28571428.579999998</v>
      </c>
      <c r="Q3167" s="12">
        <f>IF(O3167="Guaraníes",P3167,P3167*#REF!)</f>
        <v>28571428.579999998</v>
      </c>
      <c r="R3167" s="12" t="e">
        <f>IF(O3167="Guaraníes",P3167/#REF!,P3167)</f>
        <v>#REF!</v>
      </c>
      <c r="S3167" s="5" t="s">
        <v>52</v>
      </c>
      <c r="T3167" s="5">
        <v>25</v>
      </c>
      <c r="AC3167" s="5" t="str">
        <f t="shared" si="151"/>
        <v>Bonos</v>
      </c>
      <c r="AD3167" s="5" t="s">
        <v>43</v>
      </c>
      <c r="AE3167" s="5">
        <f t="shared" si="152"/>
        <v>12</v>
      </c>
      <c r="AF3167" s="5">
        <f t="shared" si="153"/>
        <v>2023</v>
      </c>
    </row>
    <row r="3168" s="5" customFormat="1" ht="13">
      <c r="A3168" s="5" t="s">
        <v>44</v>
      </c>
      <c r="B3168" s="5" t="s">
        <v>44</v>
      </c>
      <c r="C3168" s="5" t="s">
        <v>135</v>
      </c>
      <c r="D3168" s="5" t="s">
        <v>20</v>
      </c>
      <c r="E3168" s="5" t="s">
        <v>44</v>
      </c>
      <c r="F3168" s="5" t="s">
        <v>68</v>
      </c>
      <c r="G3168" s="5" t="s">
        <v>75</v>
      </c>
      <c r="H3168" s="9" t="s">
        <v>136</v>
      </c>
      <c r="I3168" s="10"/>
      <c r="J3168" s="10">
        <v>45460</v>
      </c>
      <c r="K3168" s="5" t="s">
        <v>124</v>
      </c>
      <c r="L3168" s="5" t="s">
        <v>58</v>
      </c>
      <c r="M3168" s="11">
        <v>0.060999999999999999</v>
      </c>
      <c r="N3168" s="5" t="e">
        <f>IF(AND(M3168&gt;#REF!,Cartera!O3168="Guaraníes"),"Rendimiento significativo",IF(AND(M3168&gt;#REF!,Cartera!O3168="Dólares americanos"),"Rendimiento significativo","Rendimiento no significativo"))</f>
        <v>#REF!</v>
      </c>
      <c r="O3168" s="5" t="s">
        <v>41</v>
      </c>
      <c r="P3168" s="12">
        <v>28571428.579999998</v>
      </c>
      <c r="Q3168" s="12">
        <f>IF(O3168="Guaraníes",P3168,P3168*#REF!)</f>
        <v>28571428.579999998</v>
      </c>
      <c r="R3168" s="12" t="e">
        <f>IF(O3168="Guaraníes",P3168/#REF!,P3168)</f>
        <v>#REF!</v>
      </c>
      <c r="S3168" s="5" t="s">
        <v>52</v>
      </c>
      <c r="T3168" s="5">
        <v>25</v>
      </c>
      <c r="AC3168" s="5" t="str">
        <f t="shared" si="151"/>
        <v>Bonos</v>
      </c>
      <c r="AD3168" s="5" t="s">
        <v>43</v>
      </c>
      <c r="AE3168" s="5">
        <f t="shared" si="152"/>
        <v>6</v>
      </c>
      <c r="AF3168" s="5">
        <f t="shared" si="153"/>
        <v>2024</v>
      </c>
    </row>
    <row r="3169" s="5" customFormat="1" ht="13">
      <c r="A3169" s="5" t="s">
        <v>44</v>
      </c>
      <c r="B3169" s="5" t="s">
        <v>44</v>
      </c>
      <c r="C3169" s="5" t="s">
        <v>33</v>
      </c>
      <c r="D3169" s="5" t="s">
        <v>21</v>
      </c>
      <c r="E3169" s="5" t="s">
        <v>44</v>
      </c>
      <c r="F3169" s="5" t="s">
        <v>35</v>
      </c>
      <c r="G3169" s="5" t="s">
        <v>141</v>
      </c>
      <c r="H3169" s="9" t="s">
        <v>214</v>
      </c>
      <c r="I3169" s="10">
        <v>45015</v>
      </c>
      <c r="J3169" s="10">
        <v>45652</v>
      </c>
      <c r="K3169" s="5" t="s">
        <v>39</v>
      </c>
      <c r="L3169" s="5" t="s">
        <v>106</v>
      </c>
      <c r="M3169" s="11">
        <v>0.092700000000000005</v>
      </c>
      <c r="N3169" s="5" t="e">
        <f>IF(AND(M3169&gt;#REF!,Cartera!O3169="Guaraníes"),"Rendimiento significativo",IF(AND(M3169&gt;#REF!,Cartera!O3169="Dólares americanos"),"Rendimiento significativo","Rendimiento no significativo"))</f>
        <v>#REF!</v>
      </c>
      <c r="O3169" s="5" t="s">
        <v>41</v>
      </c>
      <c r="P3169" s="12">
        <v>6933452.0547000002</v>
      </c>
      <c r="Q3169" s="12">
        <f>IF(O3169="Guaraníes",P3169,P3169*#REF!)</f>
        <v>6933452.0547000002</v>
      </c>
      <c r="R3169" s="12" t="e">
        <f>IF(O3169="Guaraníes",P3169/#REF!,P3169)</f>
        <v>#REF!</v>
      </c>
      <c r="S3169" s="5" t="s">
        <v>52</v>
      </c>
      <c r="AC3169" s="5" t="str">
        <f t="shared" si="151"/>
        <v>Bonos</v>
      </c>
      <c r="AD3169" s="5" t="s">
        <v>43</v>
      </c>
      <c r="AE3169" s="5">
        <f t="shared" si="152"/>
        <v>12</v>
      </c>
      <c r="AF3169" s="5">
        <f t="shared" si="153"/>
        <v>2024</v>
      </c>
    </row>
    <row r="3170" s="5" customFormat="1" ht="13">
      <c r="A3170" s="5" t="s">
        <v>44</v>
      </c>
      <c r="B3170" s="5" t="s">
        <v>44</v>
      </c>
      <c r="C3170" s="5" t="s">
        <v>135</v>
      </c>
      <c r="D3170" s="5" t="s">
        <v>20</v>
      </c>
      <c r="E3170" s="5" t="s">
        <v>44</v>
      </c>
      <c r="F3170" s="5" t="s">
        <v>68</v>
      </c>
      <c r="G3170" s="5" t="s">
        <v>75</v>
      </c>
      <c r="H3170" s="9" t="s">
        <v>265</v>
      </c>
      <c r="I3170" s="10"/>
      <c r="J3170" s="10">
        <v>44551</v>
      </c>
      <c r="K3170" s="5" t="s">
        <v>124</v>
      </c>
      <c r="L3170" s="5" t="s">
        <v>58</v>
      </c>
      <c r="M3170" s="11">
        <v>0.054000000000000006</v>
      </c>
      <c r="N3170" s="5" t="e">
        <f>IF(AND(M3170&gt;#REF!,Cartera!O3170="Guaraníes"),"Rendimiento significativo",IF(AND(M3170&gt;#REF!,Cartera!O3170="Dólares americanos"),"Rendimiento significativo","Rendimiento no significativo"))</f>
        <v>#REF!</v>
      </c>
      <c r="O3170" s="5" t="s">
        <v>41</v>
      </c>
      <c r="P3170" s="12">
        <v>6250000</v>
      </c>
      <c r="Q3170" s="12">
        <f>IF(O3170="Guaraníes",P3170,P3170*#REF!)</f>
        <v>6250000</v>
      </c>
      <c r="R3170" s="12" t="e">
        <f>IF(O3170="Guaraníes",P3170/#REF!,P3170)</f>
        <v>#REF!</v>
      </c>
      <c r="S3170" s="5" t="s">
        <v>52</v>
      </c>
      <c r="T3170" s="5">
        <v>25</v>
      </c>
      <c r="AC3170" s="5" t="str">
        <f t="shared" si="151"/>
        <v>Bonos</v>
      </c>
      <c r="AD3170" s="5" t="s">
        <v>43</v>
      </c>
      <c r="AE3170" s="5">
        <f t="shared" si="152"/>
        <v>12</v>
      </c>
      <c r="AF3170" s="5">
        <f t="shared" si="153"/>
        <v>2021</v>
      </c>
    </row>
    <row r="3171" s="5" customFormat="1" ht="13">
      <c r="A3171" s="5" t="s">
        <v>44</v>
      </c>
      <c r="B3171" s="5" t="s">
        <v>44</v>
      </c>
      <c r="C3171" s="5" t="s">
        <v>135</v>
      </c>
      <c r="D3171" s="5" t="s">
        <v>20</v>
      </c>
      <c r="E3171" s="5" t="s">
        <v>44</v>
      </c>
      <c r="F3171" s="5" t="s">
        <v>68</v>
      </c>
      <c r="G3171" s="5" t="s">
        <v>75</v>
      </c>
      <c r="H3171" s="9" t="s">
        <v>265</v>
      </c>
      <c r="I3171" s="10"/>
      <c r="J3171" s="10">
        <v>44733</v>
      </c>
      <c r="K3171" s="5" t="s">
        <v>124</v>
      </c>
      <c r="L3171" s="5" t="s">
        <v>58</v>
      </c>
      <c r="M3171" s="11">
        <v>0.054000000000000006</v>
      </c>
      <c r="N3171" s="5" t="e">
        <f>IF(AND(M3171&gt;#REF!,Cartera!O3171="Guaraníes"),"Rendimiento significativo",IF(AND(M3171&gt;#REF!,Cartera!O3171="Dólares americanos"),"Rendimiento significativo","Rendimiento no significativo"))</f>
        <v>#REF!</v>
      </c>
      <c r="O3171" s="5" t="s">
        <v>41</v>
      </c>
      <c r="P3171" s="12">
        <v>6250000</v>
      </c>
      <c r="Q3171" s="12">
        <f>IF(O3171="Guaraníes",P3171,P3171*#REF!)</f>
        <v>6250000</v>
      </c>
      <c r="R3171" s="12" t="e">
        <f>IF(O3171="Guaraníes",P3171/#REF!,P3171)</f>
        <v>#REF!</v>
      </c>
      <c r="S3171" s="5" t="s">
        <v>52</v>
      </c>
      <c r="T3171" s="5">
        <v>25</v>
      </c>
      <c r="AC3171" s="5" t="str">
        <f t="shared" si="151"/>
        <v>Bonos</v>
      </c>
      <c r="AD3171" s="5" t="s">
        <v>43</v>
      </c>
      <c r="AE3171" s="5">
        <f t="shared" si="152"/>
        <v>6</v>
      </c>
      <c r="AF3171" s="5">
        <f t="shared" si="153"/>
        <v>2022</v>
      </c>
    </row>
    <row r="3172" s="5" customFormat="1" ht="13">
      <c r="A3172" s="5" t="s">
        <v>44</v>
      </c>
      <c r="B3172" s="5" t="s">
        <v>44</v>
      </c>
      <c r="C3172" s="5" t="s">
        <v>135</v>
      </c>
      <c r="D3172" s="5" t="s">
        <v>20</v>
      </c>
      <c r="E3172" s="5" t="s">
        <v>44</v>
      </c>
      <c r="F3172" s="5" t="s">
        <v>68</v>
      </c>
      <c r="G3172" s="5" t="s">
        <v>75</v>
      </c>
      <c r="H3172" s="9" t="s">
        <v>265</v>
      </c>
      <c r="I3172" s="10"/>
      <c r="J3172" s="10">
        <v>44915</v>
      </c>
      <c r="K3172" s="5" t="s">
        <v>124</v>
      </c>
      <c r="L3172" s="5" t="s">
        <v>58</v>
      </c>
      <c r="M3172" s="11">
        <v>0.054000000000000006</v>
      </c>
      <c r="N3172" s="5" t="e">
        <f>IF(AND(M3172&gt;#REF!,Cartera!O3172="Guaraníes"),"Rendimiento significativo",IF(AND(M3172&gt;#REF!,Cartera!O3172="Dólares americanos"),"Rendimiento significativo","Rendimiento no significativo"))</f>
        <v>#REF!</v>
      </c>
      <c r="O3172" s="5" t="s">
        <v>41</v>
      </c>
      <c r="P3172" s="12">
        <v>6250000</v>
      </c>
      <c r="Q3172" s="12">
        <f>IF(O3172="Guaraníes",P3172,P3172*#REF!)</f>
        <v>6250000</v>
      </c>
      <c r="R3172" s="12" t="e">
        <f>IF(O3172="Guaraníes",P3172/#REF!,P3172)</f>
        <v>#REF!</v>
      </c>
      <c r="S3172" s="5" t="s">
        <v>52</v>
      </c>
      <c r="T3172" s="5">
        <v>25</v>
      </c>
      <c r="AC3172" s="5" t="str">
        <f t="shared" si="151"/>
        <v>Bonos</v>
      </c>
      <c r="AD3172" s="5" t="s">
        <v>43</v>
      </c>
      <c r="AE3172" s="5">
        <f t="shared" si="152"/>
        <v>12</v>
      </c>
      <c r="AF3172" s="5">
        <f t="shared" si="153"/>
        <v>2022</v>
      </c>
    </row>
    <row r="3173" s="5" customFormat="1" ht="13">
      <c r="A3173" s="5" t="s">
        <v>44</v>
      </c>
      <c r="B3173" s="5" t="s">
        <v>44</v>
      </c>
      <c r="C3173" s="5" t="s">
        <v>135</v>
      </c>
      <c r="D3173" s="5" t="s">
        <v>20</v>
      </c>
      <c r="E3173" s="5" t="s">
        <v>44</v>
      </c>
      <c r="F3173" s="5" t="s">
        <v>68</v>
      </c>
      <c r="G3173" s="5" t="s">
        <v>75</v>
      </c>
      <c r="H3173" s="9" t="s">
        <v>265</v>
      </c>
      <c r="I3173" s="10"/>
      <c r="J3173" s="10">
        <v>45097</v>
      </c>
      <c r="K3173" s="5" t="s">
        <v>124</v>
      </c>
      <c r="L3173" s="5" t="s">
        <v>58</v>
      </c>
      <c r="M3173" s="11">
        <v>0.054000000000000006</v>
      </c>
      <c r="N3173" s="5" t="e">
        <f>IF(AND(M3173&gt;#REF!,Cartera!O3173="Guaraníes"),"Rendimiento significativo",IF(AND(M3173&gt;#REF!,Cartera!O3173="Dólares americanos"),"Rendimiento significativo","Rendimiento no significativo"))</f>
        <v>#REF!</v>
      </c>
      <c r="O3173" s="5" t="s">
        <v>41</v>
      </c>
      <c r="P3173" s="12">
        <v>6250000</v>
      </c>
      <c r="Q3173" s="12">
        <f>IF(O3173="Guaraníes",P3173,P3173*#REF!)</f>
        <v>6250000</v>
      </c>
      <c r="R3173" s="12" t="e">
        <f>IF(O3173="Guaraníes",P3173/#REF!,P3173)</f>
        <v>#REF!</v>
      </c>
      <c r="S3173" s="5" t="s">
        <v>52</v>
      </c>
      <c r="T3173" s="5">
        <v>25</v>
      </c>
      <c r="AC3173" s="5" t="str">
        <f t="shared" si="151"/>
        <v>Bonos</v>
      </c>
      <c r="AD3173" s="5" t="s">
        <v>43</v>
      </c>
      <c r="AE3173" s="5">
        <f t="shared" si="152"/>
        <v>6</v>
      </c>
      <c r="AF3173" s="5">
        <f t="shared" si="153"/>
        <v>2023</v>
      </c>
    </row>
    <row r="3174" s="5" customFormat="1" ht="13">
      <c r="A3174" s="5" t="s">
        <v>44</v>
      </c>
      <c r="B3174" s="5" t="s">
        <v>44</v>
      </c>
      <c r="C3174" s="5" t="s">
        <v>135</v>
      </c>
      <c r="D3174" s="5" t="s">
        <v>20</v>
      </c>
      <c r="E3174" s="5" t="s">
        <v>44</v>
      </c>
      <c r="F3174" s="5" t="s">
        <v>68</v>
      </c>
      <c r="G3174" s="5" t="s">
        <v>75</v>
      </c>
      <c r="H3174" s="9" t="s">
        <v>265</v>
      </c>
      <c r="I3174" s="10"/>
      <c r="J3174" s="10">
        <v>45280</v>
      </c>
      <c r="K3174" s="5" t="s">
        <v>124</v>
      </c>
      <c r="L3174" s="5" t="s">
        <v>58</v>
      </c>
      <c r="M3174" s="11">
        <v>0.054000000000000006</v>
      </c>
      <c r="N3174" s="5" t="e">
        <f>IF(AND(M3174&gt;#REF!,Cartera!O3174="Guaraníes"),"Rendimiento significativo",IF(AND(M3174&gt;#REF!,Cartera!O3174="Dólares americanos"),"Rendimiento significativo","Rendimiento no significativo"))</f>
        <v>#REF!</v>
      </c>
      <c r="O3174" s="5" t="s">
        <v>41</v>
      </c>
      <c r="P3174" s="12">
        <v>6250000</v>
      </c>
      <c r="Q3174" s="12">
        <f>IF(O3174="Guaraníes",P3174,P3174*#REF!)</f>
        <v>6250000</v>
      </c>
      <c r="R3174" s="12" t="e">
        <f>IF(O3174="Guaraníes",P3174/#REF!,P3174)</f>
        <v>#REF!</v>
      </c>
      <c r="S3174" s="5" t="s">
        <v>52</v>
      </c>
      <c r="T3174" s="5">
        <v>25</v>
      </c>
      <c r="AC3174" s="5" t="str">
        <f t="shared" si="151"/>
        <v>Bonos</v>
      </c>
      <c r="AD3174" s="5" t="s">
        <v>43</v>
      </c>
      <c r="AE3174" s="5">
        <f t="shared" si="152"/>
        <v>12</v>
      </c>
      <c r="AF3174" s="5">
        <f t="shared" si="153"/>
        <v>2023</v>
      </c>
    </row>
    <row r="3175" s="5" customFormat="1" ht="13">
      <c r="A3175" s="5" t="s">
        <v>44</v>
      </c>
      <c r="B3175" s="5" t="s">
        <v>44</v>
      </c>
      <c r="C3175" s="5" t="s">
        <v>135</v>
      </c>
      <c r="D3175" s="5" t="s">
        <v>20</v>
      </c>
      <c r="E3175" s="5" t="s">
        <v>44</v>
      </c>
      <c r="F3175" s="5" t="s">
        <v>68</v>
      </c>
      <c r="G3175" s="5" t="s">
        <v>75</v>
      </c>
      <c r="H3175" s="9" t="s">
        <v>265</v>
      </c>
      <c r="I3175" s="10"/>
      <c r="J3175" s="10">
        <v>45463</v>
      </c>
      <c r="K3175" s="5" t="s">
        <v>124</v>
      </c>
      <c r="L3175" s="5" t="s">
        <v>58</v>
      </c>
      <c r="M3175" s="11">
        <v>0.054000000000000006</v>
      </c>
      <c r="N3175" s="5" t="e">
        <f>IF(AND(M3175&gt;#REF!,Cartera!O3175="Guaraníes"),"Rendimiento significativo",IF(AND(M3175&gt;#REF!,Cartera!O3175="Dólares americanos"),"Rendimiento significativo","Rendimiento no significativo"))</f>
        <v>#REF!</v>
      </c>
      <c r="O3175" s="5" t="s">
        <v>41</v>
      </c>
      <c r="P3175" s="12">
        <v>6250000</v>
      </c>
      <c r="Q3175" s="12">
        <f>IF(O3175="Guaraníes",P3175,P3175*#REF!)</f>
        <v>6250000</v>
      </c>
      <c r="R3175" s="12" t="e">
        <f>IF(O3175="Guaraníes",P3175/#REF!,P3175)</f>
        <v>#REF!</v>
      </c>
      <c r="S3175" s="5" t="s">
        <v>52</v>
      </c>
      <c r="T3175" s="5">
        <v>25</v>
      </c>
      <c r="AC3175" s="5" t="str">
        <f t="shared" si="151"/>
        <v>Bonos</v>
      </c>
      <c r="AD3175" s="5" t="s">
        <v>43</v>
      </c>
      <c r="AE3175" s="5">
        <f t="shared" si="152"/>
        <v>6</v>
      </c>
      <c r="AF3175" s="5">
        <f t="shared" si="153"/>
        <v>2024</v>
      </c>
    </row>
    <row r="3176" s="5" customFormat="1" ht="13">
      <c r="A3176" s="5" t="s">
        <v>44</v>
      </c>
      <c r="B3176" s="5" t="s">
        <v>44</v>
      </c>
      <c r="C3176" s="5" t="s">
        <v>138</v>
      </c>
      <c r="D3176" s="5" t="s">
        <v>21</v>
      </c>
      <c r="E3176" s="5" t="s">
        <v>44</v>
      </c>
      <c r="F3176" s="5" t="s">
        <v>68</v>
      </c>
      <c r="G3176" s="5" t="s">
        <v>86</v>
      </c>
      <c r="H3176" s="9" t="s">
        <v>139</v>
      </c>
      <c r="I3176" s="10">
        <v>43948</v>
      </c>
      <c r="J3176" s="10">
        <v>45652</v>
      </c>
      <c r="K3176" s="5" t="s">
        <v>140</v>
      </c>
      <c r="L3176" s="5" t="s">
        <v>58</v>
      </c>
      <c r="M3176" s="11">
        <v>0.11</v>
      </c>
      <c r="N3176" s="5" t="e">
        <f>IF(AND(M3176&gt;#REF!,Cartera!O3176="Guaraníes"),"Rendimiento significativo",IF(AND(M3176&gt;#REF!,Cartera!O3176="Dólares americanos"),"Rendimiento significativo","Rendimiento no significativo"))</f>
        <v>#REF!</v>
      </c>
      <c r="O3176" s="5" t="s">
        <v>41</v>
      </c>
      <c r="P3176" s="12">
        <v>934246.57530000003</v>
      </c>
      <c r="Q3176" s="12">
        <f>IF(O3176="Guaraníes",P3176,P3176*#REF!)</f>
        <v>934246.57530000003</v>
      </c>
      <c r="R3176" s="12" t="e">
        <f>IF(O3176="Guaraníes",P3176/#REF!,P3176)</f>
        <v>#REF!</v>
      </c>
      <c r="S3176" s="5" t="s">
        <v>52</v>
      </c>
      <c r="AC3176" s="5" t="str">
        <f t="shared" si="151"/>
        <v>Bonos</v>
      </c>
      <c r="AD3176" s="5" t="s">
        <v>43</v>
      </c>
      <c r="AE3176" s="5">
        <f t="shared" si="152"/>
        <v>12</v>
      </c>
      <c r="AF3176" s="5">
        <f t="shared" si="153"/>
        <v>2024</v>
      </c>
    </row>
    <row r="3177" s="5" customFormat="1" ht="13">
      <c r="A3177" s="5">
        <v>12315</v>
      </c>
      <c r="B3177" s="5" t="s">
        <v>73</v>
      </c>
      <c r="C3177" s="5" t="s">
        <v>33</v>
      </c>
      <c r="D3177" s="5" t="s">
        <v>21</v>
      </c>
      <c r="E3177" s="5" t="s">
        <v>34</v>
      </c>
      <c r="F3177" s="5" t="s">
        <v>35</v>
      </c>
      <c r="G3177" s="5" t="s">
        <v>141</v>
      </c>
      <c r="H3177" s="9" t="s">
        <v>142</v>
      </c>
      <c r="I3177" s="10">
        <v>44956</v>
      </c>
      <c r="J3177" s="10">
        <v>47050</v>
      </c>
      <c r="K3177" s="5" t="s">
        <v>39</v>
      </c>
      <c r="L3177" s="5" t="s">
        <v>50</v>
      </c>
      <c r="M3177" s="11">
        <v>0.065000000000000002</v>
      </c>
      <c r="N3177" s="5" t="e">
        <f>IF(AND(M3177&gt;#REF!,Cartera!O3177="Guaraníes"),"Rendimiento significativo",IF(AND(M3177&gt;#REF!,Cartera!O3177="Dólares americanos"),"Rendimiento significativo","Rendimiento no significativo"))</f>
        <v>#REF!</v>
      </c>
      <c r="O3177" s="5" t="s">
        <v>51</v>
      </c>
      <c r="P3177" s="13">
        <v>1296.43832</v>
      </c>
      <c r="Q3177" s="12" t="e">
        <f>IF(O3177="Guaraníes",P3177,P3177*#REF!)</f>
        <v>#REF!</v>
      </c>
      <c r="R3177" s="12">
        <f>IF(O3177="Guaraníes",P3177/#REF!,P3177)</f>
        <v>1296.43832</v>
      </c>
      <c r="S3177" s="5" t="s">
        <v>42</v>
      </c>
      <c r="AC3177" s="5" t="str">
        <f t="shared" si="151"/>
        <v>Bonos</v>
      </c>
      <c r="AD3177" s="5" t="s">
        <v>43</v>
      </c>
      <c r="AE3177" s="5">
        <f t="shared" si="152"/>
        <v>10</v>
      </c>
      <c r="AF3177" s="5">
        <f t="shared" si="153"/>
        <v>2028</v>
      </c>
    </row>
    <row r="3178" s="5" customFormat="1" ht="13">
      <c r="A3178" s="5" t="s">
        <v>44</v>
      </c>
      <c r="B3178" s="5" t="s">
        <v>44</v>
      </c>
      <c r="C3178" s="5" t="s">
        <v>114</v>
      </c>
      <c r="D3178" s="5" t="s">
        <v>21</v>
      </c>
      <c r="E3178" s="5" t="s">
        <v>44</v>
      </c>
      <c r="F3178" s="5" t="s">
        <v>68</v>
      </c>
      <c r="G3178" s="5" t="s">
        <v>75</v>
      </c>
      <c r="H3178" s="9" t="s">
        <v>115</v>
      </c>
      <c r="I3178" s="10"/>
      <c r="J3178" s="10">
        <v>45589</v>
      </c>
      <c r="K3178" s="5" t="s">
        <v>77</v>
      </c>
      <c r="L3178" s="5" t="s">
        <v>50</v>
      </c>
      <c r="M3178" s="11">
        <v>0.125</v>
      </c>
      <c r="N3178" s="5" t="e">
        <f>IF(AND(M3178&gt;#REF!,Cartera!O3178="Guaraníes"),"Rendimiento significativo",IF(AND(M3178&gt;#REF!,Cartera!O3178="Dólares americanos"),"Rendimiento significativo","Rendimiento no significativo"))</f>
        <v>#REF!</v>
      </c>
      <c r="O3178" s="5" t="s">
        <v>41</v>
      </c>
      <c r="P3178" s="12">
        <v>897534.24656999996</v>
      </c>
      <c r="Q3178" s="12">
        <f>IF(O3178="Guaraníes",P3178,P3178*#REF!)</f>
        <v>897534.24656999996</v>
      </c>
      <c r="R3178" s="12" t="e">
        <f>IF(O3178="Guaraníes",P3178/#REF!,P3178)</f>
        <v>#REF!</v>
      </c>
      <c r="S3178" s="5" t="s">
        <v>52</v>
      </c>
      <c r="T3178" s="5">
        <v>25</v>
      </c>
      <c r="W3178" s="5" t="s">
        <v>65</v>
      </c>
      <c r="X3178" s="5">
        <v>0</v>
      </c>
      <c r="Y3178" s="5">
        <v>0</v>
      </c>
      <c r="Z3178" s="5">
        <v>29917.808218999999</v>
      </c>
      <c r="AA3178" s="5">
        <v>30</v>
      </c>
      <c r="AB3178" s="5">
        <v>897534.24656999996</v>
      </c>
      <c r="AC3178" s="5" t="str">
        <f t="shared" si="151"/>
        <v>Bonos</v>
      </c>
      <c r="AD3178" s="5" t="s">
        <v>43</v>
      </c>
      <c r="AE3178" s="5">
        <f t="shared" si="152"/>
        <v>10</v>
      </c>
      <c r="AF3178" s="5">
        <f t="shared" si="153"/>
        <v>2024</v>
      </c>
    </row>
    <row r="3179" s="5" customFormat="1" ht="13">
      <c r="A3179" s="5">
        <v>12316</v>
      </c>
      <c r="B3179" s="5" t="s">
        <v>78</v>
      </c>
      <c r="C3179" s="5" t="s">
        <v>99</v>
      </c>
      <c r="D3179" s="5" t="s">
        <v>21</v>
      </c>
      <c r="E3179" s="5" t="s">
        <v>34</v>
      </c>
      <c r="F3179" s="5" t="s">
        <v>100</v>
      </c>
      <c r="G3179" s="5" t="s">
        <v>75</v>
      </c>
      <c r="H3179" s="9" t="s">
        <v>217</v>
      </c>
      <c r="I3179" s="10"/>
      <c r="J3179" s="10">
        <v>47050</v>
      </c>
      <c r="K3179" s="5" t="s">
        <v>102</v>
      </c>
      <c r="L3179" s="5" t="s">
        <v>102</v>
      </c>
      <c r="M3179" s="11">
        <v>0.080000000000000002</v>
      </c>
      <c r="N3179" s="5" t="e">
        <f>IF(AND(M3179&gt;#REF!,Cartera!O3179="Guaraníes"),"Rendimiento significativo",IF(AND(M3179&gt;#REF!,Cartera!O3179="Dólares americanos"),"Rendimiento significativo","Rendimiento no significativo"))</f>
        <v>#REF!</v>
      </c>
      <c r="O3179" s="5" t="s">
        <v>41</v>
      </c>
      <c r="P3179" s="12">
        <v>5767000</v>
      </c>
      <c r="Q3179" s="12">
        <f>IF(O3179="Guaraníes",P3179,P3179*#REF!)</f>
        <v>5767000</v>
      </c>
      <c r="R3179" s="12" t="e">
        <f>IF(O3179="Guaraníes",P3179/#REF!,P3179)</f>
        <v>#REF!</v>
      </c>
      <c r="S3179" s="5" t="s">
        <v>42</v>
      </c>
      <c r="AC3179" s="5" t="str">
        <f t="shared" si="151"/>
        <v>Bonos</v>
      </c>
      <c r="AD3179" s="5" t="s">
        <v>43</v>
      </c>
      <c r="AE3179" s="5">
        <f t="shared" si="152"/>
        <v>10</v>
      </c>
      <c r="AF3179" s="5">
        <f t="shared" si="153"/>
        <v>2028</v>
      </c>
    </row>
    <row r="3180" s="5" customFormat="1" ht="13">
      <c r="A3180" s="5" t="s">
        <v>544</v>
      </c>
      <c r="B3180" s="5" t="s">
        <v>544</v>
      </c>
      <c r="C3180" s="5" t="s">
        <v>33</v>
      </c>
      <c r="D3180" s="5" t="s">
        <v>21</v>
      </c>
      <c r="E3180" s="5" t="s">
        <v>544</v>
      </c>
      <c r="F3180" s="5" t="s">
        <v>35</v>
      </c>
      <c r="H3180" s="9">
        <v>86</v>
      </c>
      <c r="I3180" s="10">
        <v>45043</v>
      </c>
      <c r="J3180" s="10">
        <v>45133</v>
      </c>
      <c r="K3180" s="5" t="s">
        <v>39</v>
      </c>
      <c r="L3180" s="5" t="s">
        <v>82</v>
      </c>
      <c r="M3180" s="11">
        <v>0.089999999999999997</v>
      </c>
      <c r="N3180" s="5" t="e">
        <f>IF(AND(M3180&gt;#REF!,Cartera!O3180="Guaraníes"),"Rendimiento significativo",IF(AND(M3180&gt;#REF!,Cartera!O3180="Dólares americanos"),"Rendimiento significativo","Rendimiento no significativo"))</f>
        <v>#REF!</v>
      </c>
      <c r="O3180" s="5" t="s">
        <v>41</v>
      </c>
      <c r="P3180" s="12">
        <v>11095890</v>
      </c>
      <c r="Q3180" s="12">
        <f>IF(O3180="Guaraníes",P3180,P3180*#REF!)</f>
        <v>11095890</v>
      </c>
      <c r="R3180" s="12" t="e">
        <f>IF(O3180="Guaraníes",P3180/#REF!,P3180)</f>
        <v>#REF!</v>
      </c>
      <c r="S3180" s="5" t="s">
        <v>52</v>
      </c>
      <c r="AC3180" s="5" t="str">
        <f t="shared" si="151"/>
        <v>CDA</v>
      </c>
      <c r="AD3180" s="5" t="s">
        <v>43</v>
      </c>
      <c r="AE3180" s="5">
        <f t="shared" si="152"/>
        <v>7</v>
      </c>
      <c r="AF3180" s="5">
        <f t="shared" si="153"/>
        <v>2023</v>
      </c>
    </row>
    <row r="3181" s="5" customFormat="1" ht="13">
      <c r="A3181" s="5" t="s">
        <v>44</v>
      </c>
      <c r="B3181" s="5" t="s">
        <v>44</v>
      </c>
      <c r="C3181" s="5" t="s">
        <v>33</v>
      </c>
      <c r="D3181" s="5" t="s">
        <v>21</v>
      </c>
      <c r="E3181" s="5" t="s">
        <v>44</v>
      </c>
      <c r="F3181" s="5" t="s">
        <v>35</v>
      </c>
      <c r="H3181" s="9">
        <v>86</v>
      </c>
      <c r="I3181" s="10">
        <v>45043</v>
      </c>
      <c r="J3181" s="10">
        <v>45223</v>
      </c>
      <c r="K3181" s="5" t="s">
        <v>39</v>
      </c>
      <c r="L3181" s="5" t="s">
        <v>82</v>
      </c>
      <c r="M3181" s="11">
        <v>0.089999999999999997</v>
      </c>
      <c r="N3181" s="5" t="e">
        <f>IF(AND(M3181&gt;#REF!,Cartera!O3181="Guaraníes"),"Rendimiento significativo",IF(AND(M3181&gt;#REF!,Cartera!O3181="Dólares americanos"),"Rendimiento significativo","Rendimiento no significativo"))</f>
        <v>#REF!</v>
      </c>
      <c r="O3181" s="5" t="s">
        <v>41</v>
      </c>
      <c r="P3181" s="12">
        <v>11095890</v>
      </c>
      <c r="Q3181" s="12">
        <f>IF(O3181="Guaraníes",P3181,P3181*#REF!)</f>
        <v>11095890</v>
      </c>
      <c r="R3181" s="12" t="e">
        <f>IF(O3181="Guaraníes",P3181/#REF!,P3181)</f>
        <v>#REF!</v>
      </c>
      <c r="S3181" s="5" t="s">
        <v>52</v>
      </c>
      <c r="AC3181" s="5" t="str">
        <f t="shared" si="151"/>
        <v>CDA</v>
      </c>
      <c r="AD3181" s="5" t="s">
        <v>43</v>
      </c>
      <c r="AE3181" s="5">
        <f t="shared" si="152"/>
        <v>10</v>
      </c>
      <c r="AF3181" s="5">
        <f t="shared" si="153"/>
        <v>2023</v>
      </c>
    </row>
    <row r="3182" s="5" customFormat="1" ht="13">
      <c r="A3182" s="5" t="s">
        <v>44</v>
      </c>
      <c r="B3182" s="5" t="s">
        <v>44</v>
      </c>
      <c r="C3182" s="5" t="s">
        <v>33</v>
      </c>
      <c r="D3182" s="5" t="s">
        <v>21</v>
      </c>
      <c r="E3182" s="5" t="s">
        <v>44</v>
      </c>
      <c r="F3182" s="5" t="s">
        <v>35</v>
      </c>
      <c r="H3182" s="9">
        <v>86</v>
      </c>
      <c r="I3182" s="10">
        <v>45043</v>
      </c>
      <c r="J3182" s="10">
        <v>45313</v>
      </c>
      <c r="K3182" s="5" t="s">
        <v>39</v>
      </c>
      <c r="L3182" s="5" t="s">
        <v>82</v>
      </c>
      <c r="M3182" s="11">
        <v>0.089999999999999997</v>
      </c>
      <c r="N3182" s="5" t="e">
        <f>IF(AND(M3182&gt;#REF!,Cartera!O3182="Guaraníes"),"Rendimiento significativo",IF(AND(M3182&gt;#REF!,Cartera!O3182="Dólares americanos"),"Rendimiento significativo","Rendimiento no significativo"))</f>
        <v>#REF!</v>
      </c>
      <c r="O3182" s="5" t="s">
        <v>41</v>
      </c>
      <c r="P3182" s="12">
        <v>11095890</v>
      </c>
      <c r="Q3182" s="12">
        <f>IF(O3182="Guaraníes",P3182,P3182*#REF!)</f>
        <v>11095890</v>
      </c>
      <c r="R3182" s="12" t="e">
        <f>IF(O3182="Guaraníes",P3182/#REF!,P3182)</f>
        <v>#REF!</v>
      </c>
      <c r="S3182" s="5" t="s">
        <v>52</v>
      </c>
      <c r="AC3182" s="5" t="str">
        <f t="shared" si="151"/>
        <v>CDA</v>
      </c>
      <c r="AD3182" s="5" t="s">
        <v>43</v>
      </c>
      <c r="AE3182" s="5">
        <f t="shared" si="152"/>
        <v>1</v>
      </c>
      <c r="AF3182" s="5">
        <f t="shared" si="153"/>
        <v>2024</v>
      </c>
    </row>
    <row r="3183" s="5" customFormat="1" ht="13">
      <c r="A3183" s="5" t="s">
        <v>44</v>
      </c>
      <c r="B3183" s="5" t="s">
        <v>44</v>
      </c>
      <c r="C3183" s="5" t="s">
        <v>33</v>
      </c>
      <c r="D3183" s="5" t="s">
        <v>21</v>
      </c>
      <c r="E3183" s="5" t="s">
        <v>44</v>
      </c>
      <c r="F3183" s="5" t="s">
        <v>35</v>
      </c>
      <c r="H3183" s="9">
        <v>86</v>
      </c>
      <c r="I3183" s="10">
        <v>45043</v>
      </c>
      <c r="J3183" s="10">
        <v>45404</v>
      </c>
      <c r="K3183" s="5" t="s">
        <v>39</v>
      </c>
      <c r="L3183" s="5" t="s">
        <v>82</v>
      </c>
      <c r="M3183" s="11">
        <v>0.089999999999999997</v>
      </c>
      <c r="N3183" s="5" t="e">
        <f>IF(AND(M3183&gt;#REF!,Cartera!O3183="Guaraníes"),"Rendimiento significativo",IF(AND(M3183&gt;#REF!,Cartera!O3183="Dólares americanos"),"Rendimiento significativo","Rendimiento no significativo"))</f>
        <v>#REF!</v>
      </c>
      <c r="O3183" s="5" t="s">
        <v>41</v>
      </c>
      <c r="P3183" s="12">
        <v>11219178</v>
      </c>
      <c r="Q3183" s="12">
        <f>IF(O3183="Guaraníes",P3183,P3183*#REF!)</f>
        <v>11219178</v>
      </c>
      <c r="R3183" s="12" t="e">
        <f>IF(O3183="Guaraníes",P3183/#REF!,P3183)</f>
        <v>#REF!</v>
      </c>
      <c r="S3183" s="5" t="s">
        <v>52</v>
      </c>
      <c r="AC3183" s="5" t="str">
        <f t="shared" si="151"/>
        <v>CDA</v>
      </c>
      <c r="AD3183" s="5" t="s">
        <v>43</v>
      </c>
      <c r="AE3183" s="5">
        <f t="shared" si="152"/>
        <v>4</v>
      </c>
      <c r="AF3183" s="5">
        <f t="shared" si="153"/>
        <v>2024</v>
      </c>
    </row>
    <row r="3184" s="5" customFormat="1" ht="13">
      <c r="A3184" s="5" t="s">
        <v>44</v>
      </c>
      <c r="B3184" s="5" t="s">
        <v>44</v>
      </c>
      <c r="C3184" s="5" t="s">
        <v>33</v>
      </c>
      <c r="D3184" s="5" t="s">
        <v>21</v>
      </c>
      <c r="E3184" s="5" t="s">
        <v>44</v>
      </c>
      <c r="F3184" s="5" t="s">
        <v>35</v>
      </c>
      <c r="H3184" s="9">
        <v>86</v>
      </c>
      <c r="I3184" s="10">
        <v>45043</v>
      </c>
      <c r="J3184" s="10">
        <v>45495</v>
      </c>
      <c r="K3184" s="5" t="s">
        <v>39</v>
      </c>
      <c r="L3184" s="5" t="s">
        <v>82</v>
      </c>
      <c r="M3184" s="11">
        <v>0.089999999999999997</v>
      </c>
      <c r="N3184" s="5" t="e">
        <f>IF(AND(M3184&gt;#REF!,Cartera!O3184="Guaraníes"),"Rendimiento significativo",IF(AND(M3184&gt;#REF!,Cartera!O3184="Dólares americanos"),"Rendimiento significativo","Rendimiento no significativo"))</f>
        <v>#REF!</v>
      </c>
      <c r="O3184" s="5" t="s">
        <v>41</v>
      </c>
      <c r="P3184" s="12">
        <v>11219178</v>
      </c>
      <c r="Q3184" s="12">
        <f>IF(O3184="Guaraníes",P3184,P3184*#REF!)</f>
        <v>11219178</v>
      </c>
      <c r="R3184" s="12" t="e">
        <f>IF(O3184="Guaraníes",P3184/#REF!,P3184)</f>
        <v>#REF!</v>
      </c>
      <c r="S3184" s="5" t="s">
        <v>52</v>
      </c>
      <c r="AC3184" s="5" t="str">
        <f t="shared" si="151"/>
        <v>CDA</v>
      </c>
      <c r="AD3184" s="5" t="s">
        <v>43</v>
      </c>
      <c r="AE3184" s="5">
        <f t="shared" si="152"/>
        <v>7</v>
      </c>
      <c r="AF3184" s="5">
        <f t="shared" si="153"/>
        <v>2024</v>
      </c>
    </row>
    <row r="3185" s="5" customFormat="1" ht="13">
      <c r="A3185" s="5" t="s">
        <v>44</v>
      </c>
      <c r="B3185" s="5" t="s">
        <v>44</v>
      </c>
      <c r="C3185" s="5" t="s">
        <v>79</v>
      </c>
      <c r="D3185" s="5" t="s">
        <v>21</v>
      </c>
      <c r="E3185" s="5" t="s">
        <v>44</v>
      </c>
      <c r="F3185" s="12" t="s">
        <v>68</v>
      </c>
      <c r="G3185" s="12"/>
      <c r="H3185" s="9" t="s">
        <v>121</v>
      </c>
      <c r="I3185" s="10">
        <v>45497</v>
      </c>
      <c r="J3185" s="10">
        <v>45589</v>
      </c>
      <c r="L3185" s="5" t="s">
        <v>82</v>
      </c>
      <c r="M3185" s="11">
        <v>0.042000000000000003</v>
      </c>
      <c r="N3185" s="5" t="e">
        <f>IF(AND(M3185&gt;#REF!,Cartera!O3185="Guaraníes"),"Rendimiento significativo",IF(AND(M3185&gt;#REF!,Cartera!O3185="Dólares americanos"),"Rendimiento significativo","Rendimiento no significativo"))</f>
        <v>#REF!</v>
      </c>
      <c r="O3185" s="5" t="s">
        <v>51</v>
      </c>
      <c r="P3185" s="13">
        <v>211</v>
      </c>
      <c r="Q3185" s="12" t="e">
        <f>IF(O3185="Guaraníes",P3185,P3185*#REF!)</f>
        <v>#REF!</v>
      </c>
      <c r="R3185" s="13">
        <f>IF(O3185="Guaraníes",P3185/#REF!,P3185)</f>
        <v>211</v>
      </c>
      <c r="S3185" s="5" t="s">
        <v>52</v>
      </c>
      <c r="AC3185" s="5" t="str">
        <f t="shared" si="151"/>
        <v>CDA</v>
      </c>
      <c r="AD3185" s="5" t="s">
        <v>43</v>
      </c>
      <c r="AE3185" s="5">
        <f t="shared" si="152"/>
        <v>10</v>
      </c>
      <c r="AF3185" s="5">
        <f t="shared" si="153"/>
        <v>2024</v>
      </c>
    </row>
    <row r="3186" s="5" customFormat="1" ht="13">
      <c r="A3186" s="5">
        <v>12316</v>
      </c>
      <c r="B3186" s="5" t="s">
        <v>78</v>
      </c>
      <c r="C3186" s="5" t="s">
        <v>164</v>
      </c>
      <c r="D3186" s="5" t="s">
        <v>21</v>
      </c>
      <c r="E3186" s="5" t="s">
        <v>34</v>
      </c>
      <c r="F3186" s="5" t="s">
        <v>68</v>
      </c>
      <c r="G3186" s="5" t="s">
        <v>145</v>
      </c>
      <c r="H3186" s="9" t="s">
        <v>165</v>
      </c>
      <c r="I3186" s="10"/>
      <c r="J3186" s="10">
        <v>47057</v>
      </c>
      <c r="K3186" s="5" t="s">
        <v>124</v>
      </c>
      <c r="L3186" s="5" t="s">
        <v>58</v>
      </c>
      <c r="M3186" s="11">
        <v>0.10000000000000001</v>
      </c>
      <c r="N3186" s="5" t="e">
        <f>IF(AND(M3186&gt;#REF!,Cartera!O3186="Guaraníes"),"Rendimiento significativo",IF(AND(M3186&gt;#REF!,Cartera!O3186="Dólares americanos"),"Rendimiento significativo","Rendimiento no significativo"))</f>
        <v>#REF!</v>
      </c>
      <c r="O3186" s="5" t="s">
        <v>41</v>
      </c>
      <c r="P3186" s="12">
        <v>3616438.3560000001</v>
      </c>
      <c r="Q3186" s="12">
        <f>IF(O3186="Guaraníes",P3186,P3186*#REF!)</f>
        <v>3616438.3560000001</v>
      </c>
      <c r="R3186" s="12" t="e">
        <f>IF(O3186="Guaraníes",P3186/#REF!,P3186)</f>
        <v>#REF!</v>
      </c>
      <c r="S3186" s="5" t="s">
        <v>42</v>
      </c>
      <c r="T3186" s="5">
        <v>1057</v>
      </c>
      <c r="W3186" s="5" t="s">
        <v>65</v>
      </c>
      <c r="X3186" s="5">
        <v>0</v>
      </c>
      <c r="Y3186" s="5">
        <v>0</v>
      </c>
      <c r="Z3186" s="5">
        <v>9041.0958900000005</v>
      </c>
      <c r="AA3186" s="5">
        <v>400</v>
      </c>
      <c r="AB3186" s="5">
        <v>3616438.3560000001</v>
      </c>
      <c r="AC3186" s="5" t="str">
        <f t="shared" si="151"/>
        <v>Bonos</v>
      </c>
      <c r="AD3186" s="5" t="s">
        <v>43</v>
      </c>
      <c r="AE3186" s="5">
        <f t="shared" si="152"/>
        <v>10</v>
      </c>
      <c r="AF3186" s="5">
        <f t="shared" si="153"/>
        <v>2028</v>
      </c>
    </row>
    <row r="3187" s="5" customFormat="1" ht="13">
      <c r="A3187" s="5">
        <v>12316</v>
      </c>
      <c r="B3187" s="5" t="s">
        <v>78</v>
      </c>
      <c r="C3187" s="5" t="s">
        <v>164</v>
      </c>
      <c r="D3187" s="5" t="s">
        <v>21</v>
      </c>
      <c r="E3187" s="5" t="s">
        <v>34</v>
      </c>
      <c r="F3187" s="5" t="s">
        <v>68</v>
      </c>
      <c r="G3187" s="5" t="s">
        <v>141</v>
      </c>
      <c r="H3187" s="9" t="s">
        <v>165</v>
      </c>
      <c r="I3187" s="10"/>
      <c r="J3187" s="10">
        <v>47057</v>
      </c>
      <c r="K3187" s="5" t="s">
        <v>124</v>
      </c>
      <c r="L3187" s="5" t="s">
        <v>58</v>
      </c>
      <c r="M3187" s="11">
        <v>0.10000000000000001</v>
      </c>
      <c r="N3187" s="5" t="e">
        <f>IF(AND(M3187&gt;#REF!,Cartera!O3187="Guaraníes"),"Rendimiento significativo",IF(AND(M3187&gt;#REF!,Cartera!O3187="Dólares americanos"),"Rendimiento significativo","Rendimiento no significativo"))</f>
        <v>#REF!</v>
      </c>
      <c r="O3187" s="5" t="s">
        <v>41</v>
      </c>
      <c r="P3187" s="12">
        <v>904109.58900000004</v>
      </c>
      <c r="Q3187" s="12">
        <f>IF(O3187="Guaraníes",P3187,P3187*#REF!)</f>
        <v>904109.58900000004</v>
      </c>
      <c r="R3187" s="12" t="e">
        <f>IF(O3187="Guaraníes",P3187/#REF!,P3187)</f>
        <v>#REF!</v>
      </c>
      <c r="S3187" s="5" t="s">
        <v>42</v>
      </c>
      <c r="T3187" s="5">
        <v>9243</v>
      </c>
      <c r="W3187" s="5" t="s">
        <v>65</v>
      </c>
      <c r="X3187" s="5">
        <v>0</v>
      </c>
      <c r="Y3187" s="5">
        <v>0</v>
      </c>
      <c r="Z3187" s="5">
        <v>9041.0958900000005</v>
      </c>
      <c r="AA3187" s="5">
        <v>100</v>
      </c>
      <c r="AB3187" s="5">
        <v>904109.58900000004</v>
      </c>
      <c r="AC3187" s="5" t="str">
        <f t="shared" si="151"/>
        <v>Bonos</v>
      </c>
      <c r="AD3187" s="5" t="s">
        <v>43</v>
      </c>
      <c r="AE3187" s="5">
        <f t="shared" si="152"/>
        <v>10</v>
      </c>
      <c r="AF3187" s="5">
        <f t="shared" si="153"/>
        <v>2028</v>
      </c>
    </row>
    <row r="3188" s="5" customFormat="1" ht="13">
      <c r="A3188" s="5">
        <v>12316</v>
      </c>
      <c r="B3188" s="5" t="s">
        <v>78</v>
      </c>
      <c r="C3188" s="5" t="s">
        <v>138</v>
      </c>
      <c r="D3188" s="5" t="s">
        <v>21</v>
      </c>
      <c r="E3188" s="5" t="s">
        <v>34</v>
      </c>
      <c r="F3188" s="5" t="s">
        <v>68</v>
      </c>
      <c r="G3188" s="5" t="s">
        <v>86</v>
      </c>
      <c r="H3188" s="9" t="s">
        <v>139</v>
      </c>
      <c r="I3188" s="10">
        <v>43948</v>
      </c>
      <c r="J3188" s="10">
        <v>47058</v>
      </c>
      <c r="K3188" s="5" t="s">
        <v>140</v>
      </c>
      <c r="L3188" s="5" t="s">
        <v>58</v>
      </c>
      <c r="M3188" s="11">
        <v>0.11</v>
      </c>
      <c r="N3188" s="5" t="e">
        <f>IF(AND(M3188&gt;#REF!,Cartera!O3188="Guaraníes"),"Rendimiento significativo",IF(AND(M3188&gt;#REF!,Cartera!O3188="Dólares americanos"),"Rendimiento significativo","Rendimiento no significativo"))</f>
        <v>#REF!</v>
      </c>
      <c r="O3188" s="5" t="s">
        <v>41</v>
      </c>
      <c r="P3188" s="12">
        <v>620800.43560000008</v>
      </c>
      <c r="Q3188" s="12">
        <f>IF(O3188="Guaraníes",P3188,P3188*#REF!)</f>
        <v>620800.43560000008</v>
      </c>
      <c r="R3188" s="12" t="e">
        <f>IF(O3188="Guaraníes",P3188/#REF!,P3188)</f>
        <v>#REF!</v>
      </c>
      <c r="S3188" s="5" t="s">
        <v>42</v>
      </c>
      <c r="AC3188" s="5" t="str">
        <f t="shared" si="151"/>
        <v>Bonos</v>
      </c>
      <c r="AD3188" s="5" t="s">
        <v>43</v>
      </c>
      <c r="AE3188" s="5">
        <f t="shared" si="152"/>
        <v>11</v>
      </c>
      <c r="AF3188" s="5">
        <f t="shared" si="153"/>
        <v>2028</v>
      </c>
    </row>
    <row r="3189" s="5" customFormat="1" ht="13">
      <c r="A3189" s="5">
        <v>12316</v>
      </c>
      <c r="B3189" s="5" t="s">
        <v>78</v>
      </c>
      <c r="C3189" s="5" t="s">
        <v>183</v>
      </c>
      <c r="D3189" s="5" t="s">
        <v>21</v>
      </c>
      <c r="E3189" s="5" t="s">
        <v>34</v>
      </c>
      <c r="F3189" s="5" t="s">
        <v>184</v>
      </c>
      <c r="H3189" s="9">
        <v>6389</v>
      </c>
      <c r="I3189" s="10"/>
      <c r="J3189" s="10">
        <v>47066</v>
      </c>
      <c r="K3189" s="5" t="s">
        <v>124</v>
      </c>
      <c r="L3189" s="5" t="s">
        <v>82</v>
      </c>
      <c r="M3189" s="11">
        <v>0.079000000000000001</v>
      </c>
      <c r="N3189" s="5" t="e">
        <f>IF(AND(M3189&gt;#REF!,Cartera!O3189="Guaraníes"),"Rendimiento significativo",IF(AND(M3189&gt;#REF!,Cartera!O3189="Dólares americanos"),"Rendimiento significativo","Rendimiento no significativo"))</f>
        <v>#REF!</v>
      </c>
      <c r="O3189" s="5" t="s">
        <v>41</v>
      </c>
      <c r="P3189" s="12">
        <v>9956240</v>
      </c>
      <c r="Q3189" s="12">
        <f>IF(O3189="Guaraníes",P3189,P3189*#REF!)</f>
        <v>9956240</v>
      </c>
      <c r="R3189" s="12" t="e">
        <f>IF(O3189="Guaraníes",P3189/#REF!,P3189)</f>
        <v>#REF!</v>
      </c>
      <c r="S3189" s="5" t="s">
        <v>42</v>
      </c>
      <c r="V3189" s="5">
        <v>9956240</v>
      </c>
      <c r="W3189" s="5" t="s">
        <v>697</v>
      </c>
      <c r="AC3189" s="5" t="str">
        <f t="shared" si="151"/>
        <v>CDA</v>
      </c>
      <c r="AD3189" s="5" t="s">
        <v>43</v>
      </c>
      <c r="AE3189" s="5">
        <f t="shared" si="152"/>
        <v>11</v>
      </c>
      <c r="AF3189" s="5">
        <f t="shared" si="153"/>
        <v>2028</v>
      </c>
    </row>
    <row r="3190" s="5" customFormat="1" ht="13">
      <c r="A3190" s="5">
        <v>12306</v>
      </c>
      <c r="B3190" s="5" t="s">
        <v>373</v>
      </c>
      <c r="C3190" s="5" t="s">
        <v>33</v>
      </c>
      <c r="D3190" s="5" t="s">
        <v>20</v>
      </c>
      <c r="E3190" s="5" t="s">
        <v>34</v>
      </c>
      <c r="F3190" s="5" t="s">
        <v>35</v>
      </c>
      <c r="H3190" s="9">
        <v>86</v>
      </c>
      <c r="I3190" s="10">
        <v>45043</v>
      </c>
      <c r="J3190" s="10">
        <v>45964</v>
      </c>
      <c r="K3190" s="5" t="s">
        <v>39</v>
      </c>
      <c r="L3190" s="5" t="s">
        <v>82</v>
      </c>
      <c r="M3190" s="11">
        <v>0.089999999999999997</v>
      </c>
      <c r="N3190" s="5" t="e">
        <f>IF(AND(M3190&gt;#REF!,Cartera!O3190="Guaraníes"),"Rendimiento significativo",IF(AND(M3190&gt;#REF!,Cartera!O3190="Dólares americanos"),"Rendimiento significativo","Rendimiento no significativo"))</f>
        <v>#REF!</v>
      </c>
      <c r="O3190" s="5" t="s">
        <v>41</v>
      </c>
      <c r="P3190" s="12">
        <v>500000000</v>
      </c>
      <c r="Q3190" s="12">
        <f>IF(O3190="Guaraníes",P3190,P3190*#REF!)</f>
        <v>500000000</v>
      </c>
      <c r="R3190" s="12" t="e">
        <f>IF(O3190="Guaraníes",P3190/#REF!,P3190)</f>
        <v>#REF!</v>
      </c>
      <c r="S3190" s="5" t="s">
        <v>42</v>
      </c>
      <c r="AC3190" s="5" t="str">
        <f t="shared" si="151"/>
        <v>CDA</v>
      </c>
      <c r="AD3190" s="5" t="s">
        <v>43</v>
      </c>
      <c r="AE3190" s="5">
        <f t="shared" si="152"/>
        <v>11</v>
      </c>
      <c r="AF3190" s="5">
        <f t="shared" si="153"/>
        <v>2025</v>
      </c>
    </row>
    <row r="3191" s="5" customFormat="1" ht="13">
      <c r="A3191" s="5" t="s">
        <v>44</v>
      </c>
      <c r="B3191" s="5" t="s">
        <v>44</v>
      </c>
      <c r="C3191" s="5" t="s">
        <v>143</v>
      </c>
      <c r="D3191" s="5" t="s">
        <v>21</v>
      </c>
      <c r="E3191" s="5" t="s">
        <v>44</v>
      </c>
      <c r="F3191" s="5" t="s">
        <v>144</v>
      </c>
      <c r="G3191" s="5" t="s">
        <v>145</v>
      </c>
      <c r="H3191" s="9" t="s">
        <v>272</v>
      </c>
      <c r="I3191" s="10">
        <v>43532</v>
      </c>
      <c r="J3191" s="10">
        <v>45264</v>
      </c>
      <c r="K3191" s="5" t="s">
        <v>49</v>
      </c>
      <c r="L3191" s="5" t="s">
        <v>106</v>
      </c>
      <c r="M3191" s="11">
        <v>0.057500000000000002</v>
      </c>
      <c r="N3191" s="5" t="e">
        <f>IF(AND(M3191&gt;#REF!,Cartera!O3191="Guaraníes"),"Rendimiento significativo",IF(AND(M3191&gt;#REF!,Cartera!O3191="Dólares americanos"),"Rendimiento significativo","Rendimiento no significativo"))</f>
        <v>#REF!</v>
      </c>
      <c r="O3191" s="5" t="s">
        <v>51</v>
      </c>
      <c r="P3191" s="13">
        <v>53.561639999999997</v>
      </c>
      <c r="Q3191" s="12" t="e">
        <f>IF(O3191="Guaraníes",P3191,P3191*#REF!)</f>
        <v>#REF!</v>
      </c>
      <c r="R3191" s="12">
        <f>IF(O3191="Guaraníes",P3191/#REF!,P3191)</f>
        <v>53.561639999999997</v>
      </c>
      <c r="S3191" s="5" t="s">
        <v>52</v>
      </c>
      <c r="T3191" s="5">
        <v>1057</v>
      </c>
      <c r="AC3191" s="5" t="str">
        <f t="shared" ref="AC3191:AC3254" si="154">IF(ISNUMBER(SEARCH("Acciones",L3191)),"Acciones",IF(ISNUMBER(SEARCH("Bono",L3191)),"Bonos",IF(ISNUMBER(SEARCH("CDA",L3191)),"CDA",IF(ISNUMBER(SEARCH("Fondo",L3191)),"Fondo",0))))</f>
        <v>Bonos</v>
      </c>
      <c r="AD3191" s="5" t="s">
        <v>43</v>
      </c>
      <c r="AE3191" s="5">
        <f t="shared" si="152"/>
        <v>12</v>
      </c>
      <c r="AF3191" s="5">
        <f t="shared" si="153"/>
        <v>2023</v>
      </c>
    </row>
    <row r="3192" s="5" customFormat="1" ht="13">
      <c r="A3192" s="5">
        <v>12316</v>
      </c>
      <c r="B3192" s="5" t="s">
        <v>78</v>
      </c>
      <c r="C3192" s="5" t="s">
        <v>183</v>
      </c>
      <c r="D3192" s="5" t="s">
        <v>21</v>
      </c>
      <c r="E3192" s="5" t="s">
        <v>34</v>
      </c>
      <c r="F3192" s="5" t="s">
        <v>184</v>
      </c>
      <c r="H3192" s="9">
        <v>6390</v>
      </c>
      <c r="I3192" s="10"/>
      <c r="J3192" s="10">
        <v>47066</v>
      </c>
      <c r="K3192" s="5" t="s">
        <v>124</v>
      </c>
      <c r="L3192" s="5" t="s">
        <v>82</v>
      </c>
      <c r="M3192" s="11">
        <v>0.079000000000000001</v>
      </c>
      <c r="N3192" s="5" t="e">
        <f>IF(AND(M3192&gt;#REF!,Cartera!O3192="Guaraníes"),"Rendimiento significativo",IF(AND(M3192&gt;#REF!,Cartera!O3192="Dólares americanos"),"Rendimiento significativo","Rendimiento no significativo"))</f>
        <v>#REF!</v>
      </c>
      <c r="O3192" s="5" t="s">
        <v>41</v>
      </c>
      <c r="P3192" s="12">
        <v>9956240</v>
      </c>
      <c r="Q3192" s="12">
        <f>IF(O3192="Guaraníes",P3192,P3192*#REF!)</f>
        <v>9956240</v>
      </c>
      <c r="R3192" s="12" t="e">
        <f>IF(O3192="Guaraníes",P3192/#REF!,P3192)</f>
        <v>#REF!</v>
      </c>
      <c r="S3192" s="5" t="s">
        <v>42</v>
      </c>
      <c r="V3192" s="5">
        <v>9956240</v>
      </c>
      <c r="W3192" s="5" t="s">
        <v>697</v>
      </c>
      <c r="AC3192" s="5" t="str">
        <f t="shared" si="154"/>
        <v>CDA</v>
      </c>
      <c r="AD3192" s="5" t="s">
        <v>43</v>
      </c>
      <c r="AE3192" s="5">
        <f t="shared" si="152"/>
        <v>11</v>
      </c>
      <c r="AF3192" s="5">
        <f t="shared" si="153"/>
        <v>2028</v>
      </c>
    </row>
    <row r="3193" s="5" customFormat="1" ht="13">
      <c r="A3193" s="5">
        <v>12316</v>
      </c>
      <c r="B3193" s="5" t="s">
        <v>78</v>
      </c>
      <c r="C3193" s="5" t="s">
        <v>183</v>
      </c>
      <c r="D3193" s="5" t="s">
        <v>21</v>
      </c>
      <c r="E3193" s="5" t="s">
        <v>34</v>
      </c>
      <c r="F3193" s="5" t="s">
        <v>184</v>
      </c>
      <c r="H3193" s="9">
        <v>6391</v>
      </c>
      <c r="I3193" s="10"/>
      <c r="J3193" s="10">
        <v>47066</v>
      </c>
      <c r="K3193" s="5" t="s">
        <v>124</v>
      </c>
      <c r="L3193" s="5" t="s">
        <v>82</v>
      </c>
      <c r="M3193" s="11">
        <v>0.079000000000000001</v>
      </c>
      <c r="N3193" s="5" t="e">
        <f>IF(AND(M3193&gt;#REF!,Cartera!O3193="Guaraníes"),"Rendimiento significativo",IF(AND(M3193&gt;#REF!,Cartera!O3193="Dólares americanos"),"Rendimiento significativo","Rendimiento no significativo"))</f>
        <v>#REF!</v>
      </c>
      <c r="O3193" s="5" t="s">
        <v>41</v>
      </c>
      <c r="P3193" s="12">
        <v>9956240</v>
      </c>
      <c r="Q3193" s="12">
        <f>IF(O3193="Guaraníes",P3193,P3193*#REF!)</f>
        <v>9956240</v>
      </c>
      <c r="R3193" s="12" t="e">
        <f>IF(O3193="Guaraníes",P3193/#REF!,P3193)</f>
        <v>#REF!</v>
      </c>
      <c r="S3193" s="5" t="s">
        <v>42</v>
      </c>
      <c r="V3193" s="5">
        <v>9956240</v>
      </c>
      <c r="W3193" s="5" t="s">
        <v>697</v>
      </c>
      <c r="AC3193" s="5" t="str">
        <f t="shared" si="154"/>
        <v>CDA</v>
      </c>
      <c r="AD3193" s="5" t="s">
        <v>43</v>
      </c>
      <c r="AE3193" s="5">
        <f t="shared" si="152"/>
        <v>11</v>
      </c>
      <c r="AF3193" s="5">
        <f t="shared" si="153"/>
        <v>2028</v>
      </c>
    </row>
    <row r="3194" s="5" customFormat="1" ht="13">
      <c r="A3194" s="5">
        <v>12316</v>
      </c>
      <c r="B3194" s="5" t="s">
        <v>78</v>
      </c>
      <c r="C3194" s="5" t="s">
        <v>183</v>
      </c>
      <c r="D3194" s="5" t="s">
        <v>21</v>
      </c>
      <c r="E3194" s="5" t="s">
        <v>34</v>
      </c>
      <c r="F3194" s="5" t="s">
        <v>184</v>
      </c>
      <c r="H3194" s="9">
        <v>6388</v>
      </c>
      <c r="I3194" s="10"/>
      <c r="J3194" s="10">
        <v>47066</v>
      </c>
      <c r="K3194" s="5" t="s">
        <v>124</v>
      </c>
      <c r="L3194" s="5" t="s">
        <v>82</v>
      </c>
      <c r="M3194" s="11">
        <v>0.079000000000000001</v>
      </c>
      <c r="N3194" s="5" t="e">
        <f>IF(AND(M3194&gt;#REF!,Cartera!O3194="Guaraníes"),"Rendimiento significativo",IF(AND(M3194&gt;#REF!,Cartera!O3194="Dólares americanos"),"Rendimiento significativo","Rendimiento no significativo"))</f>
        <v>#REF!</v>
      </c>
      <c r="O3194" s="5" t="s">
        <v>41</v>
      </c>
      <c r="P3194" s="12">
        <v>9956240</v>
      </c>
      <c r="Q3194" s="12">
        <f>IF(O3194="Guaraníes",P3194,P3194*#REF!)</f>
        <v>9956240</v>
      </c>
      <c r="R3194" s="12" t="e">
        <f>IF(O3194="Guaraníes",P3194/#REF!,P3194)</f>
        <v>#REF!</v>
      </c>
      <c r="S3194" s="5" t="s">
        <v>42</v>
      </c>
      <c r="V3194" s="5">
        <v>9793910</v>
      </c>
      <c r="W3194" s="5" t="s">
        <v>716</v>
      </c>
      <c r="AC3194" s="5" t="str">
        <f t="shared" si="154"/>
        <v>CDA</v>
      </c>
      <c r="AD3194" s="5" t="s">
        <v>43</v>
      </c>
      <c r="AE3194" s="5">
        <f t="shared" si="152"/>
        <v>11</v>
      </c>
      <c r="AF3194" s="5">
        <f t="shared" si="153"/>
        <v>2028</v>
      </c>
    </row>
    <row r="3195" s="5" customFormat="1" ht="13">
      <c r="A3195" s="5">
        <v>12316</v>
      </c>
      <c r="B3195" s="5" t="s">
        <v>78</v>
      </c>
      <c r="C3195" s="5" t="s">
        <v>164</v>
      </c>
      <c r="D3195" s="5" t="s">
        <v>21</v>
      </c>
      <c r="E3195" s="5" t="s">
        <v>34</v>
      </c>
      <c r="F3195" s="5" t="s">
        <v>68</v>
      </c>
      <c r="G3195" s="5" t="s">
        <v>145</v>
      </c>
      <c r="H3195" s="9" t="s">
        <v>165</v>
      </c>
      <c r="I3195" s="10"/>
      <c r="J3195" s="10">
        <v>47087</v>
      </c>
      <c r="K3195" s="5" t="s">
        <v>124</v>
      </c>
      <c r="L3195" s="5" t="s">
        <v>58</v>
      </c>
      <c r="M3195" s="11">
        <v>0.10000000000000001</v>
      </c>
      <c r="N3195" s="5" t="e">
        <f>IF(AND(M3195&gt;#REF!,Cartera!O3195="Guaraníes"),"Rendimiento significativo",IF(AND(M3195&gt;#REF!,Cartera!O3195="Dólares americanos"),"Rendimiento significativo","Rendimiento no significativo"))</f>
        <v>#REF!</v>
      </c>
      <c r="O3195" s="5" t="s">
        <v>41</v>
      </c>
      <c r="P3195" s="12">
        <v>3287671.2328000003</v>
      </c>
      <c r="Q3195" s="12">
        <f>IF(O3195="Guaraníes",P3195,P3195*#REF!)</f>
        <v>3287671.2328000003</v>
      </c>
      <c r="R3195" s="12" t="e">
        <f>IF(O3195="Guaraníes",P3195/#REF!,P3195)</f>
        <v>#REF!</v>
      </c>
      <c r="S3195" s="5" t="s">
        <v>42</v>
      </c>
      <c r="T3195" s="5">
        <v>1057</v>
      </c>
      <c r="W3195" s="5" t="s">
        <v>65</v>
      </c>
      <c r="X3195" s="5">
        <v>0</v>
      </c>
      <c r="Y3195" s="5">
        <v>0</v>
      </c>
      <c r="Z3195" s="5">
        <v>8219.1780820000004</v>
      </c>
      <c r="AA3195" s="5">
        <v>400</v>
      </c>
      <c r="AB3195" s="5">
        <v>3287671.2327999999</v>
      </c>
      <c r="AC3195" s="5" t="str">
        <f t="shared" si="154"/>
        <v>Bonos</v>
      </c>
      <c r="AD3195" s="5" t="s">
        <v>43</v>
      </c>
      <c r="AE3195" s="5">
        <f t="shared" si="152"/>
        <v>11</v>
      </c>
      <c r="AF3195" s="5">
        <f t="shared" si="153"/>
        <v>2028</v>
      </c>
    </row>
    <row r="3196" s="5" customFormat="1" ht="13">
      <c r="A3196" s="5">
        <v>12316</v>
      </c>
      <c r="B3196" s="5" t="s">
        <v>78</v>
      </c>
      <c r="C3196" s="5" t="s">
        <v>164</v>
      </c>
      <c r="D3196" s="5" t="s">
        <v>21</v>
      </c>
      <c r="E3196" s="5" t="s">
        <v>34</v>
      </c>
      <c r="F3196" s="5" t="s">
        <v>68</v>
      </c>
      <c r="G3196" s="5" t="s">
        <v>141</v>
      </c>
      <c r="H3196" s="9" t="s">
        <v>165</v>
      </c>
      <c r="I3196" s="10"/>
      <c r="J3196" s="10">
        <v>47087</v>
      </c>
      <c r="K3196" s="5" t="s">
        <v>124</v>
      </c>
      <c r="L3196" s="5" t="s">
        <v>58</v>
      </c>
      <c r="M3196" s="11">
        <v>0.10000000000000001</v>
      </c>
      <c r="N3196" s="5" t="e">
        <f>IF(AND(M3196&gt;#REF!,Cartera!O3196="Guaraníes"),"Rendimiento significativo",IF(AND(M3196&gt;#REF!,Cartera!O3196="Dólares americanos"),"Rendimiento significativo","Rendimiento no significativo"))</f>
        <v>#REF!</v>
      </c>
      <c r="O3196" s="5" t="s">
        <v>41</v>
      </c>
      <c r="P3196" s="12">
        <v>821917.80820000009</v>
      </c>
      <c r="Q3196" s="12">
        <f>IF(O3196="Guaraníes",P3196,P3196*#REF!)</f>
        <v>821917.80820000009</v>
      </c>
      <c r="R3196" s="12" t="e">
        <f>IF(O3196="Guaraníes",P3196/#REF!,P3196)</f>
        <v>#REF!</v>
      </c>
      <c r="S3196" s="5" t="s">
        <v>42</v>
      </c>
      <c r="T3196" s="5">
        <v>9243</v>
      </c>
      <c r="W3196" s="5" t="s">
        <v>65</v>
      </c>
      <c r="X3196" s="5">
        <v>0</v>
      </c>
      <c r="Y3196" s="5">
        <v>0</v>
      </c>
      <c r="Z3196" s="5">
        <v>8219.1780820000004</v>
      </c>
      <c r="AA3196" s="5">
        <v>100</v>
      </c>
      <c r="AB3196" s="5">
        <v>821917.80819999997</v>
      </c>
      <c r="AC3196" s="5" t="str">
        <f t="shared" si="154"/>
        <v>Bonos</v>
      </c>
      <c r="AD3196" s="5" t="s">
        <v>43</v>
      </c>
      <c r="AE3196" s="5">
        <f t="shared" si="152"/>
        <v>11</v>
      </c>
      <c r="AF3196" s="5">
        <f t="shared" si="153"/>
        <v>2028</v>
      </c>
    </row>
    <row r="3197" s="5" customFormat="1" ht="13">
      <c r="A3197" s="5">
        <v>12316</v>
      </c>
      <c r="B3197" s="5" t="s">
        <v>78</v>
      </c>
      <c r="C3197" s="5" t="s">
        <v>138</v>
      </c>
      <c r="D3197" s="5" t="s">
        <v>21</v>
      </c>
      <c r="E3197" s="5" t="s">
        <v>34</v>
      </c>
      <c r="F3197" s="5" t="s">
        <v>68</v>
      </c>
      <c r="G3197" s="5" t="s">
        <v>86</v>
      </c>
      <c r="H3197" s="9" t="s">
        <v>139</v>
      </c>
      <c r="I3197" s="10">
        <v>43948</v>
      </c>
      <c r="J3197" s="10">
        <v>47088</v>
      </c>
      <c r="K3197" s="5" t="s">
        <v>140</v>
      </c>
      <c r="L3197" s="5" t="s">
        <v>58</v>
      </c>
      <c r="M3197" s="11">
        <v>0.11</v>
      </c>
      <c r="N3197" s="5" t="e">
        <f>IF(AND(M3197&gt;#REF!,Cartera!O3197="Guaraníes"),"Rendimiento significativo",IF(AND(M3197&gt;#REF!,Cartera!O3197="Dólares americanos"),"Rendimiento significativo","Rendimiento no significativo"))</f>
        <v>#REF!</v>
      </c>
      <c r="O3197" s="5" t="s">
        <v>41</v>
      </c>
      <c r="P3197" s="12">
        <v>609282.2132</v>
      </c>
      <c r="Q3197" s="12">
        <f>IF(O3197="Guaraníes",P3197,P3197*#REF!)</f>
        <v>609282.2132</v>
      </c>
      <c r="R3197" s="12" t="e">
        <f>IF(O3197="Guaraníes",P3197/#REF!,P3197)</f>
        <v>#REF!</v>
      </c>
      <c r="S3197" s="5" t="s">
        <v>42</v>
      </c>
      <c r="AC3197" s="5" t="str">
        <f t="shared" si="154"/>
        <v>Bonos</v>
      </c>
      <c r="AD3197" s="5" t="s">
        <v>43</v>
      </c>
      <c r="AE3197" s="5">
        <f t="shared" si="152"/>
        <v>12</v>
      </c>
      <c r="AF3197" s="5">
        <f t="shared" si="153"/>
        <v>2028</v>
      </c>
    </row>
    <row r="3198" s="5" customFormat="1" ht="13">
      <c r="A3198" s="5">
        <v>12315</v>
      </c>
      <c r="B3198" s="5" t="s">
        <v>73</v>
      </c>
      <c r="C3198" s="5" t="s">
        <v>33</v>
      </c>
      <c r="D3198" s="5" t="s">
        <v>21</v>
      </c>
      <c r="E3198" s="5" t="s">
        <v>34</v>
      </c>
      <c r="F3198" s="5" t="s">
        <v>35</v>
      </c>
      <c r="G3198" s="5" t="s">
        <v>75</v>
      </c>
      <c r="H3198" s="9" t="s">
        <v>186</v>
      </c>
      <c r="I3198" s="10"/>
      <c r="J3198" s="10">
        <v>47093</v>
      </c>
      <c r="K3198" s="5" t="s">
        <v>39</v>
      </c>
      <c r="L3198" s="5" t="s">
        <v>50</v>
      </c>
      <c r="M3198" s="11">
        <v>0.044999999999999998</v>
      </c>
      <c r="N3198" s="5" t="e">
        <f>IF(AND(M3198&gt;#REF!,Cartera!O3198="Guaraníes"),"Rendimiento significativo",IF(AND(M3198&gt;#REF!,Cartera!O3198="Dólares americanos"),"Rendimiento significativo","Rendimiento no significativo"))</f>
        <v>#REF!</v>
      </c>
      <c r="O3198" s="5" t="s">
        <v>51</v>
      </c>
      <c r="P3198" s="13">
        <v>336.57533999999998</v>
      </c>
      <c r="Q3198" s="12" t="e">
        <f>IF(O3198="Guaraníes",P3198,P3198*#REF!)</f>
        <v>#REF!</v>
      </c>
      <c r="R3198" s="12">
        <f>IF(O3198="Guaraníes",P3198/#REF!,P3198)</f>
        <v>336.57533999999998</v>
      </c>
      <c r="S3198" s="5" t="s">
        <v>42</v>
      </c>
      <c r="T3198" s="5">
        <v>25</v>
      </c>
      <c r="W3198" s="5" t="s">
        <v>65</v>
      </c>
      <c r="X3198" s="5">
        <v>0</v>
      </c>
      <c r="Y3198" s="5">
        <v>0</v>
      </c>
      <c r="Z3198" s="5">
        <v>11.219177999999999</v>
      </c>
      <c r="AA3198" s="5">
        <v>30</v>
      </c>
      <c r="AB3198" s="5">
        <v>336.57533999999998</v>
      </c>
      <c r="AC3198" s="5" t="str">
        <f t="shared" si="154"/>
        <v>Bonos</v>
      </c>
      <c r="AD3198" s="5" t="s">
        <v>43</v>
      </c>
      <c r="AE3198" s="5">
        <f t="shared" si="152"/>
        <v>12</v>
      </c>
      <c r="AF3198" s="5">
        <f t="shared" si="153"/>
        <v>2028</v>
      </c>
    </row>
    <row r="3199" s="5" customFormat="1" ht="13">
      <c r="A3199" s="5">
        <v>12315</v>
      </c>
      <c r="B3199" s="5" t="s">
        <v>73</v>
      </c>
      <c r="C3199" s="5" t="s">
        <v>33</v>
      </c>
      <c r="D3199" s="5" t="s">
        <v>21</v>
      </c>
      <c r="E3199" s="5" t="s">
        <v>34</v>
      </c>
      <c r="F3199" s="5" t="s">
        <v>35</v>
      </c>
      <c r="G3199" s="5" t="s">
        <v>69</v>
      </c>
      <c r="H3199" s="9" t="s">
        <v>186</v>
      </c>
      <c r="I3199" s="10"/>
      <c r="J3199" s="10">
        <v>47093</v>
      </c>
      <c r="K3199" s="5" t="s">
        <v>39</v>
      </c>
      <c r="L3199" s="5" t="s">
        <v>50</v>
      </c>
      <c r="M3199" s="11">
        <v>0.044999999999999998</v>
      </c>
      <c r="N3199" s="5" t="e">
        <f>IF(AND(M3199&gt;#REF!,Cartera!O3199="Guaraníes"),"Rendimiento significativo",IF(AND(M3199&gt;#REF!,Cartera!O3199="Dólares americanos"),"Rendimiento significativo","Rendimiento no significativo"))</f>
        <v>#REF!</v>
      </c>
      <c r="O3199" s="5" t="s">
        <v>51</v>
      </c>
      <c r="P3199" s="13">
        <v>448.76711999999998</v>
      </c>
      <c r="Q3199" s="12" t="e">
        <f>IF(O3199="Guaraníes",P3199,P3199*#REF!)</f>
        <v>#REF!</v>
      </c>
      <c r="R3199" s="12">
        <f>IF(O3199="Guaraníes",P3199/#REF!,P3199)</f>
        <v>448.76711999999998</v>
      </c>
      <c r="S3199" s="5" t="s">
        <v>42</v>
      </c>
      <c r="T3199" s="5">
        <v>593</v>
      </c>
      <c r="W3199" s="5" t="s">
        <v>65</v>
      </c>
      <c r="X3199" s="5">
        <v>0</v>
      </c>
      <c r="Y3199" s="5">
        <v>0</v>
      </c>
      <c r="Z3199" s="5">
        <v>11.219177999999999</v>
      </c>
      <c r="AA3199" s="5">
        <v>40</v>
      </c>
      <c r="AB3199" s="5">
        <v>448.76711999999998</v>
      </c>
      <c r="AC3199" s="5" t="str">
        <f t="shared" si="154"/>
        <v>Bonos</v>
      </c>
      <c r="AD3199" s="5" t="s">
        <v>43</v>
      </c>
      <c r="AE3199" s="5">
        <f t="shared" si="152"/>
        <v>12</v>
      </c>
      <c r="AF3199" s="5">
        <f t="shared" si="153"/>
        <v>2028</v>
      </c>
    </row>
    <row r="3200" s="5" customFormat="1" ht="13">
      <c r="A3200" s="5">
        <v>12316</v>
      </c>
      <c r="B3200" s="5" t="s">
        <v>78</v>
      </c>
      <c r="C3200" s="5" t="s">
        <v>160</v>
      </c>
      <c r="D3200" s="5" t="s">
        <v>21</v>
      </c>
      <c r="E3200" s="5" t="s">
        <v>34</v>
      </c>
      <c r="F3200" s="5" t="s">
        <v>68</v>
      </c>
      <c r="G3200" s="5" t="s">
        <v>91</v>
      </c>
      <c r="H3200" s="9" t="s">
        <v>161</v>
      </c>
      <c r="I3200" s="10">
        <v>44581</v>
      </c>
      <c r="J3200" s="10">
        <v>47098</v>
      </c>
      <c r="K3200" s="5" t="s">
        <v>162</v>
      </c>
      <c r="L3200" s="5" t="s">
        <v>58</v>
      </c>
      <c r="M3200" s="11">
        <v>0.086999999999999994</v>
      </c>
      <c r="N3200" s="5" t="e">
        <f>IF(AND(M3200&gt;#REF!,Cartera!O3200="Guaraníes"),"Rendimiento significativo",IF(AND(M3200&gt;#REF!,Cartera!O3200="Dólares americanos"),"Rendimiento significativo","Rendimiento no significativo"))</f>
        <v>#REF!</v>
      </c>
      <c r="O3200" s="5" t="s">
        <v>41</v>
      </c>
      <c r="P3200" s="12">
        <v>17352328.767200001</v>
      </c>
      <c r="Q3200" s="12">
        <f>IF(O3200="Guaraníes",P3200,P3200*#REF!)</f>
        <v>17352328.767200001</v>
      </c>
      <c r="R3200" s="12" t="e">
        <f>IF(O3200="Guaraníes",P3200/#REF!,P3200)</f>
        <v>#REF!</v>
      </c>
      <c r="S3200" s="5" t="s">
        <v>42</v>
      </c>
      <c r="AC3200" s="5" t="str">
        <f t="shared" si="154"/>
        <v>Bonos</v>
      </c>
      <c r="AD3200" s="5" t="s">
        <v>43</v>
      </c>
      <c r="AE3200" s="5">
        <f t="shared" si="152"/>
        <v>12</v>
      </c>
      <c r="AF3200" s="5">
        <f t="shared" si="153"/>
        <v>2028</v>
      </c>
    </row>
    <row r="3201" s="5" customFormat="1" ht="13">
      <c r="A3201" s="5">
        <v>12316</v>
      </c>
      <c r="B3201" s="5" t="s">
        <v>78</v>
      </c>
      <c r="C3201" s="5" t="s">
        <v>54</v>
      </c>
      <c r="D3201" s="5" t="s">
        <v>21</v>
      </c>
      <c r="E3201" s="5" t="s">
        <v>34</v>
      </c>
      <c r="F3201" s="5" t="s">
        <v>46</v>
      </c>
      <c r="G3201" s="5" t="s">
        <v>86</v>
      </c>
      <c r="H3201" s="9" t="s">
        <v>147</v>
      </c>
      <c r="I3201" s="10"/>
      <c r="J3201" s="10">
        <v>47105</v>
      </c>
      <c r="K3201" s="5" t="s">
        <v>57</v>
      </c>
      <c r="L3201" s="5" t="s">
        <v>58</v>
      </c>
      <c r="M3201" s="11">
        <v>0.12</v>
      </c>
      <c r="N3201" s="5" t="e">
        <f>IF(AND(M3201&gt;#REF!,Cartera!O3201="Guaraníes"),"Rendimiento significativo",IF(AND(M3201&gt;#REF!,Cartera!O3201="Dólares americanos"),"Rendimiento significativo","Rendimiento no significativo"))</f>
        <v>#REF!</v>
      </c>
      <c r="O3201" s="5" t="s">
        <v>41</v>
      </c>
      <c r="P3201" s="12">
        <v>2991780.8218999999</v>
      </c>
      <c r="Q3201" s="12">
        <f>IF(O3201="Guaraníes",P3201,P3201*#REF!)</f>
        <v>2991780.8218999999</v>
      </c>
      <c r="R3201" s="12" t="e">
        <f>IF(O3201="Guaraníes",P3201/#REF!,P3201)</f>
        <v>#REF!</v>
      </c>
      <c r="S3201" s="5" t="s">
        <v>42</v>
      </c>
      <c r="T3201" s="5">
        <v>10834</v>
      </c>
      <c r="W3201" s="5" t="s">
        <v>65</v>
      </c>
      <c r="X3201" s="5">
        <v>0</v>
      </c>
      <c r="Y3201" s="5">
        <v>0</v>
      </c>
      <c r="Z3201" s="5">
        <v>29917.808218999999</v>
      </c>
      <c r="AA3201" s="5">
        <v>100</v>
      </c>
      <c r="AB3201" s="5">
        <v>2991780.8218999999</v>
      </c>
      <c r="AC3201" s="5" t="str">
        <f t="shared" si="154"/>
        <v>Bonos</v>
      </c>
      <c r="AD3201" s="5" t="s">
        <v>43</v>
      </c>
      <c r="AE3201" s="5">
        <f t="shared" si="152"/>
        <v>12</v>
      </c>
      <c r="AF3201" s="5">
        <f t="shared" si="153"/>
        <v>2028</v>
      </c>
    </row>
    <row r="3202" s="5" customFormat="1" ht="13">
      <c r="A3202" s="5">
        <v>12316</v>
      </c>
      <c r="B3202" s="5" t="s">
        <v>78</v>
      </c>
      <c r="C3202" s="5" t="s">
        <v>54</v>
      </c>
      <c r="D3202" s="5" t="s">
        <v>21</v>
      </c>
      <c r="E3202" s="5" t="s">
        <v>34</v>
      </c>
      <c r="F3202" s="5" t="s">
        <v>46</v>
      </c>
      <c r="G3202" s="5" t="s">
        <v>86</v>
      </c>
      <c r="H3202" s="9" t="s">
        <v>148</v>
      </c>
      <c r="I3202" s="10"/>
      <c r="J3202" s="10">
        <v>47105</v>
      </c>
      <c r="K3202" s="5" t="s">
        <v>57</v>
      </c>
      <c r="L3202" s="5" t="s">
        <v>58</v>
      </c>
      <c r="M3202" s="11">
        <v>0.097500000000000003</v>
      </c>
      <c r="N3202" s="5" t="e">
        <f>IF(AND(M3202&gt;#REF!,Cartera!O3202="Guaraníes"),"Rendimiento significativo",IF(AND(M3202&gt;#REF!,Cartera!O3202="Dólares americanos"),"Rendimiento significativo","Rendimiento no significativo"))</f>
        <v>#REF!</v>
      </c>
      <c r="O3202" s="5" t="s">
        <v>41</v>
      </c>
      <c r="P3202" s="12">
        <v>12154109.589</v>
      </c>
      <c r="Q3202" s="12">
        <f>IF(O3202="Guaraníes",P3202,P3202*#REF!)</f>
        <v>12154109.589</v>
      </c>
      <c r="R3202" s="12" t="e">
        <f>IF(O3202="Guaraníes",P3202/#REF!,P3202)</f>
        <v>#REF!</v>
      </c>
      <c r="S3202" s="5" t="s">
        <v>42</v>
      </c>
      <c r="T3202" s="5">
        <v>10834</v>
      </c>
      <c r="W3202" s="5" t="s">
        <v>65</v>
      </c>
      <c r="X3202" s="5">
        <v>0</v>
      </c>
      <c r="Y3202" s="5">
        <v>0</v>
      </c>
      <c r="Z3202" s="5">
        <v>24308.219177999999</v>
      </c>
      <c r="AA3202" s="5">
        <v>500</v>
      </c>
      <c r="AB3202" s="5">
        <v>12154109.589</v>
      </c>
      <c r="AC3202" s="5" t="str">
        <f t="shared" si="154"/>
        <v>Bonos</v>
      </c>
      <c r="AD3202" s="5" t="s">
        <v>43</v>
      </c>
      <c r="AE3202" s="5">
        <f t="shared" si="152"/>
        <v>12</v>
      </c>
      <c r="AF3202" s="5">
        <f t="shared" si="153"/>
        <v>2028</v>
      </c>
    </row>
    <row r="3203" s="5" customFormat="1" ht="13">
      <c r="A3203" s="5">
        <v>12316</v>
      </c>
      <c r="B3203" s="5" t="s">
        <v>78</v>
      </c>
      <c r="C3203" s="5" t="s">
        <v>54</v>
      </c>
      <c r="D3203" s="5" t="s">
        <v>21</v>
      </c>
      <c r="E3203" s="5" t="s">
        <v>34</v>
      </c>
      <c r="F3203" s="5" t="s">
        <v>46</v>
      </c>
      <c r="G3203" s="5" t="s">
        <v>75</v>
      </c>
      <c r="H3203" s="9" t="s">
        <v>147</v>
      </c>
      <c r="I3203" s="10"/>
      <c r="J3203" s="10">
        <v>47105</v>
      </c>
      <c r="K3203" s="5" t="s">
        <v>57</v>
      </c>
      <c r="L3203" s="5" t="s">
        <v>58</v>
      </c>
      <c r="M3203" s="11">
        <v>0.12</v>
      </c>
      <c r="N3203" s="5" t="e">
        <f>IF(AND(M3203&gt;#REF!,Cartera!O3203="Guaraníes"),"Rendimiento significativo",IF(AND(M3203&gt;#REF!,Cartera!O3203="Dólares americanos"),"Rendimiento significativo","Rendimiento no significativo"))</f>
        <v>#REF!</v>
      </c>
      <c r="O3203" s="5" t="s">
        <v>41</v>
      </c>
      <c r="P3203" s="12">
        <v>4487671.2328500003</v>
      </c>
      <c r="Q3203" s="12">
        <f>IF(O3203="Guaraníes",P3203,P3203*#REF!)</f>
        <v>4487671.2328500003</v>
      </c>
      <c r="R3203" s="12" t="e">
        <f>IF(O3203="Guaraníes",P3203/#REF!,P3203)</f>
        <v>#REF!</v>
      </c>
      <c r="S3203" s="5" t="s">
        <v>42</v>
      </c>
      <c r="T3203" s="5">
        <v>25</v>
      </c>
      <c r="W3203" s="5" t="s">
        <v>192</v>
      </c>
      <c r="X3203" s="5">
        <v>0</v>
      </c>
      <c r="Y3203" s="5">
        <v>0</v>
      </c>
      <c r="Z3203" s="5">
        <v>29917.808218999999</v>
      </c>
      <c r="AA3203" s="5">
        <v>150</v>
      </c>
      <c r="AB3203" s="5">
        <v>4487671.2328500003</v>
      </c>
      <c r="AC3203" s="5" t="str">
        <f t="shared" si="154"/>
        <v>Bonos</v>
      </c>
      <c r="AD3203" s="5" t="s">
        <v>43</v>
      </c>
      <c r="AE3203" s="5">
        <f t="shared" si="152"/>
        <v>12</v>
      </c>
      <c r="AF3203" s="5">
        <f t="shared" si="153"/>
        <v>2028</v>
      </c>
    </row>
    <row r="3204" s="5" customFormat="1" ht="13">
      <c r="A3204" s="5">
        <v>12316</v>
      </c>
      <c r="B3204" s="5" t="s">
        <v>78</v>
      </c>
      <c r="C3204" s="5" t="s">
        <v>138</v>
      </c>
      <c r="D3204" s="5" t="s">
        <v>21</v>
      </c>
      <c r="E3204" s="5" t="s">
        <v>34</v>
      </c>
      <c r="F3204" s="5" t="s">
        <v>68</v>
      </c>
      <c r="G3204" s="5" t="s">
        <v>86</v>
      </c>
      <c r="H3204" s="9" t="s">
        <v>193</v>
      </c>
      <c r="I3204" s="10">
        <v>44104</v>
      </c>
      <c r="J3204" s="10">
        <v>47106</v>
      </c>
      <c r="K3204" s="5" t="s">
        <v>140</v>
      </c>
      <c r="L3204" s="5" t="s">
        <v>58</v>
      </c>
      <c r="M3204" s="11">
        <v>0.10000000000000001</v>
      </c>
      <c r="N3204" s="5" t="e">
        <f>IF(AND(M3204&gt;#REF!,Cartera!O3204="Guaraníes"),"Rendimiento significativo",IF(AND(M3204&gt;#REF!,Cartera!O3204="Dólares americanos"),"Rendimiento significativo","Rendimiento no significativo"))</f>
        <v>#REF!</v>
      </c>
      <c r="O3204" s="5" t="s">
        <v>41</v>
      </c>
      <c r="P3204" s="12">
        <v>2493150.6849000002</v>
      </c>
      <c r="Q3204" s="12">
        <f>IF(O3204="Guaraníes",P3204,P3204*#REF!)</f>
        <v>2493150.6849000002</v>
      </c>
      <c r="R3204" s="12" t="e">
        <f>IF(O3204="Guaraníes",P3204/#REF!,P3204)</f>
        <v>#REF!</v>
      </c>
      <c r="S3204" s="5" t="s">
        <v>42</v>
      </c>
      <c r="AC3204" s="5" t="str">
        <f t="shared" si="154"/>
        <v>Bonos</v>
      </c>
      <c r="AD3204" s="5" t="s">
        <v>43</v>
      </c>
      <c r="AE3204" s="5">
        <f t="shared" si="152"/>
        <v>12</v>
      </c>
      <c r="AF3204" s="5">
        <f t="shared" si="153"/>
        <v>2028</v>
      </c>
    </row>
    <row r="3205" s="5" customFormat="1" ht="13">
      <c r="A3205" s="5">
        <v>12316</v>
      </c>
      <c r="B3205" s="5" t="s">
        <v>78</v>
      </c>
      <c r="C3205" s="5" t="s">
        <v>164</v>
      </c>
      <c r="D3205" s="5" t="s">
        <v>21</v>
      </c>
      <c r="E3205" s="5" t="s">
        <v>34</v>
      </c>
      <c r="F3205" s="5" t="s">
        <v>68</v>
      </c>
      <c r="G3205" s="5" t="s">
        <v>145</v>
      </c>
      <c r="H3205" s="9" t="s">
        <v>165</v>
      </c>
      <c r="I3205" s="10"/>
      <c r="J3205" s="10">
        <v>47116</v>
      </c>
      <c r="K3205" s="5" t="s">
        <v>124</v>
      </c>
      <c r="L3205" s="5" t="s">
        <v>58</v>
      </c>
      <c r="M3205" s="11">
        <v>0.10000000000000001</v>
      </c>
      <c r="N3205" s="5" t="e">
        <f>IF(AND(M3205&gt;#REF!,Cartera!O3205="Guaraníes"),"Rendimiento significativo",IF(AND(M3205&gt;#REF!,Cartera!O3205="Dólares americanos"),"Rendimiento significativo","Rendimiento no significativo"))</f>
        <v>#REF!</v>
      </c>
      <c r="O3205" s="5" t="s">
        <v>41</v>
      </c>
      <c r="P3205" s="12">
        <v>3178082.1916</v>
      </c>
      <c r="Q3205" s="12">
        <f>IF(O3205="Guaraníes",P3205,P3205*#REF!)</f>
        <v>3178082.1916</v>
      </c>
      <c r="R3205" s="12" t="e">
        <f>IF(O3205="Guaraníes",P3205/#REF!,P3205)</f>
        <v>#REF!</v>
      </c>
      <c r="S3205" s="5" t="s">
        <v>42</v>
      </c>
      <c r="T3205" s="5">
        <v>1057</v>
      </c>
      <c r="W3205" s="5" t="s">
        <v>65</v>
      </c>
      <c r="X3205" s="5">
        <v>0</v>
      </c>
      <c r="Y3205" s="5">
        <v>0</v>
      </c>
      <c r="Z3205" s="5">
        <v>7945.2054790000002</v>
      </c>
      <c r="AA3205" s="5">
        <v>400</v>
      </c>
      <c r="AB3205" s="5">
        <v>3178082.1916</v>
      </c>
      <c r="AC3205" s="5" t="str">
        <f t="shared" si="154"/>
        <v>Bonos</v>
      </c>
      <c r="AD3205" s="5" t="s">
        <v>43</v>
      </c>
      <c r="AE3205" s="5">
        <f t="shared" si="152"/>
        <v>12</v>
      </c>
      <c r="AF3205" s="5">
        <f t="shared" si="153"/>
        <v>2028</v>
      </c>
    </row>
    <row r="3206" s="5" customFormat="1" ht="13">
      <c r="A3206" s="5">
        <v>12316</v>
      </c>
      <c r="B3206" s="5" t="s">
        <v>78</v>
      </c>
      <c r="C3206" s="5" t="s">
        <v>164</v>
      </c>
      <c r="D3206" s="5" t="s">
        <v>21</v>
      </c>
      <c r="E3206" s="5" t="s">
        <v>34</v>
      </c>
      <c r="F3206" s="5" t="s">
        <v>68</v>
      </c>
      <c r="G3206" s="5" t="s">
        <v>141</v>
      </c>
      <c r="H3206" s="9" t="s">
        <v>165</v>
      </c>
      <c r="I3206" s="10"/>
      <c r="J3206" s="10">
        <v>47116</v>
      </c>
      <c r="K3206" s="5" t="s">
        <v>124</v>
      </c>
      <c r="L3206" s="5" t="s">
        <v>58</v>
      </c>
      <c r="M3206" s="11">
        <v>0.10000000000000001</v>
      </c>
      <c r="N3206" s="5" t="e">
        <f>IF(AND(M3206&gt;#REF!,Cartera!O3206="Guaraníes"),"Rendimiento significativo",IF(AND(M3206&gt;#REF!,Cartera!O3206="Dólares americanos"),"Rendimiento significativo","Rendimiento no significativo"))</f>
        <v>#REF!</v>
      </c>
      <c r="O3206" s="5" t="s">
        <v>41</v>
      </c>
      <c r="P3206" s="12">
        <v>794520.54790000001</v>
      </c>
      <c r="Q3206" s="12">
        <f>IF(O3206="Guaraníes",P3206,P3206*#REF!)</f>
        <v>794520.54790000001</v>
      </c>
      <c r="R3206" s="12" t="e">
        <f>IF(O3206="Guaraníes",P3206/#REF!,P3206)</f>
        <v>#REF!</v>
      </c>
      <c r="S3206" s="5" t="s">
        <v>42</v>
      </c>
      <c r="T3206" s="5">
        <v>9243</v>
      </c>
      <c r="W3206" s="5" t="s">
        <v>65</v>
      </c>
      <c r="X3206" s="5">
        <v>0</v>
      </c>
      <c r="Y3206" s="5">
        <v>0</v>
      </c>
      <c r="Z3206" s="5">
        <v>7945.2054790000002</v>
      </c>
      <c r="AA3206" s="5">
        <v>100</v>
      </c>
      <c r="AB3206" s="5">
        <v>794520.54790000001</v>
      </c>
      <c r="AC3206" s="5" t="str">
        <f t="shared" si="154"/>
        <v>Bonos</v>
      </c>
      <c r="AD3206" s="5" t="s">
        <v>43</v>
      </c>
      <c r="AE3206" s="5">
        <f t="shared" si="152"/>
        <v>12</v>
      </c>
      <c r="AF3206" s="5">
        <f t="shared" si="153"/>
        <v>2028</v>
      </c>
    </row>
    <row r="3207" s="5" customFormat="1" ht="13">
      <c r="A3207" s="5">
        <v>12315</v>
      </c>
      <c r="B3207" s="5" t="s">
        <v>73</v>
      </c>
      <c r="C3207" s="5" t="s">
        <v>74</v>
      </c>
      <c r="D3207" s="5" t="s">
        <v>21</v>
      </c>
      <c r="E3207" s="5" t="s">
        <v>34</v>
      </c>
      <c r="F3207" s="5" t="s">
        <v>68</v>
      </c>
      <c r="G3207" s="5" t="s">
        <v>75</v>
      </c>
      <c r="H3207" s="9" t="s">
        <v>76</v>
      </c>
      <c r="I3207" s="10"/>
      <c r="J3207" s="10">
        <v>47120</v>
      </c>
      <c r="K3207" s="5" t="s">
        <v>77</v>
      </c>
      <c r="L3207" s="5" t="s">
        <v>50</v>
      </c>
      <c r="M3207" s="11">
        <v>0.055</v>
      </c>
      <c r="N3207" s="5" t="e">
        <f>IF(AND(M3207&gt;#REF!,Cartera!O3207="Guaraníes"),"Rendimiento significativo",IF(AND(M3207&gt;#REF!,Cartera!O3207="Dólares americanos"),"Rendimiento significativo","Rendimiento no significativo"))</f>
        <v>#REF!</v>
      </c>
      <c r="O3207" s="5" t="s">
        <v>51</v>
      </c>
      <c r="P3207" s="13">
        <v>415.89042000000001</v>
      </c>
      <c r="Q3207" s="12" t="e">
        <f>IF(O3207="Guaraníes",P3207,P3207*#REF!)</f>
        <v>#REF!</v>
      </c>
      <c r="R3207" s="12">
        <f>IF(O3207="Guaraníes",P3207/#REF!,P3207)</f>
        <v>415.89042000000001</v>
      </c>
      <c r="S3207" s="5" t="s">
        <v>42</v>
      </c>
      <c r="T3207" s="5">
        <v>25</v>
      </c>
      <c r="W3207" s="5" t="s">
        <v>65</v>
      </c>
      <c r="X3207" s="5">
        <v>0</v>
      </c>
      <c r="Y3207" s="5">
        <v>0</v>
      </c>
      <c r="Z3207" s="5">
        <v>13.863014</v>
      </c>
      <c r="AA3207" s="5">
        <v>30</v>
      </c>
      <c r="AB3207" s="5">
        <v>415.88999999999999</v>
      </c>
      <c r="AC3207" s="5" t="str">
        <f t="shared" si="154"/>
        <v>Bonos</v>
      </c>
      <c r="AD3207" s="5" t="s">
        <v>43</v>
      </c>
      <c r="AE3207" s="5">
        <f t="shared" si="152"/>
        <v>1</v>
      </c>
      <c r="AF3207" s="5">
        <f t="shared" si="153"/>
        <v>2029</v>
      </c>
    </row>
    <row r="3208" s="5" customFormat="1" ht="13">
      <c r="A3208" s="5">
        <v>12316</v>
      </c>
      <c r="B3208" s="5" t="s">
        <v>78</v>
      </c>
      <c r="C3208" s="5" t="s">
        <v>138</v>
      </c>
      <c r="D3208" s="5" t="s">
        <v>21</v>
      </c>
      <c r="E3208" s="5" t="s">
        <v>34</v>
      </c>
      <c r="F3208" s="5" t="s">
        <v>68</v>
      </c>
      <c r="G3208" s="5" t="s">
        <v>86</v>
      </c>
      <c r="H3208" s="9" t="s">
        <v>139</v>
      </c>
      <c r="I3208" s="10">
        <v>43948</v>
      </c>
      <c r="J3208" s="10">
        <v>47120</v>
      </c>
      <c r="K3208" s="5" t="s">
        <v>140</v>
      </c>
      <c r="L3208" s="5" t="s">
        <v>58</v>
      </c>
      <c r="M3208" s="11">
        <v>0.11</v>
      </c>
      <c r="N3208" s="5" t="e">
        <f>IF(AND(M3208&gt;#REF!,Cartera!O3208="Guaraníes"),"Rendimiento significativo",IF(AND(M3208&gt;#REF!,Cartera!O3208="Dólares americanos"),"Rendimiento significativo","Rendimiento no significativo"))</f>
        <v>#REF!</v>
      </c>
      <c r="O3208" s="5" t="s">
        <v>41</v>
      </c>
      <c r="P3208" s="12">
        <v>637502.30089999991</v>
      </c>
      <c r="Q3208" s="12">
        <f>IF(O3208="Guaraníes",P3208,P3208*#REF!)</f>
        <v>637502.30089999991</v>
      </c>
      <c r="R3208" s="12" t="e">
        <f>IF(O3208="Guaraníes",P3208/#REF!,P3208)</f>
        <v>#REF!</v>
      </c>
      <c r="S3208" s="5" t="s">
        <v>42</v>
      </c>
      <c r="AC3208" s="5" t="str">
        <f t="shared" si="154"/>
        <v>Bonos</v>
      </c>
      <c r="AD3208" s="5" t="s">
        <v>43</v>
      </c>
      <c r="AE3208" s="5">
        <f t="shared" si="152"/>
        <v>1</v>
      </c>
      <c r="AF3208" s="5">
        <f t="shared" si="153"/>
        <v>2029</v>
      </c>
    </row>
    <row r="3209" s="5" customFormat="1" ht="13">
      <c r="A3209" s="5">
        <v>12315</v>
      </c>
      <c r="B3209" s="5" t="s">
        <v>73</v>
      </c>
      <c r="C3209" s="5" t="s">
        <v>85</v>
      </c>
      <c r="D3209" s="5" t="s">
        <v>21</v>
      </c>
      <c r="E3209" s="5" t="s">
        <v>34</v>
      </c>
      <c r="F3209" s="5" t="s">
        <v>68</v>
      </c>
      <c r="G3209" s="5" t="s">
        <v>86</v>
      </c>
      <c r="H3209" s="9" t="s">
        <v>87</v>
      </c>
      <c r="I3209" s="10"/>
      <c r="J3209" s="10">
        <v>47129</v>
      </c>
      <c r="K3209" s="5" t="s">
        <v>39</v>
      </c>
      <c r="L3209" s="5" t="s">
        <v>58</v>
      </c>
      <c r="M3209" s="11">
        <v>0.059999999999999998</v>
      </c>
      <c r="N3209" s="5" t="e">
        <f>IF(AND(M3209&gt;#REF!,Cartera!O3209="Guaraníes"),"Rendimiento significativo",IF(AND(M3209&gt;#REF!,Cartera!O3209="Dólares americanos"),"Rendimiento significativo","Rendimiento no significativo"))</f>
        <v>#REF!</v>
      </c>
      <c r="O3209" s="5" t="s">
        <v>51</v>
      </c>
      <c r="P3209" s="13">
        <v>747.9452</v>
      </c>
      <c r="Q3209" s="12" t="e">
        <f>IF(O3209="Guaraníes",P3209,P3209*#REF!)</f>
        <v>#REF!</v>
      </c>
      <c r="R3209" s="12">
        <f>IF(O3209="Guaraníes",P3209/#REF!,P3209)</f>
        <v>747.9452</v>
      </c>
      <c r="S3209" s="5" t="s">
        <v>42</v>
      </c>
      <c r="T3209" s="5">
        <v>10834</v>
      </c>
      <c r="W3209" s="5" t="s">
        <v>717</v>
      </c>
      <c r="Y3209" s="5">
        <v>0</v>
      </c>
      <c r="Z3209" s="5">
        <v>14.958904</v>
      </c>
      <c r="AA3209" s="5">
        <v>50</v>
      </c>
      <c r="AB3209" s="5">
        <v>747.9452</v>
      </c>
      <c r="AC3209" s="5" t="str">
        <f t="shared" si="154"/>
        <v>Bonos</v>
      </c>
      <c r="AD3209" s="5" t="s">
        <v>43</v>
      </c>
      <c r="AE3209" s="5">
        <f t="shared" si="152"/>
        <v>1</v>
      </c>
      <c r="AF3209" s="5">
        <f t="shared" si="153"/>
        <v>2029</v>
      </c>
    </row>
    <row r="3210" s="5" customFormat="1" ht="13">
      <c r="A3210" s="5">
        <v>12315</v>
      </c>
      <c r="B3210" s="5" t="s">
        <v>73</v>
      </c>
      <c r="C3210" s="5" t="s">
        <v>33</v>
      </c>
      <c r="D3210" s="5" t="s">
        <v>21</v>
      </c>
      <c r="E3210" s="5" t="s">
        <v>34</v>
      </c>
      <c r="F3210" s="5" t="s">
        <v>35</v>
      </c>
      <c r="G3210" s="5" t="s">
        <v>141</v>
      </c>
      <c r="H3210" s="9" t="s">
        <v>142</v>
      </c>
      <c r="I3210" s="10">
        <v>44956</v>
      </c>
      <c r="J3210" s="10">
        <v>47141</v>
      </c>
      <c r="K3210" s="5" t="s">
        <v>39</v>
      </c>
      <c r="L3210" s="5" t="s">
        <v>50</v>
      </c>
      <c r="M3210" s="11">
        <v>0.065000000000000002</v>
      </c>
      <c r="N3210" s="5" t="e">
        <f>IF(AND(M3210&gt;#REF!,Cartera!O3210="Guaraníes"),"Rendimiento significativo",IF(AND(M3210&gt;#REF!,Cartera!O3210="Dólares americanos"),"Rendimiento significativo","Rendimiento no significativo"))</f>
        <v>#REF!</v>
      </c>
      <c r="O3210" s="5" t="s">
        <v>51</v>
      </c>
      <c r="P3210" s="13">
        <v>1296.43832</v>
      </c>
      <c r="Q3210" s="12" t="e">
        <f>IF(O3210="Guaraníes",P3210,P3210*#REF!)</f>
        <v>#REF!</v>
      </c>
      <c r="R3210" s="12">
        <f>IF(O3210="Guaraníes",P3210/#REF!,P3210)</f>
        <v>1296.43832</v>
      </c>
      <c r="S3210" s="5" t="s">
        <v>42</v>
      </c>
      <c r="AC3210" s="5" t="str">
        <f t="shared" si="154"/>
        <v>Bonos</v>
      </c>
      <c r="AD3210" s="5" t="s">
        <v>43</v>
      </c>
      <c r="AE3210" s="5">
        <f t="shared" si="152"/>
        <v>1</v>
      </c>
      <c r="AF3210" s="5">
        <f t="shared" si="153"/>
        <v>2029</v>
      </c>
    </row>
    <row r="3211" s="5" customFormat="1" ht="13">
      <c r="A3211" s="5">
        <v>12316</v>
      </c>
      <c r="B3211" s="5" t="s">
        <v>78</v>
      </c>
      <c r="C3211" s="5" t="s">
        <v>164</v>
      </c>
      <c r="D3211" s="5" t="s">
        <v>21</v>
      </c>
      <c r="E3211" s="5" t="s">
        <v>34</v>
      </c>
      <c r="F3211" s="5" t="s">
        <v>68</v>
      </c>
      <c r="G3211" s="5" t="s">
        <v>145</v>
      </c>
      <c r="H3211" s="9" t="s">
        <v>165</v>
      </c>
      <c r="I3211" s="10"/>
      <c r="J3211" s="10">
        <v>47149</v>
      </c>
      <c r="K3211" s="5" t="s">
        <v>124</v>
      </c>
      <c r="L3211" s="5" t="s">
        <v>58</v>
      </c>
      <c r="M3211" s="11">
        <v>0.10000000000000001</v>
      </c>
      <c r="N3211" s="5" t="e">
        <f>IF(AND(M3211&gt;#REF!,Cartera!O3211="Guaraníes"),"Rendimiento significativo",IF(AND(M3211&gt;#REF!,Cartera!O3211="Dólares americanos"),"Rendimiento significativo","Rendimiento no significativo"))</f>
        <v>#REF!</v>
      </c>
      <c r="O3211" s="5" t="s">
        <v>41</v>
      </c>
      <c r="P3211" s="12">
        <v>3616438.3560000001</v>
      </c>
      <c r="Q3211" s="12">
        <f>IF(O3211="Guaraníes",P3211,P3211*#REF!)</f>
        <v>3616438.3560000001</v>
      </c>
      <c r="R3211" s="12" t="e">
        <f>IF(O3211="Guaraníes",P3211/#REF!,P3211)</f>
        <v>#REF!</v>
      </c>
      <c r="S3211" s="5" t="s">
        <v>42</v>
      </c>
      <c r="T3211" s="5">
        <v>1057</v>
      </c>
      <c r="W3211" s="5" t="s">
        <v>65</v>
      </c>
      <c r="X3211" s="5">
        <v>0</v>
      </c>
      <c r="Y3211" s="5">
        <v>0</v>
      </c>
      <c r="Z3211" s="5">
        <v>9041.0958900000005</v>
      </c>
      <c r="AA3211" s="5">
        <v>400</v>
      </c>
      <c r="AB3211" s="5">
        <v>3616438.3560000001</v>
      </c>
      <c r="AC3211" s="5" t="str">
        <f t="shared" si="154"/>
        <v>Bonos</v>
      </c>
      <c r="AD3211" s="5" t="s">
        <v>43</v>
      </c>
      <c r="AE3211" s="5">
        <f t="shared" si="152"/>
        <v>1</v>
      </c>
      <c r="AF3211" s="5">
        <f t="shared" si="153"/>
        <v>2029</v>
      </c>
    </row>
    <row r="3212" s="5" customFormat="1" ht="13">
      <c r="A3212" s="5">
        <v>12316</v>
      </c>
      <c r="B3212" s="5" t="s">
        <v>78</v>
      </c>
      <c r="C3212" s="5" t="s">
        <v>164</v>
      </c>
      <c r="D3212" s="5" t="s">
        <v>21</v>
      </c>
      <c r="E3212" s="5" t="s">
        <v>34</v>
      </c>
      <c r="F3212" s="5" t="s">
        <v>68</v>
      </c>
      <c r="G3212" s="5" t="s">
        <v>141</v>
      </c>
      <c r="H3212" s="9" t="s">
        <v>165</v>
      </c>
      <c r="I3212" s="10"/>
      <c r="J3212" s="10">
        <v>47149</v>
      </c>
      <c r="K3212" s="5" t="s">
        <v>124</v>
      </c>
      <c r="L3212" s="5" t="s">
        <v>58</v>
      </c>
      <c r="M3212" s="11">
        <v>0.10000000000000001</v>
      </c>
      <c r="N3212" s="5" t="e">
        <f>IF(AND(M3212&gt;#REF!,Cartera!O3212="Guaraníes"),"Rendimiento significativo",IF(AND(M3212&gt;#REF!,Cartera!O3212="Dólares americanos"),"Rendimiento significativo","Rendimiento no significativo"))</f>
        <v>#REF!</v>
      </c>
      <c r="O3212" s="5" t="s">
        <v>41</v>
      </c>
      <c r="P3212" s="12">
        <v>904109.58900000004</v>
      </c>
      <c r="Q3212" s="12">
        <f>IF(O3212="Guaraníes",P3212,P3212*#REF!)</f>
        <v>904109.58900000004</v>
      </c>
      <c r="R3212" s="12" t="e">
        <f>IF(O3212="Guaraníes",P3212/#REF!,P3212)</f>
        <v>#REF!</v>
      </c>
      <c r="S3212" s="5" t="s">
        <v>42</v>
      </c>
      <c r="T3212" s="5">
        <v>9243</v>
      </c>
      <c r="W3212" s="5" t="s">
        <v>65</v>
      </c>
      <c r="X3212" s="5">
        <v>0</v>
      </c>
      <c r="Y3212" s="5">
        <v>0</v>
      </c>
      <c r="Z3212" s="5">
        <v>9041.0958900000005</v>
      </c>
      <c r="AA3212" s="5">
        <v>100</v>
      </c>
      <c r="AB3212" s="5">
        <v>904109.58900000004</v>
      </c>
      <c r="AC3212" s="5" t="str">
        <f t="shared" si="154"/>
        <v>Bonos</v>
      </c>
      <c r="AD3212" s="5" t="s">
        <v>43</v>
      </c>
      <c r="AE3212" s="5">
        <f t="shared" si="152"/>
        <v>1</v>
      </c>
      <c r="AF3212" s="5">
        <f t="shared" si="153"/>
        <v>2029</v>
      </c>
    </row>
    <row r="3213" s="5" customFormat="1" ht="13">
      <c r="A3213" s="5">
        <v>12316</v>
      </c>
      <c r="B3213" s="5" t="s">
        <v>78</v>
      </c>
      <c r="C3213" s="5" t="s">
        <v>138</v>
      </c>
      <c r="D3213" s="5" t="s">
        <v>21</v>
      </c>
      <c r="E3213" s="5" t="s">
        <v>34</v>
      </c>
      <c r="F3213" s="5" t="s">
        <v>68</v>
      </c>
      <c r="G3213" s="5" t="s">
        <v>86</v>
      </c>
      <c r="H3213" s="9" t="s">
        <v>139</v>
      </c>
      <c r="I3213" s="10">
        <v>43948</v>
      </c>
      <c r="J3213" s="10">
        <v>47150</v>
      </c>
      <c r="K3213" s="5" t="s">
        <v>140</v>
      </c>
      <c r="L3213" s="5" t="s">
        <v>58</v>
      </c>
      <c r="M3213" s="11">
        <v>0.11</v>
      </c>
      <c r="N3213" s="5" t="e">
        <f>IF(AND(M3213&gt;#REF!,Cartera!O3213="Guaraníes"),"Rendimiento significativo",IF(AND(M3213&gt;#REF!,Cartera!O3213="Dólares americanos"),"Rendimiento significativo","Rendimiento no significativo"))</f>
        <v>#REF!</v>
      </c>
      <c r="O3213" s="5" t="s">
        <v>41</v>
      </c>
      <c r="P3213" s="12">
        <v>585928.049</v>
      </c>
      <c r="Q3213" s="12">
        <f>IF(O3213="Guaraníes",P3213,P3213*#REF!)</f>
        <v>585928.049</v>
      </c>
      <c r="R3213" s="12" t="e">
        <f>IF(O3213="Guaraníes",P3213/#REF!,P3213)</f>
        <v>#REF!</v>
      </c>
      <c r="S3213" s="5" t="s">
        <v>42</v>
      </c>
      <c r="AC3213" s="5" t="str">
        <f t="shared" si="154"/>
        <v>Bonos</v>
      </c>
      <c r="AD3213" s="5" t="s">
        <v>43</v>
      </c>
      <c r="AE3213" s="5">
        <f t="shared" si="152"/>
        <v>2</v>
      </c>
      <c r="AF3213" s="5">
        <f t="shared" si="153"/>
        <v>2029</v>
      </c>
    </row>
    <row r="3214" s="5" customFormat="1" ht="13">
      <c r="A3214" s="5">
        <v>12316</v>
      </c>
      <c r="B3214" s="5" t="s">
        <v>78</v>
      </c>
      <c r="C3214" s="5" t="s">
        <v>99</v>
      </c>
      <c r="D3214" s="5" t="s">
        <v>21</v>
      </c>
      <c r="E3214" s="5" t="s">
        <v>34</v>
      </c>
      <c r="F3214" s="5" t="s">
        <v>100</v>
      </c>
      <c r="G3214" s="5" t="s">
        <v>91</v>
      </c>
      <c r="H3214" s="9" t="s">
        <v>174</v>
      </c>
      <c r="I3214" s="10">
        <v>44971</v>
      </c>
      <c r="J3214" s="10">
        <v>47164</v>
      </c>
      <c r="K3214" s="5" t="s">
        <v>102</v>
      </c>
      <c r="L3214" s="5" t="s">
        <v>102</v>
      </c>
      <c r="M3214" s="11">
        <v>0.090300000000000005</v>
      </c>
      <c r="N3214" s="5" t="e">
        <f>IF(AND(M3214&gt;#REF!,Cartera!O3214="Guaraníes"),"Rendimiento significativo",IF(AND(M3214&gt;#REF!,Cartera!O3214="Dólares americanos"),"Rendimiento significativo","Rendimiento no significativo"))</f>
        <v>#REF!</v>
      </c>
      <c r="O3214" s="5" t="s">
        <v>41</v>
      </c>
      <c r="P3214" s="12">
        <v>20407800</v>
      </c>
      <c r="Q3214" s="12">
        <f>IF(O3214="Guaraníes",P3214,P3214*#REF!)</f>
        <v>20407800</v>
      </c>
      <c r="R3214" s="12" t="e">
        <f>IF(O3214="Guaraníes",P3214/#REF!,P3214)</f>
        <v>#REF!</v>
      </c>
      <c r="S3214" s="5" t="s">
        <v>42</v>
      </c>
      <c r="AC3214" s="5" t="str">
        <f t="shared" si="154"/>
        <v>Bonos</v>
      </c>
      <c r="AD3214" s="5" t="s">
        <v>43</v>
      </c>
      <c r="AE3214" s="5">
        <f t="shared" si="152"/>
        <v>2</v>
      </c>
      <c r="AF3214" s="5">
        <f t="shared" si="153"/>
        <v>2029</v>
      </c>
    </row>
    <row r="3215" s="5" customFormat="1" ht="13">
      <c r="A3215" s="5">
        <v>12316</v>
      </c>
      <c r="B3215" s="5" t="s">
        <v>78</v>
      </c>
      <c r="C3215" s="5" t="s">
        <v>164</v>
      </c>
      <c r="D3215" s="5" t="s">
        <v>21</v>
      </c>
      <c r="E3215" s="5" t="s">
        <v>34</v>
      </c>
      <c r="F3215" s="5" t="s">
        <v>68</v>
      </c>
      <c r="G3215" s="5" t="s">
        <v>145</v>
      </c>
      <c r="H3215" s="9" t="s">
        <v>165</v>
      </c>
      <c r="I3215" s="10"/>
      <c r="J3215" s="10">
        <v>47177</v>
      </c>
      <c r="K3215" s="5" t="s">
        <v>124</v>
      </c>
      <c r="L3215" s="5" t="s">
        <v>58</v>
      </c>
      <c r="M3215" s="11">
        <v>0.10000000000000001</v>
      </c>
      <c r="N3215" s="5" t="e">
        <f>IF(AND(M3215&gt;#REF!,Cartera!O3215="Guaraníes"),"Rendimiento significativo",IF(AND(M3215&gt;#REF!,Cartera!O3215="Dólares americanos"),"Rendimiento significativo","Rendimiento no significativo"))</f>
        <v>#REF!</v>
      </c>
      <c r="O3215" s="5" t="s">
        <v>41</v>
      </c>
      <c r="P3215" s="12">
        <v>3068493.1507999999</v>
      </c>
      <c r="Q3215" s="12">
        <f>IF(O3215="Guaraníes",P3215,P3215*#REF!)</f>
        <v>3068493.1507999999</v>
      </c>
      <c r="R3215" s="12" t="e">
        <f>IF(O3215="Guaraníes",P3215/#REF!,P3215)</f>
        <v>#REF!</v>
      </c>
      <c r="S3215" s="5" t="s">
        <v>42</v>
      </c>
      <c r="T3215" s="5">
        <v>1057</v>
      </c>
      <c r="W3215" s="5" t="s">
        <v>65</v>
      </c>
      <c r="X3215" s="5">
        <v>0</v>
      </c>
      <c r="Y3215" s="5">
        <v>0</v>
      </c>
      <c r="Z3215" s="5">
        <v>7671.2328770000004</v>
      </c>
      <c r="AA3215" s="5">
        <v>400</v>
      </c>
      <c r="AB3215" s="5">
        <v>3068493.1507999999</v>
      </c>
      <c r="AC3215" s="5" t="str">
        <f t="shared" si="154"/>
        <v>Bonos</v>
      </c>
      <c r="AD3215" s="5" t="s">
        <v>43</v>
      </c>
      <c r="AE3215" s="5">
        <f t="shared" si="152"/>
        <v>2</v>
      </c>
      <c r="AF3215" s="5">
        <f t="shared" si="153"/>
        <v>2029</v>
      </c>
    </row>
    <row r="3216" s="5" customFormat="1" ht="13">
      <c r="A3216" s="5">
        <v>12316</v>
      </c>
      <c r="B3216" s="5" t="s">
        <v>78</v>
      </c>
      <c r="C3216" s="5" t="s">
        <v>164</v>
      </c>
      <c r="D3216" s="5" t="s">
        <v>21</v>
      </c>
      <c r="E3216" s="5" t="s">
        <v>34</v>
      </c>
      <c r="F3216" s="5" t="s">
        <v>68</v>
      </c>
      <c r="G3216" s="5" t="s">
        <v>141</v>
      </c>
      <c r="H3216" s="9" t="s">
        <v>165</v>
      </c>
      <c r="I3216" s="10"/>
      <c r="J3216" s="10">
        <v>47177</v>
      </c>
      <c r="K3216" s="5" t="s">
        <v>124</v>
      </c>
      <c r="L3216" s="5" t="s">
        <v>58</v>
      </c>
      <c r="M3216" s="11">
        <v>0.10000000000000001</v>
      </c>
      <c r="N3216" s="5" t="e">
        <f>IF(AND(M3216&gt;#REF!,Cartera!O3216="Guaraníes"),"Rendimiento significativo",IF(AND(M3216&gt;#REF!,Cartera!O3216="Dólares americanos"),"Rendimiento significativo","Rendimiento no significativo"))</f>
        <v>#REF!</v>
      </c>
      <c r="O3216" s="5" t="s">
        <v>41</v>
      </c>
      <c r="P3216" s="12">
        <v>767123.28769999999</v>
      </c>
      <c r="Q3216" s="12">
        <f>IF(O3216="Guaraníes",P3216,P3216*#REF!)</f>
        <v>767123.28769999999</v>
      </c>
      <c r="R3216" s="12" t="e">
        <f>IF(O3216="Guaraníes",P3216/#REF!,P3216)</f>
        <v>#REF!</v>
      </c>
      <c r="S3216" s="5" t="s">
        <v>42</v>
      </c>
      <c r="T3216" s="5">
        <v>9243</v>
      </c>
      <c r="W3216" s="5" t="s">
        <v>65</v>
      </c>
      <c r="X3216" s="5">
        <v>0</v>
      </c>
      <c r="Y3216" s="5">
        <v>0</v>
      </c>
      <c r="Z3216" s="5">
        <v>7671.2328770000004</v>
      </c>
      <c r="AA3216" s="5">
        <v>100</v>
      </c>
      <c r="AB3216" s="5">
        <v>767123.28769999999</v>
      </c>
      <c r="AC3216" s="5" t="str">
        <f t="shared" si="154"/>
        <v>Bonos</v>
      </c>
      <c r="AD3216" s="5" t="s">
        <v>43</v>
      </c>
      <c r="AE3216" s="5">
        <f t="shared" si="152"/>
        <v>2</v>
      </c>
      <c r="AF3216" s="5">
        <f t="shared" si="153"/>
        <v>2029</v>
      </c>
    </row>
    <row r="3217" s="5" customFormat="1" ht="13">
      <c r="A3217" s="5">
        <v>12316</v>
      </c>
      <c r="B3217" s="5" t="s">
        <v>78</v>
      </c>
      <c r="C3217" s="5" t="s">
        <v>99</v>
      </c>
      <c r="D3217" s="5" t="s">
        <v>21</v>
      </c>
      <c r="E3217" s="5" t="s">
        <v>34</v>
      </c>
      <c r="F3217" s="5" t="s">
        <v>100</v>
      </c>
      <c r="G3217" s="5" t="s">
        <v>86</v>
      </c>
      <c r="H3217" s="9" t="s">
        <v>155</v>
      </c>
      <c r="I3217" s="10"/>
      <c r="J3217" s="10">
        <v>47180</v>
      </c>
      <c r="K3217" s="5" t="s">
        <v>102</v>
      </c>
      <c r="L3217" s="5" t="s">
        <v>102</v>
      </c>
      <c r="M3217" s="11">
        <v>0.081000000000000003</v>
      </c>
      <c r="N3217" s="5" t="e">
        <f>IF(AND(M3217&gt;#REF!,Cartera!O3217="Guaraníes"),"Rendimiento significativo",IF(AND(M3217&gt;#REF!,Cartera!O3217="Dólares americanos"),"Rendimiento significativo","Rendimiento no significativo"))</f>
        <v>#REF!</v>
      </c>
      <c r="O3217" s="5" t="s">
        <v>41</v>
      </c>
      <c r="P3217" s="12">
        <v>28000000</v>
      </c>
      <c r="Q3217" s="12">
        <f>IF(O3217="Guaraníes",P3217,P3217*#REF!)</f>
        <v>28000000</v>
      </c>
      <c r="R3217" s="12" t="e">
        <f>IF(O3217="Guaraníes",P3217/#REF!,P3217)</f>
        <v>#REF!</v>
      </c>
      <c r="S3217" s="5" t="s">
        <v>42</v>
      </c>
      <c r="T3217" s="5">
        <v>10834</v>
      </c>
      <c r="W3217" s="5" t="s">
        <v>65</v>
      </c>
      <c r="X3217" s="5">
        <v>0</v>
      </c>
      <c r="Y3217" s="5">
        <v>0</v>
      </c>
      <c r="Z3217" s="5">
        <v>40000</v>
      </c>
      <c r="AA3217" s="5">
        <v>700</v>
      </c>
      <c r="AB3217" s="5">
        <v>28000000</v>
      </c>
      <c r="AC3217" s="5" t="str">
        <f t="shared" si="154"/>
        <v>Bonos</v>
      </c>
      <c r="AD3217" s="5" t="s">
        <v>43</v>
      </c>
      <c r="AE3217" s="5">
        <f t="shared" si="152"/>
        <v>3</v>
      </c>
      <c r="AF3217" s="5">
        <f t="shared" si="153"/>
        <v>2029</v>
      </c>
    </row>
    <row r="3218" s="5" customFormat="1" ht="13">
      <c r="A3218" s="5">
        <v>12316</v>
      </c>
      <c r="B3218" s="5" t="s">
        <v>78</v>
      </c>
      <c r="C3218" s="5" t="s">
        <v>99</v>
      </c>
      <c r="D3218" s="5" t="s">
        <v>21</v>
      </c>
      <c r="E3218" s="5" t="s">
        <v>34</v>
      </c>
      <c r="F3218" s="5" t="s">
        <v>100</v>
      </c>
      <c r="G3218" s="5" t="s">
        <v>75</v>
      </c>
      <c r="H3218" s="9" t="s">
        <v>159</v>
      </c>
      <c r="I3218" s="10"/>
      <c r="J3218" s="10">
        <v>47180</v>
      </c>
      <c r="K3218" s="5" t="s">
        <v>102</v>
      </c>
      <c r="L3218" s="5" t="s">
        <v>102</v>
      </c>
      <c r="M3218" s="11">
        <v>0.078</v>
      </c>
      <c r="N3218" s="5" t="e">
        <f>IF(AND(M3218&gt;#REF!,Cartera!O3218="Guaraníes"),"Rendimiento significativo",IF(AND(M3218&gt;#REF!,Cartera!O3218="Dólares americanos"),"Rendimiento significativo","Rendimiento no significativo"))</f>
        <v>#REF!</v>
      </c>
      <c r="O3218" s="5" t="s">
        <v>41</v>
      </c>
      <c r="P3218" s="12">
        <v>31200000</v>
      </c>
      <c r="Q3218" s="12">
        <f>IF(O3218="Guaraníes",P3218,P3218*#REF!)</f>
        <v>31200000</v>
      </c>
      <c r="R3218" s="12" t="e">
        <f>IF(O3218="Guaraníes",P3218/#REF!,P3218)</f>
        <v>#REF!</v>
      </c>
      <c r="S3218" s="5" t="s">
        <v>42</v>
      </c>
      <c r="T3218" s="5">
        <v>25</v>
      </c>
      <c r="W3218" s="5" t="s">
        <v>65</v>
      </c>
      <c r="X3218" s="5">
        <v>0</v>
      </c>
      <c r="Y3218" s="5">
        <v>0</v>
      </c>
      <c r="Z3218" s="5">
        <v>39000</v>
      </c>
      <c r="AA3218" s="5">
        <v>800</v>
      </c>
      <c r="AB3218" s="5">
        <v>31200000</v>
      </c>
      <c r="AC3218" s="5" t="str">
        <f t="shared" si="154"/>
        <v>Bonos</v>
      </c>
      <c r="AD3218" s="5" t="s">
        <v>43</v>
      </c>
      <c r="AE3218" s="5">
        <f t="shared" ref="AE3218:AE3281" si="155">IFERROR((MONTH(J3218)),0)</f>
        <v>3</v>
      </c>
      <c r="AF3218" s="5">
        <f t="shared" ref="AF3218:AF3281" si="156">IFERROR((YEAR(J3218)),0)</f>
        <v>2029</v>
      </c>
    </row>
    <row r="3219" s="5" customFormat="1" ht="13">
      <c r="A3219" s="5">
        <v>12316</v>
      </c>
      <c r="B3219" s="5" t="s">
        <v>78</v>
      </c>
      <c r="C3219" s="5" t="s">
        <v>99</v>
      </c>
      <c r="D3219" s="5" t="s">
        <v>21</v>
      </c>
      <c r="E3219" s="5" t="s">
        <v>34</v>
      </c>
      <c r="F3219" s="5" t="s">
        <v>100</v>
      </c>
      <c r="G3219" s="5" t="s">
        <v>145</v>
      </c>
      <c r="H3219" s="9" t="s">
        <v>159</v>
      </c>
      <c r="I3219" s="10">
        <v>44657</v>
      </c>
      <c r="J3219" s="10">
        <v>47180</v>
      </c>
      <c r="K3219" s="5" t="s">
        <v>102</v>
      </c>
      <c r="L3219" s="5" t="s">
        <v>102</v>
      </c>
      <c r="M3219" s="11">
        <v>0.078</v>
      </c>
      <c r="N3219" s="5" t="e">
        <f>IF(AND(M3219&gt;#REF!,Cartera!O3219="Guaraníes"),"Rendimiento significativo",IF(AND(M3219&gt;#REF!,Cartera!O3219="Dólares americanos"),"Rendimiento significativo","Rendimiento no significativo"))</f>
        <v>#REF!</v>
      </c>
      <c r="O3219" s="5" t="s">
        <v>41</v>
      </c>
      <c r="P3219" s="12">
        <v>35100000</v>
      </c>
      <c r="Q3219" s="12">
        <f>IF(O3219="Guaraníes",P3219,P3219*#REF!)</f>
        <v>35100000</v>
      </c>
      <c r="R3219" s="12" t="e">
        <f>IF(O3219="Guaraníes",P3219/#REF!,P3219)</f>
        <v>#REF!</v>
      </c>
      <c r="S3219" s="5" t="s">
        <v>42</v>
      </c>
      <c r="V3219" s="5">
        <v>39000</v>
      </c>
      <c r="AA3219" s="5">
        <v>900</v>
      </c>
      <c r="AC3219" s="5" t="str">
        <f t="shared" si="154"/>
        <v>Bonos</v>
      </c>
      <c r="AD3219" s="5" t="s">
        <v>43</v>
      </c>
      <c r="AE3219" s="5">
        <f t="shared" si="155"/>
        <v>3</v>
      </c>
      <c r="AF3219" s="5">
        <f t="shared" si="156"/>
        <v>2029</v>
      </c>
    </row>
    <row r="3220" s="5" customFormat="1" ht="13">
      <c r="A3220" s="5">
        <v>12316</v>
      </c>
      <c r="B3220" s="5" t="s">
        <v>78</v>
      </c>
      <c r="C3220" s="5" t="s">
        <v>138</v>
      </c>
      <c r="D3220" s="5" t="s">
        <v>21</v>
      </c>
      <c r="E3220" s="5" t="s">
        <v>34</v>
      </c>
      <c r="F3220" s="5" t="s">
        <v>68</v>
      </c>
      <c r="G3220" s="5" t="s">
        <v>86</v>
      </c>
      <c r="H3220" s="9" t="s">
        <v>139</v>
      </c>
      <c r="I3220" s="10">
        <v>43948</v>
      </c>
      <c r="J3220" s="10">
        <v>47182</v>
      </c>
      <c r="K3220" s="5" t="s">
        <v>140</v>
      </c>
      <c r="L3220" s="5" t="s">
        <v>58</v>
      </c>
      <c r="M3220" s="11">
        <v>0.11</v>
      </c>
      <c r="N3220" s="5" t="e">
        <f>IF(AND(M3220&gt;#REF!,Cartera!O3220="Guaraníes"),"Rendimiento significativo",IF(AND(M3220&gt;#REF!,Cartera!O3220="Dólares americanos"),"Rendimiento significativo","Rendimiento no significativo"))</f>
        <v>#REF!</v>
      </c>
      <c r="O3220" s="5" t="s">
        <v>41</v>
      </c>
      <c r="P3220" s="12">
        <v>612362.83990000002</v>
      </c>
      <c r="Q3220" s="12">
        <f>IF(O3220="Guaraníes",P3220,P3220*#REF!)</f>
        <v>612362.83990000002</v>
      </c>
      <c r="R3220" s="12" t="e">
        <f>IF(O3220="Guaraníes",P3220/#REF!,P3220)</f>
        <v>#REF!</v>
      </c>
      <c r="S3220" s="5" t="s">
        <v>42</v>
      </c>
      <c r="AC3220" s="5" t="str">
        <f t="shared" si="154"/>
        <v>Bonos</v>
      </c>
      <c r="AD3220" s="5" t="s">
        <v>43</v>
      </c>
      <c r="AE3220" s="5">
        <f t="shared" si="155"/>
        <v>3</v>
      </c>
      <c r="AF3220" s="5">
        <f t="shared" si="156"/>
        <v>2029</v>
      </c>
    </row>
    <row r="3221" s="5" customFormat="1" ht="13">
      <c r="A3221" s="5">
        <v>12315</v>
      </c>
      <c r="B3221" s="5" t="s">
        <v>73</v>
      </c>
      <c r="C3221" s="5" t="s">
        <v>33</v>
      </c>
      <c r="D3221" s="5" t="s">
        <v>21</v>
      </c>
      <c r="E3221" s="5" t="s">
        <v>34</v>
      </c>
      <c r="F3221" s="5" t="s">
        <v>35</v>
      </c>
      <c r="G3221" s="5" t="s">
        <v>75</v>
      </c>
      <c r="H3221" s="9" t="s">
        <v>186</v>
      </c>
      <c r="I3221" s="10"/>
      <c r="J3221" s="10">
        <v>47184</v>
      </c>
      <c r="K3221" s="5" t="s">
        <v>39</v>
      </c>
      <c r="L3221" s="5" t="s">
        <v>50</v>
      </c>
      <c r="M3221" s="11">
        <v>0.044999999999999998</v>
      </c>
      <c r="N3221" s="5" t="e">
        <f>IF(AND(M3221&gt;#REF!,Cartera!O3221="Guaraníes"),"Rendimiento significativo",IF(AND(M3221&gt;#REF!,Cartera!O3221="Dólares americanos"),"Rendimiento significativo","Rendimiento no significativo"))</f>
        <v>#REF!</v>
      </c>
      <c r="O3221" s="5" t="s">
        <v>51</v>
      </c>
      <c r="P3221" s="13">
        <v>336.57533999999998</v>
      </c>
      <c r="Q3221" s="12" t="e">
        <f>IF(O3221="Guaraníes",P3221,P3221*#REF!)</f>
        <v>#REF!</v>
      </c>
      <c r="R3221" s="12">
        <f>IF(O3221="Guaraníes",P3221/#REF!,P3221)</f>
        <v>336.57533999999998</v>
      </c>
      <c r="S3221" s="5" t="s">
        <v>42</v>
      </c>
      <c r="T3221" s="5">
        <v>25</v>
      </c>
      <c r="W3221" s="5" t="s">
        <v>65</v>
      </c>
      <c r="X3221" s="5">
        <v>0</v>
      </c>
      <c r="Y3221" s="5">
        <v>0</v>
      </c>
      <c r="Z3221" s="5">
        <v>11.219177999999999</v>
      </c>
      <c r="AA3221" s="5">
        <v>30</v>
      </c>
      <c r="AB3221" s="5">
        <v>336.57533999999998</v>
      </c>
      <c r="AC3221" s="5" t="str">
        <f t="shared" si="154"/>
        <v>Bonos</v>
      </c>
      <c r="AD3221" s="5" t="s">
        <v>43</v>
      </c>
      <c r="AE3221" s="5">
        <f t="shared" si="155"/>
        <v>3</v>
      </c>
      <c r="AF3221" s="5">
        <f t="shared" si="156"/>
        <v>2029</v>
      </c>
    </row>
    <row r="3222" s="5" customFormat="1" ht="13">
      <c r="A3222" s="5">
        <v>12315</v>
      </c>
      <c r="B3222" s="5" t="s">
        <v>73</v>
      </c>
      <c r="C3222" s="5" t="s">
        <v>33</v>
      </c>
      <c r="D3222" s="5" t="s">
        <v>21</v>
      </c>
      <c r="E3222" s="5" t="s">
        <v>34</v>
      </c>
      <c r="F3222" s="5" t="s">
        <v>35</v>
      </c>
      <c r="G3222" s="5" t="s">
        <v>69</v>
      </c>
      <c r="H3222" s="9" t="s">
        <v>186</v>
      </c>
      <c r="I3222" s="10"/>
      <c r="J3222" s="10">
        <v>47184</v>
      </c>
      <c r="K3222" s="5" t="s">
        <v>39</v>
      </c>
      <c r="L3222" s="5" t="s">
        <v>50</v>
      </c>
      <c r="M3222" s="11">
        <v>0.044999999999999998</v>
      </c>
      <c r="N3222" s="5" t="e">
        <f>IF(AND(M3222&gt;#REF!,Cartera!O3222="Guaraníes"),"Rendimiento significativo",IF(AND(M3222&gt;#REF!,Cartera!O3222="Dólares americanos"),"Rendimiento significativo","Rendimiento no significativo"))</f>
        <v>#REF!</v>
      </c>
      <c r="O3222" s="5" t="s">
        <v>51</v>
      </c>
      <c r="P3222" s="13">
        <v>448.76711999999998</v>
      </c>
      <c r="Q3222" s="12" t="e">
        <f>IF(O3222="Guaraníes",P3222,P3222*#REF!)</f>
        <v>#REF!</v>
      </c>
      <c r="R3222" s="12">
        <f>IF(O3222="Guaraníes",P3222/#REF!,P3222)</f>
        <v>448.76711999999998</v>
      </c>
      <c r="S3222" s="5" t="s">
        <v>42</v>
      </c>
      <c r="T3222" s="5">
        <v>593</v>
      </c>
      <c r="W3222" s="5" t="s">
        <v>65</v>
      </c>
      <c r="X3222" s="5">
        <v>0</v>
      </c>
      <c r="Y3222" s="5">
        <v>0</v>
      </c>
      <c r="Z3222" s="5">
        <v>11.219177999999999</v>
      </c>
      <c r="AA3222" s="5">
        <v>40</v>
      </c>
      <c r="AB3222" s="5">
        <v>448.76711999999998</v>
      </c>
      <c r="AC3222" s="5" t="str">
        <f t="shared" si="154"/>
        <v>Bonos</v>
      </c>
      <c r="AD3222" s="5" t="s">
        <v>43</v>
      </c>
      <c r="AE3222" s="5">
        <f t="shared" si="155"/>
        <v>3</v>
      </c>
      <c r="AF3222" s="5">
        <f t="shared" si="156"/>
        <v>2029</v>
      </c>
    </row>
    <row r="3223" s="5" customFormat="1" ht="13">
      <c r="A3223" s="5">
        <v>12316</v>
      </c>
      <c r="B3223" s="5" t="s">
        <v>78</v>
      </c>
      <c r="C3223" s="5" t="s">
        <v>183</v>
      </c>
      <c r="D3223" s="5" t="s">
        <v>21</v>
      </c>
      <c r="E3223" s="5" t="s">
        <v>34</v>
      </c>
      <c r="F3223" s="5" t="s">
        <v>184</v>
      </c>
      <c r="H3223" s="9">
        <v>6217</v>
      </c>
      <c r="I3223" s="10"/>
      <c r="J3223" s="10">
        <v>47184</v>
      </c>
      <c r="K3223" s="5" t="s">
        <v>124</v>
      </c>
      <c r="L3223" s="5" t="s">
        <v>82</v>
      </c>
      <c r="M3223" s="11">
        <v>0.072499999999999995</v>
      </c>
      <c r="N3223" s="5" t="e">
        <f>IF(AND(M3223&gt;#REF!,Cartera!O3223="Guaraníes"),"Rendimiento significativo",IF(AND(M3223&gt;#REF!,Cartera!O3223="Dólares americanos"),"Rendimiento significativo","Rendimiento no significativo"))</f>
        <v>#REF!</v>
      </c>
      <c r="O3223" s="5" t="s">
        <v>41</v>
      </c>
      <c r="P3223" s="12">
        <v>17157895</v>
      </c>
      <c r="Q3223" s="12">
        <f>IF(O3223="Guaraníes",P3223,P3223*#REF!)</f>
        <v>17157895</v>
      </c>
      <c r="R3223" s="12" t="e">
        <f>IF(O3223="Guaraníes",P3223/#REF!,P3223)</f>
        <v>#REF!</v>
      </c>
      <c r="S3223" s="5" t="s">
        <v>42</v>
      </c>
      <c r="V3223" s="5">
        <v>17157895</v>
      </c>
      <c r="W3223" s="5" t="s">
        <v>718</v>
      </c>
      <c r="AC3223" s="5" t="str">
        <f t="shared" si="154"/>
        <v>CDA</v>
      </c>
      <c r="AD3223" s="5" t="s">
        <v>43</v>
      </c>
      <c r="AE3223" s="5">
        <f t="shared" si="155"/>
        <v>3</v>
      </c>
      <c r="AF3223" s="5">
        <f t="shared" si="156"/>
        <v>2029</v>
      </c>
    </row>
    <row r="3224" s="5" customFormat="1" ht="13">
      <c r="A3224" s="5">
        <v>12316</v>
      </c>
      <c r="B3224" s="5" t="s">
        <v>78</v>
      </c>
      <c r="C3224" s="5" t="s">
        <v>54</v>
      </c>
      <c r="D3224" s="5" t="s">
        <v>21</v>
      </c>
      <c r="E3224" s="5" t="s">
        <v>34</v>
      </c>
      <c r="F3224" s="5" t="s">
        <v>46</v>
      </c>
      <c r="G3224" s="5" t="s">
        <v>86</v>
      </c>
      <c r="H3224" s="9" t="s">
        <v>147</v>
      </c>
      <c r="I3224" s="10"/>
      <c r="J3224" s="10">
        <v>47196</v>
      </c>
      <c r="K3224" s="5" t="s">
        <v>57</v>
      </c>
      <c r="L3224" s="5" t="s">
        <v>58</v>
      </c>
      <c r="M3224" s="11">
        <v>0.12</v>
      </c>
      <c r="N3224" s="5" t="e">
        <f>IF(AND(M3224&gt;#REF!,Cartera!O3224="Guaraníes"),"Rendimiento significativo",IF(AND(M3224&gt;#REF!,Cartera!O3224="Dólares americanos"),"Rendimiento significativo","Rendimiento no significativo"))</f>
        <v>#REF!</v>
      </c>
      <c r="O3224" s="5" t="s">
        <v>41</v>
      </c>
      <c r="P3224" s="12">
        <v>2991780.8218999999</v>
      </c>
      <c r="Q3224" s="12">
        <f>IF(O3224="Guaraníes",P3224,P3224*#REF!)</f>
        <v>2991780.8218999999</v>
      </c>
      <c r="R3224" s="12" t="e">
        <f>IF(O3224="Guaraníes",P3224/#REF!,P3224)</f>
        <v>#REF!</v>
      </c>
      <c r="S3224" s="5" t="s">
        <v>42</v>
      </c>
      <c r="T3224" s="5">
        <v>10834</v>
      </c>
      <c r="W3224" s="5" t="s">
        <v>65</v>
      </c>
      <c r="X3224" s="5">
        <v>0</v>
      </c>
      <c r="Y3224" s="5">
        <v>0</v>
      </c>
      <c r="Z3224" s="5">
        <v>29917.808218999999</v>
      </c>
      <c r="AA3224" s="5">
        <v>100</v>
      </c>
      <c r="AB3224" s="5">
        <v>2991780.8218999999</v>
      </c>
      <c r="AC3224" s="5" t="str">
        <f t="shared" si="154"/>
        <v>Bonos</v>
      </c>
      <c r="AD3224" s="5" t="s">
        <v>43</v>
      </c>
      <c r="AE3224" s="5">
        <f t="shared" si="155"/>
        <v>3</v>
      </c>
      <c r="AF3224" s="5">
        <f t="shared" si="156"/>
        <v>2029</v>
      </c>
    </row>
    <row r="3225" s="5" customFormat="1" ht="13">
      <c r="A3225" s="5">
        <v>12316</v>
      </c>
      <c r="B3225" s="5" t="s">
        <v>78</v>
      </c>
      <c r="C3225" s="5" t="s">
        <v>54</v>
      </c>
      <c r="D3225" s="5" t="s">
        <v>21</v>
      </c>
      <c r="E3225" s="5" t="s">
        <v>34</v>
      </c>
      <c r="F3225" s="5" t="s">
        <v>46</v>
      </c>
      <c r="G3225" s="5" t="s">
        <v>86</v>
      </c>
      <c r="H3225" s="9" t="s">
        <v>148</v>
      </c>
      <c r="I3225" s="10"/>
      <c r="J3225" s="10">
        <v>47196</v>
      </c>
      <c r="K3225" s="5" t="s">
        <v>57</v>
      </c>
      <c r="L3225" s="5" t="s">
        <v>58</v>
      </c>
      <c r="M3225" s="11">
        <v>0.097500000000000003</v>
      </c>
      <c r="N3225" s="5" t="e">
        <f>IF(AND(M3225&gt;#REF!,Cartera!O3225="Guaraníes"),"Rendimiento significativo",IF(AND(M3225&gt;#REF!,Cartera!O3225="Dólares americanos"),"Rendimiento significativo","Rendimiento no significativo"))</f>
        <v>#REF!</v>
      </c>
      <c r="O3225" s="5" t="s">
        <v>41</v>
      </c>
      <c r="P3225" s="12">
        <v>12154109.589</v>
      </c>
      <c r="Q3225" s="12">
        <f>IF(O3225="Guaraníes",P3225,P3225*#REF!)</f>
        <v>12154109.589</v>
      </c>
      <c r="R3225" s="12" t="e">
        <f>IF(O3225="Guaraníes",P3225/#REF!,P3225)</f>
        <v>#REF!</v>
      </c>
      <c r="S3225" s="5" t="s">
        <v>42</v>
      </c>
      <c r="T3225" s="5">
        <v>10834</v>
      </c>
      <c r="W3225" s="5" t="s">
        <v>65</v>
      </c>
      <c r="X3225" s="5">
        <v>0</v>
      </c>
      <c r="Y3225" s="5">
        <v>0</v>
      </c>
      <c r="Z3225" s="5">
        <v>24308.219177999999</v>
      </c>
      <c r="AA3225" s="5">
        <v>500</v>
      </c>
      <c r="AB3225" s="5">
        <v>12154109.589</v>
      </c>
      <c r="AC3225" s="5" t="str">
        <f t="shared" si="154"/>
        <v>Bonos</v>
      </c>
      <c r="AD3225" s="5" t="s">
        <v>43</v>
      </c>
      <c r="AE3225" s="5">
        <f t="shared" si="155"/>
        <v>3</v>
      </c>
      <c r="AF3225" s="5">
        <f t="shared" si="156"/>
        <v>2029</v>
      </c>
    </row>
    <row r="3226" s="5" customFormat="1" ht="13">
      <c r="A3226" s="5">
        <v>12316</v>
      </c>
      <c r="B3226" s="5" t="s">
        <v>78</v>
      </c>
      <c r="C3226" s="5" t="s">
        <v>54</v>
      </c>
      <c r="D3226" s="5" t="s">
        <v>21</v>
      </c>
      <c r="E3226" s="5" t="s">
        <v>34</v>
      </c>
      <c r="F3226" s="5" t="s">
        <v>46</v>
      </c>
      <c r="G3226" s="5" t="s">
        <v>75</v>
      </c>
      <c r="H3226" s="9" t="s">
        <v>147</v>
      </c>
      <c r="I3226" s="10"/>
      <c r="J3226" s="10">
        <v>47196</v>
      </c>
      <c r="K3226" s="5" t="s">
        <v>57</v>
      </c>
      <c r="L3226" s="5" t="s">
        <v>58</v>
      </c>
      <c r="M3226" s="11">
        <v>0.12</v>
      </c>
      <c r="N3226" s="5" t="e">
        <f>IF(AND(M3226&gt;#REF!,Cartera!O3226="Guaraníes"),"Rendimiento significativo",IF(AND(M3226&gt;#REF!,Cartera!O3226="Dólares americanos"),"Rendimiento significativo","Rendimiento no significativo"))</f>
        <v>#REF!</v>
      </c>
      <c r="O3226" s="5" t="s">
        <v>41</v>
      </c>
      <c r="P3226" s="12">
        <v>4487671.2328500003</v>
      </c>
      <c r="Q3226" s="12">
        <f>IF(O3226="Guaraníes",P3226,P3226*#REF!)</f>
        <v>4487671.2328500003</v>
      </c>
      <c r="R3226" s="12" t="e">
        <f>IF(O3226="Guaraníes",P3226/#REF!,P3226)</f>
        <v>#REF!</v>
      </c>
      <c r="S3226" s="5" t="s">
        <v>42</v>
      </c>
      <c r="T3226" s="5">
        <v>25</v>
      </c>
      <c r="W3226" s="5" t="s">
        <v>192</v>
      </c>
      <c r="X3226" s="5">
        <v>0</v>
      </c>
      <c r="Y3226" s="5">
        <v>0</v>
      </c>
      <c r="Z3226" s="5">
        <v>29917.808218999999</v>
      </c>
      <c r="AA3226" s="5">
        <v>150</v>
      </c>
      <c r="AB3226" s="5">
        <v>4487671.2328500003</v>
      </c>
      <c r="AC3226" s="5" t="str">
        <f t="shared" si="154"/>
        <v>Bonos</v>
      </c>
      <c r="AD3226" s="5" t="s">
        <v>43</v>
      </c>
      <c r="AE3226" s="5">
        <f t="shared" si="155"/>
        <v>3</v>
      </c>
      <c r="AF3226" s="5">
        <f t="shared" si="156"/>
        <v>2029</v>
      </c>
    </row>
    <row r="3227" s="5" customFormat="1" ht="13">
      <c r="A3227" s="5">
        <v>12316</v>
      </c>
      <c r="B3227" s="5" t="s">
        <v>78</v>
      </c>
      <c r="C3227" s="5" t="s">
        <v>138</v>
      </c>
      <c r="D3227" s="5" t="s">
        <v>21</v>
      </c>
      <c r="E3227" s="5" t="s">
        <v>34</v>
      </c>
      <c r="F3227" s="5" t="s">
        <v>68</v>
      </c>
      <c r="G3227" s="5" t="s">
        <v>86</v>
      </c>
      <c r="H3227" s="9" t="s">
        <v>193</v>
      </c>
      <c r="I3227" s="10">
        <v>44104</v>
      </c>
      <c r="J3227" s="10">
        <v>47197</v>
      </c>
      <c r="K3227" s="5" t="s">
        <v>140</v>
      </c>
      <c r="L3227" s="5" t="s">
        <v>58</v>
      </c>
      <c r="M3227" s="11">
        <v>0.10000000000000001</v>
      </c>
      <c r="N3227" s="5" t="e">
        <f>IF(AND(M3227&gt;#REF!,Cartera!O3227="Guaraníes"),"Rendimiento significativo",IF(AND(M3227&gt;#REF!,Cartera!O3227="Dólares americanos"),"Rendimiento significativo","Rendimiento no significativo"))</f>
        <v>#REF!</v>
      </c>
      <c r="O3227" s="5" t="s">
        <v>41</v>
      </c>
      <c r="P3227" s="12">
        <v>2493150.6849000002</v>
      </c>
      <c r="Q3227" s="12">
        <f>IF(O3227="Guaraníes",P3227,P3227*#REF!)</f>
        <v>2493150.6849000002</v>
      </c>
      <c r="R3227" s="12" t="e">
        <f>IF(O3227="Guaraníes",P3227/#REF!,P3227)</f>
        <v>#REF!</v>
      </c>
      <c r="S3227" s="5" t="s">
        <v>42</v>
      </c>
      <c r="AC3227" s="5" t="str">
        <f t="shared" si="154"/>
        <v>Bonos</v>
      </c>
      <c r="AD3227" s="5" t="s">
        <v>43</v>
      </c>
      <c r="AE3227" s="5">
        <f t="shared" si="155"/>
        <v>3</v>
      </c>
      <c r="AF3227" s="5">
        <f t="shared" si="156"/>
        <v>2029</v>
      </c>
    </row>
    <row r="3228" s="5" customFormat="1" ht="13">
      <c r="A3228" s="5">
        <v>12315</v>
      </c>
      <c r="B3228" s="5" t="s">
        <v>73</v>
      </c>
      <c r="C3228" s="5" t="s">
        <v>116</v>
      </c>
      <c r="D3228" s="5" t="s">
        <v>21</v>
      </c>
      <c r="E3228" s="5" t="s">
        <v>34</v>
      </c>
      <c r="F3228" s="5" t="s">
        <v>68</v>
      </c>
      <c r="G3228" s="5" t="s">
        <v>69</v>
      </c>
      <c r="H3228" s="9" t="s">
        <v>194</v>
      </c>
      <c r="I3228" s="10"/>
      <c r="J3228" s="10">
        <v>47198</v>
      </c>
      <c r="K3228" s="5" t="s">
        <v>118</v>
      </c>
      <c r="L3228" s="5" t="s">
        <v>50</v>
      </c>
      <c r="M3228" s="11">
        <v>0.065000000000000002</v>
      </c>
      <c r="N3228" s="5" t="e">
        <f>IF(AND(M3228&gt;#REF!,Cartera!O3228="Guaraníes"),"Rendimiento significativo",IF(AND(M3228&gt;#REF!,Cartera!O3228="Dólares americanos"),"Rendimiento significativo","Rendimiento no significativo"))</f>
        <v>#REF!</v>
      </c>
      <c r="O3228" s="5" t="s">
        <v>51</v>
      </c>
      <c r="P3228" s="13">
        <v>324.10958999999997</v>
      </c>
      <c r="Q3228" s="12" t="e">
        <f>IF(O3228="Guaraníes",P3228,P3228*#REF!)</f>
        <v>#REF!</v>
      </c>
      <c r="R3228" s="12">
        <f>IF(O3228="Guaraníes",P3228/#REF!,P3228)</f>
        <v>324.10958999999997</v>
      </c>
      <c r="S3228" s="5" t="s">
        <v>42</v>
      </c>
      <c r="T3228" s="5">
        <v>593</v>
      </c>
      <c r="W3228" s="5" t="s">
        <v>218</v>
      </c>
      <c r="X3228" s="5">
        <v>0</v>
      </c>
      <c r="Y3228" s="5">
        <v>0</v>
      </c>
      <c r="Z3228" s="5">
        <v>32.410958999999998</v>
      </c>
      <c r="AA3228" s="5">
        <v>10</v>
      </c>
      <c r="AB3228" s="5">
        <v>324.10959000000003</v>
      </c>
      <c r="AC3228" s="5" t="str">
        <f t="shared" si="154"/>
        <v>Bonos</v>
      </c>
      <c r="AD3228" s="5" t="s">
        <v>43</v>
      </c>
      <c r="AE3228" s="5">
        <f t="shared" si="155"/>
        <v>3</v>
      </c>
      <c r="AF3228" s="5">
        <f t="shared" si="156"/>
        <v>2029</v>
      </c>
    </row>
    <row r="3229" s="5" customFormat="1" ht="13">
      <c r="A3229" s="5">
        <v>12315</v>
      </c>
      <c r="B3229" s="5" t="s">
        <v>73</v>
      </c>
      <c r="C3229" s="5" t="s">
        <v>212</v>
      </c>
      <c r="D3229" s="5" t="s">
        <v>21</v>
      </c>
      <c r="E3229" s="5" t="s">
        <v>34</v>
      </c>
      <c r="F3229" s="5" t="s">
        <v>68</v>
      </c>
      <c r="G3229" s="5" t="s">
        <v>86</v>
      </c>
      <c r="H3229" s="9" t="s">
        <v>213</v>
      </c>
      <c r="I3229" s="10">
        <v>44651</v>
      </c>
      <c r="J3229" s="10">
        <v>47199</v>
      </c>
      <c r="K3229" s="5" t="s">
        <v>81</v>
      </c>
      <c r="L3229" s="5" t="s">
        <v>58</v>
      </c>
      <c r="M3229" s="11">
        <v>0.053499999999999999</v>
      </c>
      <c r="N3229" s="5" t="e">
        <f>IF(AND(M3229&gt;#REF!,Cartera!O3229="Guaraníes"),"Rendimiento significativo",IF(AND(M3229&gt;#REF!,Cartera!O3229="Dólares americanos"),"Rendimiento significativo","Rendimiento no significativo"))</f>
        <v>#REF!</v>
      </c>
      <c r="O3229" s="5" t="s">
        <v>51</v>
      </c>
      <c r="P3229" s="13">
        <v>2667.6712000000002</v>
      </c>
      <c r="Q3229" s="12" t="e">
        <f>IF(O3229="Guaraníes",P3229,P3229*#REF!)</f>
        <v>#REF!</v>
      </c>
      <c r="R3229" s="12">
        <f>IF(O3229="Guaraníes",P3229/#REF!,P3229)</f>
        <v>2667.6712000000002</v>
      </c>
      <c r="S3229" s="5" t="s">
        <v>42</v>
      </c>
      <c r="V3229" s="5">
        <v>26.676711999999998</v>
      </c>
      <c r="AA3229" s="5">
        <v>100</v>
      </c>
      <c r="AC3229" s="5" t="str">
        <f t="shared" si="154"/>
        <v>Bonos</v>
      </c>
      <c r="AD3229" s="5" t="s">
        <v>43</v>
      </c>
      <c r="AE3229" s="5">
        <f t="shared" si="155"/>
        <v>3</v>
      </c>
      <c r="AF3229" s="5">
        <f t="shared" si="156"/>
        <v>2029</v>
      </c>
    </row>
    <row r="3230" s="5" customFormat="1" ht="13">
      <c r="A3230" s="5">
        <v>12316</v>
      </c>
      <c r="B3230" s="5" t="s">
        <v>78</v>
      </c>
      <c r="C3230" s="5" t="s">
        <v>164</v>
      </c>
      <c r="D3230" s="5" t="s">
        <v>21</v>
      </c>
      <c r="E3230" s="5" t="s">
        <v>34</v>
      </c>
      <c r="F3230" s="5" t="s">
        <v>68</v>
      </c>
      <c r="G3230" s="5" t="s">
        <v>145</v>
      </c>
      <c r="H3230" s="9" t="s">
        <v>165</v>
      </c>
      <c r="I3230" s="10"/>
      <c r="J3230" s="10">
        <v>47207</v>
      </c>
      <c r="K3230" s="5" t="s">
        <v>124</v>
      </c>
      <c r="L3230" s="5" t="s">
        <v>58</v>
      </c>
      <c r="M3230" s="11">
        <v>0.10000000000000001</v>
      </c>
      <c r="N3230" s="5" t="e">
        <f>IF(AND(M3230&gt;#REF!,Cartera!O3230="Guaraníes"),"Rendimiento significativo",IF(AND(M3230&gt;#REF!,Cartera!O3230="Dólares americanos"),"Rendimiento significativo","Rendimiento no significativo"))</f>
        <v>#REF!</v>
      </c>
      <c r="O3230" s="5" t="s">
        <v>41</v>
      </c>
      <c r="P3230" s="12">
        <v>3287671.2328000003</v>
      </c>
      <c r="Q3230" s="12">
        <f>IF(O3230="Guaraníes",P3230,P3230*#REF!)</f>
        <v>3287671.2328000003</v>
      </c>
      <c r="R3230" s="12" t="e">
        <f>IF(O3230="Guaraníes",P3230/#REF!,P3230)</f>
        <v>#REF!</v>
      </c>
      <c r="S3230" s="5" t="s">
        <v>42</v>
      </c>
      <c r="T3230" s="5">
        <v>1057</v>
      </c>
      <c r="W3230" s="5" t="s">
        <v>65</v>
      </c>
      <c r="X3230" s="5">
        <v>0</v>
      </c>
      <c r="Y3230" s="5">
        <v>0</v>
      </c>
      <c r="Z3230" s="5">
        <v>8219.1780820000004</v>
      </c>
      <c r="AA3230" s="5">
        <v>400</v>
      </c>
      <c r="AB3230" s="5">
        <v>3287671.2327999999</v>
      </c>
      <c r="AC3230" s="5" t="str">
        <f t="shared" si="154"/>
        <v>Bonos</v>
      </c>
      <c r="AD3230" s="5" t="s">
        <v>43</v>
      </c>
      <c r="AE3230" s="5">
        <f t="shared" si="155"/>
        <v>3</v>
      </c>
      <c r="AF3230" s="5">
        <f t="shared" si="156"/>
        <v>2029</v>
      </c>
    </row>
    <row r="3231" s="5" customFormat="1" ht="13">
      <c r="A3231" s="5">
        <v>12316</v>
      </c>
      <c r="B3231" s="5" t="s">
        <v>78</v>
      </c>
      <c r="C3231" s="5" t="s">
        <v>164</v>
      </c>
      <c r="D3231" s="5" t="s">
        <v>21</v>
      </c>
      <c r="E3231" s="5" t="s">
        <v>34</v>
      </c>
      <c r="F3231" s="5" t="s">
        <v>68</v>
      </c>
      <c r="G3231" s="5" t="s">
        <v>141</v>
      </c>
      <c r="H3231" s="9" t="s">
        <v>165</v>
      </c>
      <c r="I3231" s="10"/>
      <c r="J3231" s="10">
        <v>47207</v>
      </c>
      <c r="K3231" s="5" t="s">
        <v>124</v>
      </c>
      <c r="L3231" s="5" t="s">
        <v>58</v>
      </c>
      <c r="M3231" s="11">
        <v>0.10000000000000001</v>
      </c>
      <c r="N3231" s="5" t="e">
        <f>IF(AND(M3231&gt;#REF!,Cartera!O3231="Guaraníes"),"Rendimiento significativo",IF(AND(M3231&gt;#REF!,Cartera!O3231="Dólares americanos"),"Rendimiento significativo","Rendimiento no significativo"))</f>
        <v>#REF!</v>
      </c>
      <c r="O3231" s="5" t="s">
        <v>41</v>
      </c>
      <c r="P3231" s="12">
        <v>821917.80820000009</v>
      </c>
      <c r="Q3231" s="12">
        <f>IF(O3231="Guaraníes",P3231,P3231*#REF!)</f>
        <v>821917.80820000009</v>
      </c>
      <c r="R3231" s="12" t="e">
        <f>IF(O3231="Guaraníes",P3231/#REF!,P3231)</f>
        <v>#REF!</v>
      </c>
      <c r="S3231" s="5" t="s">
        <v>42</v>
      </c>
      <c r="T3231" s="5">
        <v>9243</v>
      </c>
      <c r="W3231" s="5" t="s">
        <v>65</v>
      </c>
      <c r="X3231" s="5">
        <v>0</v>
      </c>
      <c r="Y3231" s="5">
        <v>0</v>
      </c>
      <c r="Z3231" s="5">
        <v>8219.1780820000004</v>
      </c>
      <c r="AA3231" s="5">
        <v>100</v>
      </c>
      <c r="AB3231" s="5">
        <v>821917.80819999997</v>
      </c>
      <c r="AC3231" s="5" t="str">
        <f t="shared" si="154"/>
        <v>Bonos</v>
      </c>
      <c r="AD3231" s="5" t="s">
        <v>43</v>
      </c>
      <c r="AE3231" s="5">
        <f t="shared" si="155"/>
        <v>3</v>
      </c>
      <c r="AF3231" s="5">
        <f t="shared" si="156"/>
        <v>2029</v>
      </c>
    </row>
    <row r="3232" s="5" customFormat="1" ht="13">
      <c r="A3232" s="5">
        <v>12315</v>
      </c>
      <c r="B3232" s="5" t="s">
        <v>73</v>
      </c>
      <c r="C3232" s="5" t="s">
        <v>74</v>
      </c>
      <c r="D3232" s="5" t="s">
        <v>21</v>
      </c>
      <c r="E3232" s="5" t="s">
        <v>34</v>
      </c>
      <c r="F3232" s="5" t="s">
        <v>68</v>
      </c>
      <c r="G3232" s="5" t="s">
        <v>75</v>
      </c>
      <c r="H3232" s="9" t="s">
        <v>76</v>
      </c>
      <c r="I3232" s="10"/>
      <c r="J3232" s="10">
        <v>47210</v>
      </c>
      <c r="K3232" s="5" t="s">
        <v>77</v>
      </c>
      <c r="L3232" s="5" t="s">
        <v>50</v>
      </c>
      <c r="M3232" s="11">
        <v>0.055</v>
      </c>
      <c r="N3232" s="5" t="e">
        <f>IF(AND(M3232&gt;#REF!,Cartera!O3232="Guaraníes"),"Rendimiento significativo",IF(AND(M3232&gt;#REF!,Cartera!O3232="Dólares americanos"),"Rendimiento significativo","Rendimiento no significativo"))</f>
        <v>#REF!</v>
      </c>
      <c r="O3232" s="5" t="s">
        <v>51</v>
      </c>
      <c r="P3232" s="13">
        <v>406.84931999999998</v>
      </c>
      <c r="Q3232" s="12" t="e">
        <f>IF(O3232="Guaraníes",P3232,P3232*#REF!)</f>
        <v>#REF!</v>
      </c>
      <c r="R3232" s="12">
        <f>IF(O3232="Guaraníes",P3232/#REF!,P3232)</f>
        <v>406.84931999999998</v>
      </c>
      <c r="S3232" s="5" t="s">
        <v>42</v>
      </c>
      <c r="T3232" s="5">
        <v>25</v>
      </c>
      <c r="W3232" s="5" t="s">
        <v>65</v>
      </c>
      <c r="X3232" s="5">
        <v>0</v>
      </c>
      <c r="Y3232" s="5">
        <v>0</v>
      </c>
      <c r="Z3232" s="5">
        <v>13.561643999999999</v>
      </c>
      <c r="AA3232" s="5">
        <v>30</v>
      </c>
      <c r="AB3232" s="5">
        <v>406.85000000000002</v>
      </c>
      <c r="AC3232" s="5" t="str">
        <f t="shared" si="154"/>
        <v>Bonos</v>
      </c>
      <c r="AD3232" s="5" t="s">
        <v>43</v>
      </c>
      <c r="AE3232" s="5">
        <f t="shared" si="155"/>
        <v>4</v>
      </c>
      <c r="AF3232" s="5">
        <f t="shared" si="156"/>
        <v>2029</v>
      </c>
    </row>
    <row r="3233" s="5" customFormat="1" ht="13">
      <c r="A3233" s="5">
        <v>12316</v>
      </c>
      <c r="B3233" s="5" t="s">
        <v>78</v>
      </c>
      <c r="C3233" s="5" t="s">
        <v>138</v>
      </c>
      <c r="D3233" s="5" t="s">
        <v>21</v>
      </c>
      <c r="E3233" s="5" t="s">
        <v>34</v>
      </c>
      <c r="F3233" s="5" t="s">
        <v>68</v>
      </c>
      <c r="G3233" s="5" t="s">
        <v>86</v>
      </c>
      <c r="H3233" s="9" t="s">
        <v>139</v>
      </c>
      <c r="I3233" s="10">
        <v>43948</v>
      </c>
      <c r="J3233" s="10">
        <v>47213</v>
      </c>
      <c r="K3233" s="5" t="s">
        <v>140</v>
      </c>
      <c r="L3233" s="5" t="s">
        <v>58</v>
      </c>
      <c r="M3233" s="11">
        <v>0.11</v>
      </c>
      <c r="N3233" s="5" t="e">
        <f>IF(AND(M3233&gt;#REF!,Cartera!O3233="Guaraníes"),"Rendimiento significativo",IF(AND(M3233&gt;#REF!,Cartera!O3233="Dólares americanos"),"Rendimiento significativo","Rendimiento no significativo"))</f>
        <v>#REF!</v>
      </c>
      <c r="O3233" s="5" t="s">
        <v>41</v>
      </c>
      <c r="P3233" s="12">
        <v>580881.88730000006</v>
      </c>
      <c r="Q3233" s="12">
        <f>IF(O3233="Guaraníes",P3233,P3233*#REF!)</f>
        <v>580881.88730000006</v>
      </c>
      <c r="R3233" s="12" t="e">
        <f>IF(O3233="Guaraníes",P3233/#REF!,P3233)</f>
        <v>#REF!</v>
      </c>
      <c r="S3233" s="5" t="s">
        <v>42</v>
      </c>
      <c r="AC3233" s="5" t="str">
        <f t="shared" si="154"/>
        <v>Bonos</v>
      </c>
      <c r="AD3233" s="5" t="s">
        <v>43</v>
      </c>
      <c r="AE3233" s="5">
        <f t="shared" si="155"/>
        <v>4</v>
      </c>
      <c r="AF3233" s="5">
        <f t="shared" si="156"/>
        <v>2029</v>
      </c>
    </row>
    <row r="3234" s="5" customFormat="1" ht="13">
      <c r="A3234" s="5">
        <v>12315</v>
      </c>
      <c r="B3234" s="5" t="s">
        <v>73</v>
      </c>
      <c r="C3234" s="5" t="s">
        <v>33</v>
      </c>
      <c r="D3234" s="5" t="s">
        <v>21</v>
      </c>
      <c r="E3234" s="5" t="s">
        <v>34</v>
      </c>
      <c r="F3234" s="5" t="s">
        <v>35</v>
      </c>
      <c r="G3234" s="5" t="s">
        <v>141</v>
      </c>
      <c r="H3234" s="9" t="s">
        <v>142</v>
      </c>
      <c r="I3234" s="10">
        <v>44956</v>
      </c>
      <c r="J3234" s="10">
        <v>47232</v>
      </c>
      <c r="K3234" s="5" t="s">
        <v>39</v>
      </c>
      <c r="L3234" s="5" t="s">
        <v>50</v>
      </c>
      <c r="M3234" s="11">
        <v>0.065000000000000002</v>
      </c>
      <c r="N3234" s="5" t="e">
        <f>IF(AND(M3234&gt;#REF!,Cartera!O3234="Guaraníes"),"Rendimiento significativo",IF(AND(M3234&gt;#REF!,Cartera!O3234="Dólares americanos"),"Rendimiento significativo","Rendimiento no significativo"))</f>
        <v>#REF!</v>
      </c>
      <c r="O3234" s="5" t="s">
        <v>51</v>
      </c>
      <c r="P3234" s="13">
        <v>1296.43832</v>
      </c>
      <c r="Q3234" s="12" t="e">
        <f>IF(O3234="Guaraníes",P3234,P3234*#REF!)</f>
        <v>#REF!</v>
      </c>
      <c r="R3234" s="12">
        <f>IF(O3234="Guaraníes",P3234/#REF!,P3234)</f>
        <v>1296.43832</v>
      </c>
      <c r="S3234" s="5" t="s">
        <v>42</v>
      </c>
      <c r="AC3234" s="5" t="str">
        <f t="shared" si="154"/>
        <v>Bonos</v>
      </c>
      <c r="AD3234" s="5" t="s">
        <v>43</v>
      </c>
      <c r="AE3234" s="5">
        <f t="shared" si="155"/>
        <v>4</v>
      </c>
      <c r="AF3234" s="5">
        <f t="shared" si="156"/>
        <v>2029</v>
      </c>
    </row>
    <row r="3235" s="5" customFormat="1" ht="13">
      <c r="A3235" s="5">
        <v>12316</v>
      </c>
      <c r="B3235" s="5" t="s">
        <v>78</v>
      </c>
      <c r="C3235" s="5" t="s">
        <v>164</v>
      </c>
      <c r="D3235" s="5" t="s">
        <v>21</v>
      </c>
      <c r="E3235" s="5" t="s">
        <v>34</v>
      </c>
      <c r="F3235" s="5" t="s">
        <v>68</v>
      </c>
      <c r="G3235" s="5" t="s">
        <v>145</v>
      </c>
      <c r="H3235" s="9" t="s">
        <v>165</v>
      </c>
      <c r="I3235" s="10"/>
      <c r="J3235" s="10">
        <v>47238</v>
      </c>
      <c r="K3235" s="5" t="s">
        <v>124</v>
      </c>
      <c r="L3235" s="5" t="s">
        <v>58</v>
      </c>
      <c r="M3235" s="11">
        <v>0.10000000000000001</v>
      </c>
      <c r="N3235" s="5" t="e">
        <f>IF(AND(M3235&gt;#REF!,Cartera!O3235="Guaraníes"),"Rendimiento significativo",IF(AND(M3235&gt;#REF!,Cartera!O3235="Dólares americanos"),"Rendimiento significativo","Rendimiento no significativo"))</f>
        <v>#REF!</v>
      </c>
      <c r="O3235" s="5" t="s">
        <v>41</v>
      </c>
      <c r="P3235" s="12">
        <v>3397260.2740000002</v>
      </c>
      <c r="Q3235" s="12">
        <f>IF(O3235="Guaraníes",P3235,P3235*#REF!)</f>
        <v>3397260.2740000002</v>
      </c>
      <c r="R3235" s="12" t="e">
        <f>IF(O3235="Guaraníes",P3235/#REF!,P3235)</f>
        <v>#REF!</v>
      </c>
      <c r="S3235" s="5" t="s">
        <v>42</v>
      </c>
      <c r="T3235" s="5">
        <v>1057</v>
      </c>
      <c r="W3235" s="5" t="s">
        <v>65</v>
      </c>
      <c r="X3235" s="5">
        <v>0</v>
      </c>
      <c r="Y3235" s="5">
        <v>0</v>
      </c>
      <c r="Z3235" s="5">
        <v>8493.1506850000005</v>
      </c>
      <c r="AA3235" s="5">
        <v>400</v>
      </c>
      <c r="AB3235" s="5">
        <v>3397260.2740000002</v>
      </c>
      <c r="AC3235" s="5" t="str">
        <f t="shared" si="154"/>
        <v>Bonos</v>
      </c>
      <c r="AD3235" s="5" t="s">
        <v>43</v>
      </c>
      <c r="AE3235" s="5">
        <f t="shared" si="155"/>
        <v>4</v>
      </c>
      <c r="AF3235" s="5">
        <f t="shared" si="156"/>
        <v>2029</v>
      </c>
    </row>
    <row r="3236" s="5" customFormat="1" ht="13">
      <c r="A3236" s="5">
        <v>12316</v>
      </c>
      <c r="B3236" s="5" t="s">
        <v>78</v>
      </c>
      <c r="C3236" s="5" t="s">
        <v>164</v>
      </c>
      <c r="D3236" s="5" t="s">
        <v>21</v>
      </c>
      <c r="E3236" s="5" t="s">
        <v>34</v>
      </c>
      <c r="F3236" s="5" t="s">
        <v>68</v>
      </c>
      <c r="G3236" s="5" t="s">
        <v>141</v>
      </c>
      <c r="H3236" s="9" t="s">
        <v>165</v>
      </c>
      <c r="I3236" s="10"/>
      <c r="J3236" s="10">
        <v>47238</v>
      </c>
      <c r="K3236" s="5" t="s">
        <v>124</v>
      </c>
      <c r="L3236" s="5" t="s">
        <v>58</v>
      </c>
      <c r="M3236" s="11">
        <v>0.10000000000000001</v>
      </c>
      <c r="N3236" s="5" t="e">
        <f>IF(AND(M3236&gt;#REF!,Cartera!O3236="Guaraníes"),"Rendimiento significativo",IF(AND(M3236&gt;#REF!,Cartera!O3236="Dólares americanos"),"Rendimiento significativo","Rendimiento no significativo"))</f>
        <v>#REF!</v>
      </c>
      <c r="O3236" s="5" t="s">
        <v>41</v>
      </c>
      <c r="P3236" s="12">
        <v>849315.06850000005</v>
      </c>
      <c r="Q3236" s="12">
        <f>IF(O3236="Guaraníes",P3236,P3236*#REF!)</f>
        <v>849315.06850000005</v>
      </c>
      <c r="R3236" s="12" t="e">
        <f>IF(O3236="Guaraníes",P3236/#REF!,P3236)</f>
        <v>#REF!</v>
      </c>
      <c r="S3236" s="5" t="s">
        <v>42</v>
      </c>
      <c r="T3236" s="5">
        <v>9243</v>
      </c>
      <c r="W3236" s="5" t="s">
        <v>65</v>
      </c>
      <c r="X3236" s="5">
        <v>0</v>
      </c>
      <c r="Y3236" s="5">
        <v>0</v>
      </c>
      <c r="Z3236" s="5">
        <v>8493.1506850000005</v>
      </c>
      <c r="AA3236" s="5">
        <v>100</v>
      </c>
      <c r="AB3236" s="5">
        <v>849315.06850000005</v>
      </c>
      <c r="AC3236" s="5" t="str">
        <f t="shared" si="154"/>
        <v>Bonos</v>
      </c>
      <c r="AD3236" s="5" t="s">
        <v>43</v>
      </c>
      <c r="AE3236" s="5">
        <f t="shared" si="155"/>
        <v>4</v>
      </c>
      <c r="AF3236" s="5">
        <f t="shared" si="156"/>
        <v>2029</v>
      </c>
    </row>
    <row r="3237" s="5" customFormat="1" ht="13">
      <c r="A3237" s="5">
        <v>12316</v>
      </c>
      <c r="B3237" s="5" t="s">
        <v>78</v>
      </c>
      <c r="C3237" s="5" t="s">
        <v>138</v>
      </c>
      <c r="D3237" s="5" t="s">
        <v>21</v>
      </c>
      <c r="E3237" s="5" t="s">
        <v>34</v>
      </c>
      <c r="F3237" s="5" t="s">
        <v>68</v>
      </c>
      <c r="G3237" s="5" t="s">
        <v>86</v>
      </c>
      <c r="H3237" s="9" t="s">
        <v>139</v>
      </c>
      <c r="I3237" s="10">
        <v>43948</v>
      </c>
      <c r="J3237" s="10">
        <v>47245</v>
      </c>
      <c r="K3237" s="5" t="s">
        <v>140</v>
      </c>
      <c r="L3237" s="5" t="s">
        <v>58</v>
      </c>
      <c r="M3237" s="11">
        <v>0.11</v>
      </c>
      <c r="N3237" s="5" t="e">
        <f>IF(AND(M3237&gt;#REF!,Cartera!O3237="Guaraníes"),"Rendimiento significativo",IF(AND(M3237&gt;#REF!,Cartera!O3237="Dólares americanos"),"Rendimiento significativo","Rendimiento no significativo"))</f>
        <v>#REF!</v>
      </c>
      <c r="O3237" s="5" t="s">
        <v>41</v>
      </c>
      <c r="P3237" s="12">
        <v>586760.37650000001</v>
      </c>
      <c r="Q3237" s="12">
        <f>IF(O3237="Guaraníes",P3237,P3237*#REF!)</f>
        <v>586760.37650000001</v>
      </c>
      <c r="R3237" s="12" t="e">
        <f>IF(O3237="Guaraníes",P3237/#REF!,P3237)</f>
        <v>#REF!</v>
      </c>
      <c r="S3237" s="5" t="s">
        <v>42</v>
      </c>
      <c r="AC3237" s="5" t="str">
        <f t="shared" si="154"/>
        <v>Bonos</v>
      </c>
      <c r="AD3237" s="5" t="s">
        <v>43</v>
      </c>
      <c r="AE3237" s="5">
        <f t="shared" si="155"/>
        <v>5</v>
      </c>
      <c r="AF3237" s="5">
        <f t="shared" si="156"/>
        <v>2029</v>
      </c>
    </row>
    <row r="3238" s="5" customFormat="1" ht="13">
      <c r="A3238" s="5">
        <v>12316</v>
      </c>
      <c r="B3238" s="5" t="s">
        <v>78</v>
      </c>
      <c r="C3238" s="5" t="s">
        <v>183</v>
      </c>
      <c r="D3238" s="5" t="s">
        <v>21</v>
      </c>
      <c r="E3238" s="5" t="s">
        <v>34</v>
      </c>
      <c r="F3238" s="5" t="s">
        <v>184</v>
      </c>
      <c r="H3238" s="9">
        <v>6389</v>
      </c>
      <c r="I3238" s="10"/>
      <c r="J3238" s="10">
        <v>47247</v>
      </c>
      <c r="K3238" s="5" t="s">
        <v>124</v>
      </c>
      <c r="L3238" s="5" t="s">
        <v>82</v>
      </c>
      <c r="M3238" s="11">
        <v>0.079000000000000001</v>
      </c>
      <c r="N3238" s="5" t="e">
        <f>IF(AND(M3238&gt;#REF!,Cartera!O3238="Guaraníes"),"Rendimiento significativo",IF(AND(M3238&gt;#REF!,Cartera!O3238="Dólares americanos"),"Rendimiento significativo","Rendimiento no significativo"))</f>
        <v>#REF!</v>
      </c>
      <c r="O3238" s="5" t="s">
        <v>41</v>
      </c>
      <c r="P3238" s="12">
        <v>9793910</v>
      </c>
      <c r="Q3238" s="12">
        <f>IF(O3238="Guaraníes",P3238,P3238*#REF!)</f>
        <v>9793910</v>
      </c>
      <c r="R3238" s="12" t="e">
        <f>IF(O3238="Guaraníes",P3238/#REF!,P3238)</f>
        <v>#REF!</v>
      </c>
      <c r="S3238" s="5" t="s">
        <v>42</v>
      </c>
      <c r="V3238" s="5">
        <v>9793910</v>
      </c>
      <c r="W3238" s="5" t="s">
        <v>702</v>
      </c>
      <c r="AC3238" s="5" t="str">
        <f t="shared" si="154"/>
        <v>CDA</v>
      </c>
      <c r="AD3238" s="5" t="s">
        <v>43</v>
      </c>
      <c r="AE3238" s="5">
        <f t="shared" si="155"/>
        <v>5</v>
      </c>
      <c r="AF3238" s="5">
        <f t="shared" si="156"/>
        <v>2029</v>
      </c>
    </row>
    <row r="3239" s="5" customFormat="1" ht="13">
      <c r="A3239" s="5">
        <v>12316</v>
      </c>
      <c r="B3239" s="5" t="s">
        <v>78</v>
      </c>
      <c r="C3239" s="5" t="s">
        <v>183</v>
      </c>
      <c r="D3239" s="5" t="s">
        <v>21</v>
      </c>
      <c r="E3239" s="5" t="s">
        <v>34</v>
      </c>
      <c r="F3239" s="5" t="s">
        <v>184</v>
      </c>
      <c r="H3239" s="9">
        <v>6390</v>
      </c>
      <c r="I3239" s="10"/>
      <c r="J3239" s="10">
        <v>47247</v>
      </c>
      <c r="K3239" s="5" t="s">
        <v>124</v>
      </c>
      <c r="L3239" s="5" t="s">
        <v>82</v>
      </c>
      <c r="M3239" s="11">
        <v>0.079000000000000001</v>
      </c>
      <c r="N3239" s="5" t="e">
        <f>IF(AND(M3239&gt;#REF!,Cartera!O3239="Guaraníes"),"Rendimiento significativo",IF(AND(M3239&gt;#REF!,Cartera!O3239="Dólares americanos"),"Rendimiento significativo","Rendimiento no significativo"))</f>
        <v>#REF!</v>
      </c>
      <c r="O3239" s="5" t="s">
        <v>41</v>
      </c>
      <c r="P3239" s="12">
        <v>9793910</v>
      </c>
      <c r="Q3239" s="12">
        <f>IF(O3239="Guaraníes",P3239,P3239*#REF!)</f>
        <v>9793910</v>
      </c>
      <c r="R3239" s="12" t="e">
        <f>IF(O3239="Guaraníes",P3239/#REF!,P3239)</f>
        <v>#REF!</v>
      </c>
      <c r="S3239" s="5" t="s">
        <v>42</v>
      </c>
      <c r="V3239" s="5">
        <v>9793910</v>
      </c>
      <c r="W3239" s="5" t="s">
        <v>702</v>
      </c>
      <c r="AC3239" s="5" t="str">
        <f t="shared" si="154"/>
        <v>CDA</v>
      </c>
      <c r="AD3239" s="5" t="s">
        <v>43</v>
      </c>
      <c r="AE3239" s="5">
        <f t="shared" si="155"/>
        <v>5</v>
      </c>
      <c r="AF3239" s="5">
        <f t="shared" si="156"/>
        <v>2029</v>
      </c>
    </row>
    <row r="3240" s="5" customFormat="1" ht="13">
      <c r="A3240" s="5">
        <v>12316</v>
      </c>
      <c r="B3240" s="5" t="s">
        <v>78</v>
      </c>
      <c r="C3240" s="5" t="s">
        <v>183</v>
      </c>
      <c r="D3240" s="5" t="s">
        <v>21</v>
      </c>
      <c r="E3240" s="5" t="s">
        <v>34</v>
      </c>
      <c r="F3240" s="5" t="s">
        <v>184</v>
      </c>
      <c r="H3240" s="9">
        <v>6391</v>
      </c>
      <c r="I3240" s="10"/>
      <c r="J3240" s="10">
        <v>47247</v>
      </c>
      <c r="K3240" s="5" t="s">
        <v>124</v>
      </c>
      <c r="L3240" s="5" t="s">
        <v>82</v>
      </c>
      <c r="M3240" s="11">
        <v>0.079000000000000001</v>
      </c>
      <c r="N3240" s="5" t="e">
        <f>IF(AND(M3240&gt;#REF!,Cartera!O3240="Guaraníes"),"Rendimiento significativo",IF(AND(M3240&gt;#REF!,Cartera!O3240="Dólares americanos"),"Rendimiento significativo","Rendimiento no significativo"))</f>
        <v>#REF!</v>
      </c>
      <c r="O3240" s="5" t="s">
        <v>41</v>
      </c>
      <c r="P3240" s="12">
        <v>9793910</v>
      </c>
      <c r="Q3240" s="12">
        <f>IF(O3240="Guaraníes",P3240,P3240*#REF!)</f>
        <v>9793910</v>
      </c>
      <c r="R3240" s="12" t="e">
        <f>IF(O3240="Guaraníes",P3240/#REF!,P3240)</f>
        <v>#REF!</v>
      </c>
      <c r="S3240" s="5" t="s">
        <v>42</v>
      </c>
      <c r="V3240" s="5">
        <v>9793910</v>
      </c>
      <c r="W3240" s="5" t="s">
        <v>702</v>
      </c>
      <c r="AC3240" s="5" t="str">
        <f t="shared" si="154"/>
        <v>CDA</v>
      </c>
      <c r="AD3240" s="5" t="s">
        <v>43</v>
      </c>
      <c r="AE3240" s="5">
        <f t="shared" si="155"/>
        <v>5</v>
      </c>
      <c r="AF3240" s="5">
        <f t="shared" si="156"/>
        <v>2029</v>
      </c>
    </row>
    <row r="3241" s="5" customFormat="1" ht="13">
      <c r="A3241" s="5">
        <v>12316</v>
      </c>
      <c r="B3241" s="5" t="s">
        <v>78</v>
      </c>
      <c r="C3241" s="5" t="s">
        <v>183</v>
      </c>
      <c r="D3241" s="5" t="s">
        <v>21</v>
      </c>
      <c r="E3241" s="5" t="s">
        <v>34</v>
      </c>
      <c r="F3241" s="5" t="s">
        <v>184</v>
      </c>
      <c r="H3241" s="9">
        <v>6388</v>
      </c>
      <c r="I3241" s="10"/>
      <c r="J3241" s="10">
        <v>47247</v>
      </c>
      <c r="K3241" s="5" t="s">
        <v>124</v>
      </c>
      <c r="L3241" s="5" t="s">
        <v>82</v>
      </c>
      <c r="M3241" s="11">
        <v>0.079000000000000001</v>
      </c>
      <c r="N3241" s="5" t="e">
        <f>IF(AND(M3241&gt;#REF!,Cartera!O3241="Guaraníes"),"Rendimiento significativo",IF(AND(M3241&gt;#REF!,Cartera!O3241="Dólares americanos"),"Rendimiento significativo","Rendimiento no significativo"))</f>
        <v>#REF!</v>
      </c>
      <c r="O3241" s="5" t="s">
        <v>41</v>
      </c>
      <c r="P3241" s="12">
        <v>9793910</v>
      </c>
      <c r="Q3241" s="12">
        <f>IF(O3241="Guaraníes",P3241,P3241*#REF!)</f>
        <v>9793910</v>
      </c>
      <c r="R3241" s="12" t="e">
        <f>IF(O3241="Guaraníes",P3241/#REF!,P3241)</f>
        <v>#REF!</v>
      </c>
      <c r="S3241" s="5" t="s">
        <v>42</v>
      </c>
      <c r="V3241" s="5">
        <v>10064460</v>
      </c>
      <c r="W3241" s="5" t="s">
        <v>719</v>
      </c>
      <c r="AC3241" s="5" t="str">
        <f t="shared" si="154"/>
        <v>CDA</v>
      </c>
      <c r="AD3241" s="5" t="s">
        <v>43</v>
      </c>
      <c r="AE3241" s="5">
        <f t="shared" si="155"/>
        <v>5</v>
      </c>
      <c r="AF3241" s="5">
        <f t="shared" si="156"/>
        <v>2029</v>
      </c>
    </row>
    <row r="3242" s="5" customFormat="1" ht="13">
      <c r="A3242" s="5">
        <v>12316</v>
      </c>
      <c r="B3242" s="5" t="s">
        <v>78</v>
      </c>
      <c r="C3242" s="5" t="s">
        <v>164</v>
      </c>
      <c r="D3242" s="5" t="s">
        <v>21</v>
      </c>
      <c r="E3242" s="5" t="s">
        <v>34</v>
      </c>
      <c r="F3242" s="5" t="s">
        <v>68</v>
      </c>
      <c r="G3242" s="5" t="s">
        <v>145</v>
      </c>
      <c r="H3242" s="9" t="s">
        <v>165</v>
      </c>
      <c r="I3242" s="10"/>
      <c r="J3242" s="10">
        <v>47269</v>
      </c>
      <c r="K3242" s="5" t="s">
        <v>124</v>
      </c>
      <c r="L3242" s="5" t="s">
        <v>58</v>
      </c>
      <c r="M3242" s="11">
        <v>0.10000000000000001</v>
      </c>
      <c r="N3242" s="5" t="e">
        <f>IF(AND(M3242&gt;#REF!,Cartera!O3242="Guaraníes"),"Rendimiento significativo",IF(AND(M3242&gt;#REF!,Cartera!O3242="Dólares americanos"),"Rendimiento significativo","Rendimiento no significativo"))</f>
        <v>#REF!</v>
      </c>
      <c r="O3242" s="5" t="s">
        <v>41</v>
      </c>
      <c r="P3242" s="12">
        <v>3397260.2740000002</v>
      </c>
      <c r="Q3242" s="12">
        <f>IF(O3242="Guaraníes",P3242,P3242*#REF!)</f>
        <v>3397260.2740000002</v>
      </c>
      <c r="R3242" s="12" t="e">
        <f>IF(O3242="Guaraníes",P3242/#REF!,P3242)</f>
        <v>#REF!</v>
      </c>
      <c r="S3242" s="5" t="s">
        <v>42</v>
      </c>
      <c r="AC3242" s="5" t="str">
        <f t="shared" si="154"/>
        <v>Bonos</v>
      </c>
      <c r="AD3242" s="5" t="s">
        <v>43</v>
      </c>
      <c r="AE3242" s="5">
        <f t="shared" si="155"/>
        <v>5</v>
      </c>
      <c r="AF3242" s="5">
        <f t="shared" si="156"/>
        <v>2029</v>
      </c>
    </row>
    <row r="3243" s="5" customFormat="1" ht="13">
      <c r="A3243" s="5">
        <v>12316</v>
      </c>
      <c r="B3243" s="5" t="s">
        <v>78</v>
      </c>
      <c r="C3243" s="5" t="s">
        <v>164</v>
      </c>
      <c r="D3243" s="5" t="s">
        <v>21</v>
      </c>
      <c r="E3243" s="5" t="s">
        <v>34</v>
      </c>
      <c r="F3243" s="5" t="s">
        <v>68</v>
      </c>
      <c r="G3243" s="5" t="s">
        <v>141</v>
      </c>
      <c r="H3243" s="9" t="s">
        <v>165</v>
      </c>
      <c r="I3243" s="10"/>
      <c r="J3243" s="10">
        <v>47269</v>
      </c>
      <c r="K3243" s="5" t="s">
        <v>124</v>
      </c>
      <c r="L3243" s="5" t="s">
        <v>58</v>
      </c>
      <c r="M3243" s="11">
        <v>0.10000000000000001</v>
      </c>
      <c r="N3243" s="5" t="e">
        <f>IF(AND(M3243&gt;#REF!,Cartera!O3243="Guaraníes"),"Rendimiento significativo",IF(AND(M3243&gt;#REF!,Cartera!O3243="Dólares americanos"),"Rendimiento significativo","Rendimiento no significativo"))</f>
        <v>#REF!</v>
      </c>
      <c r="O3243" s="5" t="s">
        <v>41</v>
      </c>
      <c r="P3243" s="12">
        <v>849315</v>
      </c>
      <c r="Q3243" s="12">
        <f>IF(O3243="Guaraníes",P3243,P3243*#REF!)</f>
        <v>849315</v>
      </c>
      <c r="R3243" s="12" t="e">
        <f>IF(O3243="Guaraníes",P3243/#REF!,P3243)</f>
        <v>#REF!</v>
      </c>
      <c r="S3243" s="5" t="s">
        <v>42</v>
      </c>
      <c r="T3243" s="5">
        <v>9243</v>
      </c>
      <c r="AC3243" s="5" t="str">
        <f t="shared" si="154"/>
        <v>Bonos</v>
      </c>
      <c r="AD3243" s="5" t="s">
        <v>43</v>
      </c>
      <c r="AE3243" s="5">
        <f t="shared" si="155"/>
        <v>5</v>
      </c>
      <c r="AF3243" s="5">
        <f t="shared" si="156"/>
        <v>2029</v>
      </c>
    </row>
    <row r="3244" s="5" customFormat="1" ht="13">
      <c r="A3244" s="5">
        <v>12315</v>
      </c>
      <c r="B3244" s="5" t="s">
        <v>73</v>
      </c>
      <c r="C3244" s="5" t="s">
        <v>33</v>
      </c>
      <c r="D3244" s="5" t="s">
        <v>21</v>
      </c>
      <c r="E3244" s="5" t="s">
        <v>34</v>
      </c>
      <c r="F3244" s="5" t="s">
        <v>35</v>
      </c>
      <c r="G3244" s="5" t="s">
        <v>75</v>
      </c>
      <c r="H3244" s="9" t="s">
        <v>186</v>
      </c>
      <c r="I3244" s="10"/>
      <c r="J3244" s="10">
        <v>47275</v>
      </c>
      <c r="K3244" s="5" t="s">
        <v>39</v>
      </c>
      <c r="L3244" s="5" t="s">
        <v>50</v>
      </c>
      <c r="M3244" s="11">
        <v>0.044999999999999998</v>
      </c>
      <c r="N3244" s="5" t="e">
        <f>IF(AND(M3244&gt;#REF!,Cartera!O3244="Guaraníes"),"Rendimiento significativo",IF(AND(M3244&gt;#REF!,Cartera!O3244="Dólares americanos"),"Rendimiento significativo","Rendimiento no significativo"))</f>
        <v>#REF!</v>
      </c>
      <c r="O3244" s="5" t="s">
        <v>51</v>
      </c>
      <c r="P3244" s="13">
        <v>336.57533999999998</v>
      </c>
      <c r="Q3244" s="12" t="e">
        <f>IF(O3244="Guaraníes",P3244,P3244*#REF!)</f>
        <v>#REF!</v>
      </c>
      <c r="R3244" s="12">
        <f>IF(O3244="Guaraníes",P3244/#REF!,P3244)</f>
        <v>336.57533999999998</v>
      </c>
      <c r="S3244" s="5" t="s">
        <v>42</v>
      </c>
      <c r="T3244" s="5">
        <v>25</v>
      </c>
      <c r="W3244" s="5" t="s">
        <v>65</v>
      </c>
      <c r="X3244" s="5">
        <v>0</v>
      </c>
      <c r="Y3244" s="5">
        <v>0</v>
      </c>
      <c r="Z3244" s="5">
        <v>11.219177999999999</v>
      </c>
      <c r="AA3244" s="5">
        <v>30</v>
      </c>
      <c r="AB3244" s="5">
        <v>336.57533999999998</v>
      </c>
      <c r="AC3244" s="5" t="str">
        <f t="shared" si="154"/>
        <v>Bonos</v>
      </c>
      <c r="AD3244" s="5" t="s">
        <v>43</v>
      </c>
      <c r="AE3244" s="5">
        <f t="shared" si="155"/>
        <v>6</v>
      </c>
      <c r="AF3244" s="5">
        <f t="shared" si="156"/>
        <v>2029</v>
      </c>
    </row>
    <row r="3245" s="5" customFormat="1" ht="13">
      <c r="A3245" s="5">
        <v>12315</v>
      </c>
      <c r="B3245" s="5" t="s">
        <v>73</v>
      </c>
      <c r="C3245" s="5" t="s">
        <v>33</v>
      </c>
      <c r="D3245" s="5" t="s">
        <v>21</v>
      </c>
      <c r="E3245" s="5" t="s">
        <v>34</v>
      </c>
      <c r="F3245" s="5" t="s">
        <v>35</v>
      </c>
      <c r="G3245" s="5" t="s">
        <v>69</v>
      </c>
      <c r="H3245" s="9" t="s">
        <v>186</v>
      </c>
      <c r="I3245" s="10"/>
      <c r="J3245" s="10">
        <v>47275</v>
      </c>
      <c r="K3245" s="5" t="s">
        <v>39</v>
      </c>
      <c r="L3245" s="5" t="s">
        <v>50</v>
      </c>
      <c r="M3245" s="11">
        <v>0.044999999999999998</v>
      </c>
      <c r="N3245" s="5" t="e">
        <f>IF(AND(M3245&gt;#REF!,Cartera!O3245="Guaraníes"),"Rendimiento significativo",IF(AND(M3245&gt;#REF!,Cartera!O3245="Dólares americanos"),"Rendimiento significativo","Rendimiento no significativo"))</f>
        <v>#REF!</v>
      </c>
      <c r="O3245" s="5" t="s">
        <v>51</v>
      </c>
      <c r="P3245" s="13">
        <v>448.76711999999998</v>
      </c>
      <c r="Q3245" s="12" t="e">
        <f>IF(O3245="Guaraníes",P3245,P3245*#REF!)</f>
        <v>#REF!</v>
      </c>
      <c r="R3245" s="12">
        <f>IF(O3245="Guaraníes",P3245/#REF!,P3245)</f>
        <v>448.76711999999998</v>
      </c>
      <c r="S3245" s="5" t="s">
        <v>42</v>
      </c>
      <c r="T3245" s="5">
        <v>593</v>
      </c>
      <c r="W3245" s="5" t="s">
        <v>65</v>
      </c>
      <c r="X3245" s="5">
        <v>0</v>
      </c>
      <c r="Y3245" s="5">
        <v>0</v>
      </c>
      <c r="Z3245" s="5">
        <v>11.219177999999999</v>
      </c>
      <c r="AA3245" s="5">
        <v>40</v>
      </c>
      <c r="AB3245" s="5">
        <v>448.76711999999998</v>
      </c>
      <c r="AC3245" s="5" t="str">
        <f t="shared" si="154"/>
        <v>Bonos</v>
      </c>
      <c r="AD3245" s="5" t="s">
        <v>43</v>
      </c>
      <c r="AE3245" s="5">
        <f t="shared" si="155"/>
        <v>6</v>
      </c>
      <c r="AF3245" s="5">
        <f t="shared" si="156"/>
        <v>2029</v>
      </c>
    </row>
    <row r="3246" s="5" customFormat="1" ht="13">
      <c r="A3246" s="5">
        <v>12316</v>
      </c>
      <c r="B3246" s="5" t="s">
        <v>78</v>
      </c>
      <c r="C3246" s="5" t="s">
        <v>138</v>
      </c>
      <c r="D3246" s="5" t="s">
        <v>21</v>
      </c>
      <c r="E3246" s="5" t="s">
        <v>34</v>
      </c>
      <c r="F3246" s="5" t="s">
        <v>68</v>
      </c>
      <c r="G3246" s="5" t="s">
        <v>86</v>
      </c>
      <c r="H3246" s="9" t="s">
        <v>139</v>
      </c>
      <c r="I3246" s="10">
        <v>43948</v>
      </c>
      <c r="J3246" s="10">
        <v>47275</v>
      </c>
      <c r="K3246" s="5" t="s">
        <v>140</v>
      </c>
      <c r="L3246" s="5" t="s">
        <v>58</v>
      </c>
      <c r="M3246" s="11">
        <v>0.11</v>
      </c>
      <c r="N3246" s="5" t="e">
        <f>IF(AND(M3246&gt;#REF!,Cartera!O3246="Guaraníes"),"Rendimiento significativo",IF(AND(M3246&gt;#REF!,Cartera!O3246="Dólares americanos"),"Rendimiento significativo","Rendimiento no significativo"))</f>
        <v>#REF!</v>
      </c>
      <c r="O3246" s="5" t="s">
        <v>41</v>
      </c>
      <c r="P3246" s="12">
        <v>537921.43189999997</v>
      </c>
      <c r="Q3246" s="12">
        <f>IF(O3246="Guaraníes",P3246,P3246*#REF!)</f>
        <v>537921.43189999997</v>
      </c>
      <c r="R3246" s="12" t="e">
        <f>IF(O3246="Guaraníes",P3246/#REF!,P3246)</f>
        <v>#REF!</v>
      </c>
      <c r="S3246" s="5" t="s">
        <v>42</v>
      </c>
      <c r="AC3246" s="5" t="str">
        <f t="shared" si="154"/>
        <v>Bonos</v>
      </c>
      <c r="AD3246" s="5" t="s">
        <v>43</v>
      </c>
      <c r="AE3246" s="5">
        <f t="shared" si="155"/>
        <v>6</v>
      </c>
      <c r="AF3246" s="5">
        <f t="shared" si="156"/>
        <v>2029</v>
      </c>
    </row>
    <row r="3247" s="5" customFormat="1" ht="13">
      <c r="A3247" s="5">
        <v>12316</v>
      </c>
      <c r="B3247" s="5" t="s">
        <v>78</v>
      </c>
      <c r="C3247" s="5" t="s">
        <v>160</v>
      </c>
      <c r="D3247" s="5" t="s">
        <v>21</v>
      </c>
      <c r="E3247" s="5" t="s">
        <v>34</v>
      </c>
      <c r="F3247" s="5" t="s">
        <v>68</v>
      </c>
      <c r="G3247" s="5" t="s">
        <v>91</v>
      </c>
      <c r="H3247" s="9" t="s">
        <v>161</v>
      </c>
      <c r="I3247" s="10">
        <v>44581</v>
      </c>
      <c r="J3247" s="10">
        <v>47280</v>
      </c>
      <c r="K3247" s="5" t="s">
        <v>162</v>
      </c>
      <c r="L3247" s="5" t="s">
        <v>58</v>
      </c>
      <c r="M3247" s="11">
        <v>0.086999999999999994</v>
      </c>
      <c r="N3247" s="5" t="e">
        <f>IF(AND(M3247&gt;#REF!,Cartera!O3247="Guaraníes"),"Rendimiento significativo",IF(AND(M3247&gt;#REF!,Cartera!O3247="Dólares americanos"),"Rendimiento significativo","Rendimiento no significativo"))</f>
        <v>#REF!</v>
      </c>
      <c r="O3247" s="5" t="s">
        <v>41</v>
      </c>
      <c r="P3247" s="12">
        <v>17352328.767200001</v>
      </c>
      <c r="Q3247" s="12">
        <f>IF(O3247="Guaraníes",P3247,P3247*#REF!)</f>
        <v>17352328.767200001</v>
      </c>
      <c r="R3247" s="12" t="e">
        <f>IF(O3247="Guaraníes",P3247/#REF!,P3247)</f>
        <v>#REF!</v>
      </c>
      <c r="S3247" s="5" t="s">
        <v>42</v>
      </c>
      <c r="AC3247" s="5" t="str">
        <f t="shared" si="154"/>
        <v>Bonos</v>
      </c>
      <c r="AD3247" s="5" t="s">
        <v>43</v>
      </c>
      <c r="AE3247" s="5">
        <f t="shared" si="155"/>
        <v>6</v>
      </c>
      <c r="AF3247" s="5">
        <f t="shared" si="156"/>
        <v>2029</v>
      </c>
    </row>
    <row r="3248" s="5" customFormat="1" ht="13">
      <c r="A3248" s="5">
        <v>12316</v>
      </c>
      <c r="B3248" s="5" t="s">
        <v>78</v>
      </c>
      <c r="C3248" s="5" t="s">
        <v>54</v>
      </c>
      <c r="D3248" s="5" t="s">
        <v>21</v>
      </c>
      <c r="E3248" s="5" t="s">
        <v>34</v>
      </c>
      <c r="F3248" s="5" t="s">
        <v>46</v>
      </c>
      <c r="G3248" s="5" t="s">
        <v>86</v>
      </c>
      <c r="H3248" s="9" t="s">
        <v>147</v>
      </c>
      <c r="I3248" s="10"/>
      <c r="J3248" s="10">
        <v>47287</v>
      </c>
      <c r="K3248" s="5" t="s">
        <v>57</v>
      </c>
      <c r="L3248" s="5" t="s">
        <v>58</v>
      </c>
      <c r="M3248" s="11">
        <v>0.12</v>
      </c>
      <c r="N3248" s="5" t="e">
        <f>IF(AND(M3248&gt;#REF!,Cartera!O3248="Guaraníes"),"Rendimiento significativo",IF(AND(M3248&gt;#REF!,Cartera!O3248="Dólares americanos"),"Rendimiento significativo","Rendimiento no significativo"))</f>
        <v>#REF!</v>
      </c>
      <c r="O3248" s="5" t="s">
        <v>41</v>
      </c>
      <c r="P3248" s="12">
        <v>2991780.8218999999</v>
      </c>
      <c r="Q3248" s="12">
        <f>IF(O3248="Guaraníes",P3248,P3248*#REF!)</f>
        <v>2991780.8218999999</v>
      </c>
      <c r="R3248" s="12" t="e">
        <f>IF(O3248="Guaraníes",P3248/#REF!,P3248)</f>
        <v>#REF!</v>
      </c>
      <c r="S3248" s="5" t="s">
        <v>42</v>
      </c>
      <c r="T3248" s="5">
        <v>10834</v>
      </c>
      <c r="W3248" s="5" t="s">
        <v>65</v>
      </c>
      <c r="X3248" s="5">
        <v>0</v>
      </c>
      <c r="Y3248" s="5">
        <v>0</v>
      </c>
      <c r="Z3248" s="5">
        <v>29917.808218999999</v>
      </c>
      <c r="AA3248" s="5">
        <v>100</v>
      </c>
      <c r="AB3248" s="5">
        <v>2991780.8218999999</v>
      </c>
      <c r="AC3248" s="5" t="str">
        <f t="shared" si="154"/>
        <v>Bonos</v>
      </c>
      <c r="AD3248" s="5" t="s">
        <v>43</v>
      </c>
      <c r="AE3248" s="5">
        <f t="shared" si="155"/>
        <v>6</v>
      </c>
      <c r="AF3248" s="5">
        <f t="shared" si="156"/>
        <v>2029</v>
      </c>
    </row>
    <row r="3249" s="5" customFormat="1" ht="13">
      <c r="A3249" s="5">
        <v>12316</v>
      </c>
      <c r="B3249" s="5" t="s">
        <v>78</v>
      </c>
      <c r="C3249" s="5" t="s">
        <v>54</v>
      </c>
      <c r="D3249" s="5" t="s">
        <v>21</v>
      </c>
      <c r="E3249" s="5" t="s">
        <v>34</v>
      </c>
      <c r="F3249" s="5" t="s">
        <v>46</v>
      </c>
      <c r="G3249" s="5" t="s">
        <v>86</v>
      </c>
      <c r="H3249" s="9" t="s">
        <v>148</v>
      </c>
      <c r="I3249" s="10"/>
      <c r="J3249" s="10">
        <v>47287</v>
      </c>
      <c r="K3249" s="5" t="s">
        <v>57</v>
      </c>
      <c r="L3249" s="5" t="s">
        <v>58</v>
      </c>
      <c r="M3249" s="11">
        <v>0.097500000000000003</v>
      </c>
      <c r="N3249" s="5" t="e">
        <f>IF(AND(M3249&gt;#REF!,Cartera!O3249="Guaraníes"),"Rendimiento significativo",IF(AND(M3249&gt;#REF!,Cartera!O3249="Dólares americanos"),"Rendimiento significativo","Rendimiento no significativo"))</f>
        <v>#REF!</v>
      </c>
      <c r="O3249" s="5" t="s">
        <v>41</v>
      </c>
      <c r="P3249" s="12">
        <v>12154109.589</v>
      </c>
      <c r="Q3249" s="12">
        <f>IF(O3249="Guaraníes",P3249,P3249*#REF!)</f>
        <v>12154109.589</v>
      </c>
      <c r="R3249" s="12" t="e">
        <f>IF(O3249="Guaraníes",P3249/#REF!,P3249)</f>
        <v>#REF!</v>
      </c>
      <c r="S3249" s="5" t="s">
        <v>42</v>
      </c>
      <c r="T3249" s="5">
        <v>10834</v>
      </c>
      <c r="W3249" s="5" t="s">
        <v>65</v>
      </c>
      <c r="X3249" s="5">
        <v>0</v>
      </c>
      <c r="Y3249" s="5">
        <v>0</v>
      </c>
      <c r="Z3249" s="5">
        <v>24308.219177999999</v>
      </c>
      <c r="AA3249" s="5">
        <v>500</v>
      </c>
      <c r="AB3249" s="5">
        <v>12154109.589</v>
      </c>
      <c r="AC3249" s="5" t="str">
        <f t="shared" si="154"/>
        <v>Bonos</v>
      </c>
      <c r="AD3249" s="5" t="s">
        <v>43</v>
      </c>
      <c r="AE3249" s="5">
        <f t="shared" si="155"/>
        <v>6</v>
      </c>
      <c r="AF3249" s="5">
        <f t="shared" si="156"/>
        <v>2029</v>
      </c>
    </row>
    <row r="3250" s="5" customFormat="1" ht="13">
      <c r="A3250" s="5">
        <v>12316</v>
      </c>
      <c r="B3250" s="5" t="s">
        <v>78</v>
      </c>
      <c r="C3250" s="5" t="s">
        <v>54</v>
      </c>
      <c r="D3250" s="5" t="s">
        <v>21</v>
      </c>
      <c r="E3250" s="5" t="s">
        <v>34</v>
      </c>
      <c r="F3250" s="5" t="s">
        <v>46</v>
      </c>
      <c r="G3250" s="5" t="s">
        <v>75</v>
      </c>
      <c r="H3250" s="9" t="s">
        <v>147</v>
      </c>
      <c r="I3250" s="10"/>
      <c r="J3250" s="10">
        <v>47287</v>
      </c>
      <c r="K3250" s="5" t="s">
        <v>57</v>
      </c>
      <c r="L3250" s="5" t="s">
        <v>58</v>
      </c>
      <c r="M3250" s="11">
        <v>0.12</v>
      </c>
      <c r="N3250" s="5" t="e">
        <f>IF(AND(M3250&gt;#REF!,Cartera!O3250="Guaraníes"),"Rendimiento significativo",IF(AND(M3250&gt;#REF!,Cartera!O3250="Dólares americanos"),"Rendimiento significativo","Rendimiento no significativo"))</f>
        <v>#REF!</v>
      </c>
      <c r="O3250" s="5" t="s">
        <v>41</v>
      </c>
      <c r="P3250" s="12">
        <v>4487671.2328500003</v>
      </c>
      <c r="Q3250" s="12">
        <f>IF(O3250="Guaraníes",P3250,P3250*#REF!)</f>
        <v>4487671.2328500003</v>
      </c>
      <c r="R3250" s="12" t="e">
        <f>IF(O3250="Guaraníes",P3250/#REF!,P3250)</f>
        <v>#REF!</v>
      </c>
      <c r="S3250" s="5" t="s">
        <v>42</v>
      </c>
      <c r="T3250" s="5">
        <v>25</v>
      </c>
      <c r="W3250" s="5" t="s">
        <v>192</v>
      </c>
      <c r="X3250" s="5">
        <v>0</v>
      </c>
      <c r="Y3250" s="5">
        <v>0</v>
      </c>
      <c r="Z3250" s="5">
        <v>29917.808218999999</v>
      </c>
      <c r="AA3250" s="5">
        <v>150</v>
      </c>
      <c r="AB3250" s="5">
        <v>4487671.2328500003</v>
      </c>
      <c r="AC3250" s="5" t="str">
        <f t="shared" si="154"/>
        <v>Bonos</v>
      </c>
      <c r="AD3250" s="5" t="s">
        <v>43</v>
      </c>
      <c r="AE3250" s="5">
        <f t="shared" si="155"/>
        <v>6</v>
      </c>
      <c r="AF3250" s="5">
        <f t="shared" si="156"/>
        <v>2029</v>
      </c>
    </row>
    <row r="3251" s="5" customFormat="1" ht="13">
      <c r="A3251" s="5">
        <v>12316</v>
      </c>
      <c r="B3251" s="5" t="s">
        <v>78</v>
      </c>
      <c r="C3251" s="5" t="s">
        <v>138</v>
      </c>
      <c r="D3251" s="5" t="s">
        <v>21</v>
      </c>
      <c r="E3251" s="5" t="s">
        <v>34</v>
      </c>
      <c r="F3251" s="5" t="s">
        <v>68</v>
      </c>
      <c r="G3251" s="5" t="s">
        <v>86</v>
      </c>
      <c r="H3251" s="9" t="s">
        <v>193</v>
      </c>
      <c r="I3251" s="10">
        <v>44104</v>
      </c>
      <c r="J3251" s="10">
        <v>47288</v>
      </c>
      <c r="K3251" s="5" t="s">
        <v>140</v>
      </c>
      <c r="L3251" s="5" t="s">
        <v>58</v>
      </c>
      <c r="M3251" s="11">
        <v>0.10000000000000001</v>
      </c>
      <c r="N3251" s="5" t="e">
        <f>IF(AND(M3251&gt;#REF!,Cartera!O3251="Guaraníes"),"Rendimiento significativo",IF(AND(M3251&gt;#REF!,Cartera!O3251="Dólares americanos"),"Rendimiento significativo","Rendimiento no significativo"))</f>
        <v>#REF!</v>
      </c>
      <c r="O3251" s="5" t="s">
        <v>41</v>
      </c>
      <c r="P3251" s="12">
        <v>2493150.6849000002</v>
      </c>
      <c r="Q3251" s="12">
        <f>IF(O3251="Guaraníes",P3251,P3251*#REF!)</f>
        <v>2493150.6849000002</v>
      </c>
      <c r="R3251" s="12" t="e">
        <f>IF(O3251="Guaraníes",P3251/#REF!,P3251)</f>
        <v>#REF!</v>
      </c>
      <c r="S3251" s="5" t="s">
        <v>42</v>
      </c>
      <c r="AC3251" s="5" t="str">
        <f t="shared" si="154"/>
        <v>Bonos</v>
      </c>
      <c r="AD3251" s="5" t="s">
        <v>43</v>
      </c>
      <c r="AE3251" s="5">
        <f t="shared" si="155"/>
        <v>6</v>
      </c>
      <c r="AF3251" s="5">
        <f t="shared" si="156"/>
        <v>2029</v>
      </c>
    </row>
    <row r="3252" s="5" customFormat="1" ht="13">
      <c r="A3252" s="5">
        <v>12315</v>
      </c>
      <c r="B3252" s="5" t="s">
        <v>73</v>
      </c>
      <c r="C3252" s="5" t="s">
        <v>74</v>
      </c>
      <c r="D3252" s="5" t="s">
        <v>21</v>
      </c>
      <c r="E3252" s="5" t="s">
        <v>34</v>
      </c>
      <c r="F3252" s="5" t="s">
        <v>68</v>
      </c>
      <c r="G3252" s="5" t="s">
        <v>75</v>
      </c>
      <c r="H3252" s="9" t="s">
        <v>76</v>
      </c>
      <c r="I3252" s="10"/>
      <c r="J3252" s="10">
        <v>47301</v>
      </c>
      <c r="K3252" s="5" t="s">
        <v>77</v>
      </c>
      <c r="L3252" s="5" t="s">
        <v>50</v>
      </c>
      <c r="M3252" s="11">
        <v>0.055</v>
      </c>
      <c r="N3252" s="5" t="e">
        <f>IF(AND(M3252&gt;#REF!,Cartera!O3252="Guaraníes"),"Rendimiento significativo",IF(AND(M3252&gt;#REF!,Cartera!O3252="Dólares americanos"),"Rendimiento significativo","Rendimiento no significativo"))</f>
        <v>#REF!</v>
      </c>
      <c r="O3252" s="5" t="s">
        <v>51</v>
      </c>
      <c r="P3252" s="13">
        <v>411.36986999999999</v>
      </c>
      <c r="Q3252" s="12" t="e">
        <f>IF(O3252="Guaraníes",P3252,P3252*#REF!)</f>
        <v>#REF!</v>
      </c>
      <c r="R3252" s="12">
        <f>IF(O3252="Guaraníes",P3252/#REF!,P3252)</f>
        <v>411.36986999999999</v>
      </c>
      <c r="S3252" s="5" t="s">
        <v>42</v>
      </c>
      <c r="T3252" s="5">
        <v>25</v>
      </c>
      <c r="W3252" s="5" t="s">
        <v>65</v>
      </c>
      <c r="X3252" s="5">
        <v>0</v>
      </c>
      <c r="Y3252" s="5">
        <v>0</v>
      </c>
      <c r="Z3252" s="5">
        <v>13.712329</v>
      </c>
      <c r="AA3252" s="5">
        <v>30</v>
      </c>
      <c r="AB3252" s="5">
        <v>411.37</v>
      </c>
      <c r="AC3252" s="5" t="str">
        <f t="shared" si="154"/>
        <v>Bonos</v>
      </c>
      <c r="AD3252" s="5" t="s">
        <v>43</v>
      </c>
      <c r="AE3252" s="5">
        <f t="shared" si="155"/>
        <v>7</v>
      </c>
      <c r="AF3252" s="5">
        <f t="shared" si="156"/>
        <v>2029</v>
      </c>
    </row>
    <row r="3253" s="5" customFormat="1" ht="13">
      <c r="A3253" s="5">
        <v>12316</v>
      </c>
      <c r="B3253" s="5" t="s">
        <v>78</v>
      </c>
      <c r="C3253" s="5" t="s">
        <v>138</v>
      </c>
      <c r="D3253" s="5" t="s">
        <v>21</v>
      </c>
      <c r="E3253" s="5" t="s">
        <v>34</v>
      </c>
      <c r="F3253" s="5" t="s">
        <v>68</v>
      </c>
      <c r="G3253" s="5" t="s">
        <v>86</v>
      </c>
      <c r="H3253" s="9" t="s">
        <v>139</v>
      </c>
      <c r="I3253" s="10">
        <v>43948</v>
      </c>
      <c r="J3253" s="10">
        <v>47305</v>
      </c>
      <c r="K3253" s="5" t="s">
        <v>140</v>
      </c>
      <c r="L3253" s="5" t="s">
        <v>58</v>
      </c>
      <c r="M3253" s="11">
        <v>0.11</v>
      </c>
      <c r="N3253" s="5" t="e">
        <f>IF(AND(M3253&gt;#REF!,Cartera!O3253="Guaraníes"),"Rendimiento significativo",IF(AND(M3253&gt;#REF!,Cartera!O3253="Dólares americanos"),"Rendimiento significativo","Rendimiento no significativo"))</f>
        <v>#REF!</v>
      </c>
      <c r="O3253" s="5" t="s">
        <v>41</v>
      </c>
      <c r="P3253" s="12">
        <v>525643.48540000001</v>
      </c>
      <c r="Q3253" s="12">
        <f>IF(O3253="Guaraníes",P3253,P3253*#REF!)</f>
        <v>525643.48540000001</v>
      </c>
      <c r="R3253" s="12" t="e">
        <f>IF(O3253="Guaraníes",P3253/#REF!,P3253)</f>
        <v>#REF!</v>
      </c>
      <c r="S3253" s="5" t="s">
        <v>42</v>
      </c>
      <c r="AC3253" s="5" t="str">
        <f t="shared" si="154"/>
        <v>Bonos</v>
      </c>
      <c r="AD3253" s="5" t="s">
        <v>43</v>
      </c>
      <c r="AE3253" s="5">
        <f t="shared" si="155"/>
        <v>7</v>
      </c>
      <c r="AF3253" s="5">
        <f t="shared" si="156"/>
        <v>2029</v>
      </c>
    </row>
    <row r="3254" s="5" customFormat="1" ht="13">
      <c r="A3254" s="5">
        <v>12315</v>
      </c>
      <c r="B3254" s="5" t="s">
        <v>73</v>
      </c>
      <c r="C3254" s="5" t="s">
        <v>33</v>
      </c>
      <c r="D3254" s="5" t="s">
        <v>21</v>
      </c>
      <c r="E3254" s="5" t="s">
        <v>34</v>
      </c>
      <c r="F3254" s="5" t="s">
        <v>35</v>
      </c>
      <c r="G3254" s="5" t="s">
        <v>141</v>
      </c>
      <c r="H3254" s="9" t="s">
        <v>142</v>
      </c>
      <c r="I3254" s="10">
        <v>44956</v>
      </c>
      <c r="J3254" s="10">
        <v>47323</v>
      </c>
      <c r="K3254" s="5" t="s">
        <v>39</v>
      </c>
      <c r="L3254" s="5" t="s">
        <v>50</v>
      </c>
      <c r="M3254" s="11">
        <v>0.065000000000000002</v>
      </c>
      <c r="N3254" s="5" t="e">
        <f>IF(AND(M3254&gt;#REF!,Cartera!O3254="Guaraníes"),"Rendimiento significativo",IF(AND(M3254&gt;#REF!,Cartera!O3254="Dólares americanos"),"Rendimiento significativo","Rendimiento no significativo"))</f>
        <v>#REF!</v>
      </c>
      <c r="O3254" s="5" t="s">
        <v>51</v>
      </c>
      <c r="P3254" s="13">
        <v>1296.43832</v>
      </c>
      <c r="Q3254" s="12" t="e">
        <f>IF(O3254="Guaraníes",P3254,P3254*#REF!)</f>
        <v>#REF!</v>
      </c>
      <c r="R3254" s="12">
        <f>IF(O3254="Guaraníes",P3254/#REF!,P3254)</f>
        <v>1296.43832</v>
      </c>
      <c r="S3254" s="5" t="s">
        <v>42</v>
      </c>
      <c r="AC3254" s="5" t="str">
        <f t="shared" si="154"/>
        <v>Bonos</v>
      </c>
      <c r="AD3254" s="5" t="s">
        <v>43</v>
      </c>
      <c r="AE3254" s="5">
        <f t="shared" si="155"/>
        <v>7</v>
      </c>
      <c r="AF3254" s="5">
        <f t="shared" si="156"/>
        <v>2029</v>
      </c>
    </row>
    <row r="3255" s="5" customFormat="1" ht="13">
      <c r="A3255" s="5">
        <v>12316</v>
      </c>
      <c r="B3255" s="5" t="s">
        <v>78</v>
      </c>
      <c r="C3255" s="5" t="s">
        <v>138</v>
      </c>
      <c r="D3255" s="5" t="s">
        <v>21</v>
      </c>
      <c r="E3255" s="5" t="s">
        <v>34</v>
      </c>
      <c r="F3255" s="5" t="s">
        <v>68</v>
      </c>
      <c r="G3255" s="5" t="s">
        <v>86</v>
      </c>
      <c r="H3255" s="9" t="s">
        <v>139</v>
      </c>
      <c r="I3255" s="10">
        <v>43948</v>
      </c>
      <c r="J3255" s="10">
        <v>47336</v>
      </c>
      <c r="K3255" s="5" t="s">
        <v>140</v>
      </c>
      <c r="L3255" s="5" t="s">
        <v>58</v>
      </c>
      <c r="M3255" s="11">
        <v>0.11</v>
      </c>
      <c r="N3255" s="5" t="e">
        <f>IF(AND(M3255&gt;#REF!,Cartera!O3255="Guaraníes"),"Rendimiento significativo",IF(AND(M3255&gt;#REF!,Cartera!O3255="Dólares americanos"),"Rendimiento significativo","Rendimiento no significativo"))</f>
        <v>#REF!</v>
      </c>
      <c r="O3255" s="5" t="s">
        <v>41</v>
      </c>
      <c r="P3255" s="12">
        <v>530361.42379999999</v>
      </c>
      <c r="Q3255" s="12">
        <f>IF(O3255="Guaraníes",P3255,P3255*#REF!)</f>
        <v>530361.42379999999</v>
      </c>
      <c r="R3255" s="12" t="e">
        <f>IF(O3255="Guaraníes",P3255/#REF!,P3255)</f>
        <v>#REF!</v>
      </c>
      <c r="S3255" s="5" t="s">
        <v>42</v>
      </c>
      <c r="AC3255" s="5" t="str">
        <f t="shared" ref="AC3255:AC3318" si="157">IF(ISNUMBER(SEARCH("Acciones",L3255)),"Acciones",IF(ISNUMBER(SEARCH("Bono",L3255)),"Bonos",IF(ISNUMBER(SEARCH("CDA",L3255)),"CDA",IF(ISNUMBER(SEARCH("Fondo",L3255)),"Fondo",0))))</f>
        <v>Bonos</v>
      </c>
      <c r="AD3255" s="5" t="s">
        <v>43</v>
      </c>
      <c r="AE3255" s="5">
        <f t="shared" si="155"/>
        <v>8</v>
      </c>
      <c r="AF3255" s="5">
        <f t="shared" si="156"/>
        <v>2029</v>
      </c>
    </row>
    <row r="3256" s="5" customFormat="1" ht="13">
      <c r="A3256" s="5">
        <v>12316</v>
      </c>
      <c r="B3256" s="5" t="s">
        <v>78</v>
      </c>
      <c r="C3256" s="5" t="s">
        <v>99</v>
      </c>
      <c r="D3256" s="5" t="s">
        <v>21</v>
      </c>
      <c r="E3256" s="5" t="s">
        <v>34</v>
      </c>
      <c r="F3256" s="5" t="s">
        <v>100</v>
      </c>
      <c r="G3256" s="5" t="s">
        <v>91</v>
      </c>
      <c r="H3256" s="9" t="s">
        <v>174</v>
      </c>
      <c r="I3256" s="10">
        <v>44971</v>
      </c>
      <c r="J3256" s="10">
        <v>47345</v>
      </c>
      <c r="K3256" s="5" t="s">
        <v>102</v>
      </c>
      <c r="L3256" s="5" t="s">
        <v>102</v>
      </c>
      <c r="M3256" s="11">
        <v>0.090300000000000005</v>
      </c>
      <c r="N3256" s="5" t="e">
        <f>IF(AND(M3256&gt;#REF!,Cartera!O3256="Guaraníes"),"Rendimiento significativo",IF(AND(M3256&gt;#REF!,Cartera!O3256="Dólares americanos"),"Rendimiento significativo","Rendimiento no significativo"))</f>
        <v>#REF!</v>
      </c>
      <c r="O3256" s="5" t="s">
        <v>41</v>
      </c>
      <c r="P3256" s="12">
        <v>20407800</v>
      </c>
      <c r="Q3256" s="12">
        <f>IF(O3256="Guaraníes",P3256,P3256*#REF!)</f>
        <v>20407800</v>
      </c>
      <c r="R3256" s="12" t="e">
        <f>IF(O3256="Guaraníes",P3256/#REF!,P3256)</f>
        <v>#REF!</v>
      </c>
      <c r="S3256" s="5" t="s">
        <v>42</v>
      </c>
      <c r="AC3256" s="5" t="str">
        <f t="shared" si="157"/>
        <v>Bonos</v>
      </c>
      <c r="AD3256" s="5" t="s">
        <v>43</v>
      </c>
      <c r="AE3256" s="5">
        <f t="shared" si="155"/>
        <v>8</v>
      </c>
      <c r="AF3256" s="5">
        <f t="shared" si="156"/>
        <v>2029</v>
      </c>
    </row>
    <row r="3257" s="5" customFormat="1" ht="13">
      <c r="A3257" s="5">
        <v>12316</v>
      </c>
      <c r="B3257" s="5" t="s">
        <v>78</v>
      </c>
      <c r="C3257" s="5" t="s">
        <v>99</v>
      </c>
      <c r="D3257" s="5" t="s">
        <v>21</v>
      </c>
      <c r="E3257" s="5" t="s">
        <v>34</v>
      </c>
      <c r="F3257" s="5" t="s">
        <v>100</v>
      </c>
      <c r="G3257" s="5" t="s">
        <v>86</v>
      </c>
      <c r="H3257" s="9" t="s">
        <v>155</v>
      </c>
      <c r="I3257" s="10"/>
      <c r="J3257" s="10">
        <v>47364</v>
      </c>
      <c r="K3257" s="5" t="s">
        <v>102</v>
      </c>
      <c r="L3257" s="5" t="s">
        <v>102</v>
      </c>
      <c r="M3257" s="11">
        <v>0.081000000000000003</v>
      </c>
      <c r="N3257" s="5" t="e">
        <f>IF(AND(M3257&gt;#REF!,Cartera!O3257="Guaraníes"),"Rendimiento significativo",IF(AND(M3257&gt;#REF!,Cartera!O3257="Dólares americanos"),"Rendimiento significativo","Rendimiento no significativo"))</f>
        <v>#REF!</v>
      </c>
      <c r="O3257" s="5" t="s">
        <v>41</v>
      </c>
      <c r="P3257" s="12">
        <v>28000000</v>
      </c>
      <c r="Q3257" s="12">
        <f>IF(O3257="Guaraníes",P3257,P3257*#REF!)</f>
        <v>28000000</v>
      </c>
      <c r="R3257" s="12" t="e">
        <f>IF(O3257="Guaraníes",P3257/#REF!,P3257)</f>
        <v>#REF!</v>
      </c>
      <c r="S3257" s="5" t="s">
        <v>42</v>
      </c>
      <c r="T3257" s="5">
        <v>10834</v>
      </c>
      <c r="W3257" s="5" t="s">
        <v>65</v>
      </c>
      <c r="X3257" s="5">
        <v>0</v>
      </c>
      <c r="Y3257" s="5">
        <v>0</v>
      </c>
      <c r="Z3257" s="5">
        <v>40000</v>
      </c>
      <c r="AA3257" s="5">
        <v>700</v>
      </c>
      <c r="AB3257" s="5">
        <v>28000000</v>
      </c>
      <c r="AC3257" s="5" t="str">
        <f t="shared" si="157"/>
        <v>Bonos</v>
      </c>
      <c r="AD3257" s="5" t="s">
        <v>43</v>
      </c>
      <c r="AE3257" s="5">
        <f t="shared" si="155"/>
        <v>9</v>
      </c>
      <c r="AF3257" s="5">
        <f t="shared" si="156"/>
        <v>2029</v>
      </c>
    </row>
    <row r="3258" s="5" customFormat="1" ht="13">
      <c r="A3258" s="5">
        <v>12316</v>
      </c>
      <c r="B3258" s="5" t="s">
        <v>78</v>
      </c>
      <c r="C3258" s="5" t="s">
        <v>99</v>
      </c>
      <c r="D3258" s="5" t="s">
        <v>21</v>
      </c>
      <c r="E3258" s="5" t="s">
        <v>34</v>
      </c>
      <c r="F3258" s="5" t="s">
        <v>100</v>
      </c>
      <c r="G3258" s="5" t="s">
        <v>75</v>
      </c>
      <c r="H3258" s="9" t="s">
        <v>159</v>
      </c>
      <c r="I3258" s="10"/>
      <c r="J3258" s="10">
        <v>47364</v>
      </c>
      <c r="K3258" s="5" t="s">
        <v>102</v>
      </c>
      <c r="L3258" s="5" t="s">
        <v>102</v>
      </c>
      <c r="M3258" s="11">
        <v>0.078</v>
      </c>
      <c r="N3258" s="5" t="e">
        <f>IF(AND(M3258&gt;#REF!,Cartera!O3258="Guaraníes"),"Rendimiento significativo",IF(AND(M3258&gt;#REF!,Cartera!O3258="Dólares americanos"),"Rendimiento significativo","Rendimiento no significativo"))</f>
        <v>#REF!</v>
      </c>
      <c r="O3258" s="5" t="s">
        <v>41</v>
      </c>
      <c r="P3258" s="12">
        <v>31200000</v>
      </c>
      <c r="Q3258" s="12">
        <f>IF(O3258="Guaraníes",P3258,P3258*#REF!)</f>
        <v>31200000</v>
      </c>
      <c r="R3258" s="12" t="e">
        <f>IF(O3258="Guaraníes",P3258/#REF!,P3258)</f>
        <v>#REF!</v>
      </c>
      <c r="S3258" s="5" t="s">
        <v>42</v>
      </c>
      <c r="T3258" s="5">
        <v>25</v>
      </c>
      <c r="W3258" s="5" t="s">
        <v>65</v>
      </c>
      <c r="X3258" s="5">
        <v>0</v>
      </c>
      <c r="Y3258" s="5">
        <v>0</v>
      </c>
      <c r="Z3258" s="5">
        <v>39000</v>
      </c>
      <c r="AA3258" s="5">
        <v>800</v>
      </c>
      <c r="AB3258" s="5">
        <v>31200000</v>
      </c>
      <c r="AC3258" s="5" t="str">
        <f t="shared" si="157"/>
        <v>Bonos</v>
      </c>
      <c r="AD3258" s="5" t="s">
        <v>43</v>
      </c>
      <c r="AE3258" s="5">
        <f t="shared" si="155"/>
        <v>9</v>
      </c>
      <c r="AF3258" s="5">
        <f t="shared" si="156"/>
        <v>2029</v>
      </c>
    </row>
    <row r="3259" s="5" customFormat="1" ht="13">
      <c r="A3259" s="5">
        <v>12316</v>
      </c>
      <c r="B3259" s="5" t="s">
        <v>78</v>
      </c>
      <c r="C3259" s="5" t="s">
        <v>99</v>
      </c>
      <c r="D3259" s="5" t="s">
        <v>21</v>
      </c>
      <c r="E3259" s="5" t="s">
        <v>34</v>
      </c>
      <c r="F3259" s="5" t="s">
        <v>100</v>
      </c>
      <c r="G3259" s="5" t="s">
        <v>145</v>
      </c>
      <c r="H3259" s="9" t="s">
        <v>159</v>
      </c>
      <c r="I3259" s="10">
        <v>44657</v>
      </c>
      <c r="J3259" s="10">
        <v>47364</v>
      </c>
      <c r="K3259" s="5" t="s">
        <v>102</v>
      </c>
      <c r="L3259" s="5" t="s">
        <v>102</v>
      </c>
      <c r="M3259" s="11">
        <v>0.078</v>
      </c>
      <c r="N3259" s="5" t="e">
        <f>IF(AND(M3259&gt;#REF!,Cartera!O3259="Guaraníes"),"Rendimiento significativo",IF(AND(M3259&gt;#REF!,Cartera!O3259="Dólares americanos"),"Rendimiento significativo","Rendimiento no significativo"))</f>
        <v>#REF!</v>
      </c>
      <c r="O3259" s="5" t="s">
        <v>41</v>
      </c>
      <c r="P3259" s="12">
        <v>35100000</v>
      </c>
      <c r="Q3259" s="12">
        <f>IF(O3259="Guaraníes",P3259,P3259*#REF!)</f>
        <v>35100000</v>
      </c>
      <c r="R3259" s="12" t="e">
        <f>IF(O3259="Guaraníes",P3259/#REF!,P3259)</f>
        <v>#REF!</v>
      </c>
      <c r="S3259" s="5" t="s">
        <v>42</v>
      </c>
      <c r="V3259" s="5">
        <v>39000</v>
      </c>
      <c r="AA3259" s="5">
        <v>900</v>
      </c>
      <c r="AC3259" s="5" t="str">
        <f t="shared" si="157"/>
        <v>Bonos</v>
      </c>
      <c r="AD3259" s="5" t="s">
        <v>43</v>
      </c>
      <c r="AE3259" s="5">
        <f t="shared" si="155"/>
        <v>9</v>
      </c>
      <c r="AF3259" s="5">
        <f t="shared" si="156"/>
        <v>2029</v>
      </c>
    </row>
    <row r="3260" s="5" customFormat="1" ht="13">
      <c r="A3260" s="5">
        <v>12315</v>
      </c>
      <c r="B3260" s="5" t="s">
        <v>73</v>
      </c>
      <c r="C3260" s="5" t="s">
        <v>33</v>
      </c>
      <c r="D3260" s="5" t="s">
        <v>21</v>
      </c>
      <c r="E3260" s="5" t="s">
        <v>34</v>
      </c>
      <c r="F3260" s="5" t="s">
        <v>35</v>
      </c>
      <c r="G3260" s="5" t="s">
        <v>75</v>
      </c>
      <c r="H3260" s="9" t="s">
        <v>186</v>
      </c>
      <c r="I3260" s="10"/>
      <c r="J3260" s="10">
        <v>47366</v>
      </c>
      <c r="K3260" s="5" t="s">
        <v>39</v>
      </c>
      <c r="L3260" s="5" t="s">
        <v>50</v>
      </c>
      <c r="M3260" s="11">
        <v>0.044999999999999998</v>
      </c>
      <c r="N3260" s="5" t="e">
        <f>IF(AND(M3260&gt;#REF!,Cartera!O3260="Guaraníes"),"Rendimiento significativo",IF(AND(M3260&gt;#REF!,Cartera!O3260="Dólares americanos"),"Rendimiento significativo","Rendimiento no significativo"))</f>
        <v>#REF!</v>
      </c>
      <c r="O3260" s="5" t="s">
        <v>51</v>
      </c>
      <c r="P3260" s="13">
        <v>336.57533999999998</v>
      </c>
      <c r="Q3260" s="12" t="e">
        <f>IF(O3260="Guaraníes",P3260,P3260*#REF!)</f>
        <v>#REF!</v>
      </c>
      <c r="R3260" s="12">
        <f>IF(O3260="Guaraníes",P3260/#REF!,P3260)</f>
        <v>336.57533999999998</v>
      </c>
      <c r="S3260" s="5" t="s">
        <v>42</v>
      </c>
      <c r="T3260" s="5">
        <v>25</v>
      </c>
      <c r="W3260" s="5" t="s">
        <v>65</v>
      </c>
      <c r="X3260" s="5">
        <v>0</v>
      </c>
      <c r="Y3260" s="5">
        <v>0</v>
      </c>
      <c r="Z3260" s="5">
        <v>11.219177999999999</v>
      </c>
      <c r="AA3260" s="5">
        <v>30</v>
      </c>
      <c r="AB3260" s="5">
        <v>336.57533999999998</v>
      </c>
      <c r="AC3260" s="5" t="str">
        <f t="shared" si="157"/>
        <v>Bonos</v>
      </c>
      <c r="AD3260" s="5" t="s">
        <v>43</v>
      </c>
      <c r="AE3260" s="5">
        <f t="shared" si="155"/>
        <v>9</v>
      </c>
      <c r="AF3260" s="5">
        <f t="shared" si="156"/>
        <v>2029</v>
      </c>
    </row>
    <row r="3261" s="5" customFormat="1" ht="13">
      <c r="A3261" s="5">
        <v>12315</v>
      </c>
      <c r="B3261" s="5" t="s">
        <v>73</v>
      </c>
      <c r="C3261" s="5" t="s">
        <v>33</v>
      </c>
      <c r="D3261" s="5" t="s">
        <v>21</v>
      </c>
      <c r="E3261" s="5" t="s">
        <v>34</v>
      </c>
      <c r="F3261" s="5" t="s">
        <v>35</v>
      </c>
      <c r="G3261" s="5" t="s">
        <v>69</v>
      </c>
      <c r="H3261" s="9" t="s">
        <v>186</v>
      </c>
      <c r="I3261" s="10"/>
      <c r="J3261" s="10">
        <v>47366</v>
      </c>
      <c r="K3261" s="5" t="s">
        <v>39</v>
      </c>
      <c r="L3261" s="5" t="s">
        <v>50</v>
      </c>
      <c r="M3261" s="11">
        <v>0.044999999999999998</v>
      </c>
      <c r="N3261" s="5" t="e">
        <f>IF(AND(M3261&gt;#REF!,Cartera!O3261="Guaraníes"),"Rendimiento significativo",IF(AND(M3261&gt;#REF!,Cartera!O3261="Dólares americanos"),"Rendimiento significativo","Rendimiento no significativo"))</f>
        <v>#REF!</v>
      </c>
      <c r="O3261" s="5" t="s">
        <v>51</v>
      </c>
      <c r="P3261" s="13">
        <v>448.76711999999998</v>
      </c>
      <c r="Q3261" s="12" t="e">
        <f>IF(O3261="Guaraníes",P3261,P3261*#REF!)</f>
        <v>#REF!</v>
      </c>
      <c r="R3261" s="12">
        <f>IF(O3261="Guaraníes",P3261/#REF!,P3261)</f>
        <v>448.76711999999998</v>
      </c>
      <c r="S3261" s="5" t="s">
        <v>42</v>
      </c>
      <c r="T3261" s="5">
        <v>593</v>
      </c>
      <c r="W3261" s="5" t="s">
        <v>65</v>
      </c>
      <c r="X3261" s="5">
        <v>0</v>
      </c>
      <c r="Y3261" s="5">
        <v>0</v>
      </c>
      <c r="Z3261" s="5">
        <v>11.219177999999999</v>
      </c>
      <c r="AA3261" s="5">
        <v>40</v>
      </c>
      <c r="AB3261" s="5">
        <v>448.76711999999998</v>
      </c>
      <c r="AC3261" s="5" t="str">
        <f t="shared" si="157"/>
        <v>Bonos</v>
      </c>
      <c r="AD3261" s="5" t="s">
        <v>43</v>
      </c>
      <c r="AE3261" s="5">
        <f t="shared" si="155"/>
        <v>9</v>
      </c>
      <c r="AF3261" s="5">
        <f t="shared" si="156"/>
        <v>2029</v>
      </c>
    </row>
    <row r="3262" s="5" customFormat="1" ht="13">
      <c r="A3262" s="5">
        <v>12316</v>
      </c>
      <c r="B3262" s="5" t="s">
        <v>78</v>
      </c>
      <c r="C3262" s="5" t="s">
        <v>138</v>
      </c>
      <c r="D3262" s="5" t="s">
        <v>21</v>
      </c>
      <c r="E3262" s="5" t="s">
        <v>34</v>
      </c>
      <c r="F3262" s="5" t="s">
        <v>68</v>
      </c>
      <c r="G3262" s="5" t="s">
        <v>86</v>
      </c>
      <c r="H3262" s="9" t="s">
        <v>139</v>
      </c>
      <c r="I3262" s="10">
        <v>43948</v>
      </c>
      <c r="J3262" s="10">
        <v>47366</v>
      </c>
      <c r="K3262" s="5" t="s">
        <v>140</v>
      </c>
      <c r="L3262" s="5" t="s">
        <v>58</v>
      </c>
      <c r="M3262" s="11">
        <v>0.11</v>
      </c>
      <c r="N3262" s="5" t="e">
        <f>IF(AND(M3262&gt;#REF!,Cartera!O3262="Guaraníes"),"Rendimiento significativo",IF(AND(M3262&gt;#REF!,Cartera!O3262="Dólares americanos"),"Rendimiento significativo","Rendimiento no significativo"))</f>
        <v>#REF!</v>
      </c>
      <c r="O3262" s="5" t="s">
        <v>41</v>
      </c>
      <c r="P3262" s="12">
        <v>500748.91639999999</v>
      </c>
      <c r="Q3262" s="12">
        <f>IF(O3262="Guaraníes",P3262,P3262*#REF!)</f>
        <v>500748.91639999999</v>
      </c>
      <c r="R3262" s="12" t="e">
        <f>IF(O3262="Guaraníes",P3262/#REF!,P3262)</f>
        <v>#REF!</v>
      </c>
      <c r="S3262" s="5" t="s">
        <v>42</v>
      </c>
      <c r="AC3262" s="5" t="str">
        <f t="shared" si="157"/>
        <v>Bonos</v>
      </c>
      <c r="AD3262" s="5" t="s">
        <v>43</v>
      </c>
      <c r="AE3262" s="5">
        <f t="shared" si="155"/>
        <v>9</v>
      </c>
      <c r="AF3262" s="5">
        <f t="shared" si="156"/>
        <v>2029</v>
      </c>
    </row>
    <row r="3263" s="5" customFormat="1" ht="13">
      <c r="A3263" s="5">
        <v>12316</v>
      </c>
      <c r="B3263" s="5" t="s">
        <v>78</v>
      </c>
      <c r="C3263" s="5" t="s">
        <v>183</v>
      </c>
      <c r="D3263" s="5" t="s">
        <v>21</v>
      </c>
      <c r="E3263" s="5" t="s">
        <v>34</v>
      </c>
      <c r="F3263" s="5" t="s">
        <v>184</v>
      </c>
      <c r="H3263" s="9">
        <v>6217</v>
      </c>
      <c r="I3263" s="10"/>
      <c r="J3263" s="10">
        <v>47368</v>
      </c>
      <c r="K3263" s="5" t="s">
        <v>124</v>
      </c>
      <c r="L3263" s="5" t="s">
        <v>82</v>
      </c>
      <c r="M3263" s="11">
        <v>0.072499999999999995</v>
      </c>
      <c r="N3263" s="5" t="e">
        <f>IF(AND(M3263&gt;#REF!,Cartera!O3263="Guaraníes"),"Rendimiento significativo",IF(AND(M3263&gt;#REF!,Cartera!O3263="Dólares americanos"),"Rendimiento significativo","Rendimiento no significativo"))</f>
        <v>#REF!</v>
      </c>
      <c r="O3263" s="5" t="s">
        <v>41</v>
      </c>
      <c r="P3263" s="12">
        <v>17442280</v>
      </c>
      <c r="Q3263" s="12">
        <f>IF(O3263="Guaraníes",P3263,P3263*#REF!)</f>
        <v>17442280</v>
      </c>
      <c r="R3263" s="12" t="e">
        <f>IF(O3263="Guaraníes",P3263/#REF!,P3263)</f>
        <v>#REF!</v>
      </c>
      <c r="S3263" s="5" t="s">
        <v>42</v>
      </c>
      <c r="V3263" s="5">
        <v>17442280</v>
      </c>
      <c r="W3263" s="5" t="s">
        <v>720</v>
      </c>
      <c r="AC3263" s="5" t="str">
        <f t="shared" si="157"/>
        <v>CDA</v>
      </c>
      <c r="AD3263" s="5" t="s">
        <v>43</v>
      </c>
      <c r="AE3263" s="5">
        <f t="shared" si="155"/>
        <v>9</v>
      </c>
      <c r="AF3263" s="5">
        <f t="shared" si="156"/>
        <v>2029</v>
      </c>
    </row>
    <row r="3264" s="5" customFormat="1" ht="13">
      <c r="A3264" s="5">
        <v>12316</v>
      </c>
      <c r="B3264" s="5" t="s">
        <v>78</v>
      </c>
      <c r="C3264" s="5" t="s">
        <v>54</v>
      </c>
      <c r="D3264" s="5" t="s">
        <v>21</v>
      </c>
      <c r="E3264" s="5" t="s">
        <v>34</v>
      </c>
      <c r="F3264" s="5" t="s">
        <v>46</v>
      </c>
      <c r="G3264" s="5" t="s">
        <v>86</v>
      </c>
      <c r="H3264" s="9" t="s">
        <v>147</v>
      </c>
      <c r="I3264" s="10"/>
      <c r="J3264" s="10">
        <v>47378</v>
      </c>
      <c r="K3264" s="5" t="s">
        <v>57</v>
      </c>
      <c r="L3264" s="5" t="s">
        <v>58</v>
      </c>
      <c r="M3264" s="11">
        <v>0.12</v>
      </c>
      <c r="N3264" s="5" t="e">
        <f>IF(AND(M3264&gt;#REF!,Cartera!O3264="Guaraníes"),"Rendimiento significativo",IF(AND(M3264&gt;#REF!,Cartera!O3264="Dólares americanos"),"Rendimiento significativo","Rendimiento no significativo"))</f>
        <v>#REF!</v>
      </c>
      <c r="O3264" s="5" t="s">
        <v>41</v>
      </c>
      <c r="P3264" s="12">
        <v>2991780.8218999999</v>
      </c>
      <c r="Q3264" s="12">
        <f>IF(O3264="Guaraníes",P3264,P3264*#REF!)</f>
        <v>2991780.8218999999</v>
      </c>
      <c r="R3264" s="12" t="e">
        <f>IF(O3264="Guaraníes",P3264/#REF!,P3264)</f>
        <v>#REF!</v>
      </c>
      <c r="S3264" s="5" t="s">
        <v>42</v>
      </c>
      <c r="T3264" s="5">
        <v>10834</v>
      </c>
      <c r="W3264" s="5" t="s">
        <v>65</v>
      </c>
      <c r="X3264" s="5">
        <v>0</v>
      </c>
      <c r="Y3264" s="5">
        <v>0</v>
      </c>
      <c r="Z3264" s="5">
        <v>29917.808218999999</v>
      </c>
      <c r="AA3264" s="5">
        <v>100</v>
      </c>
      <c r="AB3264" s="5">
        <v>2991780.8218999999</v>
      </c>
      <c r="AC3264" s="5" t="str">
        <f t="shared" si="157"/>
        <v>Bonos</v>
      </c>
      <c r="AD3264" s="5" t="s">
        <v>43</v>
      </c>
      <c r="AE3264" s="5">
        <f t="shared" si="155"/>
        <v>9</v>
      </c>
      <c r="AF3264" s="5">
        <f t="shared" si="156"/>
        <v>2029</v>
      </c>
    </row>
    <row r="3265" s="5" customFormat="1" ht="13">
      <c r="A3265" s="5">
        <v>12316</v>
      </c>
      <c r="B3265" s="5" t="s">
        <v>78</v>
      </c>
      <c r="C3265" s="5" t="s">
        <v>54</v>
      </c>
      <c r="D3265" s="5" t="s">
        <v>21</v>
      </c>
      <c r="E3265" s="5" t="s">
        <v>34</v>
      </c>
      <c r="F3265" s="5" t="s">
        <v>46</v>
      </c>
      <c r="G3265" s="5" t="s">
        <v>86</v>
      </c>
      <c r="H3265" s="9" t="s">
        <v>148</v>
      </c>
      <c r="I3265" s="10"/>
      <c r="J3265" s="10">
        <v>47378</v>
      </c>
      <c r="K3265" s="5" t="s">
        <v>57</v>
      </c>
      <c r="L3265" s="5" t="s">
        <v>58</v>
      </c>
      <c r="M3265" s="11">
        <v>0.097500000000000003</v>
      </c>
      <c r="N3265" s="5" t="e">
        <f>IF(AND(M3265&gt;#REF!,Cartera!O3265="Guaraníes"),"Rendimiento significativo",IF(AND(M3265&gt;#REF!,Cartera!O3265="Dólares americanos"),"Rendimiento significativo","Rendimiento no significativo"))</f>
        <v>#REF!</v>
      </c>
      <c r="O3265" s="5" t="s">
        <v>41</v>
      </c>
      <c r="P3265" s="12">
        <v>12154109.589</v>
      </c>
      <c r="Q3265" s="12">
        <f>IF(O3265="Guaraníes",P3265,P3265*#REF!)</f>
        <v>12154109.589</v>
      </c>
      <c r="R3265" s="12" t="e">
        <f>IF(O3265="Guaraníes",P3265/#REF!,P3265)</f>
        <v>#REF!</v>
      </c>
      <c r="S3265" s="5" t="s">
        <v>42</v>
      </c>
      <c r="T3265" s="5">
        <v>10834</v>
      </c>
      <c r="W3265" s="5" t="s">
        <v>65</v>
      </c>
      <c r="X3265" s="5">
        <v>0</v>
      </c>
      <c r="Y3265" s="5">
        <v>0</v>
      </c>
      <c r="Z3265" s="5">
        <v>24308.219177999999</v>
      </c>
      <c r="AA3265" s="5">
        <v>500</v>
      </c>
      <c r="AB3265" s="5">
        <v>12154109.589</v>
      </c>
      <c r="AC3265" s="5" t="str">
        <f t="shared" si="157"/>
        <v>Bonos</v>
      </c>
      <c r="AD3265" s="5" t="s">
        <v>43</v>
      </c>
      <c r="AE3265" s="5">
        <f t="shared" si="155"/>
        <v>9</v>
      </c>
      <c r="AF3265" s="5">
        <f t="shared" si="156"/>
        <v>2029</v>
      </c>
    </row>
    <row r="3266" s="5" customFormat="1" ht="13">
      <c r="A3266" s="5">
        <v>12316</v>
      </c>
      <c r="B3266" s="5" t="s">
        <v>78</v>
      </c>
      <c r="C3266" s="5" t="s">
        <v>54</v>
      </c>
      <c r="D3266" s="5" t="s">
        <v>21</v>
      </c>
      <c r="E3266" s="5" t="s">
        <v>34</v>
      </c>
      <c r="F3266" s="5" t="s">
        <v>46</v>
      </c>
      <c r="G3266" s="5" t="s">
        <v>75</v>
      </c>
      <c r="H3266" s="9" t="s">
        <v>147</v>
      </c>
      <c r="I3266" s="10"/>
      <c r="J3266" s="10">
        <v>47378</v>
      </c>
      <c r="K3266" s="5" t="s">
        <v>57</v>
      </c>
      <c r="L3266" s="5" t="s">
        <v>58</v>
      </c>
      <c r="M3266" s="11">
        <v>0.12</v>
      </c>
      <c r="N3266" s="5" t="e">
        <f>IF(AND(M3266&gt;#REF!,Cartera!O3266="Guaraníes"),"Rendimiento significativo",IF(AND(M3266&gt;#REF!,Cartera!O3266="Dólares americanos"),"Rendimiento significativo","Rendimiento no significativo"))</f>
        <v>#REF!</v>
      </c>
      <c r="O3266" s="5" t="s">
        <v>41</v>
      </c>
      <c r="P3266" s="12">
        <v>4487671.2328500003</v>
      </c>
      <c r="Q3266" s="12">
        <f>IF(O3266="Guaraníes",P3266,P3266*#REF!)</f>
        <v>4487671.2328500003</v>
      </c>
      <c r="R3266" s="12" t="e">
        <f>IF(O3266="Guaraníes",P3266/#REF!,P3266)</f>
        <v>#REF!</v>
      </c>
      <c r="S3266" s="5" t="s">
        <v>42</v>
      </c>
      <c r="T3266" s="5">
        <v>25</v>
      </c>
      <c r="W3266" s="5" t="s">
        <v>192</v>
      </c>
      <c r="X3266" s="5">
        <v>0</v>
      </c>
      <c r="Y3266" s="5">
        <v>0</v>
      </c>
      <c r="Z3266" s="5">
        <v>29917.808218999999</v>
      </c>
      <c r="AA3266" s="5">
        <v>150</v>
      </c>
      <c r="AB3266" s="5">
        <v>4487671.2328500003</v>
      </c>
      <c r="AC3266" s="5" t="str">
        <f t="shared" si="157"/>
        <v>Bonos</v>
      </c>
      <c r="AD3266" s="5" t="s">
        <v>43</v>
      </c>
      <c r="AE3266" s="5">
        <f t="shared" si="155"/>
        <v>9</v>
      </c>
      <c r="AF3266" s="5">
        <f t="shared" si="156"/>
        <v>2029</v>
      </c>
    </row>
    <row r="3267" s="5" customFormat="1" ht="13">
      <c r="A3267" s="5">
        <v>12316</v>
      </c>
      <c r="B3267" s="5" t="s">
        <v>78</v>
      </c>
      <c r="C3267" s="5" t="s">
        <v>138</v>
      </c>
      <c r="D3267" s="5" t="s">
        <v>21</v>
      </c>
      <c r="E3267" s="5" t="s">
        <v>34</v>
      </c>
      <c r="F3267" s="5" t="s">
        <v>68</v>
      </c>
      <c r="G3267" s="5" t="s">
        <v>86</v>
      </c>
      <c r="H3267" s="9" t="s">
        <v>193</v>
      </c>
      <c r="I3267" s="10">
        <v>44104</v>
      </c>
      <c r="J3267" s="10">
        <v>47379</v>
      </c>
      <c r="K3267" s="5" t="s">
        <v>140</v>
      </c>
      <c r="L3267" s="5" t="s">
        <v>58</v>
      </c>
      <c r="M3267" s="11">
        <v>0.10000000000000001</v>
      </c>
      <c r="N3267" s="5" t="e">
        <f>IF(AND(M3267&gt;#REF!,Cartera!O3267="Guaraníes"),"Rendimiento significativo",IF(AND(M3267&gt;#REF!,Cartera!O3267="Dólares americanos"),"Rendimiento significativo","Rendimiento no significativo"))</f>
        <v>#REF!</v>
      </c>
      <c r="O3267" s="5" t="s">
        <v>41</v>
      </c>
      <c r="P3267" s="12">
        <v>2493150.6849000002</v>
      </c>
      <c r="Q3267" s="12">
        <f>IF(O3267="Guaraníes",P3267,P3267*#REF!)</f>
        <v>2493150.6849000002</v>
      </c>
      <c r="R3267" s="12" t="e">
        <f>IF(O3267="Guaraníes",P3267/#REF!,P3267)</f>
        <v>#REF!</v>
      </c>
      <c r="S3267" s="5" t="s">
        <v>42</v>
      </c>
      <c r="AC3267" s="5" t="str">
        <f t="shared" si="157"/>
        <v>Bonos</v>
      </c>
      <c r="AD3267" s="5" t="s">
        <v>43</v>
      </c>
      <c r="AE3267" s="5">
        <f t="shared" si="155"/>
        <v>9</v>
      </c>
      <c r="AF3267" s="5">
        <f t="shared" si="156"/>
        <v>2029</v>
      </c>
    </row>
    <row r="3268" s="5" customFormat="1" ht="13">
      <c r="A3268" s="5">
        <v>12315</v>
      </c>
      <c r="B3268" s="5" t="s">
        <v>73</v>
      </c>
      <c r="C3268" s="5" t="s">
        <v>116</v>
      </c>
      <c r="D3268" s="5" t="s">
        <v>21</v>
      </c>
      <c r="E3268" s="5" t="s">
        <v>34</v>
      </c>
      <c r="F3268" s="5" t="s">
        <v>68</v>
      </c>
      <c r="G3268" s="5" t="s">
        <v>69</v>
      </c>
      <c r="H3268" s="9" t="s">
        <v>194</v>
      </c>
      <c r="I3268" s="10"/>
      <c r="J3268" s="10">
        <v>47380</v>
      </c>
      <c r="K3268" s="5" t="s">
        <v>118</v>
      </c>
      <c r="L3268" s="5" t="s">
        <v>50</v>
      </c>
      <c r="M3268" s="11">
        <v>0.065000000000000002</v>
      </c>
      <c r="N3268" s="5" t="e">
        <f>IF(AND(M3268&gt;#REF!,Cartera!O3268="Guaraníes"),"Rendimiento significativo",IF(AND(M3268&gt;#REF!,Cartera!O3268="Dólares americanos"),"Rendimiento significativo","Rendimiento no significativo"))</f>
        <v>#REF!</v>
      </c>
      <c r="O3268" s="5" t="s">
        <v>51</v>
      </c>
      <c r="P3268" s="13">
        <v>324.10958999999997</v>
      </c>
      <c r="Q3268" s="12" t="e">
        <f>IF(O3268="Guaraníes",P3268,P3268*#REF!)</f>
        <v>#REF!</v>
      </c>
      <c r="R3268" s="12">
        <f>IF(O3268="Guaraníes",P3268/#REF!,P3268)</f>
        <v>324.10958999999997</v>
      </c>
      <c r="S3268" s="5" t="s">
        <v>42</v>
      </c>
      <c r="T3268" s="5">
        <v>593</v>
      </c>
      <c r="W3268" s="5" t="s">
        <v>218</v>
      </c>
      <c r="X3268" s="5">
        <v>0</v>
      </c>
      <c r="Y3268" s="5">
        <v>0</v>
      </c>
      <c r="Z3268" s="5">
        <v>32.410958999999998</v>
      </c>
      <c r="AA3268" s="5">
        <v>10</v>
      </c>
      <c r="AB3268" s="5">
        <v>324.10959000000003</v>
      </c>
      <c r="AC3268" s="5" t="str">
        <f t="shared" si="157"/>
        <v>Bonos</v>
      </c>
      <c r="AD3268" s="5" t="s">
        <v>43</v>
      </c>
      <c r="AE3268" s="5">
        <f t="shared" si="155"/>
        <v>9</v>
      </c>
      <c r="AF3268" s="5">
        <f t="shared" si="156"/>
        <v>2029</v>
      </c>
    </row>
    <row r="3269" s="5" customFormat="1" ht="13">
      <c r="A3269" s="5">
        <v>12315</v>
      </c>
      <c r="B3269" s="5" t="s">
        <v>73</v>
      </c>
      <c r="C3269" s="5" t="s">
        <v>212</v>
      </c>
      <c r="D3269" s="5" t="s">
        <v>21</v>
      </c>
      <c r="E3269" s="5" t="s">
        <v>34</v>
      </c>
      <c r="F3269" s="5" t="s">
        <v>68</v>
      </c>
      <c r="G3269" s="5" t="s">
        <v>86</v>
      </c>
      <c r="H3269" s="9" t="s">
        <v>213</v>
      </c>
      <c r="I3269" s="10">
        <v>44651</v>
      </c>
      <c r="J3269" s="10">
        <v>47381</v>
      </c>
      <c r="K3269" s="5" t="s">
        <v>81</v>
      </c>
      <c r="L3269" s="5" t="s">
        <v>58</v>
      </c>
      <c r="M3269" s="11">
        <v>0.053499999999999999</v>
      </c>
      <c r="N3269" s="5" t="e">
        <f>IF(AND(M3269&gt;#REF!,Cartera!O3269="Guaraníes"),"Rendimiento significativo",IF(AND(M3269&gt;#REF!,Cartera!O3269="Dólares americanos"),"Rendimiento significativo","Rendimiento no significativo"))</f>
        <v>#REF!</v>
      </c>
      <c r="O3269" s="5" t="s">
        <v>51</v>
      </c>
      <c r="P3269" s="13">
        <v>2667.6712000000002</v>
      </c>
      <c r="Q3269" s="12" t="e">
        <f>IF(O3269="Guaraníes",P3269,P3269*#REF!)</f>
        <v>#REF!</v>
      </c>
      <c r="R3269" s="12">
        <f>IF(O3269="Guaraníes",P3269/#REF!,P3269)</f>
        <v>2667.6712000000002</v>
      </c>
      <c r="S3269" s="5" t="s">
        <v>42</v>
      </c>
      <c r="V3269" s="5">
        <v>26.676711999999998</v>
      </c>
      <c r="AA3269" s="5">
        <v>100</v>
      </c>
      <c r="AC3269" s="5" t="str">
        <f t="shared" si="157"/>
        <v>Bonos</v>
      </c>
      <c r="AD3269" s="5" t="s">
        <v>43</v>
      </c>
      <c r="AE3269" s="5">
        <f t="shared" si="155"/>
        <v>9</v>
      </c>
      <c r="AF3269" s="5">
        <f t="shared" si="156"/>
        <v>2029</v>
      </c>
    </row>
    <row r="3270" s="5" customFormat="1" ht="13">
      <c r="A3270" s="5">
        <v>12315</v>
      </c>
      <c r="B3270" s="5" t="s">
        <v>73</v>
      </c>
      <c r="C3270" s="5" t="s">
        <v>74</v>
      </c>
      <c r="D3270" s="5" t="s">
        <v>21</v>
      </c>
      <c r="E3270" s="5" t="s">
        <v>34</v>
      </c>
      <c r="F3270" s="5" t="s">
        <v>68</v>
      </c>
      <c r="G3270" s="5" t="s">
        <v>75</v>
      </c>
      <c r="H3270" s="9" t="s">
        <v>76</v>
      </c>
      <c r="I3270" s="10"/>
      <c r="J3270" s="10">
        <v>47392</v>
      </c>
      <c r="K3270" s="5" t="s">
        <v>77</v>
      </c>
      <c r="L3270" s="5" t="s">
        <v>50</v>
      </c>
      <c r="M3270" s="11">
        <v>0.055</v>
      </c>
      <c r="N3270" s="5" t="e">
        <f>IF(AND(M3270&gt;#REF!,Cartera!O3270="Guaraníes"),"Rendimiento significativo",IF(AND(M3270&gt;#REF!,Cartera!O3270="Dólares americanos"),"Rendimiento significativo","Rendimiento no significativo"))</f>
        <v>#REF!</v>
      </c>
      <c r="O3270" s="5" t="s">
        <v>51</v>
      </c>
      <c r="P3270" s="13">
        <v>411.36986999999999</v>
      </c>
      <c r="Q3270" s="12" t="e">
        <f>IF(O3270="Guaraníes",P3270,P3270*#REF!)</f>
        <v>#REF!</v>
      </c>
      <c r="R3270" s="12">
        <f>IF(O3270="Guaraníes",P3270/#REF!,P3270)</f>
        <v>411.36986999999999</v>
      </c>
      <c r="S3270" s="5" t="s">
        <v>42</v>
      </c>
      <c r="T3270" s="5">
        <v>25</v>
      </c>
      <c r="W3270" s="5" t="s">
        <v>65</v>
      </c>
      <c r="X3270" s="5">
        <v>0</v>
      </c>
      <c r="Y3270" s="5">
        <v>0</v>
      </c>
      <c r="Z3270" s="5">
        <v>13.712329</v>
      </c>
      <c r="AA3270" s="5">
        <v>30</v>
      </c>
      <c r="AB3270" s="5">
        <v>411.37</v>
      </c>
      <c r="AC3270" s="5" t="str">
        <f t="shared" si="157"/>
        <v>Bonos</v>
      </c>
      <c r="AD3270" s="5" t="s">
        <v>43</v>
      </c>
      <c r="AE3270" s="5">
        <f t="shared" si="155"/>
        <v>10</v>
      </c>
      <c r="AF3270" s="5">
        <f t="shared" si="156"/>
        <v>2029</v>
      </c>
    </row>
    <row r="3271" s="5" customFormat="1" ht="13">
      <c r="A3271" s="5">
        <v>12316</v>
      </c>
      <c r="B3271" s="5" t="s">
        <v>78</v>
      </c>
      <c r="C3271" s="5" t="s">
        <v>138</v>
      </c>
      <c r="D3271" s="5" t="s">
        <v>21</v>
      </c>
      <c r="E3271" s="5" t="s">
        <v>34</v>
      </c>
      <c r="F3271" s="5" t="s">
        <v>68</v>
      </c>
      <c r="G3271" s="5" t="s">
        <v>86</v>
      </c>
      <c r="H3271" s="9" t="s">
        <v>139</v>
      </c>
      <c r="I3271" s="10">
        <v>43948</v>
      </c>
      <c r="J3271" s="10">
        <v>47399</v>
      </c>
      <c r="K3271" s="5" t="s">
        <v>140</v>
      </c>
      <c r="L3271" s="5" t="s">
        <v>58</v>
      </c>
      <c r="M3271" s="11">
        <v>0.11</v>
      </c>
      <c r="N3271" s="5" t="e">
        <f>IF(AND(M3271&gt;#REF!,Cartera!O3271="Guaraníes"),"Rendimiento significativo",IF(AND(M3271&gt;#REF!,Cartera!O3271="Dólares americanos"),"Rendimiento significativo","Rendimiento no significativo"))</f>
        <v>#REF!</v>
      </c>
      <c r="O3271" s="5" t="s">
        <v>41</v>
      </c>
      <c r="P3271" s="12">
        <v>536943.24399999995</v>
      </c>
      <c r="Q3271" s="12">
        <f>IF(O3271="Guaraníes",P3271,P3271*#REF!)</f>
        <v>536943.24399999995</v>
      </c>
      <c r="R3271" s="12" t="e">
        <f>IF(O3271="Guaraníes",P3271/#REF!,P3271)</f>
        <v>#REF!</v>
      </c>
      <c r="S3271" s="5" t="s">
        <v>42</v>
      </c>
      <c r="AC3271" s="5" t="str">
        <f t="shared" si="157"/>
        <v>Bonos</v>
      </c>
      <c r="AD3271" s="5" t="s">
        <v>43</v>
      </c>
      <c r="AE3271" s="5">
        <f t="shared" si="155"/>
        <v>10</v>
      </c>
      <c r="AF3271" s="5">
        <f t="shared" si="156"/>
        <v>2029</v>
      </c>
    </row>
    <row r="3272" s="5" customFormat="1" ht="13">
      <c r="A3272" s="5">
        <v>12315</v>
      </c>
      <c r="B3272" s="5" t="s">
        <v>73</v>
      </c>
      <c r="C3272" s="5" t="s">
        <v>33</v>
      </c>
      <c r="D3272" s="5" t="s">
        <v>21</v>
      </c>
      <c r="E3272" s="5" t="s">
        <v>34</v>
      </c>
      <c r="F3272" s="5" t="s">
        <v>35</v>
      </c>
      <c r="G3272" s="5" t="s">
        <v>141</v>
      </c>
      <c r="H3272" s="9" t="s">
        <v>142</v>
      </c>
      <c r="I3272" s="10">
        <v>44956</v>
      </c>
      <c r="J3272" s="10">
        <v>47414</v>
      </c>
      <c r="K3272" s="5" t="s">
        <v>39</v>
      </c>
      <c r="L3272" s="5" t="s">
        <v>50</v>
      </c>
      <c r="M3272" s="11">
        <v>0.065000000000000002</v>
      </c>
      <c r="N3272" s="5" t="e">
        <f>IF(AND(M3272&gt;#REF!,Cartera!O3272="Guaraníes"),"Rendimiento significativo",IF(AND(M3272&gt;#REF!,Cartera!O3272="Dólares americanos"),"Rendimiento significativo","Rendimiento no significativo"))</f>
        <v>#REF!</v>
      </c>
      <c r="O3272" s="5" t="s">
        <v>51</v>
      </c>
      <c r="P3272" s="13">
        <v>1296.43832</v>
      </c>
      <c r="Q3272" s="12" t="e">
        <f>IF(O3272="Guaraníes",P3272,P3272*#REF!)</f>
        <v>#REF!</v>
      </c>
      <c r="R3272" s="12">
        <f>IF(O3272="Guaraníes",P3272/#REF!,P3272)</f>
        <v>1296.43832</v>
      </c>
      <c r="S3272" s="5" t="s">
        <v>42</v>
      </c>
      <c r="AC3272" s="5" t="str">
        <f t="shared" si="157"/>
        <v>Bonos</v>
      </c>
      <c r="AD3272" s="5" t="s">
        <v>43</v>
      </c>
      <c r="AE3272" s="5">
        <f t="shared" si="155"/>
        <v>10</v>
      </c>
      <c r="AF3272" s="5">
        <f t="shared" si="156"/>
        <v>2029</v>
      </c>
    </row>
    <row r="3273" s="5" customFormat="1" ht="13">
      <c r="A3273" s="5">
        <v>12316</v>
      </c>
      <c r="B3273" s="5" t="s">
        <v>78</v>
      </c>
      <c r="C3273" s="5" t="s">
        <v>138</v>
      </c>
      <c r="D3273" s="5" t="s">
        <v>21</v>
      </c>
      <c r="E3273" s="5" t="s">
        <v>34</v>
      </c>
      <c r="F3273" s="5" t="s">
        <v>68</v>
      </c>
      <c r="G3273" s="5" t="s">
        <v>86</v>
      </c>
      <c r="H3273" s="9" t="s">
        <v>139</v>
      </c>
      <c r="I3273" s="10">
        <v>43948</v>
      </c>
      <c r="J3273" s="10">
        <v>47429</v>
      </c>
      <c r="K3273" s="5" t="s">
        <v>140</v>
      </c>
      <c r="L3273" s="5" t="s">
        <v>58</v>
      </c>
      <c r="M3273" s="11">
        <v>0.11</v>
      </c>
      <c r="N3273" s="5" t="e">
        <f>IF(AND(M3273&gt;#REF!,Cartera!O3273="Guaraníes"),"Rendimiento significativo",IF(AND(M3273&gt;#REF!,Cartera!O3273="Dólares americanos"),"Rendimiento significativo","Rendimiento no significativo"))</f>
        <v>#REF!</v>
      </c>
      <c r="O3273" s="5" t="s">
        <v>41</v>
      </c>
      <c r="P3273" s="12">
        <v>475395.85550000001</v>
      </c>
      <c r="Q3273" s="12">
        <f>IF(O3273="Guaraníes",P3273,P3273*#REF!)</f>
        <v>475395.85550000001</v>
      </c>
      <c r="R3273" s="12" t="e">
        <f>IF(O3273="Guaraníes",P3273/#REF!,P3273)</f>
        <v>#REF!</v>
      </c>
      <c r="S3273" s="5" t="s">
        <v>42</v>
      </c>
      <c r="AC3273" s="5" t="str">
        <f t="shared" si="157"/>
        <v>Bonos</v>
      </c>
      <c r="AD3273" s="5" t="s">
        <v>43</v>
      </c>
      <c r="AE3273" s="5">
        <f t="shared" si="155"/>
        <v>11</v>
      </c>
      <c r="AF3273" s="5">
        <f t="shared" si="156"/>
        <v>2029</v>
      </c>
    </row>
    <row r="3274" s="5" customFormat="1" ht="13">
      <c r="A3274" s="5">
        <v>12316</v>
      </c>
      <c r="B3274" s="5" t="s">
        <v>78</v>
      </c>
      <c r="C3274" s="5" t="s">
        <v>183</v>
      </c>
      <c r="D3274" s="5" t="s">
        <v>21</v>
      </c>
      <c r="E3274" s="5" t="s">
        <v>34</v>
      </c>
      <c r="F3274" s="5" t="s">
        <v>184</v>
      </c>
      <c r="H3274" s="9">
        <v>6389</v>
      </c>
      <c r="I3274" s="10"/>
      <c r="J3274" s="10">
        <v>47431</v>
      </c>
      <c r="K3274" s="5" t="s">
        <v>124</v>
      </c>
      <c r="L3274" s="5" t="s">
        <v>82</v>
      </c>
      <c r="M3274" s="11">
        <v>0.079000000000000001</v>
      </c>
      <c r="N3274" s="5" t="e">
        <f>IF(AND(M3274&gt;#REF!,Cartera!O3274="Guaraníes"),"Rendimiento significativo",IF(AND(M3274&gt;#REF!,Cartera!O3274="Dólares americanos"),"Rendimiento significativo","Rendimiento no significativo"))</f>
        <v>#REF!</v>
      </c>
      <c r="O3274" s="5" t="s">
        <v>41</v>
      </c>
      <c r="P3274" s="12">
        <v>9956240</v>
      </c>
      <c r="Q3274" s="12">
        <f>IF(O3274="Guaraníes",P3274,P3274*#REF!)</f>
        <v>9956240</v>
      </c>
      <c r="R3274" s="12" t="e">
        <f>IF(O3274="Guaraníes",P3274/#REF!,P3274)</f>
        <v>#REF!</v>
      </c>
      <c r="S3274" s="5" t="s">
        <v>42</v>
      </c>
      <c r="V3274" s="5">
        <v>9956240</v>
      </c>
      <c r="W3274" s="5" t="s">
        <v>712</v>
      </c>
      <c r="AC3274" s="5" t="str">
        <f t="shared" si="157"/>
        <v>CDA</v>
      </c>
      <c r="AD3274" s="5" t="s">
        <v>43</v>
      </c>
      <c r="AE3274" s="5">
        <f t="shared" si="155"/>
        <v>11</v>
      </c>
      <c r="AF3274" s="5">
        <f t="shared" si="156"/>
        <v>2029</v>
      </c>
    </row>
    <row r="3275" s="5" customFormat="1" ht="13">
      <c r="A3275" s="5">
        <v>12316</v>
      </c>
      <c r="B3275" s="5" t="s">
        <v>78</v>
      </c>
      <c r="C3275" s="5" t="s">
        <v>183</v>
      </c>
      <c r="D3275" s="5" t="s">
        <v>21</v>
      </c>
      <c r="E3275" s="5" t="s">
        <v>34</v>
      </c>
      <c r="F3275" s="5" t="s">
        <v>184</v>
      </c>
      <c r="H3275" s="9">
        <v>6390</v>
      </c>
      <c r="I3275" s="10"/>
      <c r="J3275" s="10">
        <v>47431</v>
      </c>
      <c r="K3275" s="5" t="s">
        <v>124</v>
      </c>
      <c r="L3275" s="5" t="s">
        <v>82</v>
      </c>
      <c r="M3275" s="11">
        <v>0.079000000000000001</v>
      </c>
      <c r="N3275" s="5" t="e">
        <f>IF(AND(M3275&gt;#REF!,Cartera!O3275="Guaraníes"),"Rendimiento significativo",IF(AND(M3275&gt;#REF!,Cartera!O3275="Dólares americanos"),"Rendimiento significativo","Rendimiento no significativo"))</f>
        <v>#REF!</v>
      </c>
      <c r="O3275" s="5" t="s">
        <v>41</v>
      </c>
      <c r="P3275" s="12">
        <v>9956240</v>
      </c>
      <c r="Q3275" s="12">
        <f>IF(O3275="Guaraníes",P3275,P3275*#REF!)</f>
        <v>9956240</v>
      </c>
      <c r="R3275" s="12" t="e">
        <f>IF(O3275="Guaraníes",P3275/#REF!,P3275)</f>
        <v>#REF!</v>
      </c>
      <c r="S3275" s="5" t="s">
        <v>42</v>
      </c>
      <c r="V3275" s="5">
        <v>9956240</v>
      </c>
      <c r="W3275" s="5" t="s">
        <v>712</v>
      </c>
      <c r="AC3275" s="5" t="str">
        <f t="shared" si="157"/>
        <v>CDA</v>
      </c>
      <c r="AD3275" s="5" t="s">
        <v>43</v>
      </c>
      <c r="AE3275" s="5">
        <f t="shared" si="155"/>
        <v>11</v>
      </c>
      <c r="AF3275" s="5">
        <f t="shared" si="156"/>
        <v>2029</v>
      </c>
    </row>
    <row r="3276" s="5" customFormat="1" ht="13">
      <c r="A3276" s="5">
        <v>12316</v>
      </c>
      <c r="B3276" s="5" t="s">
        <v>78</v>
      </c>
      <c r="C3276" s="5" t="s">
        <v>183</v>
      </c>
      <c r="D3276" s="5" t="s">
        <v>21</v>
      </c>
      <c r="E3276" s="5" t="s">
        <v>34</v>
      </c>
      <c r="F3276" s="5" t="s">
        <v>184</v>
      </c>
      <c r="H3276" s="9">
        <v>6391</v>
      </c>
      <c r="I3276" s="10"/>
      <c r="J3276" s="10">
        <v>47431</v>
      </c>
      <c r="K3276" s="5" t="s">
        <v>124</v>
      </c>
      <c r="L3276" s="5" t="s">
        <v>82</v>
      </c>
      <c r="M3276" s="11">
        <v>0.079000000000000001</v>
      </c>
      <c r="N3276" s="5" t="e">
        <f>IF(AND(M3276&gt;#REF!,Cartera!O3276="Guaraníes"),"Rendimiento significativo",IF(AND(M3276&gt;#REF!,Cartera!O3276="Dólares americanos"),"Rendimiento significativo","Rendimiento no significativo"))</f>
        <v>#REF!</v>
      </c>
      <c r="O3276" s="5" t="s">
        <v>41</v>
      </c>
      <c r="P3276" s="12">
        <v>9956240</v>
      </c>
      <c r="Q3276" s="12">
        <f>IF(O3276="Guaraníes",P3276,P3276*#REF!)</f>
        <v>9956240</v>
      </c>
      <c r="R3276" s="12" t="e">
        <f>IF(O3276="Guaraníes",P3276/#REF!,P3276)</f>
        <v>#REF!</v>
      </c>
      <c r="S3276" s="5" t="s">
        <v>42</v>
      </c>
      <c r="V3276" s="5">
        <v>9956240</v>
      </c>
      <c r="W3276" s="5" t="s">
        <v>712</v>
      </c>
      <c r="AC3276" s="5" t="str">
        <f t="shared" si="157"/>
        <v>CDA</v>
      </c>
      <c r="AD3276" s="5" t="s">
        <v>43</v>
      </c>
      <c r="AE3276" s="5">
        <f t="shared" si="155"/>
        <v>11</v>
      </c>
      <c r="AF3276" s="5">
        <f t="shared" si="156"/>
        <v>2029</v>
      </c>
    </row>
    <row r="3277" s="5" customFormat="1" ht="13">
      <c r="A3277" s="5">
        <v>12316</v>
      </c>
      <c r="B3277" s="5" t="s">
        <v>78</v>
      </c>
      <c r="C3277" s="5" t="s">
        <v>183</v>
      </c>
      <c r="D3277" s="5" t="s">
        <v>21</v>
      </c>
      <c r="E3277" s="5" t="s">
        <v>34</v>
      </c>
      <c r="F3277" s="5" t="s">
        <v>184</v>
      </c>
      <c r="H3277" s="9">
        <v>6388</v>
      </c>
      <c r="I3277" s="10"/>
      <c r="J3277" s="10">
        <v>47431</v>
      </c>
      <c r="K3277" s="5" t="s">
        <v>124</v>
      </c>
      <c r="L3277" s="5" t="s">
        <v>82</v>
      </c>
      <c r="M3277" s="11">
        <v>0.079000000000000001</v>
      </c>
      <c r="N3277" s="5" t="e">
        <f>IF(AND(M3277&gt;#REF!,Cartera!O3277="Guaraníes"),"Rendimiento significativo",IF(AND(M3277&gt;#REF!,Cartera!O3277="Dólares americanos"),"Rendimiento significativo","Rendimiento no significativo"))</f>
        <v>#REF!</v>
      </c>
      <c r="O3277" s="5" t="s">
        <v>41</v>
      </c>
      <c r="P3277" s="12">
        <v>9956240</v>
      </c>
      <c r="Q3277" s="12">
        <f>IF(O3277="Guaraníes",P3277,P3277*#REF!)</f>
        <v>9956240</v>
      </c>
      <c r="R3277" s="12" t="e">
        <f>IF(O3277="Guaraníes",P3277/#REF!,P3277)</f>
        <v>#REF!</v>
      </c>
      <c r="S3277" s="5" t="s">
        <v>42</v>
      </c>
      <c r="V3277" s="5">
        <v>9685690</v>
      </c>
      <c r="W3277" s="5" t="s">
        <v>721</v>
      </c>
      <c r="AC3277" s="5" t="str">
        <f t="shared" si="157"/>
        <v>CDA</v>
      </c>
      <c r="AD3277" s="5" t="s">
        <v>43</v>
      </c>
      <c r="AE3277" s="5">
        <f t="shared" si="155"/>
        <v>11</v>
      </c>
      <c r="AF3277" s="5">
        <f t="shared" si="156"/>
        <v>2029</v>
      </c>
    </row>
    <row r="3278" s="5" customFormat="1" ht="13">
      <c r="A3278" s="5">
        <v>12315</v>
      </c>
      <c r="B3278" s="5" t="s">
        <v>73</v>
      </c>
      <c r="C3278" s="5" t="s">
        <v>33</v>
      </c>
      <c r="D3278" s="5" t="s">
        <v>21</v>
      </c>
      <c r="E3278" s="5" t="s">
        <v>34</v>
      </c>
      <c r="F3278" s="5" t="s">
        <v>35</v>
      </c>
      <c r="G3278" s="5" t="s">
        <v>75</v>
      </c>
      <c r="H3278" s="9" t="s">
        <v>186</v>
      </c>
      <c r="I3278" s="10"/>
      <c r="J3278" s="10">
        <v>47457</v>
      </c>
      <c r="K3278" s="5" t="s">
        <v>39</v>
      </c>
      <c r="L3278" s="5" t="s">
        <v>50</v>
      </c>
      <c r="M3278" s="11">
        <v>0.044999999999999998</v>
      </c>
      <c r="N3278" s="5" t="e">
        <f>IF(AND(M3278&gt;#REF!,Cartera!O3278="Guaraníes"),"Rendimiento significativo",IF(AND(M3278&gt;#REF!,Cartera!O3278="Dólares americanos"),"Rendimiento significativo","Rendimiento no significativo"))</f>
        <v>#REF!</v>
      </c>
      <c r="O3278" s="5" t="s">
        <v>51</v>
      </c>
      <c r="P3278" s="13">
        <v>336.57533999999998</v>
      </c>
      <c r="Q3278" s="12" t="e">
        <f>IF(O3278="Guaraníes",P3278,P3278*#REF!)</f>
        <v>#REF!</v>
      </c>
      <c r="R3278" s="12">
        <f>IF(O3278="Guaraníes",P3278/#REF!,P3278)</f>
        <v>336.57533999999998</v>
      </c>
      <c r="S3278" s="5" t="s">
        <v>42</v>
      </c>
      <c r="T3278" s="5">
        <v>25</v>
      </c>
      <c r="W3278" s="5" t="s">
        <v>65</v>
      </c>
      <c r="X3278" s="5">
        <v>0</v>
      </c>
      <c r="Y3278" s="5">
        <v>0</v>
      </c>
      <c r="Z3278" s="5">
        <v>11.219177999999999</v>
      </c>
      <c r="AA3278" s="5">
        <v>30</v>
      </c>
      <c r="AB3278" s="5">
        <v>336.57533999999998</v>
      </c>
      <c r="AC3278" s="5" t="str">
        <f t="shared" si="157"/>
        <v>Bonos</v>
      </c>
      <c r="AD3278" s="5" t="s">
        <v>43</v>
      </c>
      <c r="AE3278" s="5">
        <f t="shared" si="155"/>
        <v>12</v>
      </c>
      <c r="AF3278" s="5">
        <f t="shared" si="156"/>
        <v>2029</v>
      </c>
    </row>
    <row r="3279" s="5" customFormat="1" ht="13">
      <c r="A3279" s="5">
        <v>12315</v>
      </c>
      <c r="B3279" s="5" t="s">
        <v>73</v>
      </c>
      <c r="C3279" s="5" t="s">
        <v>33</v>
      </c>
      <c r="D3279" s="5" t="s">
        <v>21</v>
      </c>
      <c r="E3279" s="5" t="s">
        <v>34</v>
      </c>
      <c r="F3279" s="5" t="s">
        <v>35</v>
      </c>
      <c r="G3279" s="5" t="s">
        <v>69</v>
      </c>
      <c r="H3279" s="9" t="s">
        <v>186</v>
      </c>
      <c r="I3279" s="10"/>
      <c r="J3279" s="10">
        <v>47457</v>
      </c>
      <c r="K3279" s="5" t="s">
        <v>39</v>
      </c>
      <c r="L3279" s="5" t="s">
        <v>50</v>
      </c>
      <c r="M3279" s="11">
        <v>0.044999999999999998</v>
      </c>
      <c r="N3279" s="5" t="e">
        <f>IF(AND(M3279&gt;#REF!,Cartera!O3279="Guaraníes"),"Rendimiento significativo",IF(AND(M3279&gt;#REF!,Cartera!O3279="Dólares americanos"),"Rendimiento significativo","Rendimiento no significativo"))</f>
        <v>#REF!</v>
      </c>
      <c r="O3279" s="5" t="s">
        <v>51</v>
      </c>
      <c r="P3279" s="13">
        <v>448.76711999999998</v>
      </c>
      <c r="Q3279" s="12" t="e">
        <f>IF(O3279="Guaraníes",P3279,P3279*#REF!)</f>
        <v>#REF!</v>
      </c>
      <c r="R3279" s="12">
        <f>IF(O3279="Guaraníes",P3279/#REF!,P3279)</f>
        <v>448.76711999999998</v>
      </c>
      <c r="S3279" s="5" t="s">
        <v>42</v>
      </c>
      <c r="T3279" s="5">
        <v>593</v>
      </c>
      <c r="W3279" s="5" t="s">
        <v>65</v>
      </c>
      <c r="X3279" s="5">
        <v>0</v>
      </c>
      <c r="Y3279" s="5">
        <v>0</v>
      </c>
      <c r="Z3279" s="5">
        <v>11.219177999999999</v>
      </c>
      <c r="AA3279" s="5">
        <v>40</v>
      </c>
      <c r="AB3279" s="5">
        <v>448.76711999999998</v>
      </c>
      <c r="AC3279" s="5" t="str">
        <f t="shared" si="157"/>
        <v>Bonos</v>
      </c>
      <c r="AD3279" s="5" t="s">
        <v>43</v>
      </c>
      <c r="AE3279" s="5">
        <f t="shared" si="155"/>
        <v>12</v>
      </c>
      <c r="AF3279" s="5">
        <f t="shared" si="156"/>
        <v>2029</v>
      </c>
    </row>
    <row r="3280" s="5" customFormat="1" ht="13">
      <c r="A3280" s="5">
        <v>12316</v>
      </c>
      <c r="B3280" s="5" t="s">
        <v>78</v>
      </c>
      <c r="C3280" s="5" t="s">
        <v>138</v>
      </c>
      <c r="D3280" s="5" t="s">
        <v>21</v>
      </c>
      <c r="E3280" s="5" t="s">
        <v>34</v>
      </c>
      <c r="F3280" s="5" t="s">
        <v>68</v>
      </c>
      <c r="G3280" s="5" t="s">
        <v>86</v>
      </c>
      <c r="H3280" s="9" t="s">
        <v>139</v>
      </c>
      <c r="I3280" s="10">
        <v>43948</v>
      </c>
      <c r="J3280" s="10">
        <v>47459</v>
      </c>
      <c r="K3280" s="5" t="s">
        <v>140</v>
      </c>
      <c r="L3280" s="5" t="s">
        <v>58</v>
      </c>
      <c r="M3280" s="11">
        <v>0.11</v>
      </c>
      <c r="N3280" s="5" t="e">
        <f>IF(AND(M3280&gt;#REF!,Cartera!O3280="Guaraníes"),"Rendimiento significativo",IF(AND(M3280&gt;#REF!,Cartera!O3280="Dólares americanos"),"Rendimiento significativo","Rendimiento no significativo"))</f>
        <v>#REF!</v>
      </c>
      <c r="O3280" s="5" t="s">
        <v>41</v>
      </c>
      <c r="P3280" s="12">
        <v>462544.75770000002</v>
      </c>
      <c r="Q3280" s="12">
        <f>IF(O3280="Guaraníes",P3280,P3280*#REF!)</f>
        <v>462544.75770000002</v>
      </c>
      <c r="R3280" s="12" t="e">
        <f>IF(O3280="Guaraníes",P3280/#REF!,P3280)</f>
        <v>#REF!</v>
      </c>
      <c r="S3280" s="5" t="s">
        <v>42</v>
      </c>
      <c r="AC3280" s="5" t="str">
        <f t="shared" si="157"/>
        <v>Bonos</v>
      </c>
      <c r="AD3280" s="5" t="s">
        <v>43</v>
      </c>
      <c r="AE3280" s="5">
        <f t="shared" si="155"/>
        <v>12</v>
      </c>
      <c r="AF3280" s="5">
        <f t="shared" si="156"/>
        <v>2029</v>
      </c>
    </row>
    <row r="3281" s="5" customFormat="1" ht="13">
      <c r="A3281" s="5" t="s">
        <v>44</v>
      </c>
      <c r="B3281" s="5" t="s">
        <v>44</v>
      </c>
      <c r="C3281" s="5" t="s">
        <v>183</v>
      </c>
      <c r="D3281" s="5" t="s">
        <v>21</v>
      </c>
      <c r="E3281" s="5" t="s">
        <v>44</v>
      </c>
      <c r="H3281" s="9" t="s">
        <v>210</v>
      </c>
      <c r="I3281" s="10">
        <v>45562</v>
      </c>
      <c r="J3281" s="10">
        <v>45652</v>
      </c>
      <c r="L3281" s="11" t="s">
        <v>82</v>
      </c>
      <c r="M3281" s="11">
        <v>0.053800000000000001</v>
      </c>
      <c r="N3281" s="11" t="e">
        <f>IF(AND(M3281&gt;#REF!,Cartera!O3281="Guaraníes"),"Rendimiento significativo",IF(AND(M3281&gt;#REF!,Cartera!O3281="Dólares americanos"),"Rendimiento significativo","Rendimiento no significativo"))</f>
        <v>#REF!</v>
      </c>
      <c r="O3281" s="5" t="s">
        <v>41</v>
      </c>
      <c r="P3281" s="13">
        <v>2653110</v>
      </c>
      <c r="Q3281" s="12">
        <f>IF(O3281="Guaraníes",P3281,P3281*#REF!)</f>
        <v>2653110</v>
      </c>
      <c r="R3281" s="13">
        <v>340.58331942643679</v>
      </c>
      <c r="S3281" s="5" t="s">
        <v>52</v>
      </c>
      <c r="AC3281" s="5" t="str">
        <f t="shared" si="157"/>
        <v>CDA</v>
      </c>
      <c r="AD3281" s="5" t="s">
        <v>43</v>
      </c>
    </row>
    <row r="3282" s="5" customFormat="1" ht="13">
      <c r="A3282" s="5" t="s">
        <v>44</v>
      </c>
      <c r="B3282" s="5" t="s">
        <v>44</v>
      </c>
      <c r="C3282" s="5" t="s">
        <v>79</v>
      </c>
      <c r="D3282" s="5" t="s">
        <v>20</v>
      </c>
      <c r="E3282" s="5" t="s">
        <v>44</v>
      </c>
      <c r="F3282" s="5" t="s">
        <v>68</v>
      </c>
      <c r="H3282" s="9" t="s">
        <v>696</v>
      </c>
      <c r="I3282" s="10">
        <v>45252</v>
      </c>
      <c r="J3282" s="10">
        <v>45618</v>
      </c>
      <c r="K3282" s="5" t="s">
        <v>81</v>
      </c>
      <c r="L3282" s="5" t="s">
        <v>82</v>
      </c>
      <c r="M3282" s="11">
        <v>0.098000000000000004</v>
      </c>
      <c r="N3282" s="5" t="e">
        <f>IF(AND(M3282&gt;#REF!,Cartera!O3282="Guaraníes"),"Rendimiento significativo",IF(AND(M3282&gt;#REF!,Cartera!O3282="Dólares americanos"),"Rendimiento significativo","Rendimiento no significativo"))</f>
        <v>#REF!</v>
      </c>
      <c r="O3282" s="5" t="s">
        <v>41</v>
      </c>
      <c r="P3282" s="12">
        <v>500000000</v>
      </c>
      <c r="Q3282" s="12">
        <f>IF(O3282="Guaraníes",P3282,P3282*#REF!)</f>
        <v>500000000</v>
      </c>
      <c r="R3282" s="12" t="e">
        <f>IF(O3282="Guaraníes",P3282/#REF!,P3282)</f>
        <v>#REF!</v>
      </c>
      <c r="S3282" s="5" t="s">
        <v>52</v>
      </c>
      <c r="AC3282" s="5" t="str">
        <f t="shared" si="157"/>
        <v>CDA</v>
      </c>
      <c r="AD3282" s="5" t="s">
        <v>43</v>
      </c>
      <c r="AE3282" s="5">
        <f t="shared" ref="AE3282:AE3345" si="158">IFERROR((MONTH(J3282)),0)</f>
        <v>11</v>
      </c>
      <c r="AF3282" s="5">
        <f t="shared" ref="AF3282:AF3345" si="159">IFERROR((YEAR(J3282)),0)</f>
        <v>2024</v>
      </c>
    </row>
    <row r="3283" s="5" customFormat="1" ht="13">
      <c r="A3283" s="5" t="s">
        <v>44</v>
      </c>
      <c r="B3283" s="5" t="s">
        <v>44</v>
      </c>
      <c r="C3283" s="5" t="s">
        <v>79</v>
      </c>
      <c r="D3283" s="5" t="s">
        <v>21</v>
      </c>
      <c r="E3283" s="5" t="s">
        <v>44</v>
      </c>
      <c r="F3283" s="12" t="s">
        <v>68</v>
      </c>
      <c r="G3283" s="12"/>
      <c r="H3283" s="9" t="s">
        <v>119</v>
      </c>
      <c r="I3283" s="10">
        <v>45497</v>
      </c>
      <c r="J3283" s="10">
        <v>45589</v>
      </c>
      <c r="K3283" s="12"/>
      <c r="L3283" s="5" t="s">
        <v>82</v>
      </c>
      <c r="M3283" s="11">
        <v>0.083500000000000005</v>
      </c>
      <c r="N3283" s="5" t="e">
        <f>IF(AND(M3283&gt;#REF!,Cartera!O3283="Guaraníes"),"Rendimiento significativo",IF(AND(M3283&gt;#REF!,Cartera!O3283="Dólares americanos"),"Rendimiento significativo","Rendimiento no significativo"))</f>
        <v>#REF!</v>
      </c>
      <c r="O3283" s="5" t="s">
        <v>41</v>
      </c>
      <c r="P3283" s="12">
        <v>3151267</v>
      </c>
      <c r="Q3283" s="12">
        <f>IF(O3283="Guaraníes",P3283,P3283*#REF!)</f>
        <v>3151267</v>
      </c>
      <c r="R3283" s="13" t="e">
        <f>IF(O3283="Guaraníes",P3283/#REF!,P3283)</f>
        <v>#REF!</v>
      </c>
      <c r="S3283" s="5" t="s">
        <v>52</v>
      </c>
      <c r="AC3283" s="5" t="str">
        <f t="shared" si="157"/>
        <v>CDA</v>
      </c>
      <c r="AD3283" s="5" t="s">
        <v>43</v>
      </c>
      <c r="AE3283" s="5">
        <f t="shared" si="158"/>
        <v>10</v>
      </c>
      <c r="AF3283" s="5">
        <f t="shared" si="159"/>
        <v>2024</v>
      </c>
    </row>
    <row r="3284" s="5" customFormat="1" ht="13">
      <c r="A3284" s="5" t="s">
        <v>44</v>
      </c>
      <c r="B3284" s="5" t="s">
        <v>44</v>
      </c>
      <c r="C3284" s="5" t="s">
        <v>143</v>
      </c>
      <c r="D3284" s="5" t="s">
        <v>21</v>
      </c>
      <c r="E3284" s="5" t="s">
        <v>44</v>
      </c>
      <c r="F3284" s="5" t="s">
        <v>144</v>
      </c>
      <c r="G3284" s="5" t="s">
        <v>91</v>
      </c>
      <c r="H3284" s="9" t="s">
        <v>380</v>
      </c>
      <c r="I3284" s="10"/>
      <c r="J3284" s="10">
        <v>45565</v>
      </c>
      <c r="K3284" s="5" t="s">
        <v>49</v>
      </c>
      <c r="L3284" s="5" t="s">
        <v>106</v>
      </c>
      <c r="M3284" s="11">
        <v>0.059999999999999998</v>
      </c>
      <c r="N3284" s="5" t="e">
        <f>IF(AND(M3284&gt;#REF!,Cartera!O3284="Guaraníes"),"Rendimiento significativo",IF(AND(M3284&gt;#REF!,Cartera!O3284="Dólares americanos"),"Rendimiento significativo","Rendimiento no significativo"))</f>
        <v>#REF!</v>
      </c>
      <c r="O3284" s="5" t="s">
        <v>51</v>
      </c>
      <c r="P3284" s="13">
        <v>50.9589</v>
      </c>
      <c r="Q3284" s="12" t="e">
        <f>IF(O3284="Guaraníes",P3284,P3284*#REF!)</f>
        <v>#REF!</v>
      </c>
      <c r="R3284" s="12">
        <f>IF(O3284="Guaraníes",P3284/#REF!,P3284)</f>
        <v>50.9589</v>
      </c>
      <c r="S3284" s="5" t="s">
        <v>52</v>
      </c>
      <c r="T3284" s="5">
        <v>3253</v>
      </c>
      <c r="W3284" s="5" t="s">
        <v>65</v>
      </c>
      <c r="X3284" s="5">
        <v>0</v>
      </c>
      <c r="Y3284" s="5">
        <v>0</v>
      </c>
      <c r="Z3284" s="5">
        <v>5.0958899999999998</v>
      </c>
      <c r="AA3284" s="5">
        <v>10</v>
      </c>
      <c r="AB3284" s="5">
        <v>50.9589</v>
      </c>
      <c r="AC3284" s="5" t="str">
        <f t="shared" si="157"/>
        <v>Bonos</v>
      </c>
      <c r="AD3284" s="5" t="s">
        <v>43</v>
      </c>
      <c r="AE3284" s="5">
        <f t="shared" si="158"/>
        <v>9</v>
      </c>
      <c r="AF3284" s="5">
        <f t="shared" si="159"/>
        <v>2024</v>
      </c>
    </row>
    <row r="3285" s="5" customFormat="1" ht="13">
      <c r="A3285" s="5" t="s">
        <v>44</v>
      </c>
      <c r="B3285" s="5" t="s">
        <v>44</v>
      </c>
      <c r="C3285" s="5" t="s">
        <v>143</v>
      </c>
      <c r="D3285" s="5" t="s">
        <v>21</v>
      </c>
      <c r="E3285" s="5" t="s">
        <v>44</v>
      </c>
      <c r="F3285" s="5" t="s">
        <v>144</v>
      </c>
      <c r="G3285" s="5" t="s">
        <v>145</v>
      </c>
      <c r="H3285" s="9" t="s">
        <v>146</v>
      </c>
      <c r="I3285" s="20"/>
      <c r="J3285" s="10">
        <v>45534</v>
      </c>
      <c r="K3285" s="5" t="s">
        <v>49</v>
      </c>
      <c r="L3285" s="5" t="s">
        <v>106</v>
      </c>
      <c r="M3285" s="11">
        <v>0.060999999999999999</v>
      </c>
      <c r="N3285" s="5" t="e">
        <f>IF(AND(M3285&gt;#REF!,Cartera!O3285="Guaraníes"),"Rendimiento significativo",IF(AND(M3285&gt;#REF!,Cartera!O3285="Dólares americanos"),"Rendimiento significativo","Rendimiento no significativo"))</f>
        <v>#REF!</v>
      </c>
      <c r="O3285" s="5" t="s">
        <v>51</v>
      </c>
      <c r="P3285" s="13">
        <v>200.54795999999999</v>
      </c>
      <c r="Q3285" s="12" t="e">
        <f>IF(O3285="Guaraníes",P3285,P3285*#REF!)</f>
        <v>#REF!</v>
      </c>
      <c r="R3285" s="12">
        <f>IF(O3285="Guaraníes",P3285/#REF!,P3285)</f>
        <v>200.54795999999999</v>
      </c>
      <c r="S3285" s="5" t="s">
        <v>52</v>
      </c>
      <c r="T3285" s="5">
        <v>1057</v>
      </c>
      <c r="W3285" s="5" t="s">
        <v>65</v>
      </c>
      <c r="X3285" s="5">
        <v>0</v>
      </c>
      <c r="Y3285" s="5">
        <v>0</v>
      </c>
      <c r="Z3285" s="5">
        <v>5.0136989999999999</v>
      </c>
      <c r="AA3285" s="5">
        <v>40</v>
      </c>
      <c r="AB3285" s="5">
        <v>200.54795999999999</v>
      </c>
      <c r="AC3285" s="5" t="str">
        <f t="shared" si="157"/>
        <v>Bonos</v>
      </c>
      <c r="AD3285" s="5" t="s">
        <v>43</v>
      </c>
      <c r="AE3285" s="5">
        <f t="shared" si="158"/>
        <v>8</v>
      </c>
      <c r="AF3285" s="5">
        <f t="shared" si="159"/>
        <v>2024</v>
      </c>
    </row>
    <row r="3286" s="5" customFormat="1" ht="13">
      <c r="A3286" s="5" t="s">
        <v>44</v>
      </c>
      <c r="B3286" s="5" t="s">
        <v>44</v>
      </c>
      <c r="C3286" s="5" t="s">
        <v>138</v>
      </c>
      <c r="D3286" s="5" t="s">
        <v>21</v>
      </c>
      <c r="E3286" s="5" t="s">
        <v>44</v>
      </c>
      <c r="F3286" s="5" t="s">
        <v>68</v>
      </c>
      <c r="G3286" s="5" t="s">
        <v>86</v>
      </c>
      <c r="H3286" s="9" t="s">
        <v>139</v>
      </c>
      <c r="I3286" s="10">
        <v>43948</v>
      </c>
      <c r="J3286" s="10">
        <v>45499</v>
      </c>
      <c r="K3286" s="5" t="s">
        <v>140</v>
      </c>
      <c r="L3286" s="5" t="s">
        <v>58</v>
      </c>
      <c r="M3286" s="11">
        <v>0.11</v>
      </c>
      <c r="N3286" s="5" t="e">
        <f>IF(AND(M3286&gt;#REF!,Cartera!O3286="Guaraníes"),"Rendimiento significativo",IF(AND(M3286&gt;#REF!,Cartera!O3286="Dólares americanos"),"Rendimiento significativo","Rendimiento no significativo"))</f>
        <v>#REF!</v>
      </c>
      <c r="O3286" s="5" t="s">
        <v>41</v>
      </c>
      <c r="P3286" s="12">
        <v>904109.58900000004</v>
      </c>
      <c r="Q3286" s="12">
        <f>IF(O3286="Guaraníes",P3286,P3286*#REF!)</f>
        <v>904109.58900000004</v>
      </c>
      <c r="R3286" s="12" t="e">
        <f>IF(O3286="Guaraníes",P3286/#REF!,P3286)</f>
        <v>#REF!</v>
      </c>
      <c r="S3286" s="5" t="s">
        <v>52</v>
      </c>
      <c r="AC3286" s="5" t="str">
        <f t="shared" si="157"/>
        <v>Bonos</v>
      </c>
      <c r="AD3286" s="5" t="s">
        <v>43</v>
      </c>
      <c r="AE3286" s="5">
        <f t="shared" si="158"/>
        <v>7</v>
      </c>
      <c r="AF3286" s="5">
        <f t="shared" si="159"/>
        <v>2024</v>
      </c>
    </row>
    <row r="3287" s="5" customFormat="1" ht="13">
      <c r="A3287" s="5" t="s">
        <v>44</v>
      </c>
      <c r="B3287" s="5" t="s">
        <v>44</v>
      </c>
      <c r="C3287" s="5" t="s">
        <v>138</v>
      </c>
      <c r="D3287" s="5" t="s">
        <v>21</v>
      </c>
      <c r="E3287" s="5" t="s">
        <v>44</v>
      </c>
      <c r="F3287" s="5" t="s">
        <v>68</v>
      </c>
      <c r="G3287" s="5" t="s">
        <v>86</v>
      </c>
      <c r="H3287" s="9" t="s">
        <v>139</v>
      </c>
      <c r="I3287" s="10">
        <v>43948</v>
      </c>
      <c r="J3287" s="10">
        <v>45469</v>
      </c>
      <c r="K3287" s="5" t="s">
        <v>140</v>
      </c>
      <c r="L3287" s="5" t="s">
        <v>58</v>
      </c>
      <c r="M3287" s="11">
        <v>0.11</v>
      </c>
      <c r="N3287" s="5" t="e">
        <f>IF(AND(M3287&gt;#REF!,Cartera!O3287="Guaraníes"),"Rendimiento significativo",IF(AND(M3287&gt;#REF!,Cartera!O3287="Dólares americanos"),"Rendimiento significativo","Rendimiento no significativo"))</f>
        <v>#REF!</v>
      </c>
      <c r="O3287" s="5" t="s">
        <v>41</v>
      </c>
      <c r="P3287" s="12">
        <v>904109.58900000004</v>
      </c>
      <c r="Q3287" s="12">
        <f>IF(O3287="Guaraníes",P3287,P3287*#REF!)</f>
        <v>904109.58900000004</v>
      </c>
      <c r="R3287" s="12" t="e">
        <f>IF(O3287="Guaraníes",P3287/#REF!,P3287)</f>
        <v>#REF!</v>
      </c>
      <c r="S3287" s="5" t="s">
        <v>52</v>
      </c>
      <c r="AC3287" s="5" t="str">
        <f t="shared" si="157"/>
        <v>Bonos</v>
      </c>
      <c r="AD3287" s="5" t="s">
        <v>43</v>
      </c>
      <c r="AE3287" s="5">
        <f t="shared" si="158"/>
        <v>6</v>
      </c>
      <c r="AF3287" s="5">
        <f t="shared" si="159"/>
        <v>2024</v>
      </c>
    </row>
    <row r="3288" s="5" customFormat="1" ht="13">
      <c r="A3288" s="5" t="s">
        <v>44</v>
      </c>
      <c r="B3288" s="5" t="s">
        <v>44</v>
      </c>
      <c r="C3288" s="5" t="s">
        <v>138</v>
      </c>
      <c r="D3288" s="5" t="s">
        <v>21</v>
      </c>
      <c r="E3288" s="5" t="s">
        <v>44</v>
      </c>
      <c r="F3288" s="5" t="s">
        <v>68</v>
      </c>
      <c r="G3288" s="5" t="s">
        <v>86</v>
      </c>
      <c r="H3288" s="9" t="s">
        <v>139</v>
      </c>
      <c r="I3288" s="10">
        <v>43948</v>
      </c>
      <c r="J3288" s="10">
        <v>45439</v>
      </c>
      <c r="K3288" s="5" t="s">
        <v>140</v>
      </c>
      <c r="L3288" s="5" t="s">
        <v>58</v>
      </c>
      <c r="M3288" s="11">
        <v>0.11</v>
      </c>
      <c r="N3288" s="5" t="e">
        <f>IF(AND(M3288&gt;#REF!,Cartera!O3288="Guaraníes"),"Rendimiento significativo",IF(AND(M3288&gt;#REF!,Cartera!O3288="Dólares americanos"),"Rendimiento significativo","Rendimiento no significativo"))</f>
        <v>#REF!</v>
      </c>
      <c r="O3288" s="5" t="s">
        <v>41</v>
      </c>
      <c r="P3288" s="12">
        <v>934246.57530000003</v>
      </c>
      <c r="Q3288" s="12">
        <f>IF(O3288="Guaraníes",P3288,P3288*#REF!)</f>
        <v>934246.57530000003</v>
      </c>
      <c r="R3288" s="12" t="e">
        <f>IF(O3288="Guaraníes",P3288/#REF!,P3288)</f>
        <v>#REF!</v>
      </c>
      <c r="S3288" s="5" t="s">
        <v>52</v>
      </c>
      <c r="AC3288" s="5" t="str">
        <f t="shared" si="157"/>
        <v>Bonos</v>
      </c>
      <c r="AD3288" s="5" t="s">
        <v>43</v>
      </c>
      <c r="AE3288" s="5">
        <f t="shared" si="158"/>
        <v>5</v>
      </c>
      <c r="AF3288" s="5">
        <f t="shared" si="159"/>
        <v>2024</v>
      </c>
    </row>
    <row r="3289" s="5" customFormat="1" ht="13">
      <c r="A3289" s="5" t="s">
        <v>44</v>
      </c>
      <c r="B3289" s="5" t="s">
        <v>44</v>
      </c>
      <c r="C3289" s="5" t="s">
        <v>138</v>
      </c>
      <c r="D3289" s="5" t="s">
        <v>21</v>
      </c>
      <c r="E3289" s="5" t="s">
        <v>44</v>
      </c>
      <c r="F3289" s="5" t="s">
        <v>68</v>
      </c>
      <c r="G3289" s="5" t="s">
        <v>86</v>
      </c>
      <c r="H3289" s="9" t="s">
        <v>139</v>
      </c>
      <c r="I3289" s="10">
        <v>43948</v>
      </c>
      <c r="J3289" s="10">
        <v>45408</v>
      </c>
      <c r="K3289" s="5" t="s">
        <v>140</v>
      </c>
      <c r="L3289" s="5" t="s">
        <v>58</v>
      </c>
      <c r="M3289" s="11">
        <v>0.11</v>
      </c>
      <c r="N3289" s="5" t="e">
        <f>IF(AND(M3289&gt;#REF!,Cartera!O3289="Guaraníes"),"Rendimiento significativo",IF(AND(M3289&gt;#REF!,Cartera!O3289="Dólares americanos"),"Rendimiento significativo","Rendimiento no significativo"))</f>
        <v>#REF!</v>
      </c>
      <c r="O3289" s="5" t="s">
        <v>41</v>
      </c>
      <c r="P3289" s="12">
        <v>904109.58900000004</v>
      </c>
      <c r="Q3289" s="12">
        <f>IF(O3289="Guaraníes",P3289,P3289*#REF!)</f>
        <v>904109.58900000004</v>
      </c>
      <c r="R3289" s="12" t="e">
        <f>IF(O3289="Guaraníes",P3289/#REF!,P3289)</f>
        <v>#REF!</v>
      </c>
      <c r="S3289" s="5" t="s">
        <v>52</v>
      </c>
      <c r="AC3289" s="5" t="str">
        <f t="shared" si="157"/>
        <v>Bonos</v>
      </c>
      <c r="AD3289" s="5" t="s">
        <v>43</v>
      </c>
      <c r="AE3289" s="5">
        <f t="shared" si="158"/>
        <v>4</v>
      </c>
      <c r="AF3289" s="5">
        <f t="shared" si="159"/>
        <v>2024</v>
      </c>
    </row>
    <row r="3290" s="5" customFormat="1" ht="13">
      <c r="A3290" s="5" t="s">
        <v>44</v>
      </c>
      <c r="B3290" s="5" t="s">
        <v>44</v>
      </c>
      <c r="C3290" s="5" t="s">
        <v>138</v>
      </c>
      <c r="D3290" s="5" t="s">
        <v>21</v>
      </c>
      <c r="E3290" s="5" t="s">
        <v>44</v>
      </c>
      <c r="F3290" s="5" t="s">
        <v>68</v>
      </c>
      <c r="G3290" s="5" t="s">
        <v>86</v>
      </c>
      <c r="H3290" s="9" t="s">
        <v>139</v>
      </c>
      <c r="I3290" s="10">
        <v>43948</v>
      </c>
      <c r="J3290" s="10">
        <v>45378</v>
      </c>
      <c r="K3290" s="5" t="s">
        <v>140</v>
      </c>
      <c r="L3290" s="5" t="s">
        <v>58</v>
      </c>
      <c r="M3290" s="11">
        <v>0.11</v>
      </c>
      <c r="N3290" s="5" t="e">
        <f>IF(AND(M3290&gt;#REF!,Cartera!O3290="Guaraníes"),"Rendimiento significativo",IF(AND(M3290&gt;#REF!,Cartera!O3290="Dólares americanos"),"Rendimiento significativo","Rendimiento no significativo"))</f>
        <v>#REF!</v>
      </c>
      <c r="O3290" s="5" t="s">
        <v>41</v>
      </c>
      <c r="P3290" s="12">
        <v>904109.58900000004</v>
      </c>
      <c r="Q3290" s="12">
        <f>IF(O3290="Guaraníes",P3290,P3290*#REF!)</f>
        <v>904109.58900000004</v>
      </c>
      <c r="R3290" s="12" t="e">
        <f>IF(O3290="Guaraníes",P3290/#REF!,P3290)</f>
        <v>#REF!</v>
      </c>
      <c r="S3290" s="5" t="s">
        <v>52</v>
      </c>
      <c r="AC3290" s="5" t="str">
        <f t="shared" si="157"/>
        <v>Bonos</v>
      </c>
      <c r="AD3290" s="5" t="s">
        <v>43</v>
      </c>
      <c r="AE3290" s="5">
        <f t="shared" si="158"/>
        <v>3</v>
      </c>
      <c r="AF3290" s="5">
        <f t="shared" si="159"/>
        <v>2024</v>
      </c>
    </row>
    <row r="3291" s="5" customFormat="1" ht="13">
      <c r="A3291" s="5" t="s">
        <v>44</v>
      </c>
      <c r="B3291" s="5" t="s">
        <v>44</v>
      </c>
      <c r="C3291" s="5" t="s">
        <v>138</v>
      </c>
      <c r="D3291" s="5" t="s">
        <v>21</v>
      </c>
      <c r="E3291" s="5" t="s">
        <v>44</v>
      </c>
      <c r="F3291" s="5" t="s">
        <v>68</v>
      </c>
      <c r="G3291" s="5" t="s">
        <v>86</v>
      </c>
      <c r="H3291" s="9" t="s">
        <v>139</v>
      </c>
      <c r="I3291" s="10">
        <v>43948</v>
      </c>
      <c r="J3291" s="10">
        <v>45348</v>
      </c>
      <c r="K3291" s="5" t="s">
        <v>140</v>
      </c>
      <c r="L3291" s="5" t="s">
        <v>58</v>
      </c>
      <c r="M3291" s="11">
        <v>0.11</v>
      </c>
      <c r="N3291" s="5" t="e">
        <f>IF(AND(M3291&gt;#REF!,Cartera!O3291="Guaraníes"),"Rendimiento significativo",IF(AND(M3291&gt;#REF!,Cartera!O3291="Dólares americanos"),"Rendimiento significativo","Rendimiento no significativo"))</f>
        <v>#REF!</v>
      </c>
      <c r="O3291" s="5" t="s">
        <v>41</v>
      </c>
      <c r="P3291" s="12">
        <v>934246.57530000003</v>
      </c>
      <c r="Q3291" s="12">
        <f>IF(O3291="Guaraníes",P3291,P3291*#REF!)</f>
        <v>934246.57530000003</v>
      </c>
      <c r="R3291" s="12" t="e">
        <f>IF(O3291="Guaraníes",P3291/#REF!,P3291)</f>
        <v>#REF!</v>
      </c>
      <c r="S3291" s="5" t="s">
        <v>52</v>
      </c>
      <c r="AC3291" s="5" t="str">
        <f t="shared" si="157"/>
        <v>Bonos</v>
      </c>
      <c r="AD3291" s="5" t="s">
        <v>43</v>
      </c>
      <c r="AE3291" s="5">
        <f t="shared" si="158"/>
        <v>2</v>
      </c>
      <c r="AF3291" s="5">
        <f t="shared" si="159"/>
        <v>2024</v>
      </c>
    </row>
    <row r="3292" s="5" customFormat="1" ht="13">
      <c r="A3292" s="5" t="s">
        <v>44</v>
      </c>
      <c r="B3292" s="5" t="s">
        <v>44</v>
      </c>
      <c r="C3292" s="5" t="s">
        <v>138</v>
      </c>
      <c r="D3292" s="5" t="s">
        <v>21</v>
      </c>
      <c r="E3292" s="5" t="s">
        <v>44</v>
      </c>
      <c r="F3292" s="5" t="s">
        <v>68</v>
      </c>
      <c r="G3292" s="5" t="s">
        <v>86</v>
      </c>
      <c r="H3292" s="9" t="s">
        <v>139</v>
      </c>
      <c r="I3292" s="10">
        <v>43948</v>
      </c>
      <c r="J3292" s="10">
        <v>45317</v>
      </c>
      <c r="K3292" s="5" t="s">
        <v>140</v>
      </c>
      <c r="L3292" s="5" t="s">
        <v>58</v>
      </c>
      <c r="M3292" s="11">
        <v>0.11</v>
      </c>
      <c r="N3292" s="5" t="e">
        <f>IF(AND(M3292&gt;#REF!,Cartera!O3292="Guaraníes"),"Rendimiento significativo",IF(AND(M3292&gt;#REF!,Cartera!O3292="Dólares americanos"),"Rendimiento significativo","Rendimiento no significativo"))</f>
        <v>#REF!</v>
      </c>
      <c r="O3292" s="5" t="s">
        <v>41</v>
      </c>
      <c r="P3292" s="12">
        <v>904109.58900000004</v>
      </c>
      <c r="Q3292" s="12">
        <f>IF(O3292="Guaraníes",P3292,P3292*#REF!)</f>
        <v>904109.58900000004</v>
      </c>
      <c r="R3292" s="12" t="e">
        <f>IF(O3292="Guaraníes",P3292/#REF!,P3292)</f>
        <v>#REF!</v>
      </c>
      <c r="S3292" s="5" t="s">
        <v>52</v>
      </c>
      <c r="AC3292" s="5" t="str">
        <f t="shared" si="157"/>
        <v>Bonos</v>
      </c>
      <c r="AD3292" s="5" t="s">
        <v>43</v>
      </c>
      <c r="AE3292" s="5">
        <f t="shared" si="158"/>
        <v>1</v>
      </c>
      <c r="AF3292" s="5">
        <f t="shared" si="159"/>
        <v>2024</v>
      </c>
    </row>
    <row r="3293" s="5" customFormat="1" ht="13">
      <c r="A3293" s="5" t="s">
        <v>44</v>
      </c>
      <c r="B3293" s="5" t="s">
        <v>44</v>
      </c>
      <c r="C3293" s="5" t="s">
        <v>138</v>
      </c>
      <c r="D3293" s="5" t="s">
        <v>21</v>
      </c>
      <c r="E3293" s="5" t="s">
        <v>44</v>
      </c>
      <c r="F3293" s="5" t="s">
        <v>68</v>
      </c>
      <c r="G3293" s="5" t="s">
        <v>86</v>
      </c>
      <c r="H3293" s="9" t="s">
        <v>139</v>
      </c>
      <c r="I3293" s="10">
        <v>43948</v>
      </c>
      <c r="J3293" s="10">
        <v>45287</v>
      </c>
      <c r="K3293" s="5" t="s">
        <v>140</v>
      </c>
      <c r="L3293" s="5" t="s">
        <v>58</v>
      </c>
      <c r="M3293" s="11">
        <v>0.11</v>
      </c>
      <c r="N3293" s="5" t="e">
        <f>IF(AND(M3293&gt;#REF!,Cartera!O3293="Guaraníes"),"Rendimiento significativo",IF(AND(M3293&gt;#REF!,Cartera!O3293="Dólares americanos"),"Rendimiento significativo","Rendimiento no significativo"))</f>
        <v>#REF!</v>
      </c>
      <c r="O3293" s="5" t="s">
        <v>41</v>
      </c>
      <c r="P3293" s="12">
        <v>904109.58900000004</v>
      </c>
      <c r="Q3293" s="12">
        <f>IF(O3293="Guaraníes",P3293,P3293*#REF!)</f>
        <v>904109.58900000004</v>
      </c>
      <c r="R3293" s="12" t="e">
        <f>IF(O3293="Guaraníes",P3293/#REF!,P3293)</f>
        <v>#REF!</v>
      </c>
      <c r="S3293" s="5" t="s">
        <v>52</v>
      </c>
      <c r="AC3293" s="5" t="str">
        <f t="shared" si="157"/>
        <v>Bonos</v>
      </c>
      <c r="AD3293" s="5" t="s">
        <v>43</v>
      </c>
      <c r="AE3293" s="5">
        <f t="shared" si="158"/>
        <v>12</v>
      </c>
      <c r="AF3293" s="5">
        <f t="shared" si="159"/>
        <v>2023</v>
      </c>
    </row>
    <row r="3294" s="5" customFormat="1" ht="13">
      <c r="A3294" s="5" t="s">
        <v>44</v>
      </c>
      <c r="B3294" s="5" t="s">
        <v>44</v>
      </c>
      <c r="C3294" s="5" t="s">
        <v>138</v>
      </c>
      <c r="D3294" s="5" t="s">
        <v>21</v>
      </c>
      <c r="E3294" s="5" t="s">
        <v>44</v>
      </c>
      <c r="F3294" s="5" t="s">
        <v>68</v>
      </c>
      <c r="G3294" s="5" t="s">
        <v>86</v>
      </c>
      <c r="H3294" s="9" t="s">
        <v>139</v>
      </c>
      <c r="I3294" s="10">
        <v>43948</v>
      </c>
      <c r="J3294" s="10">
        <v>45257</v>
      </c>
      <c r="K3294" s="5" t="s">
        <v>140</v>
      </c>
      <c r="L3294" s="5" t="s">
        <v>58</v>
      </c>
      <c r="M3294" s="11">
        <v>0.11</v>
      </c>
      <c r="N3294" s="5" t="e">
        <f>IF(AND(M3294&gt;#REF!,Cartera!O3294="Guaraníes"),"Rendimiento significativo",IF(AND(M3294&gt;#REF!,Cartera!O3294="Dólares americanos"),"Rendimiento significativo","Rendimiento no significativo"))</f>
        <v>#REF!</v>
      </c>
      <c r="O3294" s="5" t="s">
        <v>41</v>
      </c>
      <c r="P3294" s="12">
        <v>934246.57530000003</v>
      </c>
      <c r="Q3294" s="12">
        <f>IF(O3294="Guaraníes",P3294,P3294*#REF!)</f>
        <v>934246.57530000003</v>
      </c>
      <c r="R3294" s="12" t="e">
        <f>IF(O3294="Guaraníes",P3294/#REF!,P3294)</f>
        <v>#REF!</v>
      </c>
      <c r="S3294" s="5" t="s">
        <v>52</v>
      </c>
      <c r="AC3294" s="5" t="str">
        <f t="shared" si="157"/>
        <v>Bonos</v>
      </c>
      <c r="AD3294" s="5" t="s">
        <v>43</v>
      </c>
      <c r="AE3294" s="5">
        <f t="shared" si="158"/>
        <v>11</v>
      </c>
      <c r="AF3294" s="5">
        <f t="shared" si="159"/>
        <v>2023</v>
      </c>
    </row>
    <row r="3295" s="5" customFormat="1" ht="13">
      <c r="A3295" s="5" t="s">
        <v>44</v>
      </c>
      <c r="B3295" s="5" t="s">
        <v>44</v>
      </c>
      <c r="C3295" s="5" t="s">
        <v>138</v>
      </c>
      <c r="D3295" s="5" t="s">
        <v>21</v>
      </c>
      <c r="E3295" s="5" t="s">
        <v>44</v>
      </c>
      <c r="F3295" s="5" t="s">
        <v>68</v>
      </c>
      <c r="G3295" s="5" t="s">
        <v>86</v>
      </c>
      <c r="H3295" s="9" t="s">
        <v>139</v>
      </c>
      <c r="I3295" s="10">
        <v>43948</v>
      </c>
      <c r="J3295" s="10">
        <v>45226</v>
      </c>
      <c r="K3295" s="5" t="s">
        <v>140</v>
      </c>
      <c r="L3295" s="5" t="s">
        <v>58</v>
      </c>
      <c r="M3295" s="11">
        <v>0.11</v>
      </c>
      <c r="N3295" s="5" t="e">
        <f>IF(AND(M3295&gt;#REF!,Cartera!O3295="Guaraníes"),"Rendimiento significativo",IF(AND(M3295&gt;#REF!,Cartera!O3295="Dólares americanos"),"Rendimiento significativo","Rendimiento no significativo"))</f>
        <v>#REF!</v>
      </c>
      <c r="O3295" s="5" t="s">
        <v>41</v>
      </c>
      <c r="P3295" s="12">
        <v>904109.58900000004</v>
      </c>
      <c r="Q3295" s="12">
        <f>IF(O3295="Guaraníes",P3295,P3295*#REF!)</f>
        <v>904109.58900000004</v>
      </c>
      <c r="R3295" s="12" t="e">
        <f>IF(O3295="Guaraníes",P3295/#REF!,P3295)</f>
        <v>#REF!</v>
      </c>
      <c r="S3295" s="5" t="s">
        <v>52</v>
      </c>
      <c r="AC3295" s="5" t="str">
        <f t="shared" si="157"/>
        <v>Bonos</v>
      </c>
      <c r="AD3295" s="5" t="s">
        <v>43</v>
      </c>
      <c r="AE3295" s="5">
        <f t="shared" si="158"/>
        <v>10</v>
      </c>
      <c r="AF3295" s="5">
        <f t="shared" si="159"/>
        <v>2023</v>
      </c>
    </row>
    <row r="3296" s="5" customFormat="1" ht="13">
      <c r="A3296" s="5" t="s">
        <v>44</v>
      </c>
      <c r="B3296" s="5" t="s">
        <v>44</v>
      </c>
      <c r="C3296" s="5" t="s">
        <v>138</v>
      </c>
      <c r="D3296" s="5" t="s">
        <v>21</v>
      </c>
      <c r="E3296" s="5" t="s">
        <v>44</v>
      </c>
      <c r="F3296" s="5" t="s">
        <v>68</v>
      </c>
      <c r="G3296" s="5" t="s">
        <v>86</v>
      </c>
      <c r="H3296" s="9" t="s">
        <v>139</v>
      </c>
      <c r="I3296" s="10">
        <v>43948</v>
      </c>
      <c r="J3296" s="10">
        <v>45196</v>
      </c>
      <c r="K3296" s="5" t="s">
        <v>140</v>
      </c>
      <c r="L3296" s="5" t="s">
        <v>58</v>
      </c>
      <c r="M3296" s="11">
        <v>0.11</v>
      </c>
      <c r="N3296" s="5" t="e">
        <f>IF(AND(M3296&gt;#REF!,Cartera!O3296="Guaraníes"),"Rendimiento significativo",IF(AND(M3296&gt;#REF!,Cartera!O3296="Dólares americanos"),"Rendimiento significativo","Rendimiento no significativo"))</f>
        <v>#REF!</v>
      </c>
      <c r="O3296" s="5" t="s">
        <v>41</v>
      </c>
      <c r="P3296" s="12">
        <v>904109.58900000004</v>
      </c>
      <c r="Q3296" s="12">
        <f>IF(O3296="Guaraníes",P3296,P3296*#REF!)</f>
        <v>904109.58900000004</v>
      </c>
      <c r="R3296" s="12" t="e">
        <f>IF(O3296="Guaraníes",P3296/#REF!,P3296)</f>
        <v>#REF!</v>
      </c>
      <c r="S3296" s="5" t="s">
        <v>52</v>
      </c>
      <c r="AC3296" s="5" t="str">
        <f t="shared" si="157"/>
        <v>Bonos</v>
      </c>
      <c r="AD3296" s="5" t="s">
        <v>43</v>
      </c>
      <c r="AE3296" s="5">
        <f t="shared" si="158"/>
        <v>9</v>
      </c>
      <c r="AF3296" s="5">
        <f t="shared" si="159"/>
        <v>2023</v>
      </c>
    </row>
    <row r="3297" s="5" customFormat="1" ht="13">
      <c r="A3297" s="5" t="s">
        <v>44</v>
      </c>
      <c r="B3297" s="5" t="s">
        <v>44</v>
      </c>
      <c r="C3297" s="5" t="s">
        <v>138</v>
      </c>
      <c r="D3297" s="5" t="s">
        <v>21</v>
      </c>
      <c r="E3297" s="5" t="s">
        <v>44</v>
      </c>
      <c r="F3297" s="5" t="s">
        <v>68</v>
      </c>
      <c r="G3297" s="5" t="s">
        <v>86</v>
      </c>
      <c r="H3297" s="9" t="s">
        <v>139</v>
      </c>
      <c r="I3297" s="10">
        <v>43948</v>
      </c>
      <c r="J3297" s="10">
        <v>45166</v>
      </c>
      <c r="K3297" s="5" t="s">
        <v>140</v>
      </c>
      <c r="L3297" s="5" t="s">
        <v>58</v>
      </c>
      <c r="M3297" s="11">
        <v>0.11</v>
      </c>
      <c r="N3297" s="5" t="e">
        <f>IF(AND(M3297&gt;#REF!,Cartera!O3297="Guaraníes"),"Rendimiento significativo",IF(AND(M3297&gt;#REF!,Cartera!O3297="Dólares americanos"),"Rendimiento significativo","Rendimiento no significativo"))</f>
        <v>#REF!</v>
      </c>
      <c r="O3297" s="5" t="s">
        <v>41</v>
      </c>
      <c r="P3297" s="12">
        <v>934246.57530000003</v>
      </c>
      <c r="Q3297" s="12">
        <f>IF(O3297="Guaraníes",P3297,P3297*#REF!)</f>
        <v>934246.57530000003</v>
      </c>
      <c r="R3297" s="12" t="e">
        <f>IF(O3297="Guaraníes",P3297/#REF!,P3297)</f>
        <v>#REF!</v>
      </c>
      <c r="S3297" s="5" t="s">
        <v>52</v>
      </c>
      <c r="AC3297" s="5" t="str">
        <f t="shared" si="157"/>
        <v>Bonos</v>
      </c>
      <c r="AD3297" s="5" t="s">
        <v>43</v>
      </c>
      <c r="AE3297" s="5">
        <f t="shared" si="158"/>
        <v>8</v>
      </c>
      <c r="AF3297" s="5">
        <f t="shared" si="159"/>
        <v>2023</v>
      </c>
    </row>
    <row r="3298" s="5" customFormat="1" ht="13">
      <c r="A3298" s="5" t="s">
        <v>44</v>
      </c>
      <c r="B3298" s="5" t="s">
        <v>44</v>
      </c>
      <c r="C3298" s="5" t="s">
        <v>138</v>
      </c>
      <c r="D3298" s="5" t="s">
        <v>21</v>
      </c>
      <c r="E3298" s="5" t="s">
        <v>44</v>
      </c>
      <c r="F3298" s="5" t="s">
        <v>68</v>
      </c>
      <c r="G3298" s="5" t="s">
        <v>86</v>
      </c>
      <c r="H3298" s="9" t="s">
        <v>139</v>
      </c>
      <c r="I3298" s="10">
        <v>43948</v>
      </c>
      <c r="J3298" s="10">
        <v>45135</v>
      </c>
      <c r="K3298" s="5" t="s">
        <v>140</v>
      </c>
      <c r="L3298" s="5" t="s">
        <v>58</v>
      </c>
      <c r="M3298" s="11">
        <v>0.11</v>
      </c>
      <c r="N3298" s="5" t="e">
        <f>IF(AND(M3298&gt;#REF!,Cartera!O3298="Guaraníes"),"Rendimiento significativo",IF(AND(M3298&gt;#REF!,Cartera!O3298="Dólares americanos"),"Rendimiento significativo","Rendimiento no significativo"))</f>
        <v>#REF!</v>
      </c>
      <c r="O3298" s="5" t="s">
        <v>41</v>
      </c>
      <c r="P3298" s="12">
        <v>904109.58900000004</v>
      </c>
      <c r="Q3298" s="12">
        <f>IF(O3298="Guaraníes",P3298,P3298*#REF!)</f>
        <v>904109.58900000004</v>
      </c>
      <c r="R3298" s="12" t="e">
        <f>IF(O3298="Guaraníes",P3298/#REF!,P3298)</f>
        <v>#REF!</v>
      </c>
      <c r="S3298" s="5" t="s">
        <v>52</v>
      </c>
      <c r="AC3298" s="5" t="str">
        <f t="shared" si="157"/>
        <v>Bonos</v>
      </c>
      <c r="AD3298" s="5" t="s">
        <v>43</v>
      </c>
      <c r="AE3298" s="5">
        <f t="shared" si="158"/>
        <v>7</v>
      </c>
      <c r="AF3298" s="5">
        <f t="shared" si="159"/>
        <v>2023</v>
      </c>
    </row>
    <row r="3299" s="5" customFormat="1" ht="13">
      <c r="A3299" s="5" t="s">
        <v>44</v>
      </c>
      <c r="B3299" s="5" t="s">
        <v>44</v>
      </c>
      <c r="C3299" s="5" t="s">
        <v>138</v>
      </c>
      <c r="D3299" s="5" t="s">
        <v>21</v>
      </c>
      <c r="E3299" s="5" t="s">
        <v>44</v>
      </c>
      <c r="F3299" s="5" t="s">
        <v>68</v>
      </c>
      <c r="G3299" s="5" t="s">
        <v>86</v>
      </c>
      <c r="H3299" s="9" t="s">
        <v>139</v>
      </c>
      <c r="I3299" s="10">
        <v>43948</v>
      </c>
      <c r="J3299" s="10">
        <v>45105</v>
      </c>
      <c r="K3299" s="5" t="s">
        <v>140</v>
      </c>
      <c r="L3299" s="5" t="s">
        <v>58</v>
      </c>
      <c r="M3299" s="11">
        <v>0.11</v>
      </c>
      <c r="N3299" s="5" t="e">
        <f>IF(AND(M3299&gt;#REF!,Cartera!O3299="Guaraníes"),"Rendimiento significativo",IF(AND(M3299&gt;#REF!,Cartera!O3299="Dólares americanos"),"Rendimiento significativo","Rendimiento no significativo"))</f>
        <v>#REF!</v>
      </c>
      <c r="O3299" s="5" t="s">
        <v>41</v>
      </c>
      <c r="P3299" s="12">
        <v>904109.58900000004</v>
      </c>
      <c r="Q3299" s="12">
        <f>IF(O3299="Guaraníes",P3299,P3299*#REF!)</f>
        <v>904109.58900000004</v>
      </c>
      <c r="R3299" s="12" t="e">
        <f>IF(O3299="Guaraníes",P3299/#REF!,P3299)</f>
        <v>#REF!</v>
      </c>
      <c r="S3299" s="5" t="s">
        <v>52</v>
      </c>
      <c r="AC3299" s="5" t="str">
        <f t="shared" si="157"/>
        <v>Bonos</v>
      </c>
      <c r="AD3299" s="5" t="s">
        <v>43</v>
      </c>
      <c r="AE3299" s="5">
        <f t="shared" si="158"/>
        <v>6</v>
      </c>
      <c r="AF3299" s="5">
        <f t="shared" si="159"/>
        <v>2023</v>
      </c>
    </row>
    <row r="3300" s="5" customFormat="1" ht="13">
      <c r="A3300" s="5" t="s">
        <v>44</v>
      </c>
      <c r="B3300" s="5" t="s">
        <v>44</v>
      </c>
      <c r="C3300" s="5" t="s">
        <v>138</v>
      </c>
      <c r="D3300" s="5" t="s">
        <v>21</v>
      </c>
      <c r="E3300" s="5" t="s">
        <v>44</v>
      </c>
      <c r="F3300" s="5" t="s">
        <v>68</v>
      </c>
      <c r="G3300" s="5" t="s">
        <v>86</v>
      </c>
      <c r="H3300" s="9" t="s">
        <v>139</v>
      </c>
      <c r="I3300" s="10">
        <v>43948</v>
      </c>
      <c r="J3300" s="10">
        <v>45075</v>
      </c>
      <c r="K3300" s="5" t="s">
        <v>140</v>
      </c>
      <c r="L3300" s="5" t="s">
        <v>58</v>
      </c>
      <c r="M3300" s="11">
        <v>0.11</v>
      </c>
      <c r="N3300" s="5" t="e">
        <f>IF(AND(M3300&gt;#REF!,Cartera!O3300="Guaraníes"),"Rendimiento significativo",IF(AND(M3300&gt;#REF!,Cartera!O3300="Dólares americanos"),"Rendimiento significativo","Rendimiento no significativo"))</f>
        <v>#REF!</v>
      </c>
      <c r="O3300" s="5" t="s">
        <v>41</v>
      </c>
      <c r="P3300" s="12">
        <v>934246.57530000003</v>
      </c>
      <c r="Q3300" s="12">
        <f>IF(O3300="Guaraníes",P3300,P3300*#REF!)</f>
        <v>934246.57530000003</v>
      </c>
      <c r="R3300" s="12" t="e">
        <f>IF(O3300="Guaraníes",P3300/#REF!,P3300)</f>
        <v>#REF!</v>
      </c>
      <c r="S3300" s="5" t="s">
        <v>52</v>
      </c>
      <c r="AC3300" s="5" t="str">
        <f t="shared" si="157"/>
        <v>Bonos</v>
      </c>
      <c r="AD3300" s="5" t="s">
        <v>43</v>
      </c>
      <c r="AE3300" s="5">
        <f t="shared" si="158"/>
        <v>5</v>
      </c>
      <c r="AF3300" s="5">
        <f t="shared" si="159"/>
        <v>2023</v>
      </c>
    </row>
    <row r="3301" s="5" customFormat="1" ht="13">
      <c r="A3301" s="5" t="s">
        <v>44</v>
      </c>
      <c r="B3301" s="5" t="s">
        <v>44</v>
      </c>
      <c r="C3301" s="5" t="s">
        <v>138</v>
      </c>
      <c r="D3301" s="5" t="s">
        <v>21</v>
      </c>
      <c r="E3301" s="5" t="s">
        <v>44</v>
      </c>
      <c r="F3301" s="5" t="s">
        <v>68</v>
      </c>
      <c r="G3301" s="5" t="s">
        <v>86</v>
      </c>
      <c r="H3301" s="9" t="s">
        <v>139</v>
      </c>
      <c r="I3301" s="10">
        <v>43948</v>
      </c>
      <c r="J3301" s="10">
        <v>45044</v>
      </c>
      <c r="K3301" s="5" t="s">
        <v>140</v>
      </c>
      <c r="L3301" s="5" t="s">
        <v>58</v>
      </c>
      <c r="M3301" s="11">
        <v>0.11</v>
      </c>
      <c r="N3301" s="5" t="e">
        <f>IF(AND(M3301&gt;#REF!,Cartera!O3301="Guaraníes"),"Rendimiento significativo",IF(AND(M3301&gt;#REF!,Cartera!O3301="Dólares americanos"),"Rendimiento significativo","Rendimiento no significativo"))</f>
        <v>#REF!</v>
      </c>
      <c r="O3301" s="5" t="s">
        <v>41</v>
      </c>
      <c r="P3301" s="12">
        <v>904109.58900000004</v>
      </c>
      <c r="Q3301" s="12">
        <f>IF(O3301="Guaraníes",P3301,P3301*#REF!)</f>
        <v>904109.58900000004</v>
      </c>
      <c r="R3301" s="12" t="e">
        <f>IF(O3301="Guaraníes",P3301/#REF!,P3301)</f>
        <v>#REF!</v>
      </c>
      <c r="S3301" s="5" t="s">
        <v>52</v>
      </c>
      <c r="AC3301" s="5" t="str">
        <f t="shared" si="157"/>
        <v>Bonos</v>
      </c>
      <c r="AD3301" s="5" t="s">
        <v>43</v>
      </c>
      <c r="AE3301" s="5">
        <f t="shared" si="158"/>
        <v>4</v>
      </c>
      <c r="AF3301" s="5">
        <f t="shared" si="159"/>
        <v>2023</v>
      </c>
    </row>
    <row r="3302" s="5" customFormat="1" ht="13">
      <c r="A3302" s="5" t="s">
        <v>44</v>
      </c>
      <c r="B3302" s="5" t="s">
        <v>44</v>
      </c>
      <c r="C3302" s="5" t="s">
        <v>138</v>
      </c>
      <c r="D3302" s="5" t="s">
        <v>21</v>
      </c>
      <c r="E3302" s="5" t="s">
        <v>44</v>
      </c>
      <c r="F3302" s="5" t="s">
        <v>68</v>
      </c>
      <c r="G3302" s="5" t="s">
        <v>86</v>
      </c>
      <c r="H3302" s="9" t="s">
        <v>139</v>
      </c>
      <c r="I3302" s="10">
        <v>43948</v>
      </c>
      <c r="J3302" s="10">
        <v>45014</v>
      </c>
      <c r="K3302" s="5" t="s">
        <v>140</v>
      </c>
      <c r="L3302" s="5" t="s">
        <v>58</v>
      </c>
      <c r="M3302" s="11">
        <v>0.11</v>
      </c>
      <c r="N3302" s="5" t="e">
        <f>IF(AND(M3302&gt;#REF!,Cartera!O3302="Guaraníes"),"Rendimiento significativo",IF(AND(M3302&gt;#REF!,Cartera!O3302="Dólares americanos"),"Rendimiento significativo","Rendimiento no significativo"))</f>
        <v>#REF!</v>
      </c>
      <c r="O3302" s="5" t="s">
        <v>41</v>
      </c>
      <c r="P3302" s="12">
        <v>904109.58900000004</v>
      </c>
      <c r="Q3302" s="12">
        <f>IF(O3302="Guaraníes",P3302,P3302*#REF!)</f>
        <v>904109.58900000004</v>
      </c>
      <c r="R3302" s="12" t="e">
        <f>IF(O3302="Guaraníes",P3302/#REF!,P3302)</f>
        <v>#REF!</v>
      </c>
      <c r="S3302" s="5" t="s">
        <v>52</v>
      </c>
      <c r="AC3302" s="5" t="str">
        <f t="shared" si="157"/>
        <v>Bonos</v>
      </c>
      <c r="AD3302" s="5" t="s">
        <v>43</v>
      </c>
      <c r="AE3302" s="5">
        <f t="shared" si="158"/>
        <v>3</v>
      </c>
      <c r="AF3302" s="5">
        <f t="shared" si="159"/>
        <v>2023</v>
      </c>
    </row>
    <row r="3303" s="5" customFormat="1" ht="13">
      <c r="A3303" s="5" t="s">
        <v>44</v>
      </c>
      <c r="B3303" s="5" t="s">
        <v>44</v>
      </c>
      <c r="C3303" s="5" t="s">
        <v>138</v>
      </c>
      <c r="D3303" s="5" t="s">
        <v>21</v>
      </c>
      <c r="E3303" s="5" t="s">
        <v>44</v>
      </c>
      <c r="F3303" s="5" t="s">
        <v>68</v>
      </c>
      <c r="G3303" s="5" t="s">
        <v>86</v>
      </c>
      <c r="H3303" s="9" t="s">
        <v>139</v>
      </c>
      <c r="I3303" s="10">
        <v>43948</v>
      </c>
      <c r="J3303" s="10">
        <v>44984</v>
      </c>
      <c r="K3303" s="5" t="s">
        <v>140</v>
      </c>
      <c r="L3303" s="5" t="s">
        <v>58</v>
      </c>
      <c r="M3303" s="11">
        <v>0.11</v>
      </c>
      <c r="N3303" s="5" t="e">
        <f>IF(AND(M3303&gt;#REF!,Cartera!O3303="Guaraníes"),"Rendimiento significativo",IF(AND(M3303&gt;#REF!,Cartera!O3303="Dólares americanos"),"Rendimiento significativo","Rendimiento no significativo"))</f>
        <v>#REF!</v>
      </c>
      <c r="O3303" s="5" t="s">
        <v>41</v>
      </c>
      <c r="P3303" s="12">
        <v>934246.57530000003</v>
      </c>
      <c r="Q3303" s="12">
        <f>IF(O3303="Guaraníes",P3303,P3303*#REF!)</f>
        <v>934246.57530000003</v>
      </c>
      <c r="R3303" s="12" t="e">
        <f>IF(O3303="Guaraníes",P3303/#REF!,P3303)</f>
        <v>#REF!</v>
      </c>
      <c r="S3303" s="5" t="s">
        <v>52</v>
      </c>
      <c r="AC3303" s="5" t="str">
        <f t="shared" si="157"/>
        <v>Bonos</v>
      </c>
      <c r="AD3303" s="5" t="s">
        <v>43</v>
      </c>
      <c r="AE3303" s="5">
        <f t="shared" si="158"/>
        <v>2</v>
      </c>
      <c r="AF3303" s="5">
        <f t="shared" si="159"/>
        <v>2023</v>
      </c>
    </row>
    <row r="3304" s="5" customFormat="1" ht="13">
      <c r="A3304" s="5" t="s">
        <v>44</v>
      </c>
      <c r="B3304" s="5" t="s">
        <v>44</v>
      </c>
      <c r="C3304" s="5" t="s">
        <v>138</v>
      </c>
      <c r="D3304" s="5" t="s">
        <v>21</v>
      </c>
      <c r="E3304" s="5" t="s">
        <v>44</v>
      </c>
      <c r="F3304" s="5" t="s">
        <v>68</v>
      </c>
      <c r="G3304" s="5" t="s">
        <v>86</v>
      </c>
      <c r="H3304" s="9" t="s">
        <v>139</v>
      </c>
      <c r="I3304" s="10">
        <v>43948</v>
      </c>
      <c r="J3304" s="10">
        <v>44953</v>
      </c>
      <c r="K3304" s="5" t="s">
        <v>140</v>
      </c>
      <c r="L3304" s="5" t="s">
        <v>58</v>
      </c>
      <c r="M3304" s="11">
        <v>0.11</v>
      </c>
      <c r="N3304" s="5" t="e">
        <f>IF(AND(M3304&gt;#REF!,Cartera!O3304="Guaraníes"),"Rendimiento significativo",IF(AND(M3304&gt;#REF!,Cartera!O3304="Dólares americanos"),"Rendimiento significativo","Rendimiento no significativo"))</f>
        <v>#REF!</v>
      </c>
      <c r="O3304" s="5" t="s">
        <v>41</v>
      </c>
      <c r="P3304" s="12">
        <v>904109.58900000004</v>
      </c>
      <c r="Q3304" s="12">
        <f>IF(O3304="Guaraníes",P3304,P3304*#REF!)</f>
        <v>904109.58900000004</v>
      </c>
      <c r="R3304" s="12" t="e">
        <f>IF(O3304="Guaraníes",P3304/#REF!,P3304)</f>
        <v>#REF!</v>
      </c>
      <c r="S3304" s="5" t="s">
        <v>52</v>
      </c>
      <c r="AC3304" s="5" t="str">
        <f t="shared" si="157"/>
        <v>Bonos</v>
      </c>
      <c r="AD3304" s="5" t="s">
        <v>43</v>
      </c>
      <c r="AE3304" s="5">
        <f t="shared" si="158"/>
        <v>1</v>
      </c>
      <c r="AF3304" s="5">
        <f t="shared" si="159"/>
        <v>2023</v>
      </c>
    </row>
    <row r="3305" s="5" customFormat="1" ht="13">
      <c r="A3305" s="5" t="s">
        <v>44</v>
      </c>
      <c r="B3305" s="5" t="s">
        <v>44</v>
      </c>
      <c r="C3305" s="5" t="s">
        <v>138</v>
      </c>
      <c r="D3305" s="5" t="s">
        <v>21</v>
      </c>
      <c r="E3305" s="5" t="s">
        <v>44</v>
      </c>
      <c r="F3305" s="5" t="s">
        <v>68</v>
      </c>
      <c r="G3305" s="5" t="s">
        <v>86</v>
      </c>
      <c r="H3305" s="9" t="s">
        <v>139</v>
      </c>
      <c r="I3305" s="10">
        <v>43948</v>
      </c>
      <c r="J3305" s="10">
        <v>44923</v>
      </c>
      <c r="K3305" s="5" t="s">
        <v>140</v>
      </c>
      <c r="L3305" s="5" t="s">
        <v>58</v>
      </c>
      <c r="M3305" s="11">
        <v>0.11</v>
      </c>
      <c r="N3305" s="5" t="e">
        <f>IF(AND(M3305&gt;#REF!,Cartera!O3305="Guaraníes"),"Rendimiento significativo",IF(AND(M3305&gt;#REF!,Cartera!O3305="Dólares americanos"),"Rendimiento significativo","Rendimiento no significativo"))</f>
        <v>#REF!</v>
      </c>
      <c r="O3305" s="5" t="s">
        <v>41</v>
      </c>
      <c r="P3305" s="12">
        <v>904109.58900000004</v>
      </c>
      <c r="Q3305" s="12">
        <f>IF(O3305="Guaraníes",P3305,P3305*#REF!)</f>
        <v>904109.58900000004</v>
      </c>
      <c r="R3305" s="12" t="e">
        <f>IF(O3305="Guaraníes",P3305/#REF!,P3305)</f>
        <v>#REF!</v>
      </c>
      <c r="S3305" s="5" t="s">
        <v>52</v>
      </c>
      <c r="AC3305" s="5" t="str">
        <f t="shared" si="157"/>
        <v>Bonos</v>
      </c>
      <c r="AD3305" s="5" t="s">
        <v>43</v>
      </c>
      <c r="AE3305" s="5">
        <f t="shared" si="158"/>
        <v>12</v>
      </c>
      <c r="AF3305" s="5">
        <f t="shared" si="159"/>
        <v>2022</v>
      </c>
    </row>
    <row r="3306" s="5" customFormat="1" ht="13">
      <c r="A3306" s="5" t="s">
        <v>44</v>
      </c>
      <c r="B3306" s="5" t="s">
        <v>44</v>
      </c>
      <c r="C3306" s="5" t="s">
        <v>138</v>
      </c>
      <c r="D3306" s="5" t="s">
        <v>21</v>
      </c>
      <c r="E3306" s="5" t="s">
        <v>44</v>
      </c>
      <c r="F3306" s="5" t="s">
        <v>68</v>
      </c>
      <c r="G3306" s="5" t="s">
        <v>86</v>
      </c>
      <c r="H3306" s="9" t="s">
        <v>139</v>
      </c>
      <c r="I3306" s="10">
        <v>43948</v>
      </c>
      <c r="J3306" s="10">
        <v>44893</v>
      </c>
      <c r="K3306" s="5" t="s">
        <v>140</v>
      </c>
      <c r="L3306" s="5" t="s">
        <v>58</v>
      </c>
      <c r="M3306" s="11">
        <v>0.11</v>
      </c>
      <c r="N3306" s="5" t="e">
        <f>IF(AND(M3306&gt;#REF!,Cartera!O3306="Guaraníes"),"Rendimiento significativo",IF(AND(M3306&gt;#REF!,Cartera!O3306="Dólares americanos"),"Rendimiento significativo","Rendimiento no significativo"))</f>
        <v>#REF!</v>
      </c>
      <c r="O3306" s="5" t="s">
        <v>41</v>
      </c>
      <c r="P3306" s="12">
        <v>934246.57530000003</v>
      </c>
      <c r="Q3306" s="12">
        <f>IF(O3306="Guaraníes",P3306,P3306*#REF!)</f>
        <v>934246.57530000003</v>
      </c>
      <c r="R3306" s="12" t="e">
        <f>IF(O3306="Guaraníes",P3306/#REF!,P3306)</f>
        <v>#REF!</v>
      </c>
      <c r="S3306" s="5" t="s">
        <v>52</v>
      </c>
      <c r="AC3306" s="5" t="str">
        <f t="shared" si="157"/>
        <v>Bonos</v>
      </c>
      <c r="AD3306" s="5" t="s">
        <v>43</v>
      </c>
      <c r="AE3306" s="5">
        <f t="shared" si="158"/>
        <v>11</v>
      </c>
      <c r="AF3306" s="5">
        <f t="shared" si="159"/>
        <v>2022</v>
      </c>
    </row>
    <row r="3307" s="5" customFormat="1" ht="13">
      <c r="A3307" s="5" t="s">
        <v>44</v>
      </c>
      <c r="B3307" s="5" t="s">
        <v>44</v>
      </c>
      <c r="C3307" s="5" t="s">
        <v>138</v>
      </c>
      <c r="D3307" s="5" t="s">
        <v>21</v>
      </c>
      <c r="E3307" s="5" t="s">
        <v>44</v>
      </c>
      <c r="F3307" s="5" t="s">
        <v>68</v>
      </c>
      <c r="G3307" s="5" t="s">
        <v>86</v>
      </c>
      <c r="H3307" s="9" t="s">
        <v>139</v>
      </c>
      <c r="I3307" s="10">
        <v>43948</v>
      </c>
      <c r="J3307" s="10">
        <v>44862</v>
      </c>
      <c r="K3307" s="5" t="s">
        <v>140</v>
      </c>
      <c r="L3307" s="5" t="s">
        <v>58</v>
      </c>
      <c r="M3307" s="11">
        <v>0.11</v>
      </c>
      <c r="N3307" s="5" t="e">
        <f>IF(AND(M3307&gt;#REF!,Cartera!O3307="Guaraníes"),"Rendimiento significativo",IF(AND(M3307&gt;#REF!,Cartera!O3307="Dólares americanos"),"Rendimiento significativo","Rendimiento no significativo"))</f>
        <v>#REF!</v>
      </c>
      <c r="O3307" s="5" t="s">
        <v>41</v>
      </c>
      <c r="P3307" s="12">
        <v>904109.58900000004</v>
      </c>
      <c r="Q3307" s="12">
        <f>IF(O3307="Guaraníes",P3307,P3307*#REF!)</f>
        <v>904109.58900000004</v>
      </c>
      <c r="R3307" s="12" t="e">
        <f>IF(O3307="Guaraníes",P3307/#REF!,P3307)</f>
        <v>#REF!</v>
      </c>
      <c r="S3307" s="5" t="s">
        <v>52</v>
      </c>
      <c r="AC3307" s="5" t="str">
        <f t="shared" si="157"/>
        <v>Bonos</v>
      </c>
      <c r="AD3307" s="5" t="s">
        <v>43</v>
      </c>
      <c r="AE3307" s="5">
        <f t="shared" si="158"/>
        <v>10</v>
      </c>
      <c r="AF3307" s="5">
        <f t="shared" si="159"/>
        <v>2022</v>
      </c>
    </row>
    <row r="3308" s="5" customFormat="1" ht="13">
      <c r="A3308" s="5" t="s">
        <v>44</v>
      </c>
      <c r="B3308" s="5" t="s">
        <v>44</v>
      </c>
      <c r="C3308" s="5" t="s">
        <v>138</v>
      </c>
      <c r="D3308" s="5" t="s">
        <v>21</v>
      </c>
      <c r="E3308" s="5" t="s">
        <v>44</v>
      </c>
      <c r="F3308" s="5" t="s">
        <v>68</v>
      </c>
      <c r="G3308" s="5" t="s">
        <v>86</v>
      </c>
      <c r="H3308" s="9" t="s">
        <v>139</v>
      </c>
      <c r="I3308" s="10">
        <v>43948</v>
      </c>
      <c r="J3308" s="10">
        <v>44832</v>
      </c>
      <c r="K3308" s="5" t="s">
        <v>140</v>
      </c>
      <c r="L3308" s="5" t="s">
        <v>58</v>
      </c>
      <c r="M3308" s="11">
        <v>0.11</v>
      </c>
      <c r="N3308" s="5" t="e">
        <f>IF(AND(M3308&gt;#REF!,Cartera!O3308="Guaraníes"),"Rendimiento significativo",IF(AND(M3308&gt;#REF!,Cartera!O3308="Dólares americanos"),"Rendimiento significativo","Rendimiento no significativo"))</f>
        <v>#REF!</v>
      </c>
      <c r="O3308" s="5" t="s">
        <v>41</v>
      </c>
      <c r="P3308" s="12">
        <v>904109.58900000004</v>
      </c>
      <c r="Q3308" s="12">
        <f>IF(O3308="Guaraníes",P3308,P3308*#REF!)</f>
        <v>904109.58900000004</v>
      </c>
      <c r="R3308" s="12" t="e">
        <f>IF(O3308="Guaraníes",P3308/#REF!,P3308)</f>
        <v>#REF!</v>
      </c>
      <c r="S3308" s="5" t="s">
        <v>52</v>
      </c>
      <c r="AC3308" s="5" t="str">
        <f t="shared" si="157"/>
        <v>Bonos</v>
      </c>
      <c r="AD3308" s="5" t="s">
        <v>43</v>
      </c>
      <c r="AE3308" s="5">
        <f t="shared" si="158"/>
        <v>9</v>
      </c>
      <c r="AF3308" s="5">
        <f t="shared" si="159"/>
        <v>2022</v>
      </c>
    </row>
    <row r="3309" s="5" customFormat="1" ht="13">
      <c r="A3309" s="5" t="s">
        <v>44</v>
      </c>
      <c r="B3309" s="5" t="s">
        <v>44</v>
      </c>
      <c r="C3309" s="5" t="s">
        <v>138</v>
      </c>
      <c r="D3309" s="5" t="s">
        <v>21</v>
      </c>
      <c r="E3309" s="5" t="s">
        <v>44</v>
      </c>
      <c r="F3309" s="5" t="s">
        <v>68</v>
      </c>
      <c r="G3309" s="5" t="s">
        <v>86</v>
      </c>
      <c r="H3309" s="9" t="s">
        <v>139</v>
      </c>
      <c r="I3309" s="10">
        <v>43948</v>
      </c>
      <c r="J3309" s="10">
        <v>44802</v>
      </c>
      <c r="K3309" s="5" t="s">
        <v>140</v>
      </c>
      <c r="L3309" s="5" t="s">
        <v>58</v>
      </c>
      <c r="M3309" s="11">
        <v>0.11</v>
      </c>
      <c r="N3309" s="5" t="e">
        <f>IF(AND(M3309&gt;#REF!,Cartera!O3309="Guaraníes"),"Rendimiento significativo",IF(AND(M3309&gt;#REF!,Cartera!O3309="Dólares americanos"),"Rendimiento significativo","Rendimiento no significativo"))</f>
        <v>#REF!</v>
      </c>
      <c r="O3309" s="5" t="s">
        <v>41</v>
      </c>
      <c r="P3309" s="12">
        <v>934246.57530000003</v>
      </c>
      <c r="Q3309" s="12">
        <f>IF(O3309="Guaraníes",P3309,P3309*#REF!)</f>
        <v>934246.57530000003</v>
      </c>
      <c r="R3309" s="12" t="e">
        <f>IF(O3309="Guaraníes",P3309/#REF!,P3309)</f>
        <v>#REF!</v>
      </c>
      <c r="S3309" s="5" t="s">
        <v>52</v>
      </c>
      <c r="AC3309" s="5" t="str">
        <f t="shared" si="157"/>
        <v>Bonos</v>
      </c>
      <c r="AD3309" s="5" t="s">
        <v>43</v>
      </c>
      <c r="AE3309" s="5">
        <f t="shared" si="158"/>
        <v>8</v>
      </c>
      <c r="AF3309" s="5">
        <f t="shared" si="159"/>
        <v>2022</v>
      </c>
    </row>
    <row r="3310" s="5" customFormat="1" ht="13">
      <c r="A3310" s="5" t="s">
        <v>44</v>
      </c>
      <c r="B3310" s="5" t="s">
        <v>44</v>
      </c>
      <c r="C3310" s="5" t="s">
        <v>138</v>
      </c>
      <c r="D3310" s="5" t="s">
        <v>21</v>
      </c>
      <c r="E3310" s="5" t="s">
        <v>44</v>
      </c>
      <c r="F3310" s="5" t="s">
        <v>68</v>
      </c>
      <c r="G3310" s="5" t="s">
        <v>86</v>
      </c>
      <c r="H3310" s="9" t="s">
        <v>139</v>
      </c>
      <c r="I3310" s="10">
        <v>43948</v>
      </c>
      <c r="J3310" s="10">
        <v>44771</v>
      </c>
      <c r="K3310" s="5" t="s">
        <v>140</v>
      </c>
      <c r="L3310" s="5" t="s">
        <v>58</v>
      </c>
      <c r="M3310" s="11">
        <v>0.11</v>
      </c>
      <c r="N3310" s="5" t="e">
        <f>IF(AND(M3310&gt;#REF!,Cartera!O3310="Guaraníes"),"Rendimiento significativo",IF(AND(M3310&gt;#REF!,Cartera!O3310="Dólares americanos"),"Rendimiento significativo","Rendimiento no significativo"))</f>
        <v>#REF!</v>
      </c>
      <c r="O3310" s="5" t="s">
        <v>41</v>
      </c>
      <c r="P3310" s="12">
        <v>904109.58900000004</v>
      </c>
      <c r="Q3310" s="12">
        <f>IF(O3310="Guaraníes",P3310,P3310*#REF!)</f>
        <v>904109.58900000004</v>
      </c>
      <c r="R3310" s="12" t="e">
        <f>IF(O3310="Guaraníes",P3310/#REF!,P3310)</f>
        <v>#REF!</v>
      </c>
      <c r="S3310" s="5" t="s">
        <v>52</v>
      </c>
      <c r="AC3310" s="5" t="str">
        <f t="shared" si="157"/>
        <v>Bonos</v>
      </c>
      <c r="AD3310" s="5" t="s">
        <v>43</v>
      </c>
      <c r="AE3310" s="5">
        <f t="shared" si="158"/>
        <v>7</v>
      </c>
      <c r="AF3310" s="5">
        <f t="shared" si="159"/>
        <v>2022</v>
      </c>
    </row>
    <row r="3311" s="5" customFormat="1" ht="13">
      <c r="A3311" s="5" t="s">
        <v>44</v>
      </c>
      <c r="B3311" s="5" t="s">
        <v>44</v>
      </c>
      <c r="C3311" s="5" t="s">
        <v>138</v>
      </c>
      <c r="D3311" s="5" t="s">
        <v>21</v>
      </c>
      <c r="E3311" s="5" t="s">
        <v>44</v>
      </c>
      <c r="F3311" s="5" t="s">
        <v>68</v>
      </c>
      <c r="G3311" s="5" t="s">
        <v>86</v>
      </c>
      <c r="H3311" s="9" t="s">
        <v>139</v>
      </c>
      <c r="I3311" s="10">
        <v>43948</v>
      </c>
      <c r="J3311" s="10">
        <v>44741</v>
      </c>
      <c r="K3311" s="5" t="s">
        <v>140</v>
      </c>
      <c r="L3311" s="5" t="s">
        <v>58</v>
      </c>
      <c r="M3311" s="11">
        <v>0.11</v>
      </c>
      <c r="N3311" s="5" t="e">
        <f>IF(AND(M3311&gt;#REF!,Cartera!O3311="Guaraníes"),"Rendimiento significativo",IF(AND(M3311&gt;#REF!,Cartera!O3311="Dólares americanos"),"Rendimiento significativo","Rendimiento no significativo"))</f>
        <v>#REF!</v>
      </c>
      <c r="O3311" s="5" t="s">
        <v>41</v>
      </c>
      <c r="P3311" s="12">
        <v>904109.58900000004</v>
      </c>
      <c r="Q3311" s="12">
        <f>IF(O3311="Guaraníes",P3311,P3311*#REF!)</f>
        <v>904109.58900000004</v>
      </c>
      <c r="R3311" s="12" t="e">
        <f>IF(O3311="Guaraníes",P3311/#REF!,P3311)</f>
        <v>#REF!</v>
      </c>
      <c r="S3311" s="5" t="s">
        <v>52</v>
      </c>
      <c r="AC3311" s="5" t="str">
        <f t="shared" si="157"/>
        <v>Bonos</v>
      </c>
      <c r="AD3311" s="5" t="s">
        <v>43</v>
      </c>
      <c r="AE3311" s="5">
        <f t="shared" si="158"/>
        <v>6</v>
      </c>
      <c r="AF3311" s="5">
        <f t="shared" si="159"/>
        <v>2022</v>
      </c>
    </row>
    <row r="3312" s="5" customFormat="1" ht="13">
      <c r="A3312" s="5" t="s">
        <v>44</v>
      </c>
      <c r="B3312" s="5" t="s">
        <v>44</v>
      </c>
      <c r="C3312" s="5" t="s">
        <v>138</v>
      </c>
      <c r="D3312" s="5" t="s">
        <v>21</v>
      </c>
      <c r="E3312" s="5" t="s">
        <v>44</v>
      </c>
      <c r="F3312" s="5" t="s">
        <v>68</v>
      </c>
      <c r="G3312" s="5" t="s">
        <v>86</v>
      </c>
      <c r="H3312" s="9" t="s">
        <v>139</v>
      </c>
      <c r="I3312" s="10">
        <v>43948</v>
      </c>
      <c r="J3312" s="10">
        <v>44711</v>
      </c>
      <c r="K3312" s="5" t="s">
        <v>140</v>
      </c>
      <c r="L3312" s="5" t="s">
        <v>58</v>
      </c>
      <c r="M3312" s="11">
        <v>0.11</v>
      </c>
      <c r="N3312" s="5" t="e">
        <f>IF(AND(M3312&gt;#REF!,Cartera!O3312="Guaraníes"),"Rendimiento significativo",IF(AND(M3312&gt;#REF!,Cartera!O3312="Dólares americanos"),"Rendimiento significativo","Rendimiento no significativo"))</f>
        <v>#REF!</v>
      </c>
      <c r="O3312" s="5" t="s">
        <v>41</v>
      </c>
      <c r="P3312" s="12">
        <v>934246.57530000003</v>
      </c>
      <c r="Q3312" s="12">
        <f>IF(O3312="Guaraníes",P3312,P3312*#REF!)</f>
        <v>934246.57530000003</v>
      </c>
      <c r="R3312" s="12" t="e">
        <f>IF(O3312="Guaraníes",P3312/#REF!,P3312)</f>
        <v>#REF!</v>
      </c>
      <c r="S3312" s="5" t="s">
        <v>52</v>
      </c>
      <c r="AC3312" s="5" t="str">
        <f t="shared" si="157"/>
        <v>Bonos</v>
      </c>
      <c r="AD3312" s="5" t="s">
        <v>43</v>
      </c>
      <c r="AE3312" s="5">
        <f t="shared" si="158"/>
        <v>5</v>
      </c>
      <c r="AF3312" s="5">
        <f t="shared" si="159"/>
        <v>2022</v>
      </c>
    </row>
    <row r="3313" s="5" customFormat="1" ht="13">
      <c r="A3313" s="5" t="s">
        <v>44</v>
      </c>
      <c r="B3313" s="5" t="s">
        <v>44</v>
      </c>
      <c r="C3313" s="5" t="s">
        <v>138</v>
      </c>
      <c r="D3313" s="5" t="s">
        <v>21</v>
      </c>
      <c r="E3313" s="5" t="s">
        <v>44</v>
      </c>
      <c r="F3313" s="5" t="s">
        <v>68</v>
      </c>
      <c r="G3313" s="5" t="s">
        <v>86</v>
      </c>
      <c r="H3313" s="9" t="s">
        <v>139</v>
      </c>
      <c r="I3313" s="10">
        <v>43948</v>
      </c>
      <c r="J3313" s="10">
        <v>44680</v>
      </c>
      <c r="K3313" s="5" t="s">
        <v>140</v>
      </c>
      <c r="L3313" s="5" t="s">
        <v>58</v>
      </c>
      <c r="M3313" s="11">
        <v>0.11</v>
      </c>
      <c r="N3313" s="5" t="e">
        <f>IF(AND(M3313&gt;#REF!,Cartera!O3313="Guaraníes"),"Rendimiento significativo",IF(AND(M3313&gt;#REF!,Cartera!O3313="Dólares americanos"),"Rendimiento significativo","Rendimiento no significativo"))</f>
        <v>#REF!</v>
      </c>
      <c r="O3313" s="5" t="s">
        <v>41</v>
      </c>
      <c r="P3313" s="12">
        <v>904109.58900000004</v>
      </c>
      <c r="Q3313" s="12">
        <f>IF(O3313="Guaraníes",P3313,P3313*#REF!)</f>
        <v>904109.58900000004</v>
      </c>
      <c r="R3313" s="12" t="e">
        <f>IF(O3313="Guaraníes",P3313/#REF!,P3313)</f>
        <v>#REF!</v>
      </c>
      <c r="S3313" s="5" t="s">
        <v>52</v>
      </c>
      <c r="AC3313" s="5" t="str">
        <f t="shared" si="157"/>
        <v>Bonos</v>
      </c>
      <c r="AD3313" s="5" t="s">
        <v>43</v>
      </c>
      <c r="AE3313" s="5">
        <f t="shared" si="158"/>
        <v>4</v>
      </c>
      <c r="AF3313" s="5">
        <f t="shared" si="159"/>
        <v>2022</v>
      </c>
    </row>
    <row r="3314" s="5" customFormat="1" ht="13">
      <c r="A3314" s="5" t="s">
        <v>44</v>
      </c>
      <c r="B3314" s="5" t="s">
        <v>44</v>
      </c>
      <c r="C3314" s="5" t="s">
        <v>138</v>
      </c>
      <c r="D3314" s="5" t="s">
        <v>21</v>
      </c>
      <c r="E3314" s="5" t="s">
        <v>44</v>
      </c>
      <c r="F3314" s="5" t="s">
        <v>68</v>
      </c>
      <c r="G3314" s="5" t="s">
        <v>86</v>
      </c>
      <c r="H3314" s="9" t="s">
        <v>139</v>
      </c>
      <c r="I3314" s="10">
        <v>43948</v>
      </c>
      <c r="J3314" s="10">
        <v>44650</v>
      </c>
      <c r="K3314" s="5" t="s">
        <v>140</v>
      </c>
      <c r="L3314" s="5" t="s">
        <v>58</v>
      </c>
      <c r="M3314" s="11">
        <v>0.11</v>
      </c>
      <c r="N3314" s="5" t="e">
        <f>IF(AND(M3314&gt;#REF!,Cartera!O3314="Guaraníes"),"Rendimiento significativo",IF(AND(M3314&gt;#REF!,Cartera!O3314="Dólares americanos"),"Rendimiento significativo","Rendimiento no significativo"))</f>
        <v>#REF!</v>
      </c>
      <c r="O3314" s="5" t="s">
        <v>41</v>
      </c>
      <c r="P3314" s="12">
        <v>904109.58900000004</v>
      </c>
      <c r="Q3314" s="12">
        <f>IF(O3314="Guaraníes",P3314,P3314*#REF!)</f>
        <v>904109.58900000004</v>
      </c>
      <c r="R3314" s="12" t="e">
        <f>IF(O3314="Guaraníes",P3314/#REF!,P3314)</f>
        <v>#REF!</v>
      </c>
      <c r="S3314" s="5" t="s">
        <v>52</v>
      </c>
      <c r="AC3314" s="5" t="str">
        <f t="shared" si="157"/>
        <v>Bonos</v>
      </c>
      <c r="AD3314" s="5" t="s">
        <v>43</v>
      </c>
      <c r="AE3314" s="5">
        <f t="shared" si="158"/>
        <v>3</v>
      </c>
      <c r="AF3314" s="5">
        <f t="shared" si="159"/>
        <v>2022</v>
      </c>
    </row>
    <row r="3315" s="5" customFormat="1" ht="13">
      <c r="A3315" s="5" t="s">
        <v>44</v>
      </c>
      <c r="B3315" s="5" t="s">
        <v>44</v>
      </c>
      <c r="C3315" s="5" t="s">
        <v>138</v>
      </c>
      <c r="D3315" s="5" t="s">
        <v>21</v>
      </c>
      <c r="E3315" s="5" t="s">
        <v>44</v>
      </c>
      <c r="F3315" s="5" t="s">
        <v>68</v>
      </c>
      <c r="G3315" s="5" t="s">
        <v>86</v>
      </c>
      <c r="H3315" s="9" t="s">
        <v>139</v>
      </c>
      <c r="I3315" s="10">
        <v>43948</v>
      </c>
      <c r="J3315" s="10">
        <v>44620</v>
      </c>
      <c r="K3315" s="5" t="s">
        <v>140</v>
      </c>
      <c r="L3315" s="5" t="s">
        <v>58</v>
      </c>
      <c r="M3315" s="11">
        <v>0.11</v>
      </c>
      <c r="N3315" s="5" t="e">
        <f>IF(AND(M3315&gt;#REF!,Cartera!O3315="Guaraníes"),"Rendimiento significativo",IF(AND(M3315&gt;#REF!,Cartera!O3315="Dólares americanos"),"Rendimiento significativo","Rendimiento no significativo"))</f>
        <v>#REF!</v>
      </c>
      <c r="O3315" s="5" t="s">
        <v>41</v>
      </c>
      <c r="P3315" s="12">
        <v>934246.57530000003</v>
      </c>
      <c r="Q3315" s="12">
        <f>IF(O3315="Guaraníes",P3315,P3315*#REF!)</f>
        <v>934246.57530000003</v>
      </c>
      <c r="R3315" s="12" t="e">
        <f>IF(O3315="Guaraníes",P3315/#REF!,P3315)</f>
        <v>#REF!</v>
      </c>
      <c r="S3315" s="5" t="s">
        <v>52</v>
      </c>
      <c r="AC3315" s="5" t="str">
        <f t="shared" si="157"/>
        <v>Bonos</v>
      </c>
      <c r="AD3315" s="5" t="s">
        <v>43</v>
      </c>
      <c r="AE3315" s="5">
        <f t="shared" si="158"/>
        <v>2</v>
      </c>
      <c r="AF3315" s="5">
        <f t="shared" si="159"/>
        <v>2022</v>
      </c>
    </row>
    <row r="3316" s="5" customFormat="1" ht="13">
      <c r="A3316" s="5" t="s">
        <v>44</v>
      </c>
      <c r="B3316" s="5" t="s">
        <v>44</v>
      </c>
      <c r="C3316" s="5" t="s">
        <v>138</v>
      </c>
      <c r="D3316" s="5" t="s">
        <v>21</v>
      </c>
      <c r="E3316" s="5" t="s">
        <v>44</v>
      </c>
      <c r="F3316" s="5" t="s">
        <v>68</v>
      </c>
      <c r="G3316" s="5" t="s">
        <v>86</v>
      </c>
      <c r="H3316" s="9" t="s">
        <v>139</v>
      </c>
      <c r="I3316" s="10">
        <v>43948</v>
      </c>
      <c r="J3316" s="10">
        <v>44589</v>
      </c>
      <c r="K3316" s="5" t="s">
        <v>140</v>
      </c>
      <c r="L3316" s="5" t="s">
        <v>58</v>
      </c>
      <c r="M3316" s="11">
        <v>0.11</v>
      </c>
      <c r="N3316" s="5" t="e">
        <f>IF(AND(M3316&gt;#REF!,Cartera!O3316="Guaraníes"),"Rendimiento significativo",IF(AND(M3316&gt;#REF!,Cartera!O3316="Dólares americanos"),"Rendimiento significativo","Rendimiento no significativo"))</f>
        <v>#REF!</v>
      </c>
      <c r="O3316" s="5" t="s">
        <v>41</v>
      </c>
      <c r="P3316" s="12">
        <v>964383.56160000002</v>
      </c>
      <c r="Q3316" s="12">
        <f>IF(O3316="Guaraníes",P3316,P3316*#REF!)</f>
        <v>964383.56160000002</v>
      </c>
      <c r="R3316" s="12" t="e">
        <f>IF(O3316="Guaraníes",P3316/#REF!,P3316)</f>
        <v>#REF!</v>
      </c>
      <c r="S3316" s="5" t="s">
        <v>52</v>
      </c>
      <c r="AC3316" s="5" t="str">
        <f t="shared" si="157"/>
        <v>Bonos</v>
      </c>
      <c r="AD3316" s="5" t="s">
        <v>43</v>
      </c>
      <c r="AE3316" s="5">
        <f t="shared" si="158"/>
        <v>1</v>
      </c>
      <c r="AF3316" s="5">
        <f t="shared" si="159"/>
        <v>2022</v>
      </c>
    </row>
    <row r="3317" s="5" customFormat="1" ht="13">
      <c r="A3317" s="5" t="s">
        <v>44</v>
      </c>
      <c r="B3317" s="5" t="s">
        <v>44</v>
      </c>
      <c r="C3317" s="5" t="s">
        <v>138</v>
      </c>
      <c r="D3317" s="5" t="s">
        <v>21</v>
      </c>
      <c r="E3317" s="5" t="s">
        <v>44</v>
      </c>
      <c r="F3317" s="5" t="s">
        <v>68</v>
      </c>
      <c r="G3317" s="5" t="s">
        <v>86</v>
      </c>
      <c r="H3317" s="9" t="s">
        <v>139</v>
      </c>
      <c r="I3317" s="10">
        <v>43948</v>
      </c>
      <c r="J3317" s="10">
        <v>44557</v>
      </c>
      <c r="K3317" s="5" t="s">
        <v>140</v>
      </c>
      <c r="L3317" s="5" t="s">
        <v>58</v>
      </c>
      <c r="M3317" s="11">
        <v>0.11</v>
      </c>
      <c r="N3317" s="5" t="e">
        <f>IF(AND(M3317&gt;#REF!,Cartera!O3317="Guaraníes"),"Rendimiento significativo",IF(AND(M3317&gt;#REF!,Cartera!O3317="Dólares americanos"),"Rendimiento significativo","Rendimiento no significativo"))</f>
        <v>#REF!</v>
      </c>
      <c r="O3317" s="5" t="s">
        <v>41</v>
      </c>
      <c r="P3317" s="12">
        <v>934246.57530000003</v>
      </c>
      <c r="Q3317" s="12">
        <f>IF(O3317="Guaraníes",P3317,P3317*#REF!)</f>
        <v>934246.57530000003</v>
      </c>
      <c r="R3317" s="12" t="e">
        <f>IF(O3317="Guaraníes",P3317/#REF!,P3317)</f>
        <v>#REF!</v>
      </c>
      <c r="S3317" s="5" t="s">
        <v>52</v>
      </c>
      <c r="AC3317" s="5" t="str">
        <f t="shared" si="157"/>
        <v>Bonos</v>
      </c>
      <c r="AD3317" s="5" t="s">
        <v>43</v>
      </c>
      <c r="AE3317" s="5">
        <f t="shared" si="158"/>
        <v>12</v>
      </c>
      <c r="AF3317" s="5">
        <f t="shared" si="159"/>
        <v>2021</v>
      </c>
    </row>
    <row r="3318" s="5" customFormat="1" ht="13">
      <c r="A3318" s="5" t="s">
        <v>44</v>
      </c>
      <c r="B3318" s="5" t="s">
        <v>44</v>
      </c>
      <c r="C3318" s="5" t="s">
        <v>138</v>
      </c>
      <c r="D3318" s="5" t="s">
        <v>21</v>
      </c>
      <c r="E3318" s="5" t="s">
        <v>44</v>
      </c>
      <c r="F3318" s="5" t="s">
        <v>68</v>
      </c>
      <c r="G3318" s="5" t="s">
        <v>86</v>
      </c>
      <c r="H3318" s="9" t="s">
        <v>139</v>
      </c>
      <c r="I3318" s="10">
        <v>43948</v>
      </c>
      <c r="J3318" s="10">
        <v>44526</v>
      </c>
      <c r="K3318" s="5" t="s">
        <v>140</v>
      </c>
      <c r="L3318" s="5" t="s">
        <v>58</v>
      </c>
      <c r="M3318" s="11">
        <v>0.11</v>
      </c>
      <c r="N3318" s="5" t="e">
        <f>IF(AND(M3318&gt;#REF!,Cartera!O3318="Guaraníes"),"Rendimiento significativo",IF(AND(M3318&gt;#REF!,Cartera!O3318="Dólares americanos"),"Rendimiento significativo","Rendimiento no significativo"))</f>
        <v>#REF!</v>
      </c>
      <c r="O3318" s="5" t="s">
        <v>41</v>
      </c>
      <c r="P3318" s="12">
        <v>904109.58900000004</v>
      </c>
      <c r="Q3318" s="12">
        <f>IF(O3318="Guaraníes",P3318,P3318*#REF!)</f>
        <v>904109.58900000004</v>
      </c>
      <c r="R3318" s="12" t="e">
        <f>IF(O3318="Guaraníes",P3318/#REF!,P3318)</f>
        <v>#REF!</v>
      </c>
      <c r="S3318" s="5" t="s">
        <v>52</v>
      </c>
      <c r="AC3318" s="5" t="str">
        <f t="shared" si="157"/>
        <v>Bonos</v>
      </c>
      <c r="AD3318" s="5" t="s">
        <v>43</v>
      </c>
      <c r="AE3318" s="5">
        <f t="shared" si="158"/>
        <v>11</v>
      </c>
      <c r="AF3318" s="5">
        <f t="shared" si="159"/>
        <v>2021</v>
      </c>
    </row>
    <row r="3319" s="5" customFormat="1" ht="13">
      <c r="A3319" s="5" t="s">
        <v>44</v>
      </c>
      <c r="B3319" s="5" t="s">
        <v>44</v>
      </c>
      <c r="C3319" s="5" t="s">
        <v>138</v>
      </c>
      <c r="D3319" s="5" t="s">
        <v>21</v>
      </c>
      <c r="E3319" s="5" t="s">
        <v>44</v>
      </c>
      <c r="F3319" s="5" t="s">
        <v>68</v>
      </c>
      <c r="G3319" s="5" t="s">
        <v>86</v>
      </c>
      <c r="H3319" s="9" t="s">
        <v>139</v>
      </c>
      <c r="I3319" s="10">
        <v>43948</v>
      </c>
      <c r="J3319" s="10">
        <v>44496</v>
      </c>
      <c r="K3319" s="5" t="s">
        <v>140</v>
      </c>
      <c r="L3319" s="5" t="s">
        <v>58</v>
      </c>
      <c r="M3319" s="11">
        <v>0.11</v>
      </c>
      <c r="N3319" s="5" t="e">
        <f>IF(AND(M3319&gt;#REF!,Cartera!O3319="Guaraníes"),"Rendimiento significativo",IF(AND(M3319&gt;#REF!,Cartera!O3319="Dólares americanos"),"Rendimiento significativo","Rendimiento no significativo"))</f>
        <v>#REF!</v>
      </c>
      <c r="O3319" s="5" t="s">
        <v>41</v>
      </c>
      <c r="P3319" s="12">
        <v>904109.58900000004</v>
      </c>
      <c r="Q3319" s="12">
        <f>IF(O3319="Guaraníes",P3319,P3319*#REF!)</f>
        <v>904109.58900000004</v>
      </c>
      <c r="R3319" s="12" t="e">
        <f>IF(O3319="Guaraníes",P3319/#REF!,P3319)</f>
        <v>#REF!</v>
      </c>
      <c r="S3319" s="5" t="s">
        <v>52</v>
      </c>
      <c r="AC3319" s="5" t="str">
        <f t="shared" ref="AC3319:AC3382" si="160">IF(ISNUMBER(SEARCH("Acciones",L3319)),"Acciones",IF(ISNUMBER(SEARCH("Bono",L3319)),"Bonos",IF(ISNUMBER(SEARCH("CDA",L3319)),"CDA",IF(ISNUMBER(SEARCH("Fondo",L3319)),"Fondo",0))))</f>
        <v>Bonos</v>
      </c>
      <c r="AD3319" s="5" t="s">
        <v>43</v>
      </c>
      <c r="AE3319" s="5">
        <f t="shared" si="158"/>
        <v>10</v>
      </c>
      <c r="AF3319" s="5">
        <f t="shared" si="159"/>
        <v>2021</v>
      </c>
    </row>
    <row r="3320" s="5" customFormat="1" ht="13">
      <c r="A3320" s="5" t="s">
        <v>44</v>
      </c>
      <c r="B3320" s="5" t="s">
        <v>44</v>
      </c>
      <c r="C3320" s="5" t="s">
        <v>138</v>
      </c>
      <c r="D3320" s="5" t="s">
        <v>21</v>
      </c>
      <c r="E3320" s="5" t="s">
        <v>44</v>
      </c>
      <c r="F3320" s="5" t="s">
        <v>68</v>
      </c>
      <c r="G3320" s="5" t="s">
        <v>86</v>
      </c>
      <c r="H3320" s="9" t="s">
        <v>139</v>
      </c>
      <c r="I3320" s="10">
        <v>43948</v>
      </c>
      <c r="J3320" s="10">
        <v>44466</v>
      </c>
      <c r="K3320" s="5" t="s">
        <v>140</v>
      </c>
      <c r="L3320" s="5" t="s">
        <v>58</v>
      </c>
      <c r="M3320" s="11">
        <v>0.11</v>
      </c>
      <c r="N3320" s="5" t="e">
        <f>IF(AND(M3320&gt;#REF!,Cartera!O3320="Guaraníes"),"Rendimiento significativo",IF(AND(M3320&gt;#REF!,Cartera!O3320="Dólares americanos"),"Rendimiento significativo","Rendimiento no significativo"))</f>
        <v>#REF!</v>
      </c>
      <c r="O3320" s="5" t="s">
        <v>41</v>
      </c>
      <c r="P3320" s="12">
        <v>934246.57530000003</v>
      </c>
      <c r="Q3320" s="12">
        <f>IF(O3320="Guaraníes",P3320,P3320*#REF!)</f>
        <v>934246.57530000003</v>
      </c>
      <c r="R3320" s="12" t="e">
        <f>IF(O3320="Guaraníes",P3320/#REF!,P3320)</f>
        <v>#REF!</v>
      </c>
      <c r="S3320" s="5" t="s">
        <v>52</v>
      </c>
      <c r="AC3320" s="5" t="str">
        <f t="shared" si="160"/>
        <v>Bonos</v>
      </c>
      <c r="AD3320" s="5" t="s">
        <v>43</v>
      </c>
      <c r="AE3320" s="5">
        <f t="shared" si="158"/>
        <v>9</v>
      </c>
      <c r="AF3320" s="5">
        <f t="shared" si="159"/>
        <v>2021</v>
      </c>
    </row>
    <row r="3321" s="5" customFormat="1" ht="13">
      <c r="A3321" s="5" t="s">
        <v>44</v>
      </c>
      <c r="B3321" s="5" t="s">
        <v>44</v>
      </c>
      <c r="C3321" s="5" t="s">
        <v>138</v>
      </c>
      <c r="D3321" s="5" t="s">
        <v>21</v>
      </c>
      <c r="E3321" s="5" t="s">
        <v>44</v>
      </c>
      <c r="F3321" s="5" t="s">
        <v>68</v>
      </c>
      <c r="G3321" s="5" t="s">
        <v>86</v>
      </c>
      <c r="H3321" s="9" t="s">
        <v>139</v>
      </c>
      <c r="I3321" s="10">
        <v>43948</v>
      </c>
      <c r="J3321" s="10">
        <v>44435</v>
      </c>
      <c r="K3321" s="5" t="s">
        <v>140</v>
      </c>
      <c r="L3321" s="5" t="s">
        <v>58</v>
      </c>
      <c r="M3321" s="11">
        <v>0.11</v>
      </c>
      <c r="N3321" s="5" t="e">
        <f>IF(AND(M3321&gt;#REF!,Cartera!O3321="Guaraníes"),"Rendimiento significativo",IF(AND(M3321&gt;#REF!,Cartera!O3321="Dólares americanos"),"Rendimiento significativo","Rendimiento no significativo"))</f>
        <v>#REF!</v>
      </c>
      <c r="O3321" s="5" t="s">
        <v>41</v>
      </c>
      <c r="P3321" s="12">
        <v>904109.58900000004</v>
      </c>
      <c r="Q3321" s="12">
        <f>IF(O3321="Guaraníes",P3321,P3321*#REF!)</f>
        <v>904109.58900000004</v>
      </c>
      <c r="R3321" s="12" t="e">
        <f>IF(O3321="Guaraníes",P3321/#REF!,P3321)</f>
        <v>#REF!</v>
      </c>
      <c r="S3321" s="5" t="s">
        <v>52</v>
      </c>
      <c r="AC3321" s="5" t="str">
        <f t="shared" si="160"/>
        <v>Bonos</v>
      </c>
      <c r="AD3321" s="5" t="s">
        <v>43</v>
      </c>
      <c r="AE3321" s="5">
        <f t="shared" si="158"/>
        <v>8</v>
      </c>
      <c r="AF3321" s="5">
        <f t="shared" si="159"/>
        <v>2021</v>
      </c>
    </row>
    <row r="3322" s="5" customFormat="1" ht="13">
      <c r="A3322" s="5" t="s">
        <v>44</v>
      </c>
      <c r="B3322" s="5" t="s">
        <v>44</v>
      </c>
      <c r="C3322" s="5" t="s">
        <v>138</v>
      </c>
      <c r="D3322" s="5" t="s">
        <v>21</v>
      </c>
      <c r="E3322" s="5" t="s">
        <v>44</v>
      </c>
      <c r="F3322" s="5" t="s">
        <v>68</v>
      </c>
      <c r="G3322" s="5" t="s">
        <v>86</v>
      </c>
      <c r="H3322" s="9" t="s">
        <v>139</v>
      </c>
      <c r="I3322" s="10">
        <v>43948</v>
      </c>
      <c r="J3322" s="10">
        <v>44405</v>
      </c>
      <c r="K3322" s="5" t="s">
        <v>140</v>
      </c>
      <c r="L3322" s="5" t="s">
        <v>58</v>
      </c>
      <c r="M3322" s="11">
        <v>0.11</v>
      </c>
      <c r="N3322" s="5" t="e">
        <f>IF(AND(M3322&gt;#REF!,Cartera!O3322="Guaraníes"),"Rendimiento significativo",IF(AND(M3322&gt;#REF!,Cartera!O3322="Dólares americanos"),"Rendimiento significativo","Rendimiento no significativo"))</f>
        <v>#REF!</v>
      </c>
      <c r="O3322" s="5" t="s">
        <v>41</v>
      </c>
      <c r="P3322" s="12">
        <v>904109.58900000004</v>
      </c>
      <c r="Q3322" s="12">
        <f>IF(O3322="Guaraníes",P3322,P3322*#REF!)</f>
        <v>904109.58900000004</v>
      </c>
      <c r="R3322" s="12" t="e">
        <f>IF(O3322="Guaraníes",P3322/#REF!,P3322)</f>
        <v>#REF!</v>
      </c>
      <c r="S3322" s="5" t="s">
        <v>52</v>
      </c>
      <c r="AC3322" s="5" t="str">
        <f t="shared" si="160"/>
        <v>Bonos</v>
      </c>
      <c r="AD3322" s="5" t="s">
        <v>43</v>
      </c>
      <c r="AE3322" s="5">
        <f t="shared" si="158"/>
        <v>7</v>
      </c>
      <c r="AF3322" s="5">
        <f t="shared" si="159"/>
        <v>2021</v>
      </c>
    </row>
    <row r="3323" s="5" customFormat="1" ht="13">
      <c r="A3323" s="5" t="s">
        <v>44</v>
      </c>
      <c r="B3323" s="5" t="s">
        <v>44</v>
      </c>
      <c r="C3323" s="5" t="s">
        <v>138</v>
      </c>
      <c r="D3323" s="5" t="s">
        <v>21</v>
      </c>
      <c r="E3323" s="5" t="s">
        <v>44</v>
      </c>
      <c r="F3323" s="5" t="s">
        <v>68</v>
      </c>
      <c r="G3323" s="5" t="s">
        <v>86</v>
      </c>
      <c r="H3323" s="9" t="s">
        <v>139</v>
      </c>
      <c r="I3323" s="10">
        <v>43948</v>
      </c>
      <c r="J3323" s="10">
        <v>44375</v>
      </c>
      <c r="K3323" s="5" t="s">
        <v>140</v>
      </c>
      <c r="L3323" s="5" t="s">
        <v>58</v>
      </c>
      <c r="M3323" s="11">
        <v>0.11</v>
      </c>
      <c r="N3323" s="5" t="e">
        <f>IF(AND(M3323&gt;#REF!,Cartera!O3323="Guaraníes"),"Rendimiento significativo",IF(AND(M3323&gt;#REF!,Cartera!O3323="Dólares americanos"),"Rendimiento significativo","Rendimiento no significativo"))</f>
        <v>#REF!</v>
      </c>
      <c r="O3323" s="5" t="s">
        <v>41</v>
      </c>
      <c r="P3323" s="12">
        <v>934246.57530000003</v>
      </c>
      <c r="Q3323" s="12">
        <f>IF(O3323="Guaraníes",P3323,P3323*#REF!)</f>
        <v>934246.57530000003</v>
      </c>
      <c r="R3323" s="12" t="e">
        <f>IF(O3323="Guaraníes",P3323/#REF!,P3323)</f>
        <v>#REF!</v>
      </c>
      <c r="S3323" s="5" t="s">
        <v>52</v>
      </c>
      <c r="AC3323" s="5" t="str">
        <f t="shared" si="160"/>
        <v>Bonos</v>
      </c>
      <c r="AD3323" s="5" t="s">
        <v>43</v>
      </c>
      <c r="AE3323" s="5">
        <f t="shared" si="158"/>
        <v>6</v>
      </c>
      <c r="AF3323" s="5">
        <f t="shared" si="159"/>
        <v>2021</v>
      </c>
    </row>
    <row r="3324" s="5" customFormat="1" ht="13">
      <c r="A3324" s="5" t="s">
        <v>44</v>
      </c>
      <c r="B3324" s="5" t="s">
        <v>44</v>
      </c>
      <c r="C3324" s="5" t="s">
        <v>138</v>
      </c>
      <c r="D3324" s="5" t="s">
        <v>21</v>
      </c>
      <c r="E3324" s="5" t="s">
        <v>44</v>
      </c>
      <c r="F3324" s="5" t="s">
        <v>68</v>
      </c>
      <c r="G3324" s="5" t="s">
        <v>86</v>
      </c>
      <c r="H3324" s="9" t="s">
        <v>139</v>
      </c>
      <c r="I3324" s="10">
        <v>43948</v>
      </c>
      <c r="J3324" s="10">
        <v>44344</v>
      </c>
      <c r="K3324" s="5" t="s">
        <v>140</v>
      </c>
      <c r="L3324" s="5" t="s">
        <v>58</v>
      </c>
      <c r="M3324" s="11">
        <v>0.11</v>
      </c>
      <c r="N3324" s="5" t="e">
        <f>IF(AND(M3324&gt;#REF!,Cartera!O3324="Guaraníes"),"Rendimiento significativo",IF(AND(M3324&gt;#REF!,Cartera!O3324="Dólares americanos"),"Rendimiento significativo","Rendimiento no significativo"))</f>
        <v>#REF!</v>
      </c>
      <c r="O3324" s="5" t="s">
        <v>41</v>
      </c>
      <c r="P3324" s="12">
        <v>904109.58900000004</v>
      </c>
      <c r="Q3324" s="12">
        <f>IF(O3324="Guaraníes",P3324,P3324*#REF!)</f>
        <v>904109.58900000004</v>
      </c>
      <c r="R3324" s="12" t="e">
        <f>IF(O3324="Guaraníes",P3324/#REF!,P3324)</f>
        <v>#REF!</v>
      </c>
      <c r="S3324" s="5" t="s">
        <v>52</v>
      </c>
      <c r="AC3324" s="5" t="str">
        <f t="shared" si="160"/>
        <v>Bonos</v>
      </c>
      <c r="AD3324" s="5" t="s">
        <v>43</v>
      </c>
      <c r="AE3324" s="5">
        <f t="shared" si="158"/>
        <v>5</v>
      </c>
      <c r="AF3324" s="5">
        <f t="shared" si="159"/>
        <v>2021</v>
      </c>
    </row>
    <row r="3325" s="5" customFormat="1" ht="13">
      <c r="A3325" s="5" t="s">
        <v>44</v>
      </c>
      <c r="B3325" s="5" t="s">
        <v>44</v>
      </c>
      <c r="C3325" s="5" t="s">
        <v>138</v>
      </c>
      <c r="D3325" s="5" t="s">
        <v>21</v>
      </c>
      <c r="E3325" s="5" t="s">
        <v>44</v>
      </c>
      <c r="F3325" s="5" t="s">
        <v>68</v>
      </c>
      <c r="G3325" s="5" t="s">
        <v>86</v>
      </c>
      <c r="H3325" s="9" t="s">
        <v>139</v>
      </c>
      <c r="I3325" s="10">
        <v>43948</v>
      </c>
      <c r="J3325" s="10">
        <v>44314</v>
      </c>
      <c r="K3325" s="5" t="s">
        <v>140</v>
      </c>
      <c r="L3325" s="5" t="s">
        <v>58</v>
      </c>
      <c r="M3325" s="11">
        <v>0.11</v>
      </c>
      <c r="N3325" s="5" t="e">
        <f>IF(AND(M3325&gt;#REF!,Cartera!O3325="Guaraníes"),"Rendimiento significativo",IF(AND(M3325&gt;#REF!,Cartera!O3325="Dólares americanos"),"Rendimiento significativo","Rendimiento no significativo"))</f>
        <v>#REF!</v>
      </c>
      <c r="O3325" s="5" t="s">
        <v>41</v>
      </c>
      <c r="P3325" s="12">
        <v>904109.58900000004</v>
      </c>
      <c r="Q3325" s="12">
        <f>IF(O3325="Guaraníes",P3325,P3325*#REF!)</f>
        <v>904109.58900000004</v>
      </c>
      <c r="R3325" s="12" t="e">
        <f>IF(O3325="Guaraníes",P3325/#REF!,P3325)</f>
        <v>#REF!</v>
      </c>
      <c r="S3325" s="5" t="s">
        <v>52</v>
      </c>
      <c r="AC3325" s="5" t="str">
        <f t="shared" si="160"/>
        <v>Bonos</v>
      </c>
      <c r="AD3325" s="5" t="s">
        <v>43</v>
      </c>
      <c r="AE3325" s="5">
        <f t="shared" si="158"/>
        <v>4</v>
      </c>
      <c r="AF3325" s="5">
        <f t="shared" si="159"/>
        <v>2021</v>
      </c>
    </row>
    <row r="3326" s="5" customFormat="1" ht="13">
      <c r="A3326" s="5" t="s">
        <v>44</v>
      </c>
      <c r="B3326" s="5" t="s">
        <v>44</v>
      </c>
      <c r="C3326" s="5" t="s">
        <v>138</v>
      </c>
      <c r="D3326" s="5" t="s">
        <v>21</v>
      </c>
      <c r="E3326" s="5" t="s">
        <v>44</v>
      </c>
      <c r="F3326" s="5" t="s">
        <v>68</v>
      </c>
      <c r="G3326" s="5" t="s">
        <v>86</v>
      </c>
      <c r="H3326" s="9" t="s">
        <v>139</v>
      </c>
      <c r="I3326" s="10">
        <v>43948</v>
      </c>
      <c r="J3326" s="10">
        <v>44284</v>
      </c>
      <c r="K3326" s="5" t="s">
        <v>140</v>
      </c>
      <c r="L3326" s="5" t="s">
        <v>58</v>
      </c>
      <c r="M3326" s="11">
        <v>0.11</v>
      </c>
      <c r="N3326" s="5" t="e">
        <f>IF(AND(M3326&gt;#REF!,Cartera!O3326="Guaraníes"),"Rendimiento significativo",IF(AND(M3326&gt;#REF!,Cartera!O3326="Dólares americanos"),"Rendimiento significativo","Rendimiento no significativo"))</f>
        <v>#REF!</v>
      </c>
      <c r="O3326" s="5" t="s">
        <v>41</v>
      </c>
      <c r="P3326" s="12">
        <v>934246.57530000003</v>
      </c>
      <c r="Q3326" s="12">
        <f>IF(O3326="Guaraníes",P3326,P3326*#REF!)</f>
        <v>934246.57530000003</v>
      </c>
      <c r="R3326" s="12" t="e">
        <f>IF(O3326="Guaraníes",P3326/#REF!,P3326)</f>
        <v>#REF!</v>
      </c>
      <c r="S3326" s="5" t="s">
        <v>52</v>
      </c>
      <c r="AC3326" s="5" t="str">
        <f t="shared" si="160"/>
        <v>Bonos</v>
      </c>
      <c r="AD3326" s="5" t="s">
        <v>43</v>
      </c>
      <c r="AE3326" s="5">
        <f t="shared" si="158"/>
        <v>3</v>
      </c>
      <c r="AF3326" s="5">
        <f t="shared" si="159"/>
        <v>2021</v>
      </c>
    </row>
    <row r="3327" s="5" customFormat="1" ht="13">
      <c r="A3327" s="5" t="s">
        <v>44</v>
      </c>
      <c r="B3327" s="5" t="s">
        <v>44</v>
      </c>
      <c r="C3327" s="5" t="s">
        <v>138</v>
      </c>
      <c r="D3327" s="5" t="s">
        <v>21</v>
      </c>
      <c r="E3327" s="5" t="s">
        <v>44</v>
      </c>
      <c r="F3327" s="5" t="s">
        <v>68</v>
      </c>
      <c r="G3327" s="5" t="s">
        <v>86</v>
      </c>
      <c r="H3327" s="9" t="s">
        <v>139</v>
      </c>
      <c r="I3327" s="10">
        <v>43948</v>
      </c>
      <c r="J3327" s="10">
        <v>44253</v>
      </c>
      <c r="K3327" s="5" t="s">
        <v>140</v>
      </c>
      <c r="L3327" s="5" t="s">
        <v>58</v>
      </c>
      <c r="M3327" s="11">
        <v>0.11</v>
      </c>
      <c r="N3327" s="5" t="e">
        <f>IF(AND(M3327&gt;#REF!,Cartera!O3327="Guaraníes"),"Rendimiento significativo",IF(AND(M3327&gt;#REF!,Cartera!O3327="Dólares americanos"),"Rendimiento significativo","Rendimiento no significativo"))</f>
        <v>#REF!</v>
      </c>
      <c r="O3327" s="5" t="s">
        <v>41</v>
      </c>
      <c r="P3327" s="12">
        <v>904109.58900000004</v>
      </c>
      <c r="Q3327" s="12">
        <f>IF(O3327="Guaraníes",P3327,P3327*#REF!)</f>
        <v>904109.58900000004</v>
      </c>
      <c r="R3327" s="12" t="e">
        <f>IF(O3327="Guaraníes",P3327/#REF!,P3327)</f>
        <v>#REF!</v>
      </c>
      <c r="S3327" s="5" t="s">
        <v>52</v>
      </c>
      <c r="AC3327" s="5" t="str">
        <f t="shared" si="160"/>
        <v>Bonos</v>
      </c>
      <c r="AD3327" s="5" t="s">
        <v>43</v>
      </c>
      <c r="AE3327" s="5">
        <f t="shared" si="158"/>
        <v>2</v>
      </c>
      <c r="AF3327" s="5">
        <f t="shared" si="159"/>
        <v>2021</v>
      </c>
    </row>
    <row r="3328" s="5" customFormat="1" ht="13">
      <c r="A3328" s="5" t="s">
        <v>44</v>
      </c>
      <c r="B3328" s="5" t="s">
        <v>44</v>
      </c>
      <c r="C3328" s="5" t="s">
        <v>138</v>
      </c>
      <c r="D3328" s="5" t="s">
        <v>21</v>
      </c>
      <c r="E3328" s="5" t="s">
        <v>44</v>
      </c>
      <c r="F3328" s="5" t="s">
        <v>68</v>
      </c>
      <c r="G3328" s="5" t="s">
        <v>86</v>
      </c>
      <c r="H3328" s="9" t="s">
        <v>139</v>
      </c>
      <c r="I3328" s="10">
        <v>43948</v>
      </c>
      <c r="J3328" s="10">
        <v>44223</v>
      </c>
      <c r="K3328" s="5" t="s">
        <v>140</v>
      </c>
      <c r="L3328" s="5" t="s">
        <v>58</v>
      </c>
      <c r="M3328" s="11">
        <v>0.11</v>
      </c>
      <c r="N3328" s="5" t="e">
        <f>IF(AND(M3328&gt;#REF!,Cartera!O3328="Guaraníes"),"Rendimiento significativo",IF(AND(M3328&gt;#REF!,Cartera!O3328="Dólares americanos"),"Rendimiento significativo","Rendimiento no significativo"))</f>
        <v>#REF!</v>
      </c>
      <c r="O3328" s="5" t="s">
        <v>41</v>
      </c>
      <c r="P3328" s="12">
        <v>904109.58900000004</v>
      </c>
      <c r="Q3328" s="12">
        <f>IF(O3328="Guaraníes",P3328,P3328*#REF!)</f>
        <v>904109.58900000004</v>
      </c>
      <c r="R3328" s="12" t="e">
        <f>IF(O3328="Guaraníes",P3328/#REF!,P3328)</f>
        <v>#REF!</v>
      </c>
      <c r="S3328" s="5" t="s">
        <v>52</v>
      </c>
      <c r="AC3328" s="5" t="str">
        <f t="shared" si="160"/>
        <v>Bonos</v>
      </c>
      <c r="AD3328" s="5" t="s">
        <v>43</v>
      </c>
      <c r="AE3328" s="5">
        <f t="shared" si="158"/>
        <v>1</v>
      </c>
      <c r="AF3328" s="5">
        <f t="shared" si="159"/>
        <v>2021</v>
      </c>
    </row>
    <row r="3329" s="5" customFormat="1" ht="13">
      <c r="A3329" s="5" t="s">
        <v>44</v>
      </c>
      <c r="B3329" s="5" t="s">
        <v>44</v>
      </c>
      <c r="C3329" s="5" t="s">
        <v>138</v>
      </c>
      <c r="D3329" s="5" t="s">
        <v>21</v>
      </c>
      <c r="E3329" s="5" t="s">
        <v>44</v>
      </c>
      <c r="F3329" s="5" t="s">
        <v>68</v>
      </c>
      <c r="G3329" s="5" t="s">
        <v>86</v>
      </c>
      <c r="H3329" s="9" t="s">
        <v>139</v>
      </c>
      <c r="I3329" s="10">
        <v>43948</v>
      </c>
      <c r="J3329" s="10">
        <v>44193</v>
      </c>
      <c r="K3329" s="5" t="s">
        <v>140</v>
      </c>
      <c r="L3329" s="5" t="s">
        <v>58</v>
      </c>
      <c r="M3329" s="11">
        <v>0.11</v>
      </c>
      <c r="N3329" s="5" t="e">
        <f>IF(AND(M3329&gt;#REF!,Cartera!O3329="Guaraníes"),"Rendimiento significativo",IF(AND(M3329&gt;#REF!,Cartera!O3329="Dólares americanos"),"Rendimiento significativo","Rendimiento no significativo"))</f>
        <v>#REF!</v>
      </c>
      <c r="O3329" s="5" t="s">
        <v>41</v>
      </c>
      <c r="P3329" s="12">
        <v>934246.57530000003</v>
      </c>
      <c r="Q3329" s="12">
        <f>IF(O3329="Guaraníes",P3329,P3329*#REF!)</f>
        <v>934246.57530000003</v>
      </c>
      <c r="R3329" s="12" t="e">
        <f>IF(O3329="Guaraníes",P3329/#REF!,P3329)</f>
        <v>#REF!</v>
      </c>
      <c r="S3329" s="5" t="s">
        <v>52</v>
      </c>
      <c r="AC3329" s="5" t="str">
        <f t="shared" si="160"/>
        <v>Bonos</v>
      </c>
      <c r="AD3329" s="5" t="s">
        <v>43</v>
      </c>
      <c r="AE3329" s="5">
        <f t="shared" si="158"/>
        <v>12</v>
      </c>
      <c r="AF3329" s="5">
        <f t="shared" si="159"/>
        <v>2020</v>
      </c>
    </row>
    <row r="3330" s="5" customFormat="1" ht="13">
      <c r="A3330" s="5" t="s">
        <v>44</v>
      </c>
      <c r="B3330" s="5" t="s">
        <v>44</v>
      </c>
      <c r="C3330" s="5" t="s">
        <v>138</v>
      </c>
      <c r="D3330" s="5" t="s">
        <v>21</v>
      </c>
      <c r="E3330" s="5" t="s">
        <v>44</v>
      </c>
      <c r="F3330" s="5" t="s">
        <v>68</v>
      </c>
      <c r="G3330" s="5" t="s">
        <v>86</v>
      </c>
      <c r="H3330" s="9" t="s">
        <v>139</v>
      </c>
      <c r="I3330" s="10">
        <v>43948</v>
      </c>
      <c r="J3330" s="10">
        <v>44162</v>
      </c>
      <c r="K3330" s="5" t="s">
        <v>140</v>
      </c>
      <c r="L3330" s="5" t="s">
        <v>58</v>
      </c>
      <c r="M3330" s="11">
        <v>0.11</v>
      </c>
      <c r="N3330" s="5" t="e">
        <f>IF(AND(M3330&gt;#REF!,Cartera!O3330="Guaraníes"),"Rendimiento significativo",IF(AND(M3330&gt;#REF!,Cartera!O3330="Dólares americanos"),"Rendimiento significativo","Rendimiento no significativo"))</f>
        <v>#REF!</v>
      </c>
      <c r="O3330" s="5" t="s">
        <v>41</v>
      </c>
      <c r="P3330" s="12">
        <v>904109.58900000004</v>
      </c>
      <c r="Q3330" s="12">
        <f>IF(O3330="Guaraníes",P3330,P3330*#REF!)</f>
        <v>904109.58900000004</v>
      </c>
      <c r="R3330" s="12" t="e">
        <f>IF(O3330="Guaraníes",P3330/#REF!,P3330)</f>
        <v>#REF!</v>
      </c>
      <c r="S3330" s="5" t="s">
        <v>52</v>
      </c>
      <c r="AC3330" s="5" t="str">
        <f t="shared" si="160"/>
        <v>Bonos</v>
      </c>
      <c r="AD3330" s="5" t="s">
        <v>43</v>
      </c>
      <c r="AE3330" s="5">
        <f t="shared" si="158"/>
        <v>11</v>
      </c>
      <c r="AF3330" s="5">
        <f t="shared" si="159"/>
        <v>2020</v>
      </c>
    </row>
    <row r="3331" s="5" customFormat="1" ht="13">
      <c r="A3331" s="5" t="s">
        <v>44</v>
      </c>
      <c r="B3331" s="5" t="s">
        <v>44</v>
      </c>
      <c r="C3331" s="5" t="s">
        <v>138</v>
      </c>
      <c r="D3331" s="5" t="s">
        <v>21</v>
      </c>
      <c r="E3331" s="5" t="s">
        <v>44</v>
      </c>
      <c r="F3331" s="5" t="s">
        <v>68</v>
      </c>
      <c r="G3331" s="5" t="s">
        <v>86</v>
      </c>
      <c r="H3331" s="9" t="s">
        <v>139</v>
      </c>
      <c r="I3331" s="10">
        <v>43948</v>
      </c>
      <c r="J3331" s="10">
        <v>44132</v>
      </c>
      <c r="K3331" s="5" t="s">
        <v>140</v>
      </c>
      <c r="L3331" s="5" t="s">
        <v>58</v>
      </c>
      <c r="M3331" s="11">
        <v>0.11</v>
      </c>
      <c r="N3331" s="5" t="e">
        <f>IF(AND(M3331&gt;#REF!,Cartera!O3331="Guaraníes"),"Rendimiento significativo",IF(AND(M3331&gt;#REF!,Cartera!O3331="Dólares americanos"),"Rendimiento significativo","Rendimiento no significativo"))</f>
        <v>#REF!</v>
      </c>
      <c r="O3331" s="5" t="s">
        <v>41</v>
      </c>
      <c r="P3331" s="12">
        <v>904109.58900000004</v>
      </c>
      <c r="Q3331" s="12">
        <f>IF(O3331="Guaraníes",P3331,P3331*#REF!)</f>
        <v>904109.58900000004</v>
      </c>
      <c r="R3331" s="12" t="e">
        <f>IF(O3331="Guaraníes",P3331/#REF!,P3331)</f>
        <v>#REF!</v>
      </c>
      <c r="S3331" s="5" t="s">
        <v>52</v>
      </c>
      <c r="AC3331" s="5" t="str">
        <f t="shared" si="160"/>
        <v>Bonos</v>
      </c>
      <c r="AD3331" s="5" t="s">
        <v>43</v>
      </c>
      <c r="AE3331" s="5">
        <f t="shared" si="158"/>
        <v>10</v>
      </c>
      <c r="AF3331" s="5">
        <f t="shared" si="159"/>
        <v>2020</v>
      </c>
    </row>
    <row r="3332" s="5" customFormat="1" ht="13">
      <c r="A3332" s="5" t="s">
        <v>44</v>
      </c>
      <c r="B3332" s="5" t="s">
        <v>44</v>
      </c>
      <c r="C3332" s="5" t="s">
        <v>138</v>
      </c>
      <c r="D3332" s="5" t="s">
        <v>21</v>
      </c>
      <c r="E3332" s="5" t="s">
        <v>44</v>
      </c>
      <c r="F3332" s="5" t="s">
        <v>68</v>
      </c>
      <c r="G3332" s="5" t="s">
        <v>86</v>
      </c>
      <c r="H3332" s="9" t="s">
        <v>139</v>
      </c>
      <c r="I3332" s="10">
        <v>43948</v>
      </c>
      <c r="J3332" s="10">
        <v>44102</v>
      </c>
      <c r="K3332" s="5" t="s">
        <v>140</v>
      </c>
      <c r="L3332" s="5" t="s">
        <v>58</v>
      </c>
      <c r="M3332" s="11">
        <v>0.11</v>
      </c>
      <c r="N3332" s="5" t="e">
        <f>IF(AND(M3332&gt;#REF!,Cartera!O3332="Guaraníes"),"Rendimiento significativo",IF(AND(M3332&gt;#REF!,Cartera!O3332="Dólares americanos"),"Rendimiento significativo","Rendimiento no significativo"))</f>
        <v>#REF!</v>
      </c>
      <c r="O3332" s="5" t="s">
        <v>41</v>
      </c>
      <c r="P3332" s="12">
        <v>934246.57530000003</v>
      </c>
      <c r="Q3332" s="12">
        <f>IF(O3332="Guaraníes",P3332,P3332*#REF!)</f>
        <v>934246.57530000003</v>
      </c>
      <c r="R3332" s="12" t="e">
        <f>IF(O3332="Guaraníes",P3332/#REF!,P3332)</f>
        <v>#REF!</v>
      </c>
      <c r="S3332" s="5" t="s">
        <v>52</v>
      </c>
      <c r="AC3332" s="5" t="str">
        <f t="shared" si="160"/>
        <v>Bonos</v>
      </c>
      <c r="AD3332" s="5" t="s">
        <v>43</v>
      </c>
      <c r="AE3332" s="5">
        <f t="shared" si="158"/>
        <v>9</v>
      </c>
      <c r="AF3332" s="5">
        <f t="shared" si="159"/>
        <v>2020</v>
      </c>
    </row>
    <row r="3333" s="5" customFormat="1" ht="13">
      <c r="A3333" s="5" t="s">
        <v>44</v>
      </c>
      <c r="B3333" s="5" t="s">
        <v>44</v>
      </c>
      <c r="C3333" s="5" t="s">
        <v>138</v>
      </c>
      <c r="D3333" s="5" t="s">
        <v>21</v>
      </c>
      <c r="E3333" s="5" t="s">
        <v>44</v>
      </c>
      <c r="F3333" s="5" t="s">
        <v>68</v>
      </c>
      <c r="G3333" s="5" t="s">
        <v>86</v>
      </c>
      <c r="H3333" s="9" t="s">
        <v>139</v>
      </c>
      <c r="I3333" s="10">
        <v>43948</v>
      </c>
      <c r="J3333" s="10">
        <v>44071</v>
      </c>
      <c r="K3333" s="5" t="s">
        <v>140</v>
      </c>
      <c r="L3333" s="5" t="s">
        <v>58</v>
      </c>
      <c r="M3333" s="11">
        <v>0.11</v>
      </c>
      <c r="N3333" s="5" t="e">
        <f>IF(AND(M3333&gt;#REF!,Cartera!O3333="Guaraníes"),"Rendimiento significativo",IF(AND(M3333&gt;#REF!,Cartera!O3333="Dólares americanos"),"Rendimiento significativo","Rendimiento no significativo"))</f>
        <v>#REF!</v>
      </c>
      <c r="O3333" s="5" t="s">
        <v>41</v>
      </c>
      <c r="P3333" s="12">
        <v>904109.58900000004</v>
      </c>
      <c r="Q3333" s="12">
        <f>IF(O3333="Guaraníes",P3333,P3333*#REF!)</f>
        <v>904109.58900000004</v>
      </c>
      <c r="R3333" s="12" t="e">
        <f>IF(O3333="Guaraníes",P3333/#REF!,P3333)</f>
        <v>#REF!</v>
      </c>
      <c r="S3333" s="5" t="s">
        <v>52</v>
      </c>
      <c r="AC3333" s="5" t="str">
        <f t="shared" si="160"/>
        <v>Bonos</v>
      </c>
      <c r="AD3333" s="5" t="s">
        <v>43</v>
      </c>
      <c r="AE3333" s="5">
        <f t="shared" si="158"/>
        <v>8</v>
      </c>
      <c r="AF3333" s="5">
        <f t="shared" si="159"/>
        <v>2020</v>
      </c>
    </row>
    <row r="3334" s="5" customFormat="1" ht="13">
      <c r="A3334" s="5" t="s">
        <v>44</v>
      </c>
      <c r="B3334" s="5" t="s">
        <v>44</v>
      </c>
      <c r="C3334" s="5" t="s">
        <v>138</v>
      </c>
      <c r="D3334" s="5" t="s">
        <v>21</v>
      </c>
      <c r="E3334" s="5" t="s">
        <v>44</v>
      </c>
      <c r="F3334" s="5" t="s">
        <v>68</v>
      </c>
      <c r="G3334" s="5" t="s">
        <v>86</v>
      </c>
      <c r="H3334" s="9" t="s">
        <v>139</v>
      </c>
      <c r="I3334" s="10">
        <v>43948</v>
      </c>
      <c r="J3334" s="10">
        <v>44041</v>
      </c>
      <c r="K3334" s="5" t="s">
        <v>140</v>
      </c>
      <c r="L3334" s="5" t="s">
        <v>58</v>
      </c>
      <c r="M3334" s="11">
        <v>0.11</v>
      </c>
      <c r="N3334" s="5" t="e">
        <f>IF(AND(M3334&gt;#REF!,Cartera!O3334="Guaraníes"),"Rendimiento significativo",IF(AND(M3334&gt;#REF!,Cartera!O3334="Dólares americanos"),"Rendimiento significativo","Rendimiento no significativo"))</f>
        <v>#REF!</v>
      </c>
      <c r="O3334" s="5" t="s">
        <v>41</v>
      </c>
      <c r="P3334" s="12">
        <v>904109.58900000004</v>
      </c>
      <c r="Q3334" s="12">
        <f>IF(O3334="Guaraníes",P3334,P3334*#REF!)</f>
        <v>904109.58900000004</v>
      </c>
      <c r="R3334" s="12" t="e">
        <f>IF(O3334="Guaraníes",P3334/#REF!,P3334)</f>
        <v>#REF!</v>
      </c>
      <c r="S3334" s="5" t="s">
        <v>52</v>
      </c>
      <c r="AC3334" s="5" t="str">
        <f t="shared" si="160"/>
        <v>Bonos</v>
      </c>
      <c r="AD3334" s="5" t="s">
        <v>43</v>
      </c>
      <c r="AE3334" s="5">
        <f t="shared" si="158"/>
        <v>7</v>
      </c>
      <c r="AF3334" s="5">
        <f t="shared" si="159"/>
        <v>2020</v>
      </c>
    </row>
    <row r="3335" s="5" customFormat="1" ht="13">
      <c r="A3335" s="5" t="s">
        <v>44</v>
      </c>
      <c r="B3335" s="5" t="s">
        <v>44</v>
      </c>
      <c r="C3335" s="5" t="s">
        <v>138</v>
      </c>
      <c r="D3335" s="5" t="s">
        <v>21</v>
      </c>
      <c r="E3335" s="5" t="s">
        <v>44</v>
      </c>
      <c r="F3335" s="5" t="s">
        <v>68</v>
      </c>
      <c r="G3335" s="5" t="s">
        <v>86</v>
      </c>
      <c r="H3335" s="9" t="s">
        <v>139</v>
      </c>
      <c r="I3335" s="10">
        <v>43948</v>
      </c>
      <c r="J3335" s="10">
        <v>44011</v>
      </c>
      <c r="K3335" s="5" t="s">
        <v>140</v>
      </c>
      <c r="L3335" s="5" t="s">
        <v>58</v>
      </c>
      <c r="M3335" s="11">
        <v>0.11</v>
      </c>
      <c r="N3335" s="5" t="e">
        <f>IF(AND(M3335&gt;#REF!,Cartera!O3335="Guaraníes"),"Rendimiento significativo",IF(AND(M3335&gt;#REF!,Cartera!O3335="Dólares americanos"),"Rendimiento significativo","Rendimiento no significativo"))</f>
        <v>#REF!</v>
      </c>
      <c r="O3335" s="5" t="s">
        <v>41</v>
      </c>
      <c r="P3335" s="12">
        <v>1808219.1781000001</v>
      </c>
      <c r="Q3335" s="12">
        <f>IF(O3335="Guaraníes",P3335,P3335*#REF!)</f>
        <v>1808219.1781000001</v>
      </c>
      <c r="R3335" s="12" t="e">
        <f>IF(O3335="Guaraníes",P3335/#REF!,P3335)</f>
        <v>#REF!</v>
      </c>
      <c r="S3335" s="5" t="s">
        <v>52</v>
      </c>
      <c r="AC3335" s="5" t="str">
        <f t="shared" si="160"/>
        <v>Bonos</v>
      </c>
      <c r="AD3335" s="5" t="s">
        <v>43</v>
      </c>
      <c r="AE3335" s="5">
        <f t="shared" si="158"/>
        <v>6</v>
      </c>
      <c r="AF3335" s="5">
        <f t="shared" si="159"/>
        <v>2020</v>
      </c>
    </row>
    <row r="3336" s="5" customFormat="1" ht="13">
      <c r="A3336" s="5">
        <v>12301</v>
      </c>
      <c r="B3336" s="5" t="s">
        <v>107</v>
      </c>
      <c r="C3336" s="5" t="s">
        <v>138</v>
      </c>
      <c r="D3336" s="5" t="s">
        <v>20</v>
      </c>
      <c r="E3336" s="5" t="s">
        <v>34</v>
      </c>
      <c r="F3336" s="5" t="s">
        <v>68</v>
      </c>
      <c r="G3336" s="5" t="s">
        <v>86</v>
      </c>
      <c r="H3336" s="9" t="s">
        <v>139</v>
      </c>
      <c r="I3336" s="10">
        <v>43948</v>
      </c>
      <c r="J3336" s="10">
        <v>48376</v>
      </c>
      <c r="K3336" s="5" t="s">
        <v>140</v>
      </c>
      <c r="L3336" s="5" t="s">
        <v>58</v>
      </c>
      <c r="M3336" s="11">
        <v>0.11</v>
      </c>
      <c r="N3336" s="5" t="e">
        <f>IF(AND(M3336&gt;#REF!,Cartera!O3336="Guaraníes"),"Rendimiento significativo",IF(AND(M3336&gt;#REF!,Cartera!O3336="Dólares americanos"),"Rendimiento significativo","Rendimiento no significativo"))</f>
        <v>#REF!</v>
      </c>
      <c r="O3336" s="5" t="s">
        <v>41</v>
      </c>
      <c r="P3336" s="12">
        <v>1886118.6000000001</v>
      </c>
      <c r="Q3336" s="12">
        <f>IF(O3336="Guaraníes",P3336,P3336*#REF!)</f>
        <v>1886118.6000000001</v>
      </c>
      <c r="R3336" s="12" t="e">
        <f>IF(O3336="Guaraníes",P3336/#REF!,P3336)</f>
        <v>#REF!</v>
      </c>
      <c r="S3336" s="5" t="s">
        <v>42</v>
      </c>
      <c r="AC3336" s="5" t="str">
        <f t="shared" si="160"/>
        <v>Bonos</v>
      </c>
      <c r="AD3336" s="5" t="s">
        <v>43</v>
      </c>
      <c r="AE3336" s="5">
        <f t="shared" si="158"/>
        <v>6</v>
      </c>
      <c r="AF3336" s="5">
        <f t="shared" si="159"/>
        <v>2032</v>
      </c>
    </row>
    <row r="3337" s="5" customFormat="1" ht="13">
      <c r="A3337" s="5">
        <v>12301</v>
      </c>
      <c r="B3337" s="5" t="s">
        <v>107</v>
      </c>
      <c r="C3337" s="5" t="s">
        <v>138</v>
      </c>
      <c r="D3337" s="5" t="s">
        <v>20</v>
      </c>
      <c r="E3337" s="5" t="s">
        <v>34</v>
      </c>
      <c r="F3337" s="5" t="s">
        <v>68</v>
      </c>
      <c r="G3337" s="5" t="s">
        <v>86</v>
      </c>
      <c r="H3337" s="9" t="s">
        <v>139</v>
      </c>
      <c r="I3337" s="10">
        <v>43948</v>
      </c>
      <c r="J3337" s="10">
        <v>48346</v>
      </c>
      <c r="K3337" s="5" t="s">
        <v>140</v>
      </c>
      <c r="L3337" s="5" t="s">
        <v>58</v>
      </c>
      <c r="M3337" s="11">
        <v>0.11</v>
      </c>
      <c r="N3337" s="5" t="e">
        <f>IF(AND(M3337&gt;#REF!,Cartera!O3337="Guaraníes"),"Rendimiento significativo",IF(AND(M3337&gt;#REF!,Cartera!O3337="Dólares americanos"),"Rendimiento significativo","Rendimiento no significativo"))</f>
        <v>#REF!</v>
      </c>
      <c r="O3337" s="5" t="s">
        <v>41</v>
      </c>
      <c r="P3337" s="12">
        <v>1868986.1000000001</v>
      </c>
      <c r="Q3337" s="12">
        <f>IF(O3337="Guaraníes",P3337,P3337*#REF!)</f>
        <v>1868986.1000000001</v>
      </c>
      <c r="R3337" s="12" t="e">
        <f>IF(O3337="Guaraníes",P3337/#REF!,P3337)</f>
        <v>#REF!</v>
      </c>
      <c r="S3337" s="5" t="s">
        <v>42</v>
      </c>
      <c r="AC3337" s="5" t="str">
        <f t="shared" si="160"/>
        <v>Bonos</v>
      </c>
      <c r="AD3337" s="5" t="s">
        <v>43</v>
      </c>
      <c r="AE3337" s="5">
        <f t="shared" si="158"/>
        <v>5</v>
      </c>
      <c r="AF3337" s="5">
        <f t="shared" si="159"/>
        <v>2032</v>
      </c>
    </row>
    <row r="3338" s="5" customFormat="1" ht="13">
      <c r="A3338" s="5">
        <v>12301</v>
      </c>
      <c r="B3338" s="5" t="s">
        <v>107</v>
      </c>
      <c r="C3338" s="5" t="s">
        <v>138</v>
      </c>
      <c r="D3338" s="5" t="s">
        <v>20</v>
      </c>
      <c r="E3338" s="5" t="s">
        <v>34</v>
      </c>
      <c r="F3338" s="5" t="s">
        <v>68</v>
      </c>
      <c r="G3338" s="5" t="s">
        <v>86</v>
      </c>
      <c r="H3338" s="9" t="s">
        <v>139</v>
      </c>
      <c r="I3338" s="10">
        <v>43948</v>
      </c>
      <c r="J3338" s="10">
        <v>48316</v>
      </c>
      <c r="K3338" s="5" t="s">
        <v>140</v>
      </c>
      <c r="L3338" s="5" t="s">
        <v>58</v>
      </c>
      <c r="M3338" s="11">
        <v>0.11</v>
      </c>
      <c r="N3338" s="5" t="e">
        <f>IF(AND(M3338&gt;#REF!,Cartera!O3338="Guaraníes"),"Rendimiento significativo",IF(AND(M3338&gt;#REF!,Cartera!O3338="Dólares americanos"),"Rendimiento significativo","Rendimiento no significativo"))</f>
        <v>#REF!</v>
      </c>
      <c r="O3338" s="5" t="s">
        <v>41</v>
      </c>
      <c r="P3338" s="12">
        <v>1852009.3999999999</v>
      </c>
      <c r="Q3338" s="12">
        <f>IF(O3338="Guaraníes",P3338,P3338*#REF!)</f>
        <v>1852009.3999999999</v>
      </c>
      <c r="R3338" s="12" t="e">
        <f>IF(O3338="Guaraníes",P3338/#REF!,P3338)</f>
        <v>#REF!</v>
      </c>
      <c r="S3338" s="5" t="s">
        <v>42</v>
      </c>
      <c r="AC3338" s="5" t="str">
        <f t="shared" si="160"/>
        <v>Bonos</v>
      </c>
      <c r="AD3338" s="5" t="s">
        <v>43</v>
      </c>
      <c r="AE3338" s="5">
        <f t="shared" si="158"/>
        <v>4</v>
      </c>
      <c r="AF3338" s="5">
        <f t="shared" si="159"/>
        <v>2032</v>
      </c>
    </row>
    <row r="3339" s="5" customFormat="1" ht="13">
      <c r="A3339" s="5">
        <v>12301</v>
      </c>
      <c r="B3339" s="5" t="s">
        <v>107</v>
      </c>
      <c r="C3339" s="5" t="s">
        <v>138</v>
      </c>
      <c r="D3339" s="5" t="s">
        <v>20</v>
      </c>
      <c r="E3339" s="5" t="s">
        <v>34</v>
      </c>
      <c r="F3339" s="5" t="s">
        <v>68</v>
      </c>
      <c r="G3339" s="5" t="s">
        <v>86</v>
      </c>
      <c r="H3339" s="9" t="s">
        <v>139</v>
      </c>
      <c r="I3339" s="10">
        <v>43948</v>
      </c>
      <c r="J3339" s="10">
        <v>48284</v>
      </c>
      <c r="K3339" s="5" t="s">
        <v>140</v>
      </c>
      <c r="L3339" s="5" t="s">
        <v>58</v>
      </c>
      <c r="M3339" s="11">
        <v>0.11</v>
      </c>
      <c r="N3339" s="5" t="e">
        <f>IF(AND(M3339&gt;#REF!,Cartera!O3339="Guaraníes"),"Rendimiento significativo",IF(AND(M3339&gt;#REF!,Cartera!O3339="Dólares americanos"),"Rendimiento significativo","Rendimiento no significativo"))</f>
        <v>#REF!</v>
      </c>
      <c r="O3339" s="5" t="s">
        <v>41</v>
      </c>
      <c r="P3339" s="12">
        <v>1835186.8</v>
      </c>
      <c r="Q3339" s="12">
        <f>IF(O3339="Guaraníes",P3339,P3339*#REF!)</f>
        <v>1835186.8</v>
      </c>
      <c r="R3339" s="12" t="e">
        <f>IF(O3339="Guaraníes",P3339/#REF!,P3339)</f>
        <v>#REF!</v>
      </c>
      <c r="S3339" s="5" t="s">
        <v>42</v>
      </c>
      <c r="AC3339" s="5" t="str">
        <f t="shared" si="160"/>
        <v>Bonos</v>
      </c>
      <c r="AD3339" s="5" t="s">
        <v>43</v>
      </c>
      <c r="AE3339" s="5">
        <f t="shared" si="158"/>
        <v>3</v>
      </c>
      <c r="AF3339" s="5">
        <f t="shared" si="159"/>
        <v>2032</v>
      </c>
    </row>
    <row r="3340" s="5" customFormat="1" ht="13">
      <c r="A3340" s="5">
        <v>12301</v>
      </c>
      <c r="B3340" s="5" t="s">
        <v>107</v>
      </c>
      <c r="C3340" s="5" t="s">
        <v>138</v>
      </c>
      <c r="D3340" s="5" t="s">
        <v>20</v>
      </c>
      <c r="E3340" s="5" t="s">
        <v>34</v>
      </c>
      <c r="F3340" s="5" t="s">
        <v>68</v>
      </c>
      <c r="G3340" s="5" t="s">
        <v>86</v>
      </c>
      <c r="H3340" s="9" t="s">
        <v>139</v>
      </c>
      <c r="I3340" s="10">
        <v>43948</v>
      </c>
      <c r="J3340" s="10">
        <v>48253</v>
      </c>
      <c r="K3340" s="5" t="s">
        <v>140</v>
      </c>
      <c r="L3340" s="5" t="s">
        <v>58</v>
      </c>
      <c r="M3340" s="11">
        <v>0.11</v>
      </c>
      <c r="N3340" s="5" t="e">
        <f>IF(AND(M3340&gt;#REF!,Cartera!O3340="Guaraníes"),"Rendimiento significativo",IF(AND(M3340&gt;#REF!,Cartera!O3340="Dólares americanos"),"Rendimiento significativo","Rendimiento no significativo"))</f>
        <v>#REF!</v>
      </c>
      <c r="O3340" s="5" t="s">
        <v>41</v>
      </c>
      <c r="P3340" s="12">
        <v>1818517.1000000001</v>
      </c>
      <c r="Q3340" s="12">
        <f>IF(O3340="Guaraníes",P3340,P3340*#REF!)</f>
        <v>1818517.1000000001</v>
      </c>
      <c r="R3340" s="12" t="e">
        <f>IF(O3340="Guaraníes",P3340/#REF!,P3340)</f>
        <v>#REF!</v>
      </c>
      <c r="S3340" s="5" t="s">
        <v>42</v>
      </c>
      <c r="AC3340" s="5" t="str">
        <f t="shared" si="160"/>
        <v>Bonos</v>
      </c>
      <c r="AD3340" s="5" t="s">
        <v>43</v>
      </c>
      <c r="AE3340" s="5">
        <f t="shared" si="158"/>
        <v>2</v>
      </c>
      <c r="AF3340" s="5">
        <f t="shared" si="159"/>
        <v>2032</v>
      </c>
    </row>
    <row r="3341" s="5" customFormat="1" ht="13">
      <c r="A3341" s="5">
        <v>12301</v>
      </c>
      <c r="B3341" s="5" t="s">
        <v>107</v>
      </c>
      <c r="C3341" s="5" t="s">
        <v>138</v>
      </c>
      <c r="D3341" s="5" t="s">
        <v>20</v>
      </c>
      <c r="E3341" s="5" t="s">
        <v>34</v>
      </c>
      <c r="F3341" s="5" t="s">
        <v>68</v>
      </c>
      <c r="G3341" s="5" t="s">
        <v>86</v>
      </c>
      <c r="H3341" s="9" t="s">
        <v>139</v>
      </c>
      <c r="I3341" s="10">
        <v>43948</v>
      </c>
      <c r="J3341" s="10">
        <v>48222</v>
      </c>
      <c r="K3341" s="5" t="s">
        <v>140</v>
      </c>
      <c r="L3341" s="5" t="s">
        <v>58</v>
      </c>
      <c r="M3341" s="11">
        <v>0.11</v>
      </c>
      <c r="N3341" s="5" t="e">
        <f>IF(AND(M3341&gt;#REF!,Cartera!O3341="Guaraníes"),"Rendimiento significativo",IF(AND(M3341&gt;#REF!,Cartera!O3341="Dólares americanos"),"Rendimiento significativo","Rendimiento no significativo"))</f>
        <v>#REF!</v>
      </c>
      <c r="O3341" s="5" t="s">
        <v>41</v>
      </c>
      <c r="P3341" s="12">
        <v>1801998.7000000002</v>
      </c>
      <c r="Q3341" s="12">
        <f>IF(O3341="Guaraníes",P3341,P3341*#REF!)</f>
        <v>1801998.7000000002</v>
      </c>
      <c r="R3341" s="12" t="e">
        <f>IF(O3341="Guaraníes",P3341/#REF!,P3341)</f>
        <v>#REF!</v>
      </c>
      <c r="S3341" s="5" t="s">
        <v>42</v>
      </c>
      <c r="AC3341" s="5" t="str">
        <f t="shared" si="160"/>
        <v>Bonos</v>
      </c>
      <c r="AD3341" s="5" t="s">
        <v>43</v>
      </c>
      <c r="AE3341" s="5">
        <f t="shared" si="158"/>
        <v>1</v>
      </c>
      <c r="AF3341" s="5">
        <f t="shared" si="159"/>
        <v>2032</v>
      </c>
    </row>
    <row r="3342" s="5" customFormat="1" ht="13">
      <c r="A3342" s="5">
        <v>12301</v>
      </c>
      <c r="B3342" s="5" t="s">
        <v>107</v>
      </c>
      <c r="C3342" s="5" t="s">
        <v>138</v>
      </c>
      <c r="D3342" s="5" t="s">
        <v>20</v>
      </c>
      <c r="E3342" s="5" t="s">
        <v>34</v>
      </c>
      <c r="F3342" s="5" t="s">
        <v>68</v>
      </c>
      <c r="G3342" s="5" t="s">
        <v>86</v>
      </c>
      <c r="H3342" s="9" t="s">
        <v>139</v>
      </c>
      <c r="I3342" s="10">
        <v>43948</v>
      </c>
      <c r="J3342" s="10">
        <v>48191</v>
      </c>
      <c r="K3342" s="5" t="s">
        <v>140</v>
      </c>
      <c r="L3342" s="5" t="s">
        <v>58</v>
      </c>
      <c r="M3342" s="11">
        <v>0.11</v>
      </c>
      <c r="N3342" s="5" t="e">
        <f>IF(AND(M3342&gt;#REF!,Cartera!O3342="Guaraníes"),"Rendimiento significativo",IF(AND(M3342&gt;#REF!,Cartera!O3342="Dólares americanos"),"Rendimiento significativo","Rendimiento no significativo"))</f>
        <v>#REF!</v>
      </c>
      <c r="O3342" s="5" t="s">
        <v>41</v>
      </c>
      <c r="P3342" s="12">
        <v>1785630.5</v>
      </c>
      <c r="Q3342" s="12">
        <f>IF(O3342="Guaraníes",P3342,P3342*#REF!)</f>
        <v>1785630.5</v>
      </c>
      <c r="R3342" s="12" t="e">
        <f>IF(O3342="Guaraníes",P3342/#REF!,P3342)</f>
        <v>#REF!</v>
      </c>
      <c r="S3342" s="5" t="s">
        <v>42</v>
      </c>
      <c r="AC3342" s="5" t="str">
        <f t="shared" si="160"/>
        <v>Bonos</v>
      </c>
      <c r="AD3342" s="5" t="s">
        <v>43</v>
      </c>
      <c r="AE3342" s="5">
        <f t="shared" si="158"/>
        <v>12</v>
      </c>
      <c r="AF3342" s="5">
        <f t="shared" si="159"/>
        <v>2031</v>
      </c>
    </row>
    <row r="3343" s="5" customFormat="1" ht="13">
      <c r="A3343" s="5">
        <v>12301</v>
      </c>
      <c r="B3343" s="5" t="s">
        <v>107</v>
      </c>
      <c r="C3343" s="5" t="s">
        <v>138</v>
      </c>
      <c r="D3343" s="5" t="s">
        <v>20</v>
      </c>
      <c r="E3343" s="5" t="s">
        <v>34</v>
      </c>
      <c r="F3343" s="5" t="s">
        <v>68</v>
      </c>
      <c r="G3343" s="5" t="s">
        <v>86</v>
      </c>
      <c r="H3343" s="9" t="s">
        <v>139</v>
      </c>
      <c r="I3343" s="10">
        <v>43948</v>
      </c>
      <c r="J3343" s="10">
        <v>48159</v>
      </c>
      <c r="K3343" s="5" t="s">
        <v>140</v>
      </c>
      <c r="L3343" s="5" t="s">
        <v>58</v>
      </c>
      <c r="M3343" s="11">
        <v>0.11</v>
      </c>
      <c r="N3343" s="5" t="e">
        <f>IF(AND(M3343&gt;#REF!,Cartera!O3343="Guaraníes"),"Rendimiento significativo",IF(AND(M3343&gt;#REF!,Cartera!O3343="Dólares americanos"),"Rendimiento significativo","Rendimiento no significativo"))</f>
        <v>#REF!</v>
      </c>
      <c r="O3343" s="5" t="s">
        <v>41</v>
      </c>
      <c r="P3343" s="12">
        <v>1769410.8999999999</v>
      </c>
      <c r="Q3343" s="12">
        <f>IF(O3343="Guaraníes",P3343,P3343*#REF!)</f>
        <v>1769410.8999999999</v>
      </c>
      <c r="R3343" s="12" t="e">
        <f>IF(O3343="Guaraníes",P3343/#REF!,P3343)</f>
        <v>#REF!</v>
      </c>
      <c r="S3343" s="5" t="s">
        <v>42</v>
      </c>
      <c r="AC3343" s="5" t="str">
        <f t="shared" si="160"/>
        <v>Bonos</v>
      </c>
      <c r="AD3343" s="5" t="s">
        <v>43</v>
      </c>
      <c r="AE3343" s="5">
        <f t="shared" si="158"/>
        <v>11</v>
      </c>
      <c r="AF3343" s="5">
        <f t="shared" si="159"/>
        <v>2031</v>
      </c>
    </row>
    <row r="3344" s="5" customFormat="1" ht="13">
      <c r="A3344" s="5">
        <v>12301</v>
      </c>
      <c r="B3344" s="5" t="s">
        <v>107</v>
      </c>
      <c r="C3344" s="5" t="s">
        <v>138</v>
      </c>
      <c r="D3344" s="5" t="s">
        <v>20</v>
      </c>
      <c r="E3344" s="5" t="s">
        <v>34</v>
      </c>
      <c r="F3344" s="5" t="s">
        <v>68</v>
      </c>
      <c r="G3344" s="5" t="s">
        <v>86</v>
      </c>
      <c r="H3344" s="9" t="s">
        <v>139</v>
      </c>
      <c r="I3344" s="10">
        <v>43948</v>
      </c>
      <c r="J3344" s="10">
        <v>48129</v>
      </c>
      <c r="K3344" s="5" t="s">
        <v>140</v>
      </c>
      <c r="L3344" s="5" t="s">
        <v>58</v>
      </c>
      <c r="M3344" s="11">
        <v>0.11</v>
      </c>
      <c r="N3344" s="5" t="e">
        <f>IF(AND(M3344&gt;#REF!,Cartera!O3344="Guaraníes"),"Rendimiento significativo",IF(AND(M3344&gt;#REF!,Cartera!O3344="Dólares americanos"),"Rendimiento significativo","Rendimiento no significativo"))</f>
        <v>#REF!</v>
      </c>
      <c r="O3344" s="5" t="s">
        <v>41</v>
      </c>
      <c r="P3344" s="12">
        <v>1753338.6000000001</v>
      </c>
      <c r="Q3344" s="12">
        <f>IF(O3344="Guaraníes",P3344,P3344*#REF!)</f>
        <v>1753338.6000000001</v>
      </c>
      <c r="R3344" s="12" t="e">
        <f>IF(O3344="Guaraníes",P3344/#REF!,P3344)</f>
        <v>#REF!</v>
      </c>
      <c r="S3344" s="5" t="s">
        <v>42</v>
      </c>
      <c r="AC3344" s="5" t="str">
        <f t="shared" si="160"/>
        <v>Bonos</v>
      </c>
      <c r="AD3344" s="5" t="s">
        <v>43</v>
      </c>
      <c r="AE3344" s="5">
        <f t="shared" si="158"/>
        <v>10</v>
      </c>
      <c r="AF3344" s="5">
        <f t="shared" si="159"/>
        <v>2031</v>
      </c>
    </row>
    <row r="3345" s="5" customFormat="1" ht="13">
      <c r="A3345" s="5">
        <v>12301</v>
      </c>
      <c r="B3345" s="5" t="s">
        <v>107</v>
      </c>
      <c r="C3345" s="5" t="s">
        <v>138</v>
      </c>
      <c r="D3345" s="5" t="s">
        <v>20</v>
      </c>
      <c r="E3345" s="5" t="s">
        <v>34</v>
      </c>
      <c r="F3345" s="5" t="s">
        <v>68</v>
      </c>
      <c r="G3345" s="5" t="s">
        <v>86</v>
      </c>
      <c r="H3345" s="9" t="s">
        <v>139</v>
      </c>
      <c r="I3345" s="10">
        <v>43948</v>
      </c>
      <c r="J3345" s="10">
        <v>48099</v>
      </c>
      <c r="K3345" s="5" t="s">
        <v>140</v>
      </c>
      <c r="L3345" s="5" t="s">
        <v>58</v>
      </c>
      <c r="M3345" s="11">
        <v>0.11</v>
      </c>
      <c r="N3345" s="5" t="e">
        <f>IF(AND(M3345&gt;#REF!,Cartera!O3345="Guaraníes"),"Rendimiento significativo",IF(AND(M3345&gt;#REF!,Cartera!O3345="Dólares americanos"),"Rendimiento significativo","Rendimiento no significativo"))</f>
        <v>#REF!</v>
      </c>
      <c r="O3345" s="5" t="s">
        <v>41</v>
      </c>
      <c r="P3345" s="12">
        <v>1737412.3</v>
      </c>
      <c r="Q3345" s="12">
        <f>IF(O3345="Guaraníes",P3345,P3345*#REF!)</f>
        <v>1737412.3</v>
      </c>
      <c r="R3345" s="12" t="e">
        <f>IF(O3345="Guaraníes",P3345/#REF!,P3345)</f>
        <v>#REF!</v>
      </c>
      <c r="S3345" s="5" t="s">
        <v>42</v>
      </c>
      <c r="AC3345" s="5" t="str">
        <f t="shared" si="160"/>
        <v>Bonos</v>
      </c>
      <c r="AD3345" s="5" t="s">
        <v>43</v>
      </c>
      <c r="AE3345" s="5">
        <f t="shared" si="158"/>
        <v>9</v>
      </c>
      <c r="AF3345" s="5">
        <f t="shared" si="159"/>
        <v>2031</v>
      </c>
    </row>
    <row r="3346" s="5" customFormat="1" ht="13">
      <c r="A3346" s="5">
        <v>12301</v>
      </c>
      <c r="B3346" s="5" t="s">
        <v>107</v>
      </c>
      <c r="C3346" s="5" t="s">
        <v>138</v>
      </c>
      <c r="D3346" s="5" t="s">
        <v>20</v>
      </c>
      <c r="E3346" s="5" t="s">
        <v>34</v>
      </c>
      <c r="F3346" s="5" t="s">
        <v>68</v>
      </c>
      <c r="G3346" s="5" t="s">
        <v>86</v>
      </c>
      <c r="H3346" s="9" t="s">
        <v>139</v>
      </c>
      <c r="I3346" s="10">
        <v>43948</v>
      </c>
      <c r="J3346" s="10">
        <v>48068</v>
      </c>
      <c r="K3346" s="5" t="s">
        <v>140</v>
      </c>
      <c r="L3346" s="5" t="s">
        <v>58</v>
      </c>
      <c r="M3346" s="11">
        <v>0.11</v>
      </c>
      <c r="N3346" s="5" t="e">
        <f>IF(AND(M3346&gt;#REF!,Cartera!O3346="Guaraníes"),"Rendimiento significativo",IF(AND(M3346&gt;#REF!,Cartera!O3346="Dólares americanos"),"Rendimiento significativo","Rendimiento no significativo"))</f>
        <v>#REF!</v>
      </c>
      <c r="O3346" s="5" t="s">
        <v>41</v>
      </c>
      <c r="P3346" s="12">
        <v>1721630.7</v>
      </c>
      <c r="Q3346" s="12">
        <f>IF(O3346="Guaraníes",P3346,P3346*#REF!)</f>
        <v>1721630.7</v>
      </c>
      <c r="R3346" s="12" t="e">
        <f>IF(O3346="Guaraníes",P3346/#REF!,P3346)</f>
        <v>#REF!</v>
      </c>
      <c r="S3346" s="5" t="s">
        <v>42</v>
      </c>
      <c r="AC3346" s="5" t="str">
        <f t="shared" si="160"/>
        <v>Bonos</v>
      </c>
      <c r="AD3346" s="5" t="s">
        <v>43</v>
      </c>
      <c r="AE3346" s="5">
        <f t="shared" ref="AE3346:AE3409" si="161">IFERROR((MONTH(J3346)),0)</f>
        <v>8</v>
      </c>
      <c r="AF3346" s="5">
        <f t="shared" ref="AF3346:AF3409" si="162">IFERROR((YEAR(J3346)),0)</f>
        <v>2031</v>
      </c>
    </row>
    <row r="3347" s="5" customFormat="1" ht="13">
      <c r="A3347" s="5">
        <v>12301</v>
      </c>
      <c r="B3347" s="5" t="s">
        <v>107</v>
      </c>
      <c r="C3347" s="5" t="s">
        <v>138</v>
      </c>
      <c r="D3347" s="5" t="s">
        <v>20</v>
      </c>
      <c r="E3347" s="5" t="s">
        <v>34</v>
      </c>
      <c r="F3347" s="5" t="s">
        <v>68</v>
      </c>
      <c r="G3347" s="5" t="s">
        <v>86</v>
      </c>
      <c r="H3347" s="9" t="s">
        <v>139</v>
      </c>
      <c r="I3347" s="10">
        <v>43948</v>
      </c>
      <c r="J3347" s="10">
        <v>48038</v>
      </c>
      <c r="K3347" s="5" t="s">
        <v>140</v>
      </c>
      <c r="L3347" s="5" t="s">
        <v>58</v>
      </c>
      <c r="M3347" s="11">
        <v>0.11</v>
      </c>
      <c r="N3347" s="5" t="e">
        <f>IF(AND(M3347&gt;#REF!,Cartera!O3347="Guaraníes"),"Rendimiento significativo",IF(AND(M3347&gt;#REF!,Cartera!O3347="Dólares americanos"),"Rendimiento significativo","Rendimiento no significativo"))</f>
        <v>#REF!</v>
      </c>
      <c r="O3347" s="5" t="s">
        <v>41</v>
      </c>
      <c r="P3347" s="12">
        <v>1705992.3999999999</v>
      </c>
      <c r="Q3347" s="12">
        <f>IF(O3347="Guaraníes",P3347,P3347*#REF!)</f>
        <v>1705992.3999999999</v>
      </c>
      <c r="R3347" s="12" t="e">
        <f>IF(O3347="Guaraníes",P3347/#REF!,P3347)</f>
        <v>#REF!</v>
      </c>
      <c r="S3347" s="5" t="s">
        <v>42</v>
      </c>
      <c r="AC3347" s="5" t="str">
        <f t="shared" si="160"/>
        <v>Bonos</v>
      </c>
      <c r="AD3347" s="5" t="s">
        <v>43</v>
      </c>
      <c r="AE3347" s="5">
        <f t="shared" si="161"/>
        <v>7</v>
      </c>
      <c r="AF3347" s="5">
        <f t="shared" si="162"/>
        <v>2031</v>
      </c>
    </row>
    <row r="3348" s="5" customFormat="1" ht="13">
      <c r="A3348" s="5">
        <v>12301</v>
      </c>
      <c r="B3348" s="5" t="s">
        <v>107</v>
      </c>
      <c r="C3348" s="5" t="s">
        <v>138</v>
      </c>
      <c r="D3348" s="5" t="s">
        <v>20</v>
      </c>
      <c r="E3348" s="5" t="s">
        <v>34</v>
      </c>
      <c r="F3348" s="5" t="s">
        <v>68</v>
      </c>
      <c r="G3348" s="5" t="s">
        <v>86</v>
      </c>
      <c r="H3348" s="9" t="s">
        <v>139</v>
      </c>
      <c r="I3348" s="10">
        <v>43948</v>
      </c>
      <c r="J3348" s="10">
        <v>48008</v>
      </c>
      <c r="K3348" s="5" t="s">
        <v>140</v>
      </c>
      <c r="L3348" s="5" t="s">
        <v>58</v>
      </c>
      <c r="M3348" s="11">
        <v>0.11</v>
      </c>
      <c r="N3348" s="5" t="e">
        <f>IF(AND(M3348&gt;#REF!,Cartera!O3348="Guaraníes"),"Rendimiento significativo",IF(AND(M3348&gt;#REF!,Cartera!O3348="Dólares americanos"),"Rendimiento significativo","Rendimiento no significativo"))</f>
        <v>#REF!</v>
      </c>
      <c r="O3348" s="5" t="s">
        <v>41</v>
      </c>
      <c r="P3348" s="12">
        <v>1690496.2000000002</v>
      </c>
      <c r="Q3348" s="12">
        <f>IF(O3348="Guaraníes",P3348,P3348*#REF!)</f>
        <v>1690496.2000000002</v>
      </c>
      <c r="R3348" s="12" t="e">
        <f>IF(O3348="Guaraníes",P3348/#REF!,P3348)</f>
        <v>#REF!</v>
      </c>
      <c r="S3348" s="5" t="s">
        <v>42</v>
      </c>
      <c r="AC3348" s="5" t="str">
        <f t="shared" si="160"/>
        <v>Bonos</v>
      </c>
      <c r="AD3348" s="5" t="s">
        <v>43</v>
      </c>
      <c r="AE3348" s="5">
        <f t="shared" si="161"/>
        <v>6</v>
      </c>
      <c r="AF3348" s="5">
        <f t="shared" si="162"/>
        <v>2031</v>
      </c>
    </row>
    <row r="3349" s="5" customFormat="1" ht="13">
      <c r="A3349" s="5">
        <v>12301</v>
      </c>
      <c r="B3349" s="5" t="s">
        <v>107</v>
      </c>
      <c r="C3349" s="5" t="s">
        <v>138</v>
      </c>
      <c r="D3349" s="5" t="s">
        <v>20</v>
      </c>
      <c r="E3349" s="5" t="s">
        <v>34</v>
      </c>
      <c r="F3349" s="5" t="s">
        <v>68</v>
      </c>
      <c r="G3349" s="5" t="s">
        <v>86</v>
      </c>
      <c r="H3349" s="9" t="s">
        <v>139</v>
      </c>
      <c r="I3349" s="10">
        <v>43948</v>
      </c>
      <c r="J3349" s="10">
        <v>47977</v>
      </c>
      <c r="K3349" s="5" t="s">
        <v>140</v>
      </c>
      <c r="L3349" s="5" t="s">
        <v>58</v>
      </c>
      <c r="M3349" s="11">
        <v>0.11</v>
      </c>
      <c r="N3349" s="5" t="e">
        <f>IF(AND(M3349&gt;#REF!,Cartera!O3349="Guaraníes"),"Rendimiento significativo",IF(AND(M3349&gt;#REF!,Cartera!O3349="Dólares americanos"),"Rendimiento significativo","Rendimiento no significativo"))</f>
        <v>#REF!</v>
      </c>
      <c r="O3349" s="5" t="s">
        <v>41</v>
      </c>
      <c r="P3349" s="12">
        <v>1675140.8</v>
      </c>
      <c r="Q3349" s="12">
        <f>IF(O3349="Guaraníes",P3349,P3349*#REF!)</f>
        <v>1675140.8</v>
      </c>
      <c r="R3349" s="12" t="e">
        <f>IF(O3349="Guaraníes",P3349/#REF!,P3349)</f>
        <v>#REF!</v>
      </c>
      <c r="S3349" s="5" t="s">
        <v>42</v>
      </c>
      <c r="AC3349" s="5" t="str">
        <f t="shared" si="160"/>
        <v>Bonos</v>
      </c>
      <c r="AD3349" s="5" t="s">
        <v>43</v>
      </c>
      <c r="AE3349" s="5">
        <f t="shared" si="161"/>
        <v>5</v>
      </c>
      <c r="AF3349" s="5">
        <f t="shared" si="162"/>
        <v>2031</v>
      </c>
    </row>
    <row r="3350" s="5" customFormat="1" ht="13">
      <c r="A3350" s="5">
        <v>12301</v>
      </c>
      <c r="B3350" s="5" t="s">
        <v>107</v>
      </c>
      <c r="C3350" s="5" t="s">
        <v>138</v>
      </c>
      <c r="D3350" s="5" t="s">
        <v>20</v>
      </c>
      <c r="E3350" s="5" t="s">
        <v>34</v>
      </c>
      <c r="F3350" s="5" t="s">
        <v>68</v>
      </c>
      <c r="G3350" s="5" t="s">
        <v>86</v>
      </c>
      <c r="H3350" s="9" t="s">
        <v>139</v>
      </c>
      <c r="I3350" s="10">
        <v>43948</v>
      </c>
      <c r="J3350" s="10">
        <v>47947</v>
      </c>
      <c r="K3350" s="5" t="s">
        <v>140</v>
      </c>
      <c r="L3350" s="5" t="s">
        <v>58</v>
      </c>
      <c r="M3350" s="11">
        <v>0.11</v>
      </c>
      <c r="N3350" s="5" t="e">
        <f>IF(AND(M3350&gt;#REF!,Cartera!O3350="Guaraníes"),"Rendimiento significativo",IF(AND(M3350&gt;#REF!,Cartera!O3350="Dólares americanos"),"Rendimiento significativo","Rendimiento no significativo"))</f>
        <v>#REF!</v>
      </c>
      <c r="O3350" s="5" t="s">
        <v>41</v>
      </c>
      <c r="P3350" s="12">
        <v>1659924.8</v>
      </c>
      <c r="Q3350" s="12">
        <f>IF(O3350="Guaraníes",P3350,P3350*#REF!)</f>
        <v>1659924.8</v>
      </c>
      <c r="R3350" s="12" t="e">
        <f>IF(O3350="Guaraníes",P3350/#REF!,P3350)</f>
        <v>#REF!</v>
      </c>
      <c r="S3350" s="5" t="s">
        <v>42</v>
      </c>
      <c r="AC3350" s="5" t="str">
        <f t="shared" si="160"/>
        <v>Bonos</v>
      </c>
      <c r="AD3350" s="5" t="s">
        <v>43</v>
      </c>
      <c r="AE3350" s="5">
        <f t="shared" si="161"/>
        <v>4</v>
      </c>
      <c r="AF3350" s="5">
        <f t="shared" si="162"/>
        <v>2031</v>
      </c>
    </row>
    <row r="3351" s="5" customFormat="1" ht="13">
      <c r="A3351" s="5">
        <v>12301</v>
      </c>
      <c r="B3351" s="5" t="s">
        <v>107</v>
      </c>
      <c r="C3351" s="5" t="s">
        <v>138</v>
      </c>
      <c r="D3351" s="5" t="s">
        <v>20</v>
      </c>
      <c r="E3351" s="5" t="s">
        <v>34</v>
      </c>
      <c r="F3351" s="5" t="s">
        <v>68</v>
      </c>
      <c r="G3351" s="5" t="s">
        <v>86</v>
      </c>
      <c r="H3351" s="9" t="s">
        <v>139</v>
      </c>
      <c r="I3351" s="10">
        <v>43948</v>
      </c>
      <c r="J3351" s="10">
        <v>47917</v>
      </c>
      <c r="K3351" s="5" t="s">
        <v>140</v>
      </c>
      <c r="L3351" s="5" t="s">
        <v>58</v>
      </c>
      <c r="M3351" s="11">
        <v>0.11</v>
      </c>
      <c r="N3351" s="5" t="e">
        <f>IF(AND(M3351&gt;#REF!,Cartera!O3351="Guaraníes"),"Rendimiento significativo",IF(AND(M3351&gt;#REF!,Cartera!O3351="Dólares americanos"),"Rendimiento significativo","Rendimiento no significativo"))</f>
        <v>#REF!</v>
      </c>
      <c r="O3351" s="5" t="s">
        <v>41</v>
      </c>
      <c r="P3351" s="12">
        <v>1644847</v>
      </c>
      <c r="Q3351" s="12">
        <f>IF(O3351="Guaraníes",P3351,P3351*#REF!)</f>
        <v>1644847</v>
      </c>
      <c r="R3351" s="12" t="e">
        <f>IF(O3351="Guaraníes",P3351/#REF!,P3351)</f>
        <v>#REF!</v>
      </c>
      <c r="S3351" s="5" t="s">
        <v>42</v>
      </c>
      <c r="AC3351" s="5" t="str">
        <f t="shared" si="160"/>
        <v>Bonos</v>
      </c>
      <c r="AD3351" s="5" t="s">
        <v>43</v>
      </c>
      <c r="AE3351" s="5">
        <f t="shared" si="161"/>
        <v>3</v>
      </c>
      <c r="AF3351" s="5">
        <f t="shared" si="162"/>
        <v>2031</v>
      </c>
    </row>
    <row r="3352" s="5" customFormat="1" ht="13">
      <c r="A3352" s="5">
        <v>12301</v>
      </c>
      <c r="B3352" s="5" t="s">
        <v>107</v>
      </c>
      <c r="C3352" s="5" t="s">
        <v>138</v>
      </c>
      <c r="D3352" s="5" t="s">
        <v>20</v>
      </c>
      <c r="E3352" s="5" t="s">
        <v>34</v>
      </c>
      <c r="F3352" s="5" t="s">
        <v>68</v>
      </c>
      <c r="G3352" s="5" t="s">
        <v>86</v>
      </c>
      <c r="H3352" s="9" t="s">
        <v>139</v>
      </c>
      <c r="I3352" s="10">
        <v>43948</v>
      </c>
      <c r="J3352" s="10">
        <v>47886</v>
      </c>
      <c r="K3352" s="5" t="s">
        <v>140</v>
      </c>
      <c r="L3352" s="5" t="s">
        <v>58</v>
      </c>
      <c r="M3352" s="11">
        <v>0.11</v>
      </c>
      <c r="N3352" s="5" t="e">
        <f>IF(AND(M3352&gt;#REF!,Cartera!O3352="Guaraníes"),"Rendimiento significativo",IF(AND(M3352&gt;#REF!,Cartera!O3352="Dólares americanos"),"Rendimiento significativo","Rendimiento no significativo"))</f>
        <v>#REF!</v>
      </c>
      <c r="O3352" s="5" t="s">
        <v>41</v>
      </c>
      <c r="P3352" s="12">
        <v>1629906.2000000002</v>
      </c>
      <c r="Q3352" s="12">
        <f>IF(O3352="Guaraníes",P3352,P3352*#REF!)</f>
        <v>1629906.2000000002</v>
      </c>
      <c r="R3352" s="12" t="e">
        <f>IF(O3352="Guaraníes",P3352/#REF!,P3352)</f>
        <v>#REF!</v>
      </c>
      <c r="S3352" s="5" t="s">
        <v>42</v>
      </c>
      <c r="AC3352" s="5" t="str">
        <f t="shared" si="160"/>
        <v>Bonos</v>
      </c>
      <c r="AD3352" s="5" t="s">
        <v>43</v>
      </c>
      <c r="AE3352" s="5">
        <f t="shared" si="161"/>
        <v>2</v>
      </c>
      <c r="AF3352" s="5">
        <f t="shared" si="162"/>
        <v>2031</v>
      </c>
    </row>
    <row r="3353" s="5" customFormat="1" ht="13">
      <c r="A3353" s="5">
        <v>12301</v>
      </c>
      <c r="B3353" s="5" t="s">
        <v>107</v>
      </c>
      <c r="C3353" s="5" t="s">
        <v>138</v>
      </c>
      <c r="D3353" s="5" t="s">
        <v>20</v>
      </c>
      <c r="E3353" s="5" t="s">
        <v>34</v>
      </c>
      <c r="F3353" s="5" t="s">
        <v>68</v>
      </c>
      <c r="G3353" s="5" t="s">
        <v>86</v>
      </c>
      <c r="H3353" s="9" t="s">
        <v>139</v>
      </c>
      <c r="I3353" s="10">
        <v>43948</v>
      </c>
      <c r="J3353" s="10">
        <v>47856</v>
      </c>
      <c r="K3353" s="5" t="s">
        <v>140</v>
      </c>
      <c r="L3353" s="5" t="s">
        <v>58</v>
      </c>
      <c r="M3353" s="11">
        <v>0.11</v>
      </c>
      <c r="N3353" s="5" t="e">
        <f>IF(AND(M3353&gt;#REF!,Cartera!O3353="Guaraníes"),"Rendimiento significativo",IF(AND(M3353&gt;#REF!,Cartera!O3353="Dólares americanos"),"Rendimiento significativo","Rendimiento no significativo"))</f>
        <v>#REF!</v>
      </c>
      <c r="O3353" s="5" t="s">
        <v>41</v>
      </c>
      <c r="P3353" s="12">
        <v>1615101.0999999999</v>
      </c>
      <c r="Q3353" s="12">
        <f>IF(O3353="Guaraníes",P3353,P3353*#REF!)</f>
        <v>1615101.0999999999</v>
      </c>
      <c r="R3353" s="12" t="e">
        <f>IF(O3353="Guaraníes",P3353/#REF!,P3353)</f>
        <v>#REF!</v>
      </c>
      <c r="S3353" s="5" t="s">
        <v>42</v>
      </c>
      <c r="AC3353" s="5" t="str">
        <f t="shared" si="160"/>
        <v>Bonos</v>
      </c>
      <c r="AD3353" s="5" t="s">
        <v>43</v>
      </c>
      <c r="AE3353" s="5">
        <f t="shared" si="161"/>
        <v>1</v>
      </c>
      <c r="AF3353" s="5">
        <f t="shared" si="162"/>
        <v>2031</v>
      </c>
    </row>
    <row r="3354" s="5" customFormat="1" ht="13">
      <c r="A3354" s="5">
        <v>12301</v>
      </c>
      <c r="B3354" s="5" t="s">
        <v>107</v>
      </c>
      <c r="C3354" s="5" t="s">
        <v>138</v>
      </c>
      <c r="D3354" s="5" t="s">
        <v>20</v>
      </c>
      <c r="E3354" s="5" t="s">
        <v>34</v>
      </c>
      <c r="F3354" s="5" t="s">
        <v>68</v>
      </c>
      <c r="G3354" s="5" t="s">
        <v>86</v>
      </c>
      <c r="H3354" s="9" t="s">
        <v>139</v>
      </c>
      <c r="I3354" s="10">
        <v>43948</v>
      </c>
      <c r="J3354" s="10">
        <v>47826</v>
      </c>
      <c r="K3354" s="5" t="s">
        <v>140</v>
      </c>
      <c r="L3354" s="5" t="s">
        <v>58</v>
      </c>
      <c r="M3354" s="11">
        <v>0.11</v>
      </c>
      <c r="N3354" s="5" t="e">
        <f>IF(AND(M3354&gt;#REF!,Cartera!O3354="Guaraníes"),"Rendimiento significativo",IF(AND(M3354&gt;#REF!,Cartera!O3354="Dólares americanos"),"Rendimiento significativo","Rendimiento no significativo"))</f>
        <v>#REF!</v>
      </c>
      <c r="O3354" s="5" t="s">
        <v>41</v>
      </c>
      <c r="P3354" s="12">
        <v>1600430.5</v>
      </c>
      <c r="Q3354" s="12">
        <f>IF(O3354="Guaraníes",P3354,P3354*#REF!)</f>
        <v>1600430.5</v>
      </c>
      <c r="R3354" s="12" t="e">
        <f>IF(O3354="Guaraníes",P3354/#REF!,P3354)</f>
        <v>#REF!</v>
      </c>
      <c r="S3354" s="5" t="s">
        <v>42</v>
      </c>
      <c r="AC3354" s="5" t="str">
        <f t="shared" si="160"/>
        <v>Bonos</v>
      </c>
      <c r="AD3354" s="5" t="s">
        <v>43</v>
      </c>
      <c r="AE3354" s="5">
        <f t="shared" si="161"/>
        <v>12</v>
      </c>
      <c r="AF3354" s="5">
        <f t="shared" si="162"/>
        <v>2030</v>
      </c>
    </row>
    <row r="3355" s="5" customFormat="1" ht="13">
      <c r="A3355" s="5">
        <v>12301</v>
      </c>
      <c r="B3355" s="5" t="s">
        <v>107</v>
      </c>
      <c r="C3355" s="5" t="s">
        <v>138</v>
      </c>
      <c r="D3355" s="5" t="s">
        <v>20</v>
      </c>
      <c r="E3355" s="5" t="s">
        <v>34</v>
      </c>
      <c r="F3355" s="5" t="s">
        <v>68</v>
      </c>
      <c r="G3355" s="5" t="s">
        <v>86</v>
      </c>
      <c r="H3355" s="9" t="s">
        <v>139</v>
      </c>
      <c r="I3355" s="10">
        <v>43948</v>
      </c>
      <c r="J3355" s="10">
        <v>47795</v>
      </c>
      <c r="K3355" s="5" t="s">
        <v>140</v>
      </c>
      <c r="L3355" s="5" t="s">
        <v>58</v>
      </c>
      <c r="M3355" s="11">
        <v>0.11</v>
      </c>
      <c r="N3355" s="5" t="e">
        <f>IF(AND(M3355&gt;#REF!,Cartera!O3355="Guaraníes"),"Rendimiento significativo",IF(AND(M3355&gt;#REF!,Cartera!O3355="Dólares americanos"),"Rendimiento significativo","Rendimiento no significativo"))</f>
        <v>#REF!</v>
      </c>
      <c r="O3355" s="5" t="s">
        <v>41</v>
      </c>
      <c r="P3355" s="12">
        <v>1585893.2000000002</v>
      </c>
      <c r="Q3355" s="12">
        <f>IF(O3355="Guaraníes",P3355,P3355*#REF!)</f>
        <v>1585893.2000000002</v>
      </c>
      <c r="R3355" s="12" t="e">
        <f>IF(O3355="Guaraníes",P3355/#REF!,P3355)</f>
        <v>#REF!</v>
      </c>
      <c r="S3355" s="5" t="s">
        <v>42</v>
      </c>
      <c r="AC3355" s="5" t="str">
        <f t="shared" si="160"/>
        <v>Bonos</v>
      </c>
      <c r="AD3355" s="5" t="s">
        <v>43</v>
      </c>
      <c r="AE3355" s="5">
        <f t="shared" si="161"/>
        <v>11</v>
      </c>
      <c r="AF3355" s="5">
        <f t="shared" si="162"/>
        <v>2030</v>
      </c>
    </row>
    <row r="3356" s="5" customFormat="1" ht="13">
      <c r="A3356" s="5">
        <v>12301</v>
      </c>
      <c r="B3356" s="5" t="s">
        <v>107</v>
      </c>
      <c r="C3356" s="5" t="s">
        <v>138</v>
      </c>
      <c r="D3356" s="5" t="s">
        <v>20</v>
      </c>
      <c r="E3356" s="5" t="s">
        <v>34</v>
      </c>
      <c r="F3356" s="5" t="s">
        <v>68</v>
      </c>
      <c r="G3356" s="5" t="s">
        <v>86</v>
      </c>
      <c r="H3356" s="9" t="s">
        <v>139</v>
      </c>
      <c r="I3356" s="10">
        <v>43948</v>
      </c>
      <c r="J3356" s="10">
        <v>47765</v>
      </c>
      <c r="K3356" s="5" t="s">
        <v>140</v>
      </c>
      <c r="L3356" s="5" t="s">
        <v>58</v>
      </c>
      <c r="M3356" s="11">
        <v>0.11</v>
      </c>
      <c r="N3356" s="5" t="e">
        <f>IF(AND(M3356&gt;#REF!,Cartera!O3356="Guaraníes"),"Rendimiento significativo",IF(AND(M3356&gt;#REF!,Cartera!O3356="Dólares americanos"),"Rendimiento significativo","Rendimiento no significativo"))</f>
        <v>#REF!</v>
      </c>
      <c r="O3356" s="5" t="s">
        <v>41</v>
      </c>
      <c r="P3356" s="12">
        <v>1571487.8999999999</v>
      </c>
      <c r="Q3356" s="12">
        <f>IF(O3356="Guaraníes",P3356,P3356*#REF!)</f>
        <v>1571487.8999999999</v>
      </c>
      <c r="R3356" s="12" t="e">
        <f>IF(O3356="Guaraníes",P3356/#REF!,P3356)</f>
        <v>#REF!</v>
      </c>
      <c r="S3356" s="5" t="s">
        <v>42</v>
      </c>
      <c r="AC3356" s="5" t="str">
        <f t="shared" si="160"/>
        <v>Bonos</v>
      </c>
      <c r="AD3356" s="5" t="s">
        <v>43</v>
      </c>
      <c r="AE3356" s="5">
        <f t="shared" si="161"/>
        <v>10</v>
      </c>
      <c r="AF3356" s="5">
        <f t="shared" si="162"/>
        <v>2030</v>
      </c>
    </row>
    <row r="3357" s="5" customFormat="1" ht="13">
      <c r="A3357" s="5">
        <v>12301</v>
      </c>
      <c r="B3357" s="5" t="s">
        <v>107</v>
      </c>
      <c r="C3357" s="5" t="s">
        <v>138</v>
      </c>
      <c r="D3357" s="5" t="s">
        <v>20</v>
      </c>
      <c r="E3357" s="5" t="s">
        <v>34</v>
      </c>
      <c r="F3357" s="5" t="s">
        <v>68</v>
      </c>
      <c r="G3357" s="5" t="s">
        <v>86</v>
      </c>
      <c r="H3357" s="9" t="s">
        <v>139</v>
      </c>
      <c r="I3357" s="10">
        <v>43948</v>
      </c>
      <c r="J3357" s="10">
        <v>47735</v>
      </c>
      <c r="K3357" s="5" t="s">
        <v>140</v>
      </c>
      <c r="L3357" s="5" t="s">
        <v>58</v>
      </c>
      <c r="M3357" s="11">
        <v>0.11</v>
      </c>
      <c r="N3357" s="5" t="e">
        <f>IF(AND(M3357&gt;#REF!,Cartera!O3357="Guaraníes"),"Rendimiento significativo",IF(AND(M3357&gt;#REF!,Cartera!O3357="Dólares americanos"),"Rendimiento significativo","Rendimiento no significativo"))</f>
        <v>#REF!</v>
      </c>
      <c r="O3357" s="5" t="s">
        <v>41</v>
      </c>
      <c r="P3357" s="12">
        <v>1557213.3999999999</v>
      </c>
      <c r="Q3357" s="12">
        <f>IF(O3357="Guaraníes",P3357,P3357*#REF!)</f>
        <v>1557213.3999999999</v>
      </c>
      <c r="R3357" s="12" t="e">
        <f>IF(O3357="Guaraníes",P3357/#REF!,P3357)</f>
        <v>#REF!</v>
      </c>
      <c r="S3357" s="5" t="s">
        <v>42</v>
      </c>
      <c r="AC3357" s="5" t="str">
        <f t="shared" si="160"/>
        <v>Bonos</v>
      </c>
      <c r="AD3357" s="5" t="s">
        <v>43</v>
      </c>
      <c r="AE3357" s="5">
        <f t="shared" si="161"/>
        <v>9</v>
      </c>
      <c r="AF3357" s="5">
        <f t="shared" si="162"/>
        <v>2030</v>
      </c>
    </row>
    <row r="3358" s="5" customFormat="1" ht="13">
      <c r="A3358" s="5">
        <v>12301</v>
      </c>
      <c r="B3358" s="5" t="s">
        <v>107</v>
      </c>
      <c r="C3358" s="5" t="s">
        <v>138</v>
      </c>
      <c r="D3358" s="5" t="s">
        <v>20</v>
      </c>
      <c r="E3358" s="5" t="s">
        <v>34</v>
      </c>
      <c r="F3358" s="5" t="s">
        <v>68</v>
      </c>
      <c r="G3358" s="5" t="s">
        <v>86</v>
      </c>
      <c r="H3358" s="9" t="s">
        <v>139</v>
      </c>
      <c r="I3358" s="10">
        <v>43948</v>
      </c>
      <c r="J3358" s="10">
        <v>47704</v>
      </c>
      <c r="K3358" s="5" t="s">
        <v>140</v>
      </c>
      <c r="L3358" s="5" t="s">
        <v>58</v>
      </c>
      <c r="M3358" s="11">
        <v>0.11</v>
      </c>
      <c r="N3358" s="5" t="e">
        <f>IF(AND(M3358&gt;#REF!,Cartera!O3358="Guaraníes"),"Rendimiento significativo",IF(AND(M3358&gt;#REF!,Cartera!O3358="Dólares americanos"),"Rendimiento significativo","Rendimiento no significativo"))</f>
        <v>#REF!</v>
      </c>
      <c r="O3358" s="5" t="s">
        <v>41</v>
      </c>
      <c r="P3358" s="12">
        <v>1543068.6000000001</v>
      </c>
      <c r="Q3358" s="12">
        <f>IF(O3358="Guaraníes",P3358,P3358*#REF!)</f>
        <v>1543068.6000000001</v>
      </c>
      <c r="R3358" s="12" t="e">
        <f>IF(O3358="Guaraníes",P3358/#REF!,P3358)</f>
        <v>#REF!</v>
      </c>
      <c r="S3358" s="5" t="s">
        <v>42</v>
      </c>
      <c r="AC3358" s="5" t="str">
        <f t="shared" si="160"/>
        <v>Bonos</v>
      </c>
      <c r="AD3358" s="5" t="s">
        <v>43</v>
      </c>
      <c r="AE3358" s="5">
        <f t="shared" si="161"/>
        <v>8</v>
      </c>
      <c r="AF3358" s="5">
        <f t="shared" si="162"/>
        <v>2030</v>
      </c>
    </row>
    <row r="3359" s="5" customFormat="1" ht="13">
      <c r="A3359" s="5">
        <v>12301</v>
      </c>
      <c r="B3359" s="5" t="s">
        <v>107</v>
      </c>
      <c r="C3359" s="5" t="s">
        <v>138</v>
      </c>
      <c r="D3359" s="5" t="s">
        <v>20</v>
      </c>
      <c r="E3359" s="5" t="s">
        <v>34</v>
      </c>
      <c r="F3359" s="5" t="s">
        <v>68</v>
      </c>
      <c r="G3359" s="5" t="s">
        <v>86</v>
      </c>
      <c r="H3359" s="9" t="s">
        <v>139</v>
      </c>
      <c r="I3359" s="10">
        <v>43948</v>
      </c>
      <c r="J3359" s="10">
        <v>47674</v>
      </c>
      <c r="K3359" s="5" t="s">
        <v>140</v>
      </c>
      <c r="L3359" s="5" t="s">
        <v>58</v>
      </c>
      <c r="M3359" s="11">
        <v>0.11</v>
      </c>
      <c r="N3359" s="5" t="e">
        <f>IF(AND(M3359&gt;#REF!,Cartera!O3359="Guaraníes"),"Rendimiento significativo",IF(AND(M3359&gt;#REF!,Cartera!O3359="Dólares americanos"),"Rendimiento significativo","Rendimiento no significativo"))</f>
        <v>#REF!</v>
      </c>
      <c r="O3359" s="5" t="s">
        <v>41</v>
      </c>
      <c r="P3359" s="12">
        <v>1529052.3</v>
      </c>
      <c r="Q3359" s="12">
        <f>IF(O3359="Guaraníes",P3359,P3359*#REF!)</f>
        <v>1529052.3</v>
      </c>
      <c r="R3359" s="12" t="e">
        <f>IF(O3359="Guaraníes",P3359/#REF!,P3359)</f>
        <v>#REF!</v>
      </c>
      <c r="S3359" s="5" t="s">
        <v>42</v>
      </c>
      <c r="AC3359" s="5" t="str">
        <f t="shared" si="160"/>
        <v>Bonos</v>
      </c>
      <c r="AD3359" s="5" t="s">
        <v>43</v>
      </c>
      <c r="AE3359" s="5">
        <f t="shared" si="161"/>
        <v>7</v>
      </c>
      <c r="AF3359" s="5">
        <f t="shared" si="162"/>
        <v>2030</v>
      </c>
    </row>
    <row r="3360" s="5" customFormat="1" ht="13">
      <c r="A3360" s="5">
        <v>12301</v>
      </c>
      <c r="B3360" s="5" t="s">
        <v>107</v>
      </c>
      <c r="C3360" s="5" t="s">
        <v>138</v>
      </c>
      <c r="D3360" s="5" t="s">
        <v>20</v>
      </c>
      <c r="E3360" s="5" t="s">
        <v>34</v>
      </c>
      <c r="F3360" s="5" t="s">
        <v>68</v>
      </c>
      <c r="G3360" s="5" t="s">
        <v>86</v>
      </c>
      <c r="H3360" s="9" t="s">
        <v>139</v>
      </c>
      <c r="I3360" s="10">
        <v>43948</v>
      </c>
      <c r="J3360" s="10">
        <v>47644</v>
      </c>
      <c r="K3360" s="5" t="s">
        <v>140</v>
      </c>
      <c r="L3360" s="5" t="s">
        <v>58</v>
      </c>
      <c r="M3360" s="11">
        <v>0.11</v>
      </c>
      <c r="N3360" s="5" t="e">
        <f>IF(AND(M3360&gt;#REF!,Cartera!O3360="Guaraníes"),"Rendimiento significativo",IF(AND(M3360&gt;#REF!,Cartera!O3360="Dólares americanos"),"Rendimiento significativo","Rendimiento no significativo"))</f>
        <v>#REF!</v>
      </c>
      <c r="O3360" s="5" t="s">
        <v>41</v>
      </c>
      <c r="P3360" s="12">
        <v>1515163.3</v>
      </c>
      <c r="Q3360" s="12">
        <f>IF(O3360="Guaraníes",P3360,P3360*#REF!)</f>
        <v>1515163.3</v>
      </c>
      <c r="R3360" s="12" t="e">
        <f>IF(O3360="Guaraníes",P3360/#REF!,P3360)</f>
        <v>#REF!</v>
      </c>
      <c r="S3360" s="5" t="s">
        <v>42</v>
      </c>
      <c r="AC3360" s="5" t="str">
        <f t="shared" si="160"/>
        <v>Bonos</v>
      </c>
      <c r="AD3360" s="5" t="s">
        <v>43</v>
      </c>
      <c r="AE3360" s="5">
        <f t="shared" si="161"/>
        <v>6</v>
      </c>
      <c r="AF3360" s="5">
        <f t="shared" si="162"/>
        <v>2030</v>
      </c>
    </row>
    <row r="3361" s="5" customFormat="1" ht="13">
      <c r="A3361" s="5">
        <v>12301</v>
      </c>
      <c r="B3361" s="5" t="s">
        <v>107</v>
      </c>
      <c r="C3361" s="5" t="s">
        <v>138</v>
      </c>
      <c r="D3361" s="5" t="s">
        <v>20</v>
      </c>
      <c r="E3361" s="5" t="s">
        <v>34</v>
      </c>
      <c r="F3361" s="5" t="s">
        <v>68</v>
      </c>
      <c r="G3361" s="5" t="s">
        <v>86</v>
      </c>
      <c r="H3361" s="9" t="s">
        <v>139</v>
      </c>
      <c r="I3361" s="10">
        <v>43948</v>
      </c>
      <c r="J3361" s="10">
        <v>47611</v>
      </c>
      <c r="K3361" s="5" t="s">
        <v>140</v>
      </c>
      <c r="L3361" s="5" t="s">
        <v>58</v>
      </c>
      <c r="M3361" s="11">
        <v>0.11</v>
      </c>
      <c r="N3361" s="5" t="e">
        <f>IF(AND(M3361&gt;#REF!,Cartera!O3361="Guaraníes"),"Rendimiento significativo",IF(AND(M3361&gt;#REF!,Cartera!O3361="Dólares americanos"),"Rendimiento significativo","Rendimiento no significativo"))</f>
        <v>#REF!</v>
      </c>
      <c r="O3361" s="5" t="s">
        <v>41</v>
      </c>
      <c r="P3361" s="12">
        <v>1501400.5</v>
      </c>
      <c r="Q3361" s="12">
        <f>IF(O3361="Guaraníes",P3361,P3361*#REF!)</f>
        <v>1501400.5</v>
      </c>
      <c r="R3361" s="12" t="e">
        <f>IF(O3361="Guaraníes",P3361/#REF!,P3361)</f>
        <v>#REF!</v>
      </c>
      <c r="S3361" s="5" t="s">
        <v>42</v>
      </c>
      <c r="AC3361" s="5" t="str">
        <f t="shared" si="160"/>
        <v>Bonos</v>
      </c>
      <c r="AD3361" s="5" t="s">
        <v>43</v>
      </c>
      <c r="AE3361" s="5">
        <f t="shared" si="161"/>
        <v>5</v>
      </c>
      <c r="AF3361" s="5">
        <f t="shared" si="162"/>
        <v>2030</v>
      </c>
    </row>
    <row r="3362" s="5" customFormat="1" ht="13">
      <c r="A3362" s="5">
        <v>12301</v>
      </c>
      <c r="B3362" s="5" t="s">
        <v>107</v>
      </c>
      <c r="C3362" s="5" t="s">
        <v>138</v>
      </c>
      <c r="D3362" s="5" t="s">
        <v>20</v>
      </c>
      <c r="E3362" s="5" t="s">
        <v>34</v>
      </c>
      <c r="F3362" s="5" t="s">
        <v>68</v>
      </c>
      <c r="G3362" s="5" t="s">
        <v>86</v>
      </c>
      <c r="H3362" s="9" t="s">
        <v>139</v>
      </c>
      <c r="I3362" s="10">
        <v>43948</v>
      </c>
      <c r="J3362" s="10">
        <v>47581</v>
      </c>
      <c r="K3362" s="5" t="s">
        <v>140</v>
      </c>
      <c r="L3362" s="5" t="s">
        <v>58</v>
      </c>
      <c r="M3362" s="11">
        <v>0.11</v>
      </c>
      <c r="N3362" s="5" t="e">
        <f>IF(AND(M3362&gt;#REF!,Cartera!O3362="Guaraníes"),"Rendimiento significativo",IF(AND(M3362&gt;#REF!,Cartera!O3362="Dólares americanos"),"Rendimiento significativo","Rendimiento no significativo"))</f>
        <v>#REF!</v>
      </c>
      <c r="O3362" s="5" t="s">
        <v>41</v>
      </c>
      <c r="P3362" s="12">
        <v>1487762.6000000001</v>
      </c>
      <c r="Q3362" s="12">
        <f>IF(O3362="Guaraníes",P3362,P3362*#REF!)</f>
        <v>1487762.6000000001</v>
      </c>
      <c r="R3362" s="12" t="e">
        <f>IF(O3362="Guaraníes",P3362/#REF!,P3362)</f>
        <v>#REF!</v>
      </c>
      <c r="S3362" s="5" t="s">
        <v>42</v>
      </c>
      <c r="AC3362" s="5" t="str">
        <f t="shared" si="160"/>
        <v>Bonos</v>
      </c>
      <c r="AD3362" s="5" t="s">
        <v>43</v>
      </c>
      <c r="AE3362" s="5">
        <f t="shared" si="161"/>
        <v>4</v>
      </c>
      <c r="AF3362" s="5">
        <f t="shared" si="162"/>
        <v>2030</v>
      </c>
    </row>
    <row r="3363" s="5" customFormat="1" ht="13">
      <c r="A3363" s="5">
        <v>12301</v>
      </c>
      <c r="B3363" s="5" t="s">
        <v>107</v>
      </c>
      <c r="C3363" s="5" t="s">
        <v>138</v>
      </c>
      <c r="D3363" s="5" t="s">
        <v>20</v>
      </c>
      <c r="E3363" s="5" t="s">
        <v>34</v>
      </c>
      <c r="F3363" s="5" t="s">
        <v>68</v>
      </c>
      <c r="G3363" s="5" t="s">
        <v>86</v>
      </c>
      <c r="H3363" s="9" t="s">
        <v>139</v>
      </c>
      <c r="I3363" s="10">
        <v>43948</v>
      </c>
      <c r="J3363" s="10">
        <v>47550</v>
      </c>
      <c r="K3363" s="5" t="s">
        <v>140</v>
      </c>
      <c r="L3363" s="5" t="s">
        <v>58</v>
      </c>
      <c r="M3363" s="11">
        <v>0.11</v>
      </c>
      <c r="N3363" s="5" t="e">
        <f>IF(AND(M3363&gt;#REF!,Cartera!O3363="Guaraníes"),"Rendimiento significativo",IF(AND(M3363&gt;#REF!,Cartera!O3363="Dólares americanos"),"Rendimiento significativo","Rendimiento no significativo"))</f>
        <v>#REF!</v>
      </c>
      <c r="O3363" s="5" t="s">
        <v>41</v>
      </c>
      <c r="P3363" s="12">
        <v>1474248.7</v>
      </c>
      <c r="Q3363" s="12">
        <f>IF(O3363="Guaraníes",P3363,P3363*#REF!)</f>
        <v>1474248.7</v>
      </c>
      <c r="R3363" s="12" t="e">
        <f>IF(O3363="Guaraníes",P3363/#REF!,P3363)</f>
        <v>#REF!</v>
      </c>
      <c r="S3363" s="5" t="s">
        <v>42</v>
      </c>
      <c r="AC3363" s="5" t="str">
        <f t="shared" si="160"/>
        <v>Bonos</v>
      </c>
      <c r="AD3363" s="5" t="s">
        <v>43</v>
      </c>
      <c r="AE3363" s="5">
        <f t="shared" si="161"/>
        <v>3</v>
      </c>
      <c r="AF3363" s="5">
        <f t="shared" si="162"/>
        <v>2030</v>
      </c>
    </row>
    <row r="3364" s="5" customFormat="1" ht="13">
      <c r="A3364" s="5">
        <v>12301</v>
      </c>
      <c r="B3364" s="5" t="s">
        <v>107</v>
      </c>
      <c r="C3364" s="5" t="s">
        <v>138</v>
      </c>
      <c r="D3364" s="5" t="s">
        <v>20</v>
      </c>
      <c r="E3364" s="5" t="s">
        <v>34</v>
      </c>
      <c r="F3364" s="5" t="s">
        <v>68</v>
      </c>
      <c r="G3364" s="5" t="s">
        <v>86</v>
      </c>
      <c r="H3364" s="9" t="s">
        <v>139</v>
      </c>
      <c r="I3364" s="10">
        <v>43948</v>
      </c>
      <c r="J3364" s="10">
        <v>47520</v>
      </c>
      <c r="K3364" s="5" t="s">
        <v>140</v>
      </c>
      <c r="L3364" s="5" t="s">
        <v>58</v>
      </c>
      <c r="M3364" s="11">
        <v>0.11</v>
      </c>
      <c r="N3364" s="5" t="e">
        <f>IF(AND(M3364&gt;#REF!,Cartera!O3364="Guaraníes"),"Rendimiento significativo",IF(AND(M3364&gt;#REF!,Cartera!O3364="Dólares americanos"),"Rendimiento significativo","Rendimiento no significativo"))</f>
        <v>#REF!</v>
      </c>
      <c r="O3364" s="5" t="s">
        <v>41</v>
      </c>
      <c r="P3364" s="12">
        <v>1460857.5</v>
      </c>
      <c r="Q3364" s="12">
        <f>IF(O3364="Guaraníes",P3364,P3364*#REF!)</f>
        <v>1460857.5</v>
      </c>
      <c r="R3364" s="12" t="e">
        <f>IF(O3364="Guaraníes",P3364/#REF!,P3364)</f>
        <v>#REF!</v>
      </c>
      <c r="S3364" s="5" t="s">
        <v>42</v>
      </c>
      <c r="AC3364" s="5" t="str">
        <f t="shared" si="160"/>
        <v>Bonos</v>
      </c>
      <c r="AD3364" s="5" t="s">
        <v>43</v>
      </c>
      <c r="AE3364" s="5">
        <f t="shared" si="161"/>
        <v>2</v>
      </c>
      <c r="AF3364" s="5">
        <f t="shared" si="162"/>
        <v>2030</v>
      </c>
    </row>
    <row r="3365" s="5" customFormat="1" ht="13">
      <c r="A3365" s="5">
        <v>12301</v>
      </c>
      <c r="B3365" s="5" t="s">
        <v>107</v>
      </c>
      <c r="C3365" s="5" t="s">
        <v>138</v>
      </c>
      <c r="D3365" s="5" t="s">
        <v>20</v>
      </c>
      <c r="E3365" s="5" t="s">
        <v>34</v>
      </c>
      <c r="F3365" s="5" t="s">
        <v>68</v>
      </c>
      <c r="G3365" s="5" t="s">
        <v>86</v>
      </c>
      <c r="H3365" s="9" t="s">
        <v>139</v>
      </c>
      <c r="I3365" s="10">
        <v>43948</v>
      </c>
      <c r="J3365" s="10">
        <v>47490</v>
      </c>
      <c r="K3365" s="5" t="s">
        <v>140</v>
      </c>
      <c r="L3365" s="5" t="s">
        <v>58</v>
      </c>
      <c r="M3365" s="11">
        <v>0.11</v>
      </c>
      <c r="N3365" s="5" t="e">
        <f>IF(AND(M3365&gt;#REF!,Cartera!O3365="Guaraníes"),"Rendimiento significativo",IF(AND(M3365&gt;#REF!,Cartera!O3365="Dólares americanos"),"Rendimiento significativo","Rendimiento no significativo"))</f>
        <v>#REF!</v>
      </c>
      <c r="O3365" s="5" t="s">
        <v>41</v>
      </c>
      <c r="P3365" s="12">
        <v>1447587.9000000001</v>
      </c>
      <c r="Q3365" s="12">
        <f>IF(O3365="Guaraníes",P3365,P3365*#REF!)</f>
        <v>1447587.9000000001</v>
      </c>
      <c r="R3365" s="12" t="e">
        <f>IF(O3365="Guaraníes",P3365/#REF!,P3365)</f>
        <v>#REF!</v>
      </c>
      <c r="S3365" s="5" t="s">
        <v>42</v>
      </c>
      <c r="AC3365" s="5" t="str">
        <f t="shared" si="160"/>
        <v>Bonos</v>
      </c>
      <c r="AD3365" s="5" t="s">
        <v>43</v>
      </c>
      <c r="AE3365" s="5">
        <f t="shared" si="161"/>
        <v>1</v>
      </c>
      <c r="AF3365" s="5">
        <f t="shared" si="162"/>
        <v>2030</v>
      </c>
    </row>
    <row r="3366" s="5" customFormat="1" ht="13">
      <c r="A3366" s="5">
        <v>12301</v>
      </c>
      <c r="B3366" s="5" t="s">
        <v>107</v>
      </c>
      <c r="C3366" s="5" t="s">
        <v>138</v>
      </c>
      <c r="D3366" s="5" t="s">
        <v>20</v>
      </c>
      <c r="E3366" s="5" t="s">
        <v>34</v>
      </c>
      <c r="F3366" s="5" t="s">
        <v>68</v>
      </c>
      <c r="G3366" s="5" t="s">
        <v>86</v>
      </c>
      <c r="H3366" s="9" t="s">
        <v>139</v>
      </c>
      <c r="I3366" s="10">
        <v>43948</v>
      </c>
      <c r="J3366" s="10">
        <v>47459</v>
      </c>
      <c r="K3366" s="5" t="s">
        <v>140</v>
      </c>
      <c r="L3366" s="5" t="s">
        <v>58</v>
      </c>
      <c r="M3366" s="11">
        <v>0.11</v>
      </c>
      <c r="N3366" s="5" t="e">
        <f>IF(AND(M3366&gt;#REF!,Cartera!O3366="Guaraníes"),"Rendimiento significativo",IF(AND(M3366&gt;#REF!,Cartera!O3366="Dólares americanos"),"Rendimiento significativo","Rendimiento no significativo"))</f>
        <v>#REF!</v>
      </c>
      <c r="O3366" s="5" t="s">
        <v>41</v>
      </c>
      <c r="P3366" s="12">
        <v>1434438.9000000001</v>
      </c>
      <c r="Q3366" s="12">
        <f>IF(O3366="Guaraníes",P3366,P3366*#REF!)</f>
        <v>1434438.9000000001</v>
      </c>
      <c r="R3366" s="12" t="e">
        <f>IF(O3366="Guaraníes",P3366/#REF!,P3366)</f>
        <v>#REF!</v>
      </c>
      <c r="S3366" s="5" t="s">
        <v>42</v>
      </c>
      <c r="AC3366" s="5" t="str">
        <f t="shared" si="160"/>
        <v>Bonos</v>
      </c>
      <c r="AD3366" s="5" t="s">
        <v>43</v>
      </c>
      <c r="AE3366" s="5">
        <f t="shared" si="161"/>
        <v>12</v>
      </c>
      <c r="AF3366" s="5">
        <f t="shared" si="162"/>
        <v>2029</v>
      </c>
    </row>
    <row r="3367" s="5" customFormat="1" ht="13">
      <c r="A3367" s="5">
        <v>12301</v>
      </c>
      <c r="B3367" s="5" t="s">
        <v>107</v>
      </c>
      <c r="C3367" s="5" t="s">
        <v>138</v>
      </c>
      <c r="D3367" s="5" t="s">
        <v>20</v>
      </c>
      <c r="E3367" s="5" t="s">
        <v>34</v>
      </c>
      <c r="F3367" s="5" t="s">
        <v>68</v>
      </c>
      <c r="G3367" s="5" t="s">
        <v>86</v>
      </c>
      <c r="H3367" s="9" t="s">
        <v>139</v>
      </c>
      <c r="I3367" s="10">
        <v>43948</v>
      </c>
      <c r="J3367" s="10">
        <v>47429</v>
      </c>
      <c r="K3367" s="5" t="s">
        <v>140</v>
      </c>
      <c r="L3367" s="5" t="s">
        <v>58</v>
      </c>
      <c r="M3367" s="11">
        <v>0.11</v>
      </c>
      <c r="N3367" s="5" t="e">
        <f>IF(AND(M3367&gt;#REF!,Cartera!O3367="Guaraníes"),"Rendimiento significativo",IF(AND(M3367&gt;#REF!,Cartera!O3367="Dólares americanos"),"Rendimiento significativo","Rendimiento no significativo"))</f>
        <v>#REF!</v>
      </c>
      <c r="O3367" s="5" t="s">
        <v>41</v>
      </c>
      <c r="P3367" s="12">
        <v>1421409.3</v>
      </c>
      <c r="Q3367" s="12">
        <f>IF(O3367="Guaraníes",P3367,P3367*#REF!)</f>
        <v>1421409.3</v>
      </c>
      <c r="R3367" s="12" t="e">
        <f>IF(O3367="Guaraníes",P3367/#REF!,P3367)</f>
        <v>#REF!</v>
      </c>
      <c r="S3367" s="5" t="s">
        <v>42</v>
      </c>
      <c r="AC3367" s="5" t="str">
        <f t="shared" si="160"/>
        <v>Bonos</v>
      </c>
      <c r="AD3367" s="5" t="s">
        <v>43</v>
      </c>
      <c r="AE3367" s="5">
        <f t="shared" si="161"/>
        <v>11</v>
      </c>
      <c r="AF3367" s="5">
        <f t="shared" si="162"/>
        <v>2029</v>
      </c>
    </row>
    <row r="3368" s="5" customFormat="1" ht="13">
      <c r="A3368" s="5">
        <v>12301</v>
      </c>
      <c r="B3368" s="5" t="s">
        <v>107</v>
      </c>
      <c r="C3368" s="5" t="s">
        <v>138</v>
      </c>
      <c r="D3368" s="5" t="s">
        <v>20</v>
      </c>
      <c r="E3368" s="5" t="s">
        <v>34</v>
      </c>
      <c r="F3368" s="5" t="s">
        <v>68</v>
      </c>
      <c r="G3368" s="5" t="s">
        <v>86</v>
      </c>
      <c r="H3368" s="9" t="s">
        <v>139</v>
      </c>
      <c r="I3368" s="10">
        <v>43948</v>
      </c>
      <c r="J3368" s="10">
        <v>47399</v>
      </c>
      <c r="K3368" s="5" t="s">
        <v>140</v>
      </c>
      <c r="L3368" s="5" t="s">
        <v>58</v>
      </c>
      <c r="M3368" s="11">
        <v>0.11</v>
      </c>
      <c r="N3368" s="5" t="e">
        <f>IF(AND(M3368&gt;#REF!,Cartera!O3368="Guaraníes"),"Rendimiento significativo",IF(AND(M3368&gt;#REF!,Cartera!O3368="Dólares americanos"),"Rendimiento significativo","Rendimiento no significativo"))</f>
        <v>#REF!</v>
      </c>
      <c r="O3368" s="5" t="s">
        <v>41</v>
      </c>
      <c r="P3368" s="12">
        <v>1408498.1000000001</v>
      </c>
      <c r="Q3368" s="12">
        <f>IF(O3368="Guaraníes",P3368,P3368*#REF!)</f>
        <v>1408498.1000000001</v>
      </c>
      <c r="R3368" s="12" t="e">
        <f>IF(O3368="Guaraníes",P3368/#REF!,P3368)</f>
        <v>#REF!</v>
      </c>
      <c r="S3368" s="5" t="s">
        <v>42</v>
      </c>
      <c r="AC3368" s="5" t="str">
        <f t="shared" si="160"/>
        <v>Bonos</v>
      </c>
      <c r="AD3368" s="5" t="s">
        <v>43</v>
      </c>
      <c r="AE3368" s="5">
        <f t="shared" si="161"/>
        <v>10</v>
      </c>
      <c r="AF3368" s="5">
        <f t="shared" si="162"/>
        <v>2029</v>
      </c>
    </row>
    <row r="3369" s="5" customFormat="1" ht="13">
      <c r="A3369" s="5">
        <v>12301</v>
      </c>
      <c r="B3369" s="5" t="s">
        <v>107</v>
      </c>
      <c r="C3369" s="5" t="s">
        <v>138</v>
      </c>
      <c r="D3369" s="5" t="s">
        <v>20</v>
      </c>
      <c r="E3369" s="5" t="s">
        <v>34</v>
      </c>
      <c r="F3369" s="5" t="s">
        <v>68</v>
      </c>
      <c r="G3369" s="5" t="s">
        <v>86</v>
      </c>
      <c r="H3369" s="9" t="s">
        <v>139</v>
      </c>
      <c r="I3369" s="10">
        <v>43948</v>
      </c>
      <c r="J3369" s="10">
        <v>47366</v>
      </c>
      <c r="K3369" s="5" t="s">
        <v>140</v>
      </c>
      <c r="L3369" s="5" t="s">
        <v>58</v>
      </c>
      <c r="M3369" s="11">
        <v>0.11</v>
      </c>
      <c r="N3369" s="5" t="e">
        <f>IF(AND(M3369&gt;#REF!,Cartera!O3369="Guaraníes"),"Rendimiento significativo",IF(AND(M3369&gt;#REF!,Cartera!O3369="Dólares americanos"),"Rendimiento significativo","Rendimiento no significativo"))</f>
        <v>#REF!</v>
      </c>
      <c r="O3369" s="5" t="s">
        <v>41</v>
      </c>
      <c r="P3369" s="12">
        <v>1395704.1000000001</v>
      </c>
      <c r="Q3369" s="12">
        <f>IF(O3369="Guaraníes",P3369,P3369*#REF!)</f>
        <v>1395704.1000000001</v>
      </c>
      <c r="R3369" s="12" t="e">
        <f>IF(O3369="Guaraníes",P3369/#REF!,P3369)</f>
        <v>#REF!</v>
      </c>
      <c r="S3369" s="5" t="s">
        <v>42</v>
      </c>
      <c r="AC3369" s="5" t="str">
        <f t="shared" si="160"/>
        <v>Bonos</v>
      </c>
      <c r="AD3369" s="5" t="s">
        <v>43</v>
      </c>
      <c r="AE3369" s="5">
        <f t="shared" si="161"/>
        <v>9</v>
      </c>
      <c r="AF3369" s="5">
        <f t="shared" si="162"/>
        <v>2029</v>
      </c>
    </row>
    <row r="3370" s="5" customFormat="1" ht="13">
      <c r="A3370" s="5">
        <v>12301</v>
      </c>
      <c r="B3370" s="5" t="s">
        <v>107</v>
      </c>
      <c r="C3370" s="5" t="s">
        <v>138</v>
      </c>
      <c r="D3370" s="5" t="s">
        <v>20</v>
      </c>
      <c r="E3370" s="5" t="s">
        <v>34</v>
      </c>
      <c r="F3370" s="5" t="s">
        <v>68</v>
      </c>
      <c r="G3370" s="5" t="s">
        <v>86</v>
      </c>
      <c r="H3370" s="9" t="s">
        <v>139</v>
      </c>
      <c r="I3370" s="10">
        <v>43948</v>
      </c>
      <c r="J3370" s="10">
        <v>47336</v>
      </c>
      <c r="K3370" s="5" t="s">
        <v>140</v>
      </c>
      <c r="L3370" s="5" t="s">
        <v>58</v>
      </c>
      <c r="M3370" s="11">
        <v>0.11</v>
      </c>
      <c r="N3370" s="5" t="e">
        <f>IF(AND(M3370&gt;#REF!,Cartera!O3370="Guaraníes"),"Rendimiento significativo",IF(AND(M3370&gt;#REF!,Cartera!O3370="Dólares americanos"),"Rendimiento significativo","Rendimiento no significativo"))</f>
        <v>#REF!</v>
      </c>
      <c r="O3370" s="5" t="s">
        <v>41</v>
      </c>
      <c r="P3370" s="12">
        <v>1383026.3999999999</v>
      </c>
      <c r="Q3370" s="12">
        <f>IF(O3370="Guaraníes",P3370,P3370*#REF!)</f>
        <v>1383026.3999999999</v>
      </c>
      <c r="R3370" s="12" t="e">
        <f>IF(O3370="Guaraníes",P3370/#REF!,P3370)</f>
        <v>#REF!</v>
      </c>
      <c r="S3370" s="5" t="s">
        <v>42</v>
      </c>
      <c r="AC3370" s="5" t="str">
        <f t="shared" si="160"/>
        <v>Bonos</v>
      </c>
      <c r="AD3370" s="5" t="s">
        <v>43</v>
      </c>
      <c r="AE3370" s="5">
        <f t="shared" si="161"/>
        <v>8</v>
      </c>
      <c r="AF3370" s="5">
        <f t="shared" si="162"/>
        <v>2029</v>
      </c>
    </row>
    <row r="3371" s="5" customFormat="1" ht="13">
      <c r="A3371" s="5">
        <v>12301</v>
      </c>
      <c r="B3371" s="5" t="s">
        <v>107</v>
      </c>
      <c r="C3371" s="5" t="s">
        <v>138</v>
      </c>
      <c r="D3371" s="5" t="s">
        <v>20</v>
      </c>
      <c r="E3371" s="5" t="s">
        <v>34</v>
      </c>
      <c r="F3371" s="5" t="s">
        <v>68</v>
      </c>
      <c r="G3371" s="5" t="s">
        <v>86</v>
      </c>
      <c r="H3371" s="9" t="s">
        <v>139</v>
      </c>
      <c r="I3371" s="10">
        <v>43948</v>
      </c>
      <c r="J3371" s="10">
        <v>47305</v>
      </c>
      <c r="K3371" s="5" t="s">
        <v>140</v>
      </c>
      <c r="L3371" s="5" t="s">
        <v>58</v>
      </c>
      <c r="M3371" s="11">
        <v>0.11</v>
      </c>
      <c r="N3371" s="5" t="e">
        <f>IF(AND(M3371&gt;#REF!,Cartera!O3371="Guaraníes"),"Rendimiento significativo",IF(AND(M3371&gt;#REF!,Cartera!O3371="Dólares americanos"),"Rendimiento significativo","Rendimiento no significativo"))</f>
        <v>#REF!</v>
      </c>
      <c r="O3371" s="5" t="s">
        <v>41</v>
      </c>
      <c r="P3371" s="12">
        <v>1370463.7999999998</v>
      </c>
      <c r="Q3371" s="12">
        <f>IF(O3371="Guaraníes",P3371,P3371*#REF!)</f>
        <v>1370463.7999999998</v>
      </c>
      <c r="R3371" s="12" t="e">
        <f>IF(O3371="Guaraníes",P3371/#REF!,P3371)</f>
        <v>#REF!</v>
      </c>
      <c r="S3371" s="5" t="s">
        <v>42</v>
      </c>
      <c r="AC3371" s="5" t="str">
        <f t="shared" si="160"/>
        <v>Bonos</v>
      </c>
      <c r="AD3371" s="5" t="s">
        <v>43</v>
      </c>
      <c r="AE3371" s="5">
        <f t="shared" si="161"/>
        <v>7</v>
      </c>
      <c r="AF3371" s="5">
        <f t="shared" si="162"/>
        <v>2029</v>
      </c>
    </row>
    <row r="3372" s="5" customFormat="1" ht="13">
      <c r="A3372" s="5">
        <v>12301</v>
      </c>
      <c r="B3372" s="5" t="s">
        <v>107</v>
      </c>
      <c r="C3372" s="5" t="s">
        <v>138</v>
      </c>
      <c r="D3372" s="5" t="s">
        <v>20</v>
      </c>
      <c r="E3372" s="5" t="s">
        <v>34</v>
      </c>
      <c r="F3372" s="5" t="s">
        <v>68</v>
      </c>
      <c r="G3372" s="5" t="s">
        <v>86</v>
      </c>
      <c r="H3372" s="9" t="s">
        <v>139</v>
      </c>
      <c r="I3372" s="10">
        <v>43948</v>
      </c>
      <c r="J3372" s="10">
        <v>47275</v>
      </c>
      <c r="K3372" s="5" t="s">
        <v>140</v>
      </c>
      <c r="L3372" s="5" t="s">
        <v>58</v>
      </c>
      <c r="M3372" s="11">
        <v>0.11</v>
      </c>
      <c r="N3372" s="5" t="e">
        <f>IF(AND(M3372&gt;#REF!,Cartera!O3372="Guaraníes"),"Rendimiento significativo",IF(AND(M3372&gt;#REF!,Cartera!O3372="Dólares americanos"),"Rendimiento significativo","Rendimiento no significativo"))</f>
        <v>#REF!</v>
      </c>
      <c r="O3372" s="5" t="s">
        <v>41</v>
      </c>
      <c r="P3372" s="12">
        <v>1358015.3</v>
      </c>
      <c r="Q3372" s="12">
        <f>IF(O3372="Guaraníes",P3372,P3372*#REF!)</f>
        <v>1358015.3</v>
      </c>
      <c r="R3372" s="12" t="e">
        <f>IF(O3372="Guaraníes",P3372/#REF!,P3372)</f>
        <v>#REF!</v>
      </c>
      <c r="S3372" s="5" t="s">
        <v>42</v>
      </c>
      <c r="AC3372" s="5" t="str">
        <f t="shared" si="160"/>
        <v>Bonos</v>
      </c>
      <c r="AD3372" s="5" t="s">
        <v>43</v>
      </c>
      <c r="AE3372" s="5">
        <f t="shared" si="161"/>
        <v>6</v>
      </c>
      <c r="AF3372" s="5">
        <f t="shared" si="162"/>
        <v>2029</v>
      </c>
    </row>
    <row r="3373" s="5" customFormat="1" ht="13">
      <c r="A3373" s="5">
        <v>12301</v>
      </c>
      <c r="B3373" s="5" t="s">
        <v>107</v>
      </c>
      <c r="C3373" s="5" t="s">
        <v>138</v>
      </c>
      <c r="D3373" s="5" t="s">
        <v>20</v>
      </c>
      <c r="E3373" s="5" t="s">
        <v>34</v>
      </c>
      <c r="F3373" s="5" t="s">
        <v>68</v>
      </c>
      <c r="G3373" s="5" t="s">
        <v>86</v>
      </c>
      <c r="H3373" s="9" t="s">
        <v>139</v>
      </c>
      <c r="I3373" s="10">
        <v>43948</v>
      </c>
      <c r="J3373" s="10">
        <v>47245</v>
      </c>
      <c r="K3373" s="5" t="s">
        <v>140</v>
      </c>
      <c r="L3373" s="5" t="s">
        <v>58</v>
      </c>
      <c r="M3373" s="11">
        <v>0.11</v>
      </c>
      <c r="N3373" s="5" t="e">
        <f>IF(AND(M3373&gt;#REF!,Cartera!O3373="Guaraníes"),"Rendimiento significativo",IF(AND(M3373&gt;#REF!,Cartera!O3373="Dólares americanos"),"Rendimiento significativo","Rendimiento no significativo"))</f>
        <v>#REF!</v>
      </c>
      <c r="O3373" s="5" t="s">
        <v>41</v>
      </c>
      <c r="P3373" s="12">
        <v>1345679.8999999999</v>
      </c>
      <c r="Q3373" s="12">
        <f>IF(O3373="Guaraníes",P3373,P3373*#REF!)</f>
        <v>1345679.8999999999</v>
      </c>
      <c r="R3373" s="12" t="e">
        <f>IF(O3373="Guaraníes",P3373/#REF!,P3373)</f>
        <v>#REF!</v>
      </c>
      <c r="S3373" s="5" t="s">
        <v>42</v>
      </c>
      <c r="AC3373" s="5" t="str">
        <f t="shared" si="160"/>
        <v>Bonos</v>
      </c>
      <c r="AD3373" s="5" t="s">
        <v>43</v>
      </c>
      <c r="AE3373" s="5">
        <f t="shared" si="161"/>
        <v>5</v>
      </c>
      <c r="AF3373" s="5">
        <f t="shared" si="162"/>
        <v>2029</v>
      </c>
    </row>
    <row r="3374" s="5" customFormat="1" ht="13">
      <c r="A3374" s="5">
        <v>12301</v>
      </c>
      <c r="B3374" s="5" t="s">
        <v>107</v>
      </c>
      <c r="C3374" s="5" t="s">
        <v>138</v>
      </c>
      <c r="D3374" s="5" t="s">
        <v>20</v>
      </c>
      <c r="E3374" s="5" t="s">
        <v>34</v>
      </c>
      <c r="F3374" s="5" t="s">
        <v>68</v>
      </c>
      <c r="G3374" s="5" t="s">
        <v>86</v>
      </c>
      <c r="H3374" s="9" t="s">
        <v>139</v>
      </c>
      <c r="I3374" s="10">
        <v>43948</v>
      </c>
      <c r="J3374" s="10">
        <v>47213</v>
      </c>
      <c r="K3374" s="5" t="s">
        <v>140</v>
      </c>
      <c r="L3374" s="5" t="s">
        <v>58</v>
      </c>
      <c r="M3374" s="11">
        <v>0.11</v>
      </c>
      <c r="N3374" s="5" t="e">
        <f>IF(AND(M3374&gt;#REF!,Cartera!O3374="Guaraníes"),"Rendimiento significativo",IF(AND(M3374&gt;#REF!,Cartera!O3374="Dólares americanos"),"Rendimiento significativo","Rendimiento no significativo"))</f>
        <v>#REF!</v>
      </c>
      <c r="O3374" s="5" t="s">
        <v>41</v>
      </c>
      <c r="P3374" s="12">
        <v>1333456.5999999999</v>
      </c>
      <c r="Q3374" s="12">
        <f>IF(O3374="Guaraníes",P3374,P3374*#REF!)</f>
        <v>1333456.5999999999</v>
      </c>
      <c r="R3374" s="12" t="e">
        <f>IF(O3374="Guaraníes",P3374/#REF!,P3374)</f>
        <v>#REF!</v>
      </c>
      <c r="S3374" s="5" t="s">
        <v>42</v>
      </c>
      <c r="AC3374" s="5" t="str">
        <f t="shared" si="160"/>
        <v>Bonos</v>
      </c>
      <c r="AD3374" s="5" t="s">
        <v>43</v>
      </c>
      <c r="AE3374" s="5">
        <f t="shared" si="161"/>
        <v>4</v>
      </c>
      <c r="AF3374" s="5">
        <f t="shared" si="162"/>
        <v>2029</v>
      </c>
    </row>
    <row r="3375" s="5" customFormat="1" ht="13">
      <c r="A3375" s="5">
        <v>12301</v>
      </c>
      <c r="B3375" s="5" t="s">
        <v>107</v>
      </c>
      <c r="C3375" s="5" t="s">
        <v>138</v>
      </c>
      <c r="D3375" s="5" t="s">
        <v>20</v>
      </c>
      <c r="E3375" s="5" t="s">
        <v>34</v>
      </c>
      <c r="F3375" s="5" t="s">
        <v>68</v>
      </c>
      <c r="G3375" s="5" t="s">
        <v>86</v>
      </c>
      <c r="H3375" s="9" t="s">
        <v>139</v>
      </c>
      <c r="I3375" s="10">
        <v>43948</v>
      </c>
      <c r="J3375" s="10">
        <v>47182</v>
      </c>
      <c r="K3375" s="5" t="s">
        <v>140</v>
      </c>
      <c r="L3375" s="5" t="s">
        <v>58</v>
      </c>
      <c r="M3375" s="11">
        <v>0.11</v>
      </c>
      <c r="N3375" s="5" t="e">
        <f>IF(AND(M3375&gt;#REF!,Cartera!O3375="Guaraníes"),"Rendimiento significativo",IF(AND(M3375&gt;#REF!,Cartera!O3375="Dólares americanos"),"Rendimiento significativo","Rendimiento no significativo"))</f>
        <v>#REF!</v>
      </c>
      <c r="O3375" s="5" t="s">
        <v>41</v>
      </c>
      <c r="P3375" s="12">
        <v>1321344.3</v>
      </c>
      <c r="Q3375" s="12">
        <f>IF(O3375="Guaraníes",P3375,P3375*#REF!)</f>
        <v>1321344.3</v>
      </c>
      <c r="R3375" s="12" t="e">
        <f>IF(O3375="Guaraníes",P3375/#REF!,P3375)</f>
        <v>#REF!</v>
      </c>
      <c r="S3375" s="5" t="s">
        <v>42</v>
      </c>
      <c r="AC3375" s="5" t="str">
        <f t="shared" si="160"/>
        <v>Bonos</v>
      </c>
      <c r="AD3375" s="5" t="s">
        <v>43</v>
      </c>
      <c r="AE3375" s="5">
        <f t="shared" si="161"/>
        <v>3</v>
      </c>
      <c r="AF3375" s="5">
        <f t="shared" si="162"/>
        <v>2029</v>
      </c>
    </row>
    <row r="3376" s="5" customFormat="1" ht="13">
      <c r="A3376" s="5">
        <v>12301</v>
      </c>
      <c r="B3376" s="5" t="s">
        <v>107</v>
      </c>
      <c r="C3376" s="5" t="s">
        <v>138</v>
      </c>
      <c r="D3376" s="5" t="s">
        <v>20</v>
      </c>
      <c r="E3376" s="5" t="s">
        <v>34</v>
      </c>
      <c r="F3376" s="5" t="s">
        <v>68</v>
      </c>
      <c r="G3376" s="5" t="s">
        <v>86</v>
      </c>
      <c r="H3376" s="9" t="s">
        <v>139</v>
      </c>
      <c r="I3376" s="10">
        <v>43948</v>
      </c>
      <c r="J3376" s="10">
        <v>47150</v>
      </c>
      <c r="K3376" s="5" t="s">
        <v>140</v>
      </c>
      <c r="L3376" s="5" t="s">
        <v>58</v>
      </c>
      <c r="M3376" s="11">
        <v>0.11</v>
      </c>
      <c r="N3376" s="5" t="e">
        <f>IF(AND(M3376&gt;#REF!,Cartera!O3376="Guaraníes"),"Rendimiento significativo",IF(AND(M3376&gt;#REF!,Cartera!O3376="Dólares americanos"),"Rendimiento significativo","Rendimiento no significativo"))</f>
        <v>#REF!</v>
      </c>
      <c r="O3376" s="5" t="s">
        <v>41</v>
      </c>
      <c r="P3376" s="12">
        <v>1309342</v>
      </c>
      <c r="Q3376" s="12">
        <f>IF(O3376="Guaraníes",P3376,P3376*#REF!)</f>
        <v>1309342</v>
      </c>
      <c r="R3376" s="12" t="e">
        <f>IF(O3376="Guaraníes",P3376/#REF!,P3376)</f>
        <v>#REF!</v>
      </c>
      <c r="S3376" s="5" t="s">
        <v>42</v>
      </c>
      <c r="AC3376" s="5" t="str">
        <f t="shared" si="160"/>
        <v>Bonos</v>
      </c>
      <c r="AD3376" s="5" t="s">
        <v>43</v>
      </c>
      <c r="AE3376" s="5">
        <f t="shared" si="161"/>
        <v>2</v>
      </c>
      <c r="AF3376" s="5">
        <f t="shared" si="162"/>
        <v>2029</v>
      </c>
    </row>
    <row r="3377" s="5" customFormat="1" ht="13">
      <c r="A3377" s="5">
        <v>12301</v>
      </c>
      <c r="B3377" s="5" t="s">
        <v>107</v>
      </c>
      <c r="C3377" s="5" t="s">
        <v>138</v>
      </c>
      <c r="D3377" s="5" t="s">
        <v>20</v>
      </c>
      <c r="E3377" s="5" t="s">
        <v>34</v>
      </c>
      <c r="F3377" s="5" t="s">
        <v>68</v>
      </c>
      <c r="G3377" s="5" t="s">
        <v>86</v>
      </c>
      <c r="H3377" s="9" t="s">
        <v>139</v>
      </c>
      <c r="I3377" s="10">
        <v>43948</v>
      </c>
      <c r="J3377" s="10">
        <v>47120</v>
      </c>
      <c r="K3377" s="5" t="s">
        <v>140</v>
      </c>
      <c r="L3377" s="5" t="s">
        <v>58</v>
      </c>
      <c r="M3377" s="11">
        <v>0.11</v>
      </c>
      <c r="N3377" s="5" t="e">
        <f>IF(AND(M3377&gt;#REF!,Cartera!O3377="Guaraníes"),"Rendimiento significativo",IF(AND(M3377&gt;#REF!,Cartera!O3377="Dólares americanos"),"Rendimiento significativo","Rendimiento no significativo"))</f>
        <v>#REF!</v>
      </c>
      <c r="O3377" s="5" t="s">
        <v>41</v>
      </c>
      <c r="P3377" s="12">
        <v>1297448.7000000002</v>
      </c>
      <c r="Q3377" s="12">
        <f>IF(O3377="Guaraníes",P3377,P3377*#REF!)</f>
        <v>1297448.7000000002</v>
      </c>
      <c r="R3377" s="12" t="e">
        <f>IF(O3377="Guaraníes",P3377/#REF!,P3377)</f>
        <v>#REF!</v>
      </c>
      <c r="S3377" s="5" t="s">
        <v>42</v>
      </c>
      <c r="AC3377" s="5" t="str">
        <f t="shared" si="160"/>
        <v>Bonos</v>
      </c>
      <c r="AD3377" s="5" t="s">
        <v>43</v>
      </c>
      <c r="AE3377" s="5">
        <f t="shared" si="161"/>
        <v>1</v>
      </c>
      <c r="AF3377" s="5">
        <f t="shared" si="162"/>
        <v>2029</v>
      </c>
    </row>
    <row r="3378" s="5" customFormat="1" ht="13">
      <c r="A3378" s="5">
        <v>12301</v>
      </c>
      <c r="B3378" s="5" t="s">
        <v>107</v>
      </c>
      <c r="C3378" s="5" t="s">
        <v>138</v>
      </c>
      <c r="D3378" s="5" t="s">
        <v>20</v>
      </c>
      <c r="E3378" s="5" t="s">
        <v>34</v>
      </c>
      <c r="F3378" s="5" t="s">
        <v>68</v>
      </c>
      <c r="G3378" s="5" t="s">
        <v>86</v>
      </c>
      <c r="H3378" s="9" t="s">
        <v>139</v>
      </c>
      <c r="I3378" s="10">
        <v>43948</v>
      </c>
      <c r="J3378" s="10">
        <v>47088</v>
      </c>
      <c r="K3378" s="5" t="s">
        <v>140</v>
      </c>
      <c r="L3378" s="5" t="s">
        <v>58</v>
      </c>
      <c r="M3378" s="11">
        <v>0.11</v>
      </c>
      <c r="N3378" s="5" t="e">
        <f>IF(AND(M3378&gt;#REF!,Cartera!O3378="Guaraníes"),"Rendimiento significativo",IF(AND(M3378&gt;#REF!,Cartera!O3378="Dólares americanos"),"Rendimiento significativo","Rendimiento no significativo"))</f>
        <v>#REF!</v>
      </c>
      <c r="O3378" s="5" t="s">
        <v>41</v>
      </c>
      <c r="P3378" s="12">
        <v>1285663.3999999999</v>
      </c>
      <c r="Q3378" s="12">
        <f>IF(O3378="Guaraníes",P3378,P3378*#REF!)</f>
        <v>1285663.3999999999</v>
      </c>
      <c r="R3378" s="12" t="e">
        <f>IF(O3378="Guaraníes",P3378/#REF!,P3378)</f>
        <v>#REF!</v>
      </c>
      <c r="S3378" s="5" t="s">
        <v>42</v>
      </c>
      <c r="AC3378" s="5" t="str">
        <f t="shared" si="160"/>
        <v>Bonos</v>
      </c>
      <c r="AD3378" s="5" t="s">
        <v>43</v>
      </c>
      <c r="AE3378" s="5">
        <f t="shared" si="161"/>
        <v>12</v>
      </c>
      <c r="AF3378" s="5">
        <f t="shared" si="162"/>
        <v>2028</v>
      </c>
    </row>
    <row r="3379" s="5" customFormat="1" ht="13">
      <c r="A3379" s="5">
        <v>12301</v>
      </c>
      <c r="B3379" s="5" t="s">
        <v>107</v>
      </c>
      <c r="C3379" s="5" t="s">
        <v>138</v>
      </c>
      <c r="D3379" s="5" t="s">
        <v>20</v>
      </c>
      <c r="E3379" s="5" t="s">
        <v>34</v>
      </c>
      <c r="F3379" s="5" t="s">
        <v>68</v>
      </c>
      <c r="G3379" s="5" t="s">
        <v>86</v>
      </c>
      <c r="H3379" s="9" t="s">
        <v>139</v>
      </c>
      <c r="I3379" s="10">
        <v>43948</v>
      </c>
      <c r="J3379" s="10">
        <v>47058</v>
      </c>
      <c r="K3379" s="5" t="s">
        <v>140</v>
      </c>
      <c r="L3379" s="5" t="s">
        <v>58</v>
      </c>
      <c r="M3379" s="11">
        <v>0.11</v>
      </c>
      <c r="N3379" s="5" t="e">
        <f>IF(AND(M3379&gt;#REF!,Cartera!O3379="Guaraníes"),"Rendimiento significativo",IF(AND(M3379&gt;#REF!,Cartera!O3379="Dólares americanos"),"Rendimiento significativo","Rendimiento no significativo"))</f>
        <v>#REF!</v>
      </c>
      <c r="O3379" s="5" t="s">
        <v>41</v>
      </c>
      <c r="P3379" s="12">
        <v>1273985.1999999997</v>
      </c>
      <c r="Q3379" s="12">
        <f>IF(O3379="Guaraníes",P3379,P3379*#REF!)</f>
        <v>1273985.1999999997</v>
      </c>
      <c r="R3379" s="12" t="e">
        <f>IF(O3379="Guaraníes",P3379/#REF!,P3379)</f>
        <v>#REF!</v>
      </c>
      <c r="S3379" s="5" t="s">
        <v>42</v>
      </c>
      <c r="AC3379" s="5" t="str">
        <f t="shared" si="160"/>
        <v>Bonos</v>
      </c>
      <c r="AD3379" s="5" t="s">
        <v>43</v>
      </c>
      <c r="AE3379" s="5">
        <f t="shared" si="161"/>
        <v>11</v>
      </c>
      <c r="AF3379" s="5">
        <f t="shared" si="162"/>
        <v>2028</v>
      </c>
    </row>
    <row r="3380" s="5" customFormat="1" ht="13">
      <c r="A3380" s="5">
        <v>12301</v>
      </c>
      <c r="B3380" s="5" t="s">
        <v>107</v>
      </c>
      <c r="C3380" s="5" t="s">
        <v>138</v>
      </c>
      <c r="D3380" s="5" t="s">
        <v>20</v>
      </c>
      <c r="E3380" s="5" t="s">
        <v>34</v>
      </c>
      <c r="F3380" s="5" t="s">
        <v>68</v>
      </c>
      <c r="G3380" s="5" t="s">
        <v>86</v>
      </c>
      <c r="H3380" s="9" t="s">
        <v>139</v>
      </c>
      <c r="I3380" s="10">
        <v>43948</v>
      </c>
      <c r="J3380" s="10">
        <v>47028</v>
      </c>
      <c r="K3380" s="5" t="s">
        <v>140</v>
      </c>
      <c r="L3380" s="5" t="s">
        <v>58</v>
      </c>
      <c r="M3380" s="11">
        <v>0.11</v>
      </c>
      <c r="N3380" s="5" t="e">
        <f>IF(AND(M3380&gt;#REF!,Cartera!O3380="Guaraníes"),"Rendimiento significativo",IF(AND(M3380&gt;#REF!,Cartera!O3380="Dólares americanos"),"Rendimiento significativo","Rendimiento no significativo"))</f>
        <v>#REF!</v>
      </c>
      <c r="O3380" s="5" t="s">
        <v>41</v>
      </c>
      <c r="P3380" s="12">
        <v>1262413.1000000001</v>
      </c>
      <c r="Q3380" s="12">
        <f>IF(O3380="Guaraníes",P3380,P3380*#REF!)</f>
        <v>1262413.1000000001</v>
      </c>
      <c r="R3380" s="12" t="e">
        <f>IF(O3380="Guaraníes",P3380/#REF!,P3380)</f>
        <v>#REF!</v>
      </c>
      <c r="S3380" s="5" t="s">
        <v>42</v>
      </c>
      <c r="AC3380" s="5" t="str">
        <f t="shared" si="160"/>
        <v>Bonos</v>
      </c>
      <c r="AD3380" s="5" t="s">
        <v>43</v>
      </c>
      <c r="AE3380" s="5">
        <f t="shared" si="161"/>
        <v>10</v>
      </c>
      <c r="AF3380" s="5">
        <f t="shared" si="162"/>
        <v>2028</v>
      </c>
    </row>
    <row r="3381" s="5" customFormat="1" ht="13">
      <c r="A3381" s="5">
        <v>12301</v>
      </c>
      <c r="B3381" s="5" t="s">
        <v>107</v>
      </c>
      <c r="C3381" s="5" t="s">
        <v>138</v>
      </c>
      <c r="D3381" s="5" t="s">
        <v>20</v>
      </c>
      <c r="E3381" s="5" t="s">
        <v>34</v>
      </c>
      <c r="F3381" s="5" t="s">
        <v>68</v>
      </c>
      <c r="G3381" s="5" t="s">
        <v>86</v>
      </c>
      <c r="H3381" s="9" t="s">
        <v>139</v>
      </c>
      <c r="I3381" s="10">
        <v>43948</v>
      </c>
      <c r="J3381" s="10">
        <v>46997</v>
      </c>
      <c r="K3381" s="5" t="s">
        <v>140</v>
      </c>
      <c r="L3381" s="5" t="s">
        <v>58</v>
      </c>
      <c r="M3381" s="11">
        <v>0.11</v>
      </c>
      <c r="N3381" s="5" t="e">
        <f>IF(AND(M3381&gt;#REF!,Cartera!O3381="Guaraníes"),"Rendimiento significativo",IF(AND(M3381&gt;#REF!,Cartera!O3381="Dólares americanos"),"Rendimiento significativo","Rendimiento no significativo"))</f>
        <v>#REF!</v>
      </c>
      <c r="O3381" s="5" t="s">
        <v>41</v>
      </c>
      <c r="P3381" s="12">
        <v>1250946.1000000001</v>
      </c>
      <c r="Q3381" s="12">
        <f>IF(O3381="Guaraníes",P3381,P3381*#REF!)</f>
        <v>1250946.1000000001</v>
      </c>
      <c r="R3381" s="12" t="e">
        <f>IF(O3381="Guaraníes",P3381/#REF!,P3381)</f>
        <v>#REF!</v>
      </c>
      <c r="S3381" s="5" t="s">
        <v>42</v>
      </c>
      <c r="AC3381" s="5" t="str">
        <f t="shared" si="160"/>
        <v>Bonos</v>
      </c>
      <c r="AD3381" s="5" t="s">
        <v>43</v>
      </c>
      <c r="AE3381" s="5">
        <f t="shared" si="161"/>
        <v>9</v>
      </c>
      <c r="AF3381" s="5">
        <f t="shared" si="162"/>
        <v>2028</v>
      </c>
    </row>
    <row r="3382" s="5" customFormat="1" ht="13">
      <c r="A3382" s="5">
        <v>12301</v>
      </c>
      <c r="B3382" s="5" t="s">
        <v>107</v>
      </c>
      <c r="C3382" s="5" t="s">
        <v>138</v>
      </c>
      <c r="D3382" s="5" t="s">
        <v>20</v>
      </c>
      <c r="E3382" s="5" t="s">
        <v>34</v>
      </c>
      <c r="F3382" s="5" t="s">
        <v>68</v>
      </c>
      <c r="G3382" s="5" t="s">
        <v>86</v>
      </c>
      <c r="H3382" s="9" t="s">
        <v>139</v>
      </c>
      <c r="I3382" s="10">
        <v>43948</v>
      </c>
      <c r="J3382" s="10">
        <v>46967</v>
      </c>
      <c r="K3382" s="5" t="s">
        <v>140</v>
      </c>
      <c r="L3382" s="5" t="s">
        <v>58</v>
      </c>
      <c r="M3382" s="11">
        <v>0.11</v>
      </c>
      <c r="N3382" s="5" t="e">
        <f>IF(AND(M3382&gt;#REF!,Cartera!O3382="Guaraníes"),"Rendimiento significativo",IF(AND(M3382&gt;#REF!,Cartera!O3382="Dólares americanos"),"Rendimiento significativo","Rendimiento no significativo"))</f>
        <v>#REF!</v>
      </c>
      <c r="O3382" s="5" t="s">
        <v>41</v>
      </c>
      <c r="P3382" s="12">
        <v>1239583.3</v>
      </c>
      <c r="Q3382" s="12">
        <f>IF(O3382="Guaraníes",P3382,P3382*#REF!)</f>
        <v>1239583.3</v>
      </c>
      <c r="R3382" s="12" t="e">
        <f>IF(O3382="Guaraníes",P3382/#REF!,P3382)</f>
        <v>#REF!</v>
      </c>
      <c r="S3382" s="5" t="s">
        <v>42</v>
      </c>
      <c r="AC3382" s="5" t="str">
        <f t="shared" si="160"/>
        <v>Bonos</v>
      </c>
      <c r="AD3382" s="5" t="s">
        <v>43</v>
      </c>
      <c r="AE3382" s="5">
        <f t="shared" si="161"/>
        <v>8</v>
      </c>
      <c r="AF3382" s="5">
        <f t="shared" si="162"/>
        <v>2028</v>
      </c>
    </row>
    <row r="3383" s="5" customFormat="1" ht="13">
      <c r="A3383" s="5">
        <v>12301</v>
      </c>
      <c r="B3383" s="5" t="s">
        <v>107</v>
      </c>
      <c r="C3383" s="5" t="s">
        <v>138</v>
      </c>
      <c r="D3383" s="5" t="s">
        <v>20</v>
      </c>
      <c r="E3383" s="5" t="s">
        <v>34</v>
      </c>
      <c r="F3383" s="5" t="s">
        <v>68</v>
      </c>
      <c r="G3383" s="5" t="s">
        <v>86</v>
      </c>
      <c r="H3383" s="9" t="s">
        <v>139</v>
      </c>
      <c r="I3383" s="10">
        <v>43948</v>
      </c>
      <c r="J3383" s="10">
        <v>46937</v>
      </c>
      <c r="K3383" s="5" t="s">
        <v>140</v>
      </c>
      <c r="L3383" s="5" t="s">
        <v>58</v>
      </c>
      <c r="M3383" s="11">
        <v>0.11</v>
      </c>
      <c r="N3383" s="5" t="e">
        <f>IF(AND(M3383&gt;#REF!,Cartera!O3383="Guaraníes"),"Rendimiento significativo",IF(AND(M3383&gt;#REF!,Cartera!O3383="Dólares americanos"),"Rendimiento significativo","Rendimiento no significativo"))</f>
        <v>#REF!</v>
      </c>
      <c r="O3383" s="5" t="s">
        <v>41</v>
      </c>
      <c r="P3383" s="12">
        <v>1228323.6000000001</v>
      </c>
      <c r="Q3383" s="12">
        <f>IF(O3383="Guaraníes",P3383,P3383*#REF!)</f>
        <v>1228323.6000000001</v>
      </c>
      <c r="R3383" s="12" t="e">
        <f>IF(O3383="Guaraníes",P3383/#REF!,P3383)</f>
        <v>#REF!</v>
      </c>
      <c r="S3383" s="5" t="s">
        <v>42</v>
      </c>
      <c r="AC3383" s="5" t="str">
        <f t="shared" ref="AC3383:AC3446" si="163">IF(ISNUMBER(SEARCH("Acciones",L3383)),"Acciones",IF(ISNUMBER(SEARCH("Bono",L3383)),"Bonos",IF(ISNUMBER(SEARCH("CDA",L3383)),"CDA",IF(ISNUMBER(SEARCH("Fondo",L3383)),"Fondo",0))))</f>
        <v>Bonos</v>
      </c>
      <c r="AD3383" s="5" t="s">
        <v>43</v>
      </c>
      <c r="AE3383" s="5">
        <f t="shared" si="161"/>
        <v>7</v>
      </c>
      <c r="AF3383" s="5">
        <f t="shared" si="162"/>
        <v>2028</v>
      </c>
    </row>
    <row r="3384" s="5" customFormat="1" ht="13">
      <c r="A3384" s="5">
        <v>12301</v>
      </c>
      <c r="B3384" s="5" t="s">
        <v>107</v>
      </c>
      <c r="C3384" s="5" t="s">
        <v>138</v>
      </c>
      <c r="D3384" s="5" t="s">
        <v>20</v>
      </c>
      <c r="E3384" s="5" t="s">
        <v>34</v>
      </c>
      <c r="F3384" s="5" t="s">
        <v>68</v>
      </c>
      <c r="G3384" s="5" t="s">
        <v>86</v>
      </c>
      <c r="H3384" s="9" t="s">
        <v>139</v>
      </c>
      <c r="I3384" s="10">
        <v>43948</v>
      </c>
      <c r="J3384" s="10">
        <v>46906</v>
      </c>
      <c r="K3384" s="5" t="s">
        <v>140</v>
      </c>
      <c r="L3384" s="5" t="s">
        <v>58</v>
      </c>
      <c r="M3384" s="11">
        <v>0.11</v>
      </c>
      <c r="N3384" s="5" t="e">
        <f>IF(AND(M3384&gt;#REF!,Cartera!O3384="Guaraníes"),"Rendimiento significativo",IF(AND(M3384&gt;#REF!,Cartera!O3384="Dólares americanos"),"Rendimiento significativo","Rendimiento no significativo"))</f>
        <v>#REF!</v>
      </c>
      <c r="O3384" s="5" t="s">
        <v>41</v>
      </c>
      <c r="P3384" s="12">
        <v>1217166.3</v>
      </c>
      <c r="Q3384" s="12">
        <f>IF(O3384="Guaraníes",P3384,P3384*#REF!)</f>
        <v>1217166.3</v>
      </c>
      <c r="R3384" s="12" t="e">
        <f>IF(O3384="Guaraníes",P3384/#REF!,P3384)</f>
        <v>#REF!</v>
      </c>
      <c r="S3384" s="5" t="s">
        <v>42</v>
      </c>
      <c r="AC3384" s="5" t="str">
        <f t="shared" si="163"/>
        <v>Bonos</v>
      </c>
      <c r="AD3384" s="5" t="s">
        <v>43</v>
      </c>
      <c r="AE3384" s="5">
        <f t="shared" si="161"/>
        <v>6</v>
      </c>
      <c r="AF3384" s="5">
        <f t="shared" si="162"/>
        <v>2028</v>
      </c>
    </row>
    <row r="3385" s="5" customFormat="1" ht="13">
      <c r="A3385" s="5">
        <v>12301</v>
      </c>
      <c r="B3385" s="5" t="s">
        <v>107</v>
      </c>
      <c r="C3385" s="5" t="s">
        <v>138</v>
      </c>
      <c r="D3385" s="5" t="s">
        <v>20</v>
      </c>
      <c r="E3385" s="5" t="s">
        <v>34</v>
      </c>
      <c r="F3385" s="5" t="s">
        <v>68</v>
      </c>
      <c r="G3385" s="5" t="s">
        <v>86</v>
      </c>
      <c r="H3385" s="9" t="s">
        <v>139</v>
      </c>
      <c r="I3385" s="10">
        <v>43948</v>
      </c>
      <c r="J3385" s="10">
        <v>46876</v>
      </c>
      <c r="K3385" s="5" t="s">
        <v>140</v>
      </c>
      <c r="L3385" s="5" t="s">
        <v>58</v>
      </c>
      <c r="M3385" s="11">
        <v>0.11</v>
      </c>
      <c r="N3385" s="5" t="e">
        <f>IF(AND(M3385&gt;#REF!,Cartera!O3385="Guaraníes"),"Rendimiento significativo",IF(AND(M3385&gt;#REF!,Cartera!O3385="Dólares americanos"),"Rendimiento significativo","Rendimiento no significativo"))</f>
        <v>#REF!</v>
      </c>
      <c r="O3385" s="5" t="s">
        <v>41</v>
      </c>
      <c r="P3385" s="12">
        <v>1206110.3</v>
      </c>
      <c r="Q3385" s="12">
        <f>IF(O3385="Guaraníes",P3385,P3385*#REF!)</f>
        <v>1206110.3</v>
      </c>
      <c r="R3385" s="12" t="e">
        <f>IF(O3385="Guaraníes",P3385/#REF!,P3385)</f>
        <v>#REF!</v>
      </c>
      <c r="S3385" s="5" t="s">
        <v>42</v>
      </c>
      <c r="AC3385" s="5" t="str">
        <f t="shared" si="163"/>
        <v>Bonos</v>
      </c>
      <c r="AD3385" s="5" t="s">
        <v>43</v>
      </c>
      <c r="AE3385" s="5">
        <f t="shared" si="161"/>
        <v>5</v>
      </c>
      <c r="AF3385" s="5">
        <f t="shared" si="162"/>
        <v>2028</v>
      </c>
    </row>
    <row r="3386" s="5" customFormat="1" ht="13">
      <c r="A3386" s="5">
        <v>12301</v>
      </c>
      <c r="B3386" s="5" t="s">
        <v>107</v>
      </c>
      <c r="C3386" s="5" t="s">
        <v>138</v>
      </c>
      <c r="D3386" s="5" t="s">
        <v>20</v>
      </c>
      <c r="E3386" s="5" t="s">
        <v>34</v>
      </c>
      <c r="F3386" s="5" t="s">
        <v>68</v>
      </c>
      <c r="G3386" s="5" t="s">
        <v>86</v>
      </c>
      <c r="H3386" s="9" t="s">
        <v>139</v>
      </c>
      <c r="I3386" s="10">
        <v>43948</v>
      </c>
      <c r="J3386" s="10">
        <v>46846</v>
      </c>
      <c r="K3386" s="5" t="s">
        <v>140</v>
      </c>
      <c r="L3386" s="5" t="s">
        <v>58</v>
      </c>
      <c r="M3386" s="11">
        <v>0.11</v>
      </c>
      <c r="N3386" s="5" t="e">
        <f>IF(AND(M3386&gt;#REF!,Cartera!O3386="Guaraníes"),"Rendimiento significativo",IF(AND(M3386&gt;#REF!,Cartera!O3386="Dólares americanos"),"Rendimiento significativo","Rendimiento no significativo"))</f>
        <v>#REF!</v>
      </c>
      <c r="O3386" s="5" t="s">
        <v>41</v>
      </c>
      <c r="P3386" s="12">
        <v>1195154.6999999997</v>
      </c>
      <c r="Q3386" s="12">
        <f>IF(O3386="Guaraníes",P3386,P3386*#REF!)</f>
        <v>1195154.6999999997</v>
      </c>
      <c r="R3386" s="12" t="e">
        <f>IF(O3386="Guaraníes",P3386/#REF!,P3386)</f>
        <v>#REF!</v>
      </c>
      <c r="S3386" s="5" t="s">
        <v>42</v>
      </c>
      <c r="AC3386" s="5" t="str">
        <f t="shared" si="163"/>
        <v>Bonos</v>
      </c>
      <c r="AD3386" s="5" t="s">
        <v>43</v>
      </c>
      <c r="AE3386" s="5">
        <f t="shared" si="161"/>
        <v>4</v>
      </c>
      <c r="AF3386" s="5">
        <f t="shared" si="162"/>
        <v>2028</v>
      </c>
    </row>
    <row r="3387" s="5" customFormat="1" ht="13">
      <c r="A3387" s="5">
        <v>12301</v>
      </c>
      <c r="B3387" s="5" t="s">
        <v>107</v>
      </c>
      <c r="C3387" s="5" t="s">
        <v>138</v>
      </c>
      <c r="D3387" s="5" t="s">
        <v>20</v>
      </c>
      <c r="E3387" s="5" t="s">
        <v>34</v>
      </c>
      <c r="F3387" s="5" t="s">
        <v>68</v>
      </c>
      <c r="G3387" s="5" t="s">
        <v>86</v>
      </c>
      <c r="H3387" s="9" t="s">
        <v>139</v>
      </c>
      <c r="I3387" s="10">
        <v>43948</v>
      </c>
      <c r="J3387" s="10">
        <v>46815</v>
      </c>
      <c r="K3387" s="5" t="s">
        <v>140</v>
      </c>
      <c r="L3387" s="5" t="s">
        <v>58</v>
      </c>
      <c r="M3387" s="11">
        <v>0.11</v>
      </c>
      <c r="N3387" s="5" t="e">
        <f>IF(AND(M3387&gt;#REF!,Cartera!O3387="Guaraníes"),"Rendimiento significativo",IF(AND(M3387&gt;#REF!,Cartera!O3387="Dólares americanos"),"Rendimiento significativo","Rendimiento no significativo"))</f>
        <v>#REF!</v>
      </c>
      <c r="O3387" s="5" t="s">
        <v>41</v>
      </c>
      <c r="P3387" s="12">
        <v>1184298.6000000001</v>
      </c>
      <c r="Q3387" s="12">
        <f>IF(O3387="Guaraníes",P3387,P3387*#REF!)</f>
        <v>1184298.6000000001</v>
      </c>
      <c r="R3387" s="12" t="e">
        <f>IF(O3387="Guaraníes",P3387/#REF!,P3387)</f>
        <v>#REF!</v>
      </c>
      <c r="S3387" s="5" t="s">
        <v>42</v>
      </c>
      <c r="AC3387" s="5" t="str">
        <f t="shared" si="163"/>
        <v>Bonos</v>
      </c>
      <c r="AD3387" s="5" t="s">
        <v>43</v>
      </c>
      <c r="AE3387" s="5">
        <f t="shared" si="161"/>
        <v>3</v>
      </c>
      <c r="AF3387" s="5">
        <f t="shared" si="162"/>
        <v>2028</v>
      </c>
    </row>
    <row r="3388" s="5" customFormat="1" ht="13">
      <c r="A3388" s="5">
        <v>12301</v>
      </c>
      <c r="B3388" s="5" t="s">
        <v>107</v>
      </c>
      <c r="C3388" s="5" t="s">
        <v>138</v>
      </c>
      <c r="D3388" s="5" t="s">
        <v>20</v>
      </c>
      <c r="E3388" s="5" t="s">
        <v>34</v>
      </c>
      <c r="F3388" s="5" t="s">
        <v>68</v>
      </c>
      <c r="G3388" s="5" t="s">
        <v>86</v>
      </c>
      <c r="H3388" s="9" t="s">
        <v>139</v>
      </c>
      <c r="I3388" s="10">
        <v>43948</v>
      </c>
      <c r="J3388" s="10">
        <v>46785</v>
      </c>
      <c r="K3388" s="5" t="s">
        <v>140</v>
      </c>
      <c r="L3388" s="5" t="s">
        <v>58</v>
      </c>
      <c r="M3388" s="11">
        <v>0.11</v>
      </c>
      <c r="N3388" s="5" t="e">
        <f>IF(AND(M3388&gt;#REF!,Cartera!O3388="Guaraníes"),"Rendimiento significativo",IF(AND(M3388&gt;#REF!,Cartera!O3388="Dólares americanos"),"Rendimiento significativo","Rendimiento no significativo"))</f>
        <v>#REF!</v>
      </c>
      <c r="O3388" s="5" t="s">
        <v>41</v>
      </c>
      <c r="P3388" s="12">
        <v>1173541.0999999999</v>
      </c>
      <c r="Q3388" s="12">
        <f>IF(O3388="Guaraníes",P3388,P3388*#REF!)</f>
        <v>1173541.0999999999</v>
      </c>
      <c r="R3388" s="12" t="e">
        <f>IF(O3388="Guaraníes",P3388/#REF!,P3388)</f>
        <v>#REF!</v>
      </c>
      <c r="S3388" s="5" t="s">
        <v>42</v>
      </c>
      <c r="AC3388" s="5" t="str">
        <f t="shared" si="163"/>
        <v>Bonos</v>
      </c>
      <c r="AD3388" s="5" t="s">
        <v>43</v>
      </c>
      <c r="AE3388" s="5">
        <f t="shared" si="161"/>
        <v>2</v>
      </c>
      <c r="AF3388" s="5">
        <f t="shared" si="162"/>
        <v>2028</v>
      </c>
    </row>
    <row r="3389" s="5" customFormat="1" ht="13">
      <c r="A3389" s="5">
        <v>12301</v>
      </c>
      <c r="B3389" s="5" t="s">
        <v>107</v>
      </c>
      <c r="C3389" s="5" t="s">
        <v>138</v>
      </c>
      <c r="D3389" s="5" t="s">
        <v>20</v>
      </c>
      <c r="E3389" s="5" t="s">
        <v>34</v>
      </c>
      <c r="F3389" s="5" t="s">
        <v>68</v>
      </c>
      <c r="G3389" s="5" t="s">
        <v>86</v>
      </c>
      <c r="H3389" s="9" t="s">
        <v>139</v>
      </c>
      <c r="I3389" s="10">
        <v>43948</v>
      </c>
      <c r="J3389" s="10">
        <v>46755</v>
      </c>
      <c r="K3389" s="5" t="s">
        <v>140</v>
      </c>
      <c r="L3389" s="5" t="s">
        <v>58</v>
      </c>
      <c r="M3389" s="11">
        <v>0.11</v>
      </c>
      <c r="N3389" s="5" t="e">
        <f>IF(AND(M3389&gt;#REF!,Cartera!O3389="Guaraníes"),"Rendimiento significativo",IF(AND(M3389&gt;#REF!,Cartera!O3389="Dólares americanos"),"Rendimiento significativo","Rendimiento no significativo"))</f>
        <v>#REF!</v>
      </c>
      <c r="O3389" s="5" t="s">
        <v>41</v>
      </c>
      <c r="P3389" s="12">
        <v>1162881.3999999999</v>
      </c>
      <c r="Q3389" s="12">
        <f>IF(O3389="Guaraníes",P3389,P3389*#REF!)</f>
        <v>1162881.3999999999</v>
      </c>
      <c r="R3389" s="12" t="e">
        <f>IF(O3389="Guaraníes",P3389/#REF!,P3389)</f>
        <v>#REF!</v>
      </c>
      <c r="S3389" s="5" t="s">
        <v>42</v>
      </c>
      <c r="AC3389" s="5" t="str">
        <f t="shared" si="163"/>
        <v>Bonos</v>
      </c>
      <c r="AD3389" s="5" t="s">
        <v>43</v>
      </c>
      <c r="AE3389" s="5">
        <f t="shared" si="161"/>
        <v>1</v>
      </c>
      <c r="AF3389" s="5">
        <f t="shared" si="162"/>
        <v>2028</v>
      </c>
    </row>
    <row r="3390" s="5" customFormat="1" ht="13">
      <c r="A3390" s="5">
        <v>12301</v>
      </c>
      <c r="B3390" s="5" t="s">
        <v>107</v>
      </c>
      <c r="C3390" s="5" t="s">
        <v>138</v>
      </c>
      <c r="D3390" s="5" t="s">
        <v>20</v>
      </c>
      <c r="E3390" s="5" t="s">
        <v>34</v>
      </c>
      <c r="F3390" s="5" t="s">
        <v>68</v>
      </c>
      <c r="G3390" s="5" t="s">
        <v>86</v>
      </c>
      <c r="H3390" s="9" t="s">
        <v>139</v>
      </c>
      <c r="I3390" s="10">
        <v>43948</v>
      </c>
      <c r="J3390" s="10">
        <v>46724</v>
      </c>
      <c r="K3390" s="5" t="s">
        <v>140</v>
      </c>
      <c r="L3390" s="5" t="s">
        <v>58</v>
      </c>
      <c r="M3390" s="11">
        <v>0.11</v>
      </c>
      <c r="N3390" s="5" t="e">
        <f>IF(AND(M3390&gt;#REF!,Cartera!O3390="Guaraníes"),"Rendimiento significativo",IF(AND(M3390&gt;#REF!,Cartera!O3390="Dólares americanos"),"Rendimiento significativo","Rendimiento no significativo"))</f>
        <v>#REF!</v>
      </c>
      <c r="O3390" s="5" t="s">
        <v>41</v>
      </c>
      <c r="P3390" s="12">
        <v>1152318.5</v>
      </c>
      <c r="Q3390" s="12">
        <f>IF(O3390="Guaraníes",P3390,P3390*#REF!)</f>
        <v>1152318.5</v>
      </c>
      <c r="R3390" s="12" t="e">
        <f>IF(O3390="Guaraníes",P3390/#REF!,P3390)</f>
        <v>#REF!</v>
      </c>
      <c r="S3390" s="5" t="s">
        <v>42</v>
      </c>
      <c r="AC3390" s="5" t="str">
        <f t="shared" si="163"/>
        <v>Bonos</v>
      </c>
      <c r="AD3390" s="5" t="s">
        <v>43</v>
      </c>
      <c r="AE3390" s="5">
        <f t="shared" si="161"/>
        <v>12</v>
      </c>
      <c r="AF3390" s="5">
        <f t="shared" si="162"/>
        <v>2027</v>
      </c>
    </row>
    <row r="3391" s="5" customFormat="1" ht="13">
      <c r="A3391" s="5">
        <v>12301</v>
      </c>
      <c r="B3391" s="5" t="s">
        <v>107</v>
      </c>
      <c r="C3391" s="5" t="s">
        <v>138</v>
      </c>
      <c r="D3391" s="5" t="s">
        <v>20</v>
      </c>
      <c r="E3391" s="5" t="s">
        <v>34</v>
      </c>
      <c r="F3391" s="5" t="s">
        <v>68</v>
      </c>
      <c r="G3391" s="5" t="s">
        <v>86</v>
      </c>
      <c r="H3391" s="9" t="s">
        <v>139</v>
      </c>
      <c r="I3391" s="10">
        <v>43948</v>
      </c>
      <c r="J3391" s="10">
        <v>46694</v>
      </c>
      <c r="K3391" s="5" t="s">
        <v>140</v>
      </c>
      <c r="L3391" s="5" t="s">
        <v>58</v>
      </c>
      <c r="M3391" s="11">
        <v>0.11</v>
      </c>
      <c r="N3391" s="5" t="e">
        <f>IF(AND(M3391&gt;#REF!,Cartera!O3391="Guaraníes"),"Rendimiento significativo",IF(AND(M3391&gt;#REF!,Cartera!O3391="Dólares americanos"),"Rendimiento significativo","Rendimiento no significativo"))</f>
        <v>#REF!</v>
      </c>
      <c r="O3391" s="5" t="s">
        <v>41</v>
      </c>
      <c r="P3391" s="12">
        <v>1141851.5</v>
      </c>
      <c r="Q3391" s="12">
        <f>IF(O3391="Guaraníes",P3391,P3391*#REF!)</f>
        <v>1141851.5</v>
      </c>
      <c r="R3391" s="12" t="e">
        <f>IF(O3391="Guaraníes",P3391/#REF!,P3391)</f>
        <v>#REF!</v>
      </c>
      <c r="S3391" s="5" t="s">
        <v>42</v>
      </c>
      <c r="AC3391" s="5" t="str">
        <f t="shared" si="163"/>
        <v>Bonos</v>
      </c>
      <c r="AD3391" s="5" t="s">
        <v>43</v>
      </c>
      <c r="AE3391" s="5">
        <f t="shared" si="161"/>
        <v>11</v>
      </c>
      <c r="AF3391" s="5">
        <f t="shared" si="162"/>
        <v>2027</v>
      </c>
    </row>
    <row r="3392" s="5" customFormat="1" ht="13">
      <c r="A3392" s="5">
        <v>12301</v>
      </c>
      <c r="B3392" s="5" t="s">
        <v>107</v>
      </c>
      <c r="C3392" s="5" t="s">
        <v>138</v>
      </c>
      <c r="D3392" s="5" t="s">
        <v>20</v>
      </c>
      <c r="E3392" s="5" t="s">
        <v>34</v>
      </c>
      <c r="F3392" s="5" t="s">
        <v>68</v>
      </c>
      <c r="G3392" s="5" t="s">
        <v>86</v>
      </c>
      <c r="H3392" s="9" t="s">
        <v>139</v>
      </c>
      <c r="I3392" s="10">
        <v>43948</v>
      </c>
      <c r="J3392" s="10">
        <v>46664</v>
      </c>
      <c r="K3392" s="5" t="s">
        <v>140</v>
      </c>
      <c r="L3392" s="5" t="s">
        <v>58</v>
      </c>
      <c r="M3392" s="11">
        <v>0.11</v>
      </c>
      <c r="N3392" s="5" t="e">
        <f>IF(AND(M3392&gt;#REF!,Cartera!O3392="Guaraníes"),"Rendimiento significativo",IF(AND(M3392&gt;#REF!,Cartera!O3392="Dólares americanos"),"Rendimiento significativo","Rendimiento no significativo"))</f>
        <v>#REF!</v>
      </c>
      <c r="O3392" s="5" t="s">
        <v>41</v>
      </c>
      <c r="P3392" s="12">
        <v>1131479.6000000001</v>
      </c>
      <c r="Q3392" s="12">
        <f>IF(O3392="Guaraníes",P3392,P3392*#REF!)</f>
        <v>1131479.6000000001</v>
      </c>
      <c r="R3392" s="12" t="e">
        <f>IF(O3392="Guaraníes",P3392/#REF!,P3392)</f>
        <v>#REF!</v>
      </c>
      <c r="S3392" s="5" t="s">
        <v>42</v>
      </c>
      <c r="AC3392" s="5" t="str">
        <f t="shared" si="163"/>
        <v>Bonos</v>
      </c>
      <c r="AD3392" s="5" t="s">
        <v>43</v>
      </c>
      <c r="AE3392" s="5">
        <f t="shared" si="161"/>
        <v>10</v>
      </c>
      <c r="AF3392" s="5">
        <f t="shared" si="162"/>
        <v>2027</v>
      </c>
    </row>
    <row r="3393" s="5" customFormat="1" ht="13">
      <c r="A3393" s="5">
        <v>12301</v>
      </c>
      <c r="B3393" s="5" t="s">
        <v>107</v>
      </c>
      <c r="C3393" s="5" t="s">
        <v>138</v>
      </c>
      <c r="D3393" s="5" t="s">
        <v>20</v>
      </c>
      <c r="E3393" s="5" t="s">
        <v>34</v>
      </c>
      <c r="F3393" s="5" t="s">
        <v>68</v>
      </c>
      <c r="G3393" s="5" t="s">
        <v>86</v>
      </c>
      <c r="H3393" s="9" t="s">
        <v>139</v>
      </c>
      <c r="I3393" s="10">
        <v>43948</v>
      </c>
      <c r="J3393" s="10">
        <v>46633</v>
      </c>
      <c r="K3393" s="5" t="s">
        <v>140</v>
      </c>
      <c r="L3393" s="5" t="s">
        <v>58</v>
      </c>
      <c r="M3393" s="11">
        <v>0.11</v>
      </c>
      <c r="N3393" s="5" t="e">
        <f>IF(AND(M3393&gt;#REF!,Cartera!O3393="Guaraníes"),"Rendimiento significativo",IF(AND(M3393&gt;#REF!,Cartera!O3393="Dólares americanos"),"Rendimiento significativo","Rendimiento no significativo"))</f>
        <v>#REF!</v>
      </c>
      <c r="O3393" s="5" t="s">
        <v>41</v>
      </c>
      <c r="P3393" s="12">
        <v>1121201.8999999999</v>
      </c>
      <c r="Q3393" s="12">
        <f>IF(O3393="Guaraníes",P3393,P3393*#REF!)</f>
        <v>1121201.8999999999</v>
      </c>
      <c r="R3393" s="12" t="e">
        <f>IF(O3393="Guaraníes",P3393/#REF!,P3393)</f>
        <v>#REF!</v>
      </c>
      <c r="S3393" s="5" t="s">
        <v>42</v>
      </c>
      <c r="AC3393" s="5" t="str">
        <f t="shared" si="163"/>
        <v>Bonos</v>
      </c>
      <c r="AD3393" s="5" t="s">
        <v>43</v>
      </c>
      <c r="AE3393" s="5">
        <f t="shared" si="161"/>
        <v>9</v>
      </c>
      <c r="AF3393" s="5">
        <f t="shared" si="162"/>
        <v>2027</v>
      </c>
    </row>
    <row r="3394" s="5" customFormat="1" ht="13">
      <c r="A3394" s="5">
        <v>12301</v>
      </c>
      <c r="B3394" s="5" t="s">
        <v>107</v>
      </c>
      <c r="C3394" s="5" t="s">
        <v>138</v>
      </c>
      <c r="D3394" s="5" t="s">
        <v>20</v>
      </c>
      <c r="E3394" s="5" t="s">
        <v>34</v>
      </c>
      <c r="F3394" s="5" t="s">
        <v>68</v>
      </c>
      <c r="G3394" s="5" t="s">
        <v>86</v>
      </c>
      <c r="H3394" s="9" t="s">
        <v>139</v>
      </c>
      <c r="I3394" s="10">
        <v>43948</v>
      </c>
      <c r="J3394" s="10">
        <v>46603</v>
      </c>
      <c r="K3394" s="5" t="s">
        <v>140</v>
      </c>
      <c r="L3394" s="5" t="s">
        <v>58</v>
      </c>
      <c r="M3394" s="11">
        <v>0.11</v>
      </c>
      <c r="N3394" s="5" t="e">
        <f>IF(AND(M3394&gt;#REF!,Cartera!O3394="Guaraníes"),"Rendimiento significativo",IF(AND(M3394&gt;#REF!,Cartera!O3394="Dólares americanos"),"Rendimiento significativo","Rendimiento no significativo"))</f>
        <v>#REF!</v>
      </c>
      <c r="O3394" s="5" t="s">
        <v>41</v>
      </c>
      <c r="P3394" s="12">
        <v>1111017.6000000001</v>
      </c>
      <c r="Q3394" s="12">
        <f>IF(O3394="Guaraníes",P3394,P3394*#REF!)</f>
        <v>1111017.6000000001</v>
      </c>
      <c r="R3394" s="12" t="e">
        <f>IF(O3394="Guaraníes",P3394/#REF!,P3394)</f>
        <v>#REF!</v>
      </c>
      <c r="S3394" s="5" t="s">
        <v>42</v>
      </c>
      <c r="AC3394" s="5" t="str">
        <f t="shared" si="163"/>
        <v>Bonos</v>
      </c>
      <c r="AD3394" s="5" t="s">
        <v>43</v>
      </c>
      <c r="AE3394" s="5">
        <f t="shared" si="161"/>
        <v>8</v>
      </c>
      <c r="AF3394" s="5">
        <f t="shared" si="162"/>
        <v>2027</v>
      </c>
    </row>
    <row r="3395" s="5" customFormat="1" ht="13">
      <c r="A3395" s="5">
        <v>12301</v>
      </c>
      <c r="B3395" s="5" t="s">
        <v>107</v>
      </c>
      <c r="C3395" s="5" t="s">
        <v>138</v>
      </c>
      <c r="D3395" s="5" t="s">
        <v>20</v>
      </c>
      <c r="E3395" s="5" t="s">
        <v>34</v>
      </c>
      <c r="F3395" s="5" t="s">
        <v>68</v>
      </c>
      <c r="G3395" s="5" t="s">
        <v>86</v>
      </c>
      <c r="H3395" s="9" t="s">
        <v>139</v>
      </c>
      <c r="I3395" s="10">
        <v>43948</v>
      </c>
      <c r="J3395" s="10">
        <v>46573</v>
      </c>
      <c r="K3395" s="5" t="s">
        <v>140</v>
      </c>
      <c r="L3395" s="5" t="s">
        <v>58</v>
      </c>
      <c r="M3395" s="11">
        <v>0.11</v>
      </c>
      <c r="N3395" s="5" t="e">
        <f>IF(AND(M3395&gt;#REF!,Cartera!O3395="Guaraníes"),"Rendimiento significativo",IF(AND(M3395&gt;#REF!,Cartera!O3395="Dólares americanos"),"Rendimiento significativo","Rendimiento no significativo"))</f>
        <v>#REF!</v>
      </c>
      <c r="O3395" s="5" t="s">
        <v>41</v>
      </c>
      <c r="P3395" s="12">
        <v>1100925.7999999998</v>
      </c>
      <c r="Q3395" s="12">
        <f>IF(O3395="Guaraníes",P3395,P3395*#REF!)</f>
        <v>1100925.7999999998</v>
      </c>
      <c r="R3395" s="12" t="e">
        <f>IF(O3395="Guaraníes",P3395/#REF!,P3395)</f>
        <v>#REF!</v>
      </c>
      <c r="S3395" s="5" t="s">
        <v>42</v>
      </c>
      <c r="AC3395" s="5" t="str">
        <f t="shared" si="163"/>
        <v>Bonos</v>
      </c>
      <c r="AD3395" s="5" t="s">
        <v>43</v>
      </c>
      <c r="AE3395" s="5">
        <f t="shared" si="161"/>
        <v>7</v>
      </c>
      <c r="AF3395" s="5">
        <f t="shared" si="162"/>
        <v>2027</v>
      </c>
    </row>
    <row r="3396" s="5" customFormat="1" ht="13">
      <c r="A3396" s="5">
        <v>12301</v>
      </c>
      <c r="B3396" s="5" t="s">
        <v>107</v>
      </c>
      <c r="C3396" s="5" t="s">
        <v>138</v>
      </c>
      <c r="D3396" s="5" t="s">
        <v>20</v>
      </c>
      <c r="E3396" s="5" t="s">
        <v>34</v>
      </c>
      <c r="F3396" s="5" t="s">
        <v>68</v>
      </c>
      <c r="G3396" s="5" t="s">
        <v>86</v>
      </c>
      <c r="H3396" s="9" t="s">
        <v>139</v>
      </c>
      <c r="I3396" s="10">
        <v>43948</v>
      </c>
      <c r="J3396" s="10">
        <v>46542</v>
      </c>
      <c r="K3396" s="5" t="s">
        <v>140</v>
      </c>
      <c r="L3396" s="5" t="s">
        <v>58</v>
      </c>
      <c r="M3396" s="11">
        <v>0.11</v>
      </c>
      <c r="N3396" s="5" t="e">
        <f>IF(AND(M3396&gt;#REF!,Cartera!O3396="Guaraníes"),"Rendimiento significativo",IF(AND(M3396&gt;#REF!,Cartera!O3396="Dólares americanos"),"Rendimiento significativo","Rendimiento no significativo"))</f>
        <v>#REF!</v>
      </c>
      <c r="O3396" s="5" t="s">
        <v>41</v>
      </c>
      <c r="P3396" s="12">
        <v>1090925.6000000001</v>
      </c>
      <c r="Q3396" s="12">
        <f>IF(O3396="Guaraníes",P3396,P3396*#REF!)</f>
        <v>1090925.6000000001</v>
      </c>
      <c r="R3396" s="12" t="e">
        <f>IF(O3396="Guaraníes",P3396/#REF!,P3396)</f>
        <v>#REF!</v>
      </c>
      <c r="S3396" s="5" t="s">
        <v>42</v>
      </c>
      <c r="AC3396" s="5" t="str">
        <f t="shared" si="163"/>
        <v>Bonos</v>
      </c>
      <c r="AD3396" s="5" t="s">
        <v>43</v>
      </c>
      <c r="AE3396" s="5">
        <f t="shared" si="161"/>
        <v>6</v>
      </c>
      <c r="AF3396" s="5">
        <f t="shared" si="162"/>
        <v>2027</v>
      </c>
    </row>
    <row r="3397" s="5" customFormat="1" ht="13">
      <c r="A3397" s="5">
        <v>12301</v>
      </c>
      <c r="B3397" s="5" t="s">
        <v>107</v>
      </c>
      <c r="C3397" s="5" t="s">
        <v>138</v>
      </c>
      <c r="D3397" s="5" t="s">
        <v>20</v>
      </c>
      <c r="E3397" s="5" t="s">
        <v>34</v>
      </c>
      <c r="F3397" s="5" t="s">
        <v>68</v>
      </c>
      <c r="G3397" s="5" t="s">
        <v>86</v>
      </c>
      <c r="H3397" s="9" t="s">
        <v>139</v>
      </c>
      <c r="I3397" s="10">
        <v>43948</v>
      </c>
      <c r="J3397" s="10">
        <v>46512</v>
      </c>
      <c r="K3397" s="5" t="s">
        <v>140</v>
      </c>
      <c r="L3397" s="5" t="s">
        <v>58</v>
      </c>
      <c r="M3397" s="11">
        <v>0.11</v>
      </c>
      <c r="N3397" s="5" t="e">
        <f>IF(AND(M3397&gt;#REF!,Cartera!O3397="Guaraníes"),"Rendimiento significativo",IF(AND(M3397&gt;#REF!,Cartera!O3397="Dólares americanos"),"Rendimiento significativo","Rendimiento no significativo"))</f>
        <v>#REF!</v>
      </c>
      <c r="O3397" s="5" t="s">
        <v>41</v>
      </c>
      <c r="P3397" s="12">
        <v>1081016.2999999998</v>
      </c>
      <c r="Q3397" s="12">
        <f>IF(O3397="Guaraníes",P3397,P3397*#REF!)</f>
        <v>1081016.2999999998</v>
      </c>
      <c r="R3397" s="12" t="e">
        <f>IF(O3397="Guaraníes",P3397/#REF!,P3397)</f>
        <v>#REF!</v>
      </c>
      <c r="S3397" s="5" t="s">
        <v>42</v>
      </c>
      <c r="AC3397" s="5" t="str">
        <f t="shared" si="163"/>
        <v>Bonos</v>
      </c>
      <c r="AD3397" s="5" t="s">
        <v>43</v>
      </c>
      <c r="AE3397" s="5">
        <f t="shared" si="161"/>
        <v>5</v>
      </c>
      <c r="AF3397" s="5">
        <f t="shared" si="162"/>
        <v>2027</v>
      </c>
    </row>
    <row r="3398" s="5" customFormat="1" ht="13">
      <c r="A3398" s="5">
        <v>12301</v>
      </c>
      <c r="B3398" s="5" t="s">
        <v>107</v>
      </c>
      <c r="C3398" s="5" t="s">
        <v>138</v>
      </c>
      <c r="D3398" s="5" t="s">
        <v>20</v>
      </c>
      <c r="E3398" s="5" t="s">
        <v>34</v>
      </c>
      <c r="F3398" s="5" t="s">
        <v>68</v>
      </c>
      <c r="G3398" s="5" t="s">
        <v>86</v>
      </c>
      <c r="H3398" s="9" t="s">
        <v>139</v>
      </c>
      <c r="I3398" s="10">
        <v>43948</v>
      </c>
      <c r="J3398" s="10">
        <v>46482</v>
      </c>
      <c r="K3398" s="5" t="s">
        <v>140</v>
      </c>
      <c r="L3398" s="5" t="s">
        <v>58</v>
      </c>
      <c r="M3398" s="11">
        <v>0.11</v>
      </c>
      <c r="N3398" s="5" t="e">
        <f>IF(AND(M3398&gt;#REF!,Cartera!O3398="Guaraníes"),"Rendimiento significativo",IF(AND(M3398&gt;#REF!,Cartera!O3398="Dólares americanos"),"Rendimiento significativo","Rendimiento no significativo"))</f>
        <v>#REF!</v>
      </c>
      <c r="O3398" s="5" t="s">
        <v>41</v>
      </c>
      <c r="P3398" s="12">
        <v>1071197</v>
      </c>
      <c r="Q3398" s="12">
        <f>IF(O3398="Guaraníes",P3398,P3398*#REF!)</f>
        <v>1071197</v>
      </c>
      <c r="R3398" s="12" t="e">
        <f>IF(O3398="Guaraníes",P3398/#REF!,P3398)</f>
        <v>#REF!</v>
      </c>
      <c r="S3398" s="5" t="s">
        <v>42</v>
      </c>
      <c r="AC3398" s="5" t="str">
        <f t="shared" si="163"/>
        <v>Bonos</v>
      </c>
      <c r="AD3398" s="5" t="s">
        <v>43</v>
      </c>
      <c r="AE3398" s="5">
        <f t="shared" si="161"/>
        <v>4</v>
      </c>
      <c r="AF3398" s="5">
        <f t="shared" si="162"/>
        <v>2027</v>
      </c>
    </row>
    <row r="3399" s="5" customFormat="1" ht="13">
      <c r="A3399" s="5">
        <v>12301</v>
      </c>
      <c r="B3399" s="5" t="s">
        <v>107</v>
      </c>
      <c r="C3399" s="5" t="s">
        <v>138</v>
      </c>
      <c r="D3399" s="5" t="s">
        <v>20</v>
      </c>
      <c r="E3399" s="5" t="s">
        <v>34</v>
      </c>
      <c r="F3399" s="5" t="s">
        <v>68</v>
      </c>
      <c r="G3399" s="5" t="s">
        <v>86</v>
      </c>
      <c r="H3399" s="9" t="s">
        <v>139</v>
      </c>
      <c r="I3399" s="10">
        <v>43948</v>
      </c>
      <c r="J3399" s="10">
        <v>46451</v>
      </c>
      <c r="K3399" s="5" t="s">
        <v>140</v>
      </c>
      <c r="L3399" s="5" t="s">
        <v>58</v>
      </c>
      <c r="M3399" s="11">
        <v>0.11</v>
      </c>
      <c r="N3399" s="5" t="e">
        <f>IF(AND(M3399&gt;#REF!,Cartera!O3399="Guaraníes"),"Rendimiento significativo",IF(AND(M3399&gt;#REF!,Cartera!O3399="Dólares americanos"),"Rendimiento significativo","Rendimiento no significativo"))</f>
        <v>#REF!</v>
      </c>
      <c r="O3399" s="5" t="s">
        <v>41</v>
      </c>
      <c r="P3399" s="12">
        <v>1061466.8999999999</v>
      </c>
      <c r="Q3399" s="12">
        <f>IF(O3399="Guaraníes",P3399,P3399*#REF!)</f>
        <v>1061466.8999999999</v>
      </c>
      <c r="R3399" s="12" t="e">
        <f>IF(O3399="Guaraníes",P3399/#REF!,P3399)</f>
        <v>#REF!</v>
      </c>
      <c r="S3399" s="5" t="s">
        <v>42</v>
      </c>
      <c r="AC3399" s="5" t="str">
        <f t="shared" si="163"/>
        <v>Bonos</v>
      </c>
      <c r="AD3399" s="5" t="s">
        <v>43</v>
      </c>
      <c r="AE3399" s="5">
        <f t="shared" si="161"/>
        <v>3</v>
      </c>
      <c r="AF3399" s="5">
        <f t="shared" si="162"/>
        <v>2027</v>
      </c>
    </row>
    <row r="3400" s="5" customFormat="1" ht="13">
      <c r="A3400" s="5">
        <v>12301</v>
      </c>
      <c r="B3400" s="5" t="s">
        <v>107</v>
      </c>
      <c r="C3400" s="5" t="s">
        <v>138</v>
      </c>
      <c r="D3400" s="5" t="s">
        <v>20</v>
      </c>
      <c r="E3400" s="5" t="s">
        <v>34</v>
      </c>
      <c r="F3400" s="5" t="s">
        <v>68</v>
      </c>
      <c r="G3400" s="5" t="s">
        <v>86</v>
      </c>
      <c r="H3400" s="9" t="s">
        <v>139</v>
      </c>
      <c r="I3400" s="10">
        <v>43948</v>
      </c>
      <c r="J3400" s="10">
        <v>46421</v>
      </c>
      <c r="K3400" s="5" t="s">
        <v>140</v>
      </c>
      <c r="L3400" s="5" t="s">
        <v>58</v>
      </c>
      <c r="M3400" s="11">
        <v>0.11</v>
      </c>
      <c r="N3400" s="5" t="e">
        <f>IF(AND(M3400&gt;#REF!,Cartera!O3400="Guaraníes"),"Rendimiento significativo",IF(AND(M3400&gt;#REF!,Cartera!O3400="Dólares americanos"),"Rendimiento significativo","Rendimiento no significativo"))</f>
        <v>#REF!</v>
      </c>
      <c r="O3400" s="5" t="s">
        <v>41</v>
      </c>
      <c r="P3400" s="12">
        <v>1051825.2</v>
      </c>
      <c r="Q3400" s="12">
        <f>IF(O3400="Guaraníes",P3400,P3400*#REF!)</f>
        <v>1051825.2</v>
      </c>
      <c r="R3400" s="12" t="e">
        <f>IF(O3400="Guaraníes",P3400/#REF!,P3400)</f>
        <v>#REF!</v>
      </c>
      <c r="S3400" s="5" t="s">
        <v>42</v>
      </c>
      <c r="AC3400" s="5" t="str">
        <f t="shared" si="163"/>
        <v>Bonos</v>
      </c>
      <c r="AD3400" s="5" t="s">
        <v>43</v>
      </c>
      <c r="AE3400" s="5">
        <f t="shared" si="161"/>
        <v>2</v>
      </c>
      <c r="AF3400" s="5">
        <f t="shared" si="162"/>
        <v>2027</v>
      </c>
    </row>
    <row r="3401" s="5" customFormat="1" ht="13">
      <c r="A3401" s="5">
        <v>12301</v>
      </c>
      <c r="B3401" s="5" t="s">
        <v>107</v>
      </c>
      <c r="C3401" s="5" t="s">
        <v>138</v>
      </c>
      <c r="D3401" s="5" t="s">
        <v>20</v>
      </c>
      <c r="E3401" s="5" t="s">
        <v>34</v>
      </c>
      <c r="F3401" s="5" t="s">
        <v>68</v>
      </c>
      <c r="G3401" s="5" t="s">
        <v>86</v>
      </c>
      <c r="H3401" s="9" t="s">
        <v>139</v>
      </c>
      <c r="I3401" s="10">
        <v>43948</v>
      </c>
      <c r="J3401" s="10">
        <v>46391</v>
      </c>
      <c r="K3401" s="5" t="s">
        <v>140</v>
      </c>
      <c r="L3401" s="5" t="s">
        <v>58</v>
      </c>
      <c r="M3401" s="11">
        <v>0.11</v>
      </c>
      <c r="N3401" s="5" t="e">
        <f>IF(AND(M3401&gt;#REF!,Cartera!O3401="Guaraníes"),"Rendimiento significativo",IF(AND(M3401&gt;#REF!,Cartera!O3401="Dólares americanos"),"Rendimiento significativo","Rendimiento no significativo"))</f>
        <v>#REF!</v>
      </c>
      <c r="O3401" s="5" t="s">
        <v>41</v>
      </c>
      <c r="P3401" s="12">
        <v>1042271</v>
      </c>
      <c r="Q3401" s="12">
        <f>IF(O3401="Guaraníes",P3401,P3401*#REF!)</f>
        <v>1042271</v>
      </c>
      <c r="R3401" s="12" t="e">
        <f>IF(O3401="Guaraníes",P3401/#REF!,P3401)</f>
        <v>#REF!</v>
      </c>
      <c r="S3401" s="5" t="s">
        <v>42</v>
      </c>
      <c r="AC3401" s="5" t="str">
        <f t="shared" si="163"/>
        <v>Bonos</v>
      </c>
      <c r="AD3401" s="5" t="s">
        <v>43</v>
      </c>
      <c r="AE3401" s="5">
        <f t="shared" si="161"/>
        <v>1</v>
      </c>
      <c r="AF3401" s="5">
        <f t="shared" si="162"/>
        <v>2027</v>
      </c>
    </row>
    <row r="3402" s="5" customFormat="1" ht="13">
      <c r="A3402" s="5">
        <v>12301</v>
      </c>
      <c r="B3402" s="5" t="s">
        <v>107</v>
      </c>
      <c r="C3402" s="5" t="s">
        <v>138</v>
      </c>
      <c r="D3402" s="5" t="s">
        <v>20</v>
      </c>
      <c r="E3402" s="5" t="s">
        <v>34</v>
      </c>
      <c r="F3402" s="5" t="s">
        <v>68</v>
      </c>
      <c r="G3402" s="5" t="s">
        <v>86</v>
      </c>
      <c r="H3402" s="9" t="s">
        <v>139</v>
      </c>
      <c r="I3402" s="10">
        <v>43948</v>
      </c>
      <c r="J3402" s="10">
        <v>46360</v>
      </c>
      <c r="K3402" s="5" t="s">
        <v>140</v>
      </c>
      <c r="L3402" s="5" t="s">
        <v>58</v>
      </c>
      <c r="M3402" s="11">
        <v>0.11</v>
      </c>
      <c r="N3402" s="5" t="e">
        <f>IF(AND(M3402&gt;#REF!,Cartera!O3402="Guaraníes"),"Rendimiento significativo",IF(AND(M3402&gt;#REF!,Cartera!O3402="Dólares americanos"),"Rendimiento significativo","Rendimiento no significativo"))</f>
        <v>#REF!</v>
      </c>
      <c r="O3402" s="5" t="s">
        <v>41</v>
      </c>
      <c r="P3402" s="12">
        <v>1032803.6000000001</v>
      </c>
      <c r="Q3402" s="12">
        <f>IF(O3402="Guaraníes",P3402,P3402*#REF!)</f>
        <v>1032803.6000000001</v>
      </c>
      <c r="R3402" s="12" t="e">
        <f>IF(O3402="Guaraníes",P3402/#REF!,P3402)</f>
        <v>#REF!</v>
      </c>
      <c r="S3402" s="5" t="s">
        <v>42</v>
      </c>
      <c r="AC3402" s="5" t="str">
        <f t="shared" si="163"/>
        <v>Bonos</v>
      </c>
      <c r="AD3402" s="5" t="s">
        <v>43</v>
      </c>
      <c r="AE3402" s="5">
        <f t="shared" si="161"/>
        <v>12</v>
      </c>
      <c r="AF3402" s="5">
        <f t="shared" si="162"/>
        <v>2026</v>
      </c>
    </row>
    <row r="3403" s="5" customFormat="1" ht="13">
      <c r="A3403" s="5">
        <v>12301</v>
      </c>
      <c r="B3403" s="5" t="s">
        <v>107</v>
      </c>
      <c r="C3403" s="5" t="s">
        <v>138</v>
      </c>
      <c r="D3403" s="5" t="s">
        <v>20</v>
      </c>
      <c r="E3403" s="5" t="s">
        <v>34</v>
      </c>
      <c r="F3403" s="5" t="s">
        <v>68</v>
      </c>
      <c r="G3403" s="5" t="s">
        <v>86</v>
      </c>
      <c r="H3403" s="9" t="s">
        <v>139</v>
      </c>
      <c r="I3403" s="10">
        <v>43948</v>
      </c>
      <c r="J3403" s="10">
        <v>46330</v>
      </c>
      <c r="K3403" s="5" t="s">
        <v>140</v>
      </c>
      <c r="L3403" s="5" t="s">
        <v>58</v>
      </c>
      <c r="M3403" s="11">
        <v>0.11</v>
      </c>
      <c r="N3403" s="5" t="e">
        <f>IF(AND(M3403&gt;#REF!,Cartera!O3403="Guaraníes"),"Rendimiento significativo",IF(AND(M3403&gt;#REF!,Cartera!O3403="Dólares americanos"),"Rendimiento significativo","Rendimiento no significativo"))</f>
        <v>#REF!</v>
      </c>
      <c r="O3403" s="5" t="s">
        <v>41</v>
      </c>
      <c r="P3403" s="12">
        <v>1023422.3</v>
      </c>
      <c r="Q3403" s="12">
        <f>IF(O3403="Guaraníes",P3403,P3403*#REF!)</f>
        <v>1023422.3</v>
      </c>
      <c r="R3403" s="12" t="e">
        <f>IF(O3403="Guaraníes",P3403/#REF!,P3403)</f>
        <v>#REF!</v>
      </c>
      <c r="S3403" s="5" t="s">
        <v>42</v>
      </c>
      <c r="AC3403" s="5" t="str">
        <f t="shared" si="163"/>
        <v>Bonos</v>
      </c>
      <c r="AD3403" s="5" t="s">
        <v>43</v>
      </c>
      <c r="AE3403" s="5">
        <f t="shared" si="161"/>
        <v>11</v>
      </c>
      <c r="AF3403" s="5">
        <f t="shared" si="162"/>
        <v>2026</v>
      </c>
    </row>
    <row r="3404" s="5" customFormat="1" ht="13">
      <c r="A3404" s="5">
        <v>12301</v>
      </c>
      <c r="B3404" s="5" t="s">
        <v>107</v>
      </c>
      <c r="C3404" s="5" t="s">
        <v>138</v>
      </c>
      <c r="D3404" s="5" t="s">
        <v>20</v>
      </c>
      <c r="E3404" s="5" t="s">
        <v>34</v>
      </c>
      <c r="F3404" s="5" t="s">
        <v>68</v>
      </c>
      <c r="G3404" s="5" t="s">
        <v>86</v>
      </c>
      <c r="H3404" s="9" t="s">
        <v>139</v>
      </c>
      <c r="I3404" s="10">
        <v>43948</v>
      </c>
      <c r="J3404" s="10">
        <v>46300</v>
      </c>
      <c r="K3404" s="5" t="s">
        <v>140</v>
      </c>
      <c r="L3404" s="5" t="s">
        <v>58</v>
      </c>
      <c r="M3404" s="11">
        <v>0.11</v>
      </c>
      <c r="N3404" s="5" t="e">
        <f>IF(AND(M3404&gt;#REF!,Cartera!O3404="Guaraníes"),"Rendimiento significativo",IF(AND(M3404&gt;#REF!,Cartera!O3404="Dólares americanos"),"Rendimiento significativo","Rendimiento no significativo"))</f>
        <v>#REF!</v>
      </c>
      <c r="O3404" s="5" t="s">
        <v>41</v>
      </c>
      <c r="P3404" s="12">
        <v>1014126.1000000001</v>
      </c>
      <c r="Q3404" s="12">
        <f>IF(O3404="Guaraníes",P3404,P3404*#REF!)</f>
        <v>1014126.1000000001</v>
      </c>
      <c r="R3404" s="12" t="e">
        <f>IF(O3404="Guaraníes",P3404/#REF!,P3404)</f>
        <v>#REF!</v>
      </c>
      <c r="S3404" s="5" t="s">
        <v>42</v>
      </c>
      <c r="AC3404" s="5" t="str">
        <f t="shared" si="163"/>
        <v>Bonos</v>
      </c>
      <c r="AD3404" s="5" t="s">
        <v>43</v>
      </c>
      <c r="AE3404" s="5">
        <f t="shared" si="161"/>
        <v>10</v>
      </c>
      <c r="AF3404" s="5">
        <f t="shared" si="162"/>
        <v>2026</v>
      </c>
    </row>
    <row r="3405" s="5" customFormat="1" ht="13">
      <c r="A3405" s="5">
        <v>12301</v>
      </c>
      <c r="B3405" s="5" t="s">
        <v>107</v>
      </c>
      <c r="C3405" s="5" t="s">
        <v>138</v>
      </c>
      <c r="D3405" s="5" t="s">
        <v>20</v>
      </c>
      <c r="E3405" s="5" t="s">
        <v>34</v>
      </c>
      <c r="F3405" s="5" t="s">
        <v>68</v>
      </c>
      <c r="G3405" s="5" t="s">
        <v>86</v>
      </c>
      <c r="H3405" s="9" t="s">
        <v>139</v>
      </c>
      <c r="I3405" s="10">
        <v>43948</v>
      </c>
      <c r="J3405" s="10">
        <v>46267</v>
      </c>
      <c r="K3405" s="5" t="s">
        <v>140</v>
      </c>
      <c r="L3405" s="5" t="s">
        <v>58</v>
      </c>
      <c r="M3405" s="11">
        <v>0.11</v>
      </c>
      <c r="N3405" s="5" t="e">
        <f>IF(AND(M3405&gt;#REF!,Cartera!O3405="Guaraníes"),"Rendimiento significativo",IF(AND(M3405&gt;#REF!,Cartera!O3405="Dólares americanos"),"Rendimiento significativo","Rendimiento no significativo"))</f>
        <v>#REF!</v>
      </c>
      <c r="O3405" s="5" t="s">
        <v>41</v>
      </c>
      <c r="P3405" s="12">
        <v>1004914.3999999999</v>
      </c>
      <c r="Q3405" s="12">
        <f>IF(O3405="Guaraníes",P3405,P3405*#REF!)</f>
        <v>1004914.3999999999</v>
      </c>
      <c r="R3405" s="12" t="e">
        <f>IF(O3405="Guaraníes",P3405/#REF!,P3405)</f>
        <v>#REF!</v>
      </c>
      <c r="S3405" s="5" t="s">
        <v>42</v>
      </c>
      <c r="AC3405" s="5" t="str">
        <f t="shared" si="163"/>
        <v>Bonos</v>
      </c>
      <c r="AD3405" s="5" t="s">
        <v>43</v>
      </c>
      <c r="AE3405" s="5">
        <f t="shared" si="161"/>
        <v>9</v>
      </c>
      <c r="AF3405" s="5">
        <f t="shared" si="162"/>
        <v>2026</v>
      </c>
    </row>
    <row r="3406" s="5" customFormat="1" ht="13">
      <c r="A3406" s="5">
        <v>12301</v>
      </c>
      <c r="B3406" s="5" t="s">
        <v>107</v>
      </c>
      <c r="C3406" s="5" t="s">
        <v>138</v>
      </c>
      <c r="D3406" s="5" t="s">
        <v>20</v>
      </c>
      <c r="E3406" s="5" t="s">
        <v>34</v>
      </c>
      <c r="F3406" s="5" t="s">
        <v>68</v>
      </c>
      <c r="G3406" s="5" t="s">
        <v>86</v>
      </c>
      <c r="H3406" s="9" t="s">
        <v>139</v>
      </c>
      <c r="I3406" s="10">
        <v>43948</v>
      </c>
      <c r="J3406" s="10">
        <v>46237</v>
      </c>
      <c r="K3406" s="5" t="s">
        <v>140</v>
      </c>
      <c r="L3406" s="5" t="s">
        <v>58</v>
      </c>
      <c r="M3406" s="11">
        <v>0.11</v>
      </c>
      <c r="N3406" s="5" t="e">
        <f>IF(AND(M3406&gt;#REF!,Cartera!O3406="Guaraníes"),"Rendimiento significativo",IF(AND(M3406&gt;#REF!,Cartera!O3406="Dólares americanos"),"Rendimiento significativo","Rendimiento no significativo"))</f>
        <v>#REF!</v>
      </c>
      <c r="O3406" s="5" t="s">
        <v>41</v>
      </c>
      <c r="P3406" s="12">
        <v>995786.40000000002</v>
      </c>
      <c r="Q3406" s="12">
        <f>IF(O3406="Guaraníes",P3406,P3406*#REF!)</f>
        <v>995786.40000000002</v>
      </c>
      <c r="R3406" s="12" t="e">
        <f>IF(O3406="Guaraníes",P3406/#REF!,P3406)</f>
        <v>#REF!</v>
      </c>
      <c r="S3406" s="5" t="s">
        <v>42</v>
      </c>
      <c r="AC3406" s="5" t="str">
        <f t="shared" si="163"/>
        <v>Bonos</v>
      </c>
      <c r="AD3406" s="5" t="s">
        <v>43</v>
      </c>
      <c r="AE3406" s="5">
        <f t="shared" si="161"/>
        <v>8</v>
      </c>
      <c r="AF3406" s="5">
        <f t="shared" si="162"/>
        <v>2026</v>
      </c>
    </row>
    <row r="3407" s="5" customFormat="1" ht="13">
      <c r="A3407" s="5">
        <v>12301</v>
      </c>
      <c r="B3407" s="5" t="s">
        <v>107</v>
      </c>
      <c r="C3407" s="5" t="s">
        <v>138</v>
      </c>
      <c r="D3407" s="5" t="s">
        <v>20</v>
      </c>
      <c r="E3407" s="5" t="s">
        <v>34</v>
      </c>
      <c r="F3407" s="5" t="s">
        <v>68</v>
      </c>
      <c r="G3407" s="5" t="s">
        <v>86</v>
      </c>
      <c r="H3407" s="9" t="s">
        <v>139</v>
      </c>
      <c r="I3407" s="10">
        <v>43948</v>
      </c>
      <c r="J3407" s="10">
        <v>46206</v>
      </c>
      <c r="K3407" s="5" t="s">
        <v>140</v>
      </c>
      <c r="L3407" s="5" t="s">
        <v>58</v>
      </c>
      <c r="M3407" s="11">
        <v>0.11</v>
      </c>
      <c r="N3407" s="5" t="e">
        <f>IF(AND(M3407&gt;#REF!,Cartera!O3407="Guaraníes"),"Rendimiento significativo",IF(AND(M3407&gt;#REF!,Cartera!O3407="Dólares americanos"),"Rendimiento significativo","Rendimiento no significativo"))</f>
        <v>#REF!</v>
      </c>
      <c r="O3407" s="5" t="s">
        <v>41</v>
      </c>
      <c r="P3407" s="12">
        <v>986741.20000000007</v>
      </c>
      <c r="Q3407" s="12">
        <f>IF(O3407="Guaraníes",P3407,P3407*#REF!)</f>
        <v>986741.20000000007</v>
      </c>
      <c r="R3407" s="12" t="e">
        <f>IF(O3407="Guaraníes",P3407/#REF!,P3407)</f>
        <v>#REF!</v>
      </c>
      <c r="S3407" s="5" t="s">
        <v>42</v>
      </c>
      <c r="AC3407" s="5" t="str">
        <f t="shared" si="163"/>
        <v>Bonos</v>
      </c>
      <c r="AD3407" s="5" t="s">
        <v>43</v>
      </c>
      <c r="AE3407" s="5">
        <f t="shared" si="161"/>
        <v>7</v>
      </c>
      <c r="AF3407" s="5">
        <f t="shared" si="162"/>
        <v>2026</v>
      </c>
    </row>
    <row r="3408" s="5" customFormat="1" ht="13">
      <c r="A3408" s="5">
        <v>12316</v>
      </c>
      <c r="B3408" s="5" t="s">
        <v>78</v>
      </c>
      <c r="C3408" s="5" t="s">
        <v>160</v>
      </c>
      <c r="D3408" s="5" t="s">
        <v>21</v>
      </c>
      <c r="E3408" s="5" t="s">
        <v>34</v>
      </c>
      <c r="F3408" s="5" t="s">
        <v>68</v>
      </c>
      <c r="G3408" s="5" t="s">
        <v>91</v>
      </c>
      <c r="H3408" s="9" t="s">
        <v>161</v>
      </c>
      <c r="I3408" s="10">
        <v>44581</v>
      </c>
      <c r="J3408" s="10">
        <v>47462</v>
      </c>
      <c r="K3408" s="5" t="s">
        <v>162</v>
      </c>
      <c r="L3408" s="5" t="s">
        <v>58</v>
      </c>
      <c r="M3408" s="11">
        <v>0.086999999999999994</v>
      </c>
      <c r="N3408" s="5" t="e">
        <f>IF(AND(M3408&gt;#REF!,Cartera!O3408="Guaraníes"),"Rendimiento significativo",IF(AND(M3408&gt;#REF!,Cartera!O3408="Dólares americanos"),"Rendimiento significativo","Rendimiento no significativo"))</f>
        <v>#REF!</v>
      </c>
      <c r="O3408" s="5" t="s">
        <v>41</v>
      </c>
      <c r="P3408" s="12">
        <v>17352328.767200001</v>
      </c>
      <c r="Q3408" s="12">
        <f>IF(O3408="Guaraníes",P3408,P3408*#REF!)</f>
        <v>17352328.767200001</v>
      </c>
      <c r="R3408" s="12" t="e">
        <f>IF(O3408="Guaraníes",P3408/#REF!,P3408)</f>
        <v>#REF!</v>
      </c>
      <c r="S3408" s="5" t="s">
        <v>42</v>
      </c>
      <c r="AC3408" s="5" t="str">
        <f t="shared" si="163"/>
        <v>Bonos</v>
      </c>
      <c r="AD3408" s="5" t="s">
        <v>43</v>
      </c>
      <c r="AE3408" s="5">
        <f t="shared" si="161"/>
        <v>12</v>
      </c>
      <c r="AF3408" s="5">
        <f t="shared" si="162"/>
        <v>2029</v>
      </c>
    </row>
    <row r="3409" s="5" customFormat="1" ht="13">
      <c r="A3409" s="5">
        <v>12316</v>
      </c>
      <c r="B3409" s="5" t="s">
        <v>78</v>
      </c>
      <c r="C3409" s="5" t="s">
        <v>54</v>
      </c>
      <c r="D3409" s="5" t="s">
        <v>21</v>
      </c>
      <c r="E3409" s="5" t="s">
        <v>34</v>
      </c>
      <c r="F3409" s="5" t="s">
        <v>46</v>
      </c>
      <c r="G3409" s="5" t="s">
        <v>86</v>
      </c>
      <c r="H3409" s="9" t="s">
        <v>147</v>
      </c>
      <c r="I3409" s="10"/>
      <c r="J3409" s="10">
        <v>47469</v>
      </c>
      <c r="K3409" s="5" t="s">
        <v>57</v>
      </c>
      <c r="L3409" s="5" t="s">
        <v>58</v>
      </c>
      <c r="M3409" s="11">
        <v>0.12</v>
      </c>
      <c r="N3409" s="5" t="e">
        <f>IF(AND(M3409&gt;#REF!,Cartera!O3409="Guaraníes"),"Rendimiento significativo",IF(AND(M3409&gt;#REF!,Cartera!O3409="Dólares americanos"),"Rendimiento significativo","Rendimiento no significativo"))</f>
        <v>#REF!</v>
      </c>
      <c r="O3409" s="5" t="s">
        <v>41</v>
      </c>
      <c r="P3409" s="12">
        <v>2991780.8218999999</v>
      </c>
      <c r="Q3409" s="12">
        <f>IF(O3409="Guaraníes",P3409,P3409*#REF!)</f>
        <v>2991780.8218999999</v>
      </c>
      <c r="R3409" s="12" t="e">
        <f>IF(O3409="Guaraníes",P3409/#REF!,P3409)</f>
        <v>#REF!</v>
      </c>
      <c r="S3409" s="5" t="s">
        <v>42</v>
      </c>
      <c r="T3409" s="5">
        <v>10834</v>
      </c>
      <c r="W3409" s="5" t="s">
        <v>65</v>
      </c>
      <c r="X3409" s="5">
        <v>0</v>
      </c>
      <c r="Y3409" s="5">
        <v>0</v>
      </c>
      <c r="Z3409" s="5">
        <v>29917.808218999999</v>
      </c>
      <c r="AA3409" s="5">
        <v>100</v>
      </c>
      <c r="AB3409" s="5">
        <v>2991780.8218999999</v>
      </c>
      <c r="AC3409" s="5" t="str">
        <f t="shared" si="163"/>
        <v>Bonos</v>
      </c>
      <c r="AD3409" s="5" t="s">
        <v>43</v>
      </c>
      <c r="AE3409" s="5">
        <f t="shared" si="161"/>
        <v>12</v>
      </c>
      <c r="AF3409" s="5">
        <f t="shared" si="162"/>
        <v>2029</v>
      </c>
    </row>
    <row r="3410" s="5" customFormat="1" ht="13">
      <c r="A3410" s="5">
        <v>12316</v>
      </c>
      <c r="B3410" s="5" t="s">
        <v>78</v>
      </c>
      <c r="C3410" s="5" t="s">
        <v>54</v>
      </c>
      <c r="D3410" s="5" t="s">
        <v>21</v>
      </c>
      <c r="E3410" s="5" t="s">
        <v>34</v>
      </c>
      <c r="F3410" s="5" t="s">
        <v>46</v>
      </c>
      <c r="G3410" s="5" t="s">
        <v>86</v>
      </c>
      <c r="H3410" s="9" t="s">
        <v>148</v>
      </c>
      <c r="I3410" s="10"/>
      <c r="J3410" s="10">
        <v>47469</v>
      </c>
      <c r="K3410" s="5" t="s">
        <v>57</v>
      </c>
      <c r="L3410" s="5" t="s">
        <v>58</v>
      </c>
      <c r="M3410" s="11">
        <v>0.097500000000000003</v>
      </c>
      <c r="N3410" s="5" t="e">
        <f>IF(AND(M3410&gt;#REF!,Cartera!O3410="Guaraníes"),"Rendimiento significativo",IF(AND(M3410&gt;#REF!,Cartera!O3410="Dólares americanos"),"Rendimiento significativo","Rendimiento no significativo"))</f>
        <v>#REF!</v>
      </c>
      <c r="O3410" s="5" t="s">
        <v>41</v>
      </c>
      <c r="P3410" s="12">
        <v>12154109.589</v>
      </c>
      <c r="Q3410" s="12">
        <f>IF(O3410="Guaraníes",P3410,P3410*#REF!)</f>
        <v>12154109.589</v>
      </c>
      <c r="R3410" s="12" t="e">
        <f>IF(O3410="Guaraníes",P3410/#REF!,P3410)</f>
        <v>#REF!</v>
      </c>
      <c r="S3410" s="5" t="s">
        <v>42</v>
      </c>
      <c r="T3410" s="5">
        <v>10834</v>
      </c>
      <c r="W3410" s="5" t="s">
        <v>65</v>
      </c>
      <c r="X3410" s="5">
        <v>0</v>
      </c>
      <c r="Y3410" s="5">
        <v>0</v>
      </c>
      <c r="Z3410" s="5">
        <v>24308.219177999999</v>
      </c>
      <c r="AA3410" s="5">
        <v>500</v>
      </c>
      <c r="AB3410" s="5">
        <v>12154109.589</v>
      </c>
      <c r="AC3410" s="5" t="str">
        <f t="shared" si="163"/>
        <v>Bonos</v>
      </c>
      <c r="AD3410" s="5" t="s">
        <v>43</v>
      </c>
      <c r="AE3410" s="5">
        <f t="shared" ref="AE3410:AE3473" si="164">IFERROR((MONTH(J3410)),0)</f>
        <v>12</v>
      </c>
      <c r="AF3410" s="5">
        <f t="shared" ref="AF3410:AF3473" si="165">IFERROR((YEAR(J3410)),0)</f>
        <v>2029</v>
      </c>
    </row>
    <row r="3411" s="5" customFormat="1" ht="13">
      <c r="A3411" s="5">
        <v>12316</v>
      </c>
      <c r="B3411" s="5" t="s">
        <v>78</v>
      </c>
      <c r="C3411" s="5" t="s">
        <v>54</v>
      </c>
      <c r="D3411" s="5" t="s">
        <v>21</v>
      </c>
      <c r="E3411" s="5" t="s">
        <v>34</v>
      </c>
      <c r="F3411" s="5" t="s">
        <v>46</v>
      </c>
      <c r="G3411" s="5" t="s">
        <v>75</v>
      </c>
      <c r="H3411" s="9" t="s">
        <v>147</v>
      </c>
      <c r="I3411" s="10"/>
      <c r="J3411" s="10">
        <v>47469</v>
      </c>
      <c r="K3411" s="5" t="s">
        <v>57</v>
      </c>
      <c r="L3411" s="5" t="s">
        <v>58</v>
      </c>
      <c r="M3411" s="11">
        <v>0.12</v>
      </c>
      <c r="N3411" s="5" t="e">
        <f>IF(AND(M3411&gt;#REF!,Cartera!O3411="Guaraníes"),"Rendimiento significativo",IF(AND(M3411&gt;#REF!,Cartera!O3411="Dólares americanos"),"Rendimiento significativo","Rendimiento no significativo"))</f>
        <v>#REF!</v>
      </c>
      <c r="O3411" s="5" t="s">
        <v>41</v>
      </c>
      <c r="P3411" s="12">
        <v>4487671.2328500003</v>
      </c>
      <c r="Q3411" s="12">
        <f>IF(O3411="Guaraníes",P3411,P3411*#REF!)</f>
        <v>4487671.2328500003</v>
      </c>
      <c r="R3411" s="12" t="e">
        <f>IF(O3411="Guaraníes",P3411/#REF!,P3411)</f>
        <v>#REF!</v>
      </c>
      <c r="S3411" s="5" t="s">
        <v>42</v>
      </c>
      <c r="T3411" s="5">
        <v>25</v>
      </c>
      <c r="W3411" s="5" t="s">
        <v>192</v>
      </c>
      <c r="X3411" s="5">
        <v>0</v>
      </c>
      <c r="Y3411" s="5">
        <v>0</v>
      </c>
      <c r="Z3411" s="5">
        <v>29917.808218999999</v>
      </c>
      <c r="AA3411" s="5">
        <v>150</v>
      </c>
      <c r="AB3411" s="5">
        <v>4487671.2328500003</v>
      </c>
      <c r="AC3411" s="5" t="str">
        <f t="shared" si="163"/>
        <v>Bonos</v>
      </c>
      <c r="AD3411" s="5" t="s">
        <v>43</v>
      </c>
      <c r="AE3411" s="5">
        <f t="shared" si="164"/>
        <v>12</v>
      </c>
      <c r="AF3411" s="5">
        <f t="shared" si="165"/>
        <v>2029</v>
      </c>
    </row>
    <row r="3412" s="5" customFormat="1" ht="13">
      <c r="A3412" s="5">
        <v>12316</v>
      </c>
      <c r="B3412" s="5" t="s">
        <v>78</v>
      </c>
      <c r="C3412" s="5" t="s">
        <v>138</v>
      </c>
      <c r="D3412" s="5" t="s">
        <v>21</v>
      </c>
      <c r="E3412" s="5" t="s">
        <v>34</v>
      </c>
      <c r="F3412" s="5" t="s">
        <v>68</v>
      </c>
      <c r="G3412" s="5" t="s">
        <v>86</v>
      </c>
      <c r="H3412" s="9" t="s">
        <v>193</v>
      </c>
      <c r="I3412" s="10">
        <v>44104</v>
      </c>
      <c r="J3412" s="10">
        <v>47470</v>
      </c>
      <c r="K3412" s="5" t="s">
        <v>140</v>
      </c>
      <c r="L3412" s="5" t="s">
        <v>58</v>
      </c>
      <c r="M3412" s="11">
        <v>0.10000000000000001</v>
      </c>
      <c r="N3412" s="5" t="e">
        <f>IF(AND(M3412&gt;#REF!,Cartera!O3412="Guaraníes"),"Rendimiento significativo",IF(AND(M3412&gt;#REF!,Cartera!O3412="Dólares americanos"),"Rendimiento significativo","Rendimiento no significativo"))</f>
        <v>#REF!</v>
      </c>
      <c r="O3412" s="5" t="s">
        <v>41</v>
      </c>
      <c r="P3412" s="12">
        <v>2493150.6849000002</v>
      </c>
      <c r="Q3412" s="12">
        <f>IF(O3412="Guaraníes",P3412,P3412*#REF!)</f>
        <v>2493150.6849000002</v>
      </c>
      <c r="R3412" s="12" t="e">
        <f>IF(O3412="Guaraníes",P3412/#REF!,P3412)</f>
        <v>#REF!</v>
      </c>
      <c r="S3412" s="5" t="s">
        <v>42</v>
      </c>
      <c r="AC3412" s="5" t="str">
        <f t="shared" si="163"/>
        <v>Bonos</v>
      </c>
      <c r="AD3412" s="5" t="s">
        <v>43</v>
      </c>
      <c r="AE3412" s="5">
        <f t="shared" si="164"/>
        <v>12</v>
      </c>
      <c r="AF3412" s="5">
        <f t="shared" si="165"/>
        <v>2029</v>
      </c>
    </row>
    <row r="3413" s="5" customFormat="1" ht="13">
      <c r="A3413" s="5">
        <v>12315</v>
      </c>
      <c r="B3413" s="5" t="s">
        <v>73</v>
      </c>
      <c r="C3413" s="5" t="s">
        <v>74</v>
      </c>
      <c r="D3413" s="5" t="s">
        <v>21</v>
      </c>
      <c r="E3413" s="5" t="s">
        <v>34</v>
      </c>
      <c r="F3413" s="5" t="s">
        <v>68</v>
      </c>
      <c r="G3413" s="5" t="s">
        <v>75</v>
      </c>
      <c r="H3413" s="9" t="s">
        <v>76</v>
      </c>
      <c r="I3413" s="10"/>
      <c r="J3413" s="10">
        <v>47485</v>
      </c>
      <c r="K3413" s="5" t="s">
        <v>77</v>
      </c>
      <c r="L3413" s="5" t="s">
        <v>50</v>
      </c>
      <c r="M3413" s="11">
        <v>0.055</v>
      </c>
      <c r="N3413" s="5" t="e">
        <f>IF(AND(M3413&gt;#REF!,Cartera!O3413="Guaraníes"),"Rendimiento significativo",IF(AND(M3413&gt;#REF!,Cartera!O3413="Dólares americanos"),"Rendimiento significativo","Rendimiento no significativo"))</f>
        <v>#REF!</v>
      </c>
      <c r="O3413" s="5" t="s">
        <v>51</v>
      </c>
      <c r="P3413" s="13">
        <v>420.41097000000002</v>
      </c>
      <c r="Q3413" s="12" t="e">
        <f>IF(O3413="Guaraníes",P3413,P3413*#REF!)</f>
        <v>#REF!</v>
      </c>
      <c r="R3413" s="12">
        <f>IF(O3413="Guaraníes",P3413/#REF!,P3413)</f>
        <v>420.41097000000002</v>
      </c>
      <c r="S3413" s="5" t="s">
        <v>42</v>
      </c>
      <c r="T3413" s="5">
        <v>25</v>
      </c>
      <c r="W3413" s="5" t="s">
        <v>65</v>
      </c>
      <c r="X3413" s="5">
        <v>0</v>
      </c>
      <c r="Y3413" s="5">
        <v>0</v>
      </c>
      <c r="Z3413" s="5">
        <v>14.013699000000001</v>
      </c>
      <c r="AA3413" s="5">
        <v>30</v>
      </c>
      <c r="AB3413" s="5">
        <v>420.41000000000003</v>
      </c>
      <c r="AC3413" s="5" t="str">
        <f t="shared" si="163"/>
        <v>Bonos</v>
      </c>
      <c r="AD3413" s="5" t="s">
        <v>43</v>
      </c>
      <c r="AE3413" s="5">
        <f t="shared" si="164"/>
        <v>1</v>
      </c>
      <c r="AF3413" s="5">
        <f t="shared" si="165"/>
        <v>2030</v>
      </c>
    </row>
    <row r="3414" s="5" customFormat="1" ht="13">
      <c r="A3414" s="5">
        <v>12316</v>
      </c>
      <c r="B3414" s="5" t="s">
        <v>78</v>
      </c>
      <c r="C3414" s="5" t="s">
        <v>138</v>
      </c>
      <c r="D3414" s="5" t="s">
        <v>21</v>
      </c>
      <c r="E3414" s="5" t="s">
        <v>34</v>
      </c>
      <c r="F3414" s="5" t="s">
        <v>68</v>
      </c>
      <c r="G3414" s="5" t="s">
        <v>86</v>
      </c>
      <c r="H3414" s="9" t="s">
        <v>139</v>
      </c>
      <c r="I3414" s="10">
        <v>43948</v>
      </c>
      <c r="J3414" s="10">
        <v>47490</v>
      </c>
      <c r="K3414" s="5" t="s">
        <v>140</v>
      </c>
      <c r="L3414" s="5" t="s">
        <v>58</v>
      </c>
      <c r="M3414" s="11">
        <v>0.11</v>
      </c>
      <c r="N3414" s="5" t="e">
        <f>IF(AND(M3414&gt;#REF!,Cartera!O3414="Guaraníes"),"Rendimiento significativo",IF(AND(M3414&gt;#REF!,Cartera!O3414="Dólares americanos"),"Rendimiento significativo","Rendimiento no significativo"))</f>
        <v>#REF!</v>
      </c>
      <c r="O3414" s="5" t="s">
        <v>41</v>
      </c>
      <c r="P3414" s="12">
        <v>464561.71999999997</v>
      </c>
      <c r="Q3414" s="12">
        <f>IF(O3414="Guaraníes",P3414,P3414*#REF!)</f>
        <v>464561.71999999997</v>
      </c>
      <c r="R3414" s="12" t="e">
        <f>IF(O3414="Guaraníes",P3414/#REF!,P3414)</f>
        <v>#REF!</v>
      </c>
      <c r="S3414" s="5" t="s">
        <v>42</v>
      </c>
      <c r="AC3414" s="5" t="str">
        <f t="shared" si="163"/>
        <v>Bonos</v>
      </c>
      <c r="AD3414" s="5" t="s">
        <v>43</v>
      </c>
      <c r="AE3414" s="5">
        <f t="shared" si="164"/>
        <v>1</v>
      </c>
      <c r="AF3414" s="5">
        <f t="shared" si="165"/>
        <v>2030</v>
      </c>
    </row>
    <row r="3415" s="5" customFormat="1" ht="13">
      <c r="A3415" s="5">
        <v>12315</v>
      </c>
      <c r="B3415" s="5" t="s">
        <v>73</v>
      </c>
      <c r="C3415" s="5" t="s">
        <v>33</v>
      </c>
      <c r="D3415" s="5" t="s">
        <v>21</v>
      </c>
      <c r="E3415" s="5" t="s">
        <v>34</v>
      </c>
      <c r="F3415" s="5" t="s">
        <v>35</v>
      </c>
      <c r="G3415" s="5" t="s">
        <v>141</v>
      </c>
      <c r="H3415" s="9" t="s">
        <v>142</v>
      </c>
      <c r="I3415" s="10">
        <v>44956</v>
      </c>
      <c r="J3415" s="10">
        <v>47505</v>
      </c>
      <c r="K3415" s="5" t="s">
        <v>39</v>
      </c>
      <c r="L3415" s="5" t="s">
        <v>50</v>
      </c>
      <c r="M3415" s="11">
        <v>0.065000000000000002</v>
      </c>
      <c r="N3415" s="5" t="e">
        <f>IF(AND(M3415&gt;#REF!,Cartera!O3415="Guaraníes"),"Rendimiento significativo",IF(AND(M3415&gt;#REF!,Cartera!O3415="Dólares americanos"),"Rendimiento significativo","Rendimiento no significativo"))</f>
        <v>#REF!</v>
      </c>
      <c r="O3415" s="5" t="s">
        <v>51</v>
      </c>
      <c r="P3415" s="13">
        <v>1296.43832</v>
      </c>
      <c r="Q3415" s="12" t="e">
        <f>IF(O3415="Guaraníes",P3415,P3415*#REF!)</f>
        <v>#REF!</v>
      </c>
      <c r="R3415" s="12">
        <f>IF(O3415="Guaraníes",P3415/#REF!,P3415)</f>
        <v>1296.43832</v>
      </c>
      <c r="S3415" s="5" t="s">
        <v>42</v>
      </c>
      <c r="AC3415" s="5" t="str">
        <f t="shared" si="163"/>
        <v>Bonos</v>
      </c>
      <c r="AD3415" s="5" t="s">
        <v>43</v>
      </c>
      <c r="AE3415" s="5">
        <f t="shared" si="164"/>
        <v>1</v>
      </c>
      <c r="AF3415" s="5">
        <f t="shared" si="165"/>
        <v>2030</v>
      </c>
    </row>
    <row r="3416" s="5" customFormat="1" ht="13">
      <c r="A3416" s="5">
        <v>12316</v>
      </c>
      <c r="B3416" s="5" t="s">
        <v>78</v>
      </c>
      <c r="C3416" s="5" t="s">
        <v>138</v>
      </c>
      <c r="D3416" s="5" t="s">
        <v>21</v>
      </c>
      <c r="E3416" s="5" t="s">
        <v>34</v>
      </c>
      <c r="F3416" s="5" t="s">
        <v>68</v>
      </c>
      <c r="G3416" s="5" t="s">
        <v>86</v>
      </c>
      <c r="H3416" s="9" t="s">
        <v>139</v>
      </c>
      <c r="I3416" s="10">
        <v>43948</v>
      </c>
      <c r="J3416" s="10">
        <v>47520</v>
      </c>
      <c r="K3416" s="5" t="s">
        <v>140</v>
      </c>
      <c r="L3416" s="5" t="s">
        <v>58</v>
      </c>
      <c r="M3416" s="11">
        <v>0.11</v>
      </c>
      <c r="N3416" s="5" t="e">
        <f>IF(AND(M3416&gt;#REF!,Cartera!O3416="Guaraníes"),"Rendimiento significativo",IF(AND(M3416&gt;#REF!,Cartera!O3416="Dólares americanos"),"Rendimiento significativo","Rendimiento no significativo"))</f>
        <v>#REF!</v>
      </c>
      <c r="O3416" s="5" t="s">
        <v>41</v>
      </c>
      <c r="P3416" s="12">
        <v>436488.07699999999</v>
      </c>
      <c r="Q3416" s="12">
        <f>IF(O3416="Guaraníes",P3416,P3416*#REF!)</f>
        <v>436488.07699999999</v>
      </c>
      <c r="R3416" s="12" t="e">
        <f>IF(O3416="Guaraníes",P3416/#REF!,P3416)</f>
        <v>#REF!</v>
      </c>
      <c r="S3416" s="5" t="s">
        <v>42</v>
      </c>
      <c r="AC3416" s="5" t="str">
        <f t="shared" si="163"/>
        <v>Bonos</v>
      </c>
      <c r="AD3416" s="5" t="s">
        <v>43</v>
      </c>
      <c r="AE3416" s="5">
        <f t="shared" si="164"/>
        <v>2</v>
      </c>
      <c r="AF3416" s="5">
        <f t="shared" si="165"/>
        <v>2030</v>
      </c>
    </row>
    <row r="3417" s="5" customFormat="1" ht="13">
      <c r="A3417" s="5">
        <v>12316</v>
      </c>
      <c r="B3417" s="5" t="s">
        <v>78</v>
      </c>
      <c r="C3417" s="5" t="s">
        <v>99</v>
      </c>
      <c r="D3417" s="5" t="s">
        <v>21</v>
      </c>
      <c r="E3417" s="5" t="s">
        <v>34</v>
      </c>
      <c r="F3417" s="5" t="s">
        <v>100</v>
      </c>
      <c r="G3417" s="5" t="s">
        <v>91</v>
      </c>
      <c r="H3417" s="9" t="s">
        <v>174</v>
      </c>
      <c r="I3417" s="10">
        <v>44971</v>
      </c>
      <c r="J3417" s="10">
        <v>47529</v>
      </c>
      <c r="K3417" s="5" t="s">
        <v>102</v>
      </c>
      <c r="L3417" s="5" t="s">
        <v>102</v>
      </c>
      <c r="M3417" s="11">
        <v>0.090300000000000005</v>
      </c>
      <c r="N3417" s="5" t="e">
        <f>IF(AND(M3417&gt;#REF!,Cartera!O3417="Guaraníes"),"Rendimiento significativo",IF(AND(M3417&gt;#REF!,Cartera!O3417="Dólares americanos"),"Rendimiento significativo","Rendimiento no significativo"))</f>
        <v>#REF!</v>
      </c>
      <c r="O3417" s="5" t="s">
        <v>41</v>
      </c>
      <c r="P3417" s="12">
        <v>20407800</v>
      </c>
      <c r="Q3417" s="12">
        <f>IF(O3417="Guaraníes",P3417,P3417*#REF!)</f>
        <v>20407800</v>
      </c>
      <c r="R3417" s="12" t="e">
        <f>IF(O3417="Guaraníes",P3417/#REF!,P3417)</f>
        <v>#REF!</v>
      </c>
      <c r="S3417" s="5" t="s">
        <v>42</v>
      </c>
      <c r="AC3417" s="5" t="str">
        <f t="shared" si="163"/>
        <v>Bonos</v>
      </c>
      <c r="AD3417" s="5" t="s">
        <v>43</v>
      </c>
      <c r="AE3417" s="5">
        <f t="shared" si="164"/>
        <v>2</v>
      </c>
      <c r="AF3417" s="5">
        <f t="shared" si="165"/>
        <v>2030</v>
      </c>
    </row>
    <row r="3418" s="5" customFormat="1" ht="13">
      <c r="A3418" s="5">
        <v>12316</v>
      </c>
      <c r="B3418" s="5" t="s">
        <v>78</v>
      </c>
      <c r="C3418" s="5" t="s">
        <v>99</v>
      </c>
      <c r="D3418" s="5" t="s">
        <v>21</v>
      </c>
      <c r="E3418" s="5" t="s">
        <v>34</v>
      </c>
      <c r="F3418" s="5" t="s">
        <v>100</v>
      </c>
      <c r="G3418" s="5" t="s">
        <v>86</v>
      </c>
      <c r="H3418" s="9" t="s">
        <v>155</v>
      </c>
      <c r="I3418" s="10"/>
      <c r="J3418" s="10">
        <v>47545</v>
      </c>
      <c r="K3418" s="5" t="s">
        <v>102</v>
      </c>
      <c r="L3418" s="5" t="s">
        <v>102</v>
      </c>
      <c r="M3418" s="11">
        <v>0.081000000000000003</v>
      </c>
      <c r="N3418" s="5" t="e">
        <f>IF(AND(M3418&gt;#REF!,Cartera!O3418="Guaraníes"),"Rendimiento significativo",IF(AND(M3418&gt;#REF!,Cartera!O3418="Dólares americanos"),"Rendimiento significativo","Rendimiento no significativo"))</f>
        <v>#REF!</v>
      </c>
      <c r="O3418" s="5" t="s">
        <v>41</v>
      </c>
      <c r="P3418" s="12">
        <v>28000000</v>
      </c>
      <c r="Q3418" s="12">
        <f>IF(O3418="Guaraníes",P3418,P3418*#REF!)</f>
        <v>28000000</v>
      </c>
      <c r="R3418" s="12" t="e">
        <f>IF(O3418="Guaraníes",P3418/#REF!,P3418)</f>
        <v>#REF!</v>
      </c>
      <c r="S3418" s="5" t="s">
        <v>42</v>
      </c>
      <c r="T3418" s="5">
        <v>10834</v>
      </c>
      <c r="W3418" s="5" t="s">
        <v>65</v>
      </c>
      <c r="X3418" s="5">
        <v>0</v>
      </c>
      <c r="Y3418" s="5">
        <v>0</v>
      </c>
      <c r="Z3418" s="5">
        <v>40000</v>
      </c>
      <c r="AA3418" s="5">
        <v>700</v>
      </c>
      <c r="AB3418" s="5">
        <v>28000000</v>
      </c>
      <c r="AC3418" s="5" t="str">
        <f t="shared" si="163"/>
        <v>Bonos</v>
      </c>
      <c r="AD3418" s="5" t="s">
        <v>43</v>
      </c>
      <c r="AE3418" s="5">
        <f t="shared" si="164"/>
        <v>3</v>
      </c>
      <c r="AF3418" s="5">
        <f t="shared" si="165"/>
        <v>2030</v>
      </c>
    </row>
    <row r="3419" s="5" customFormat="1" ht="13">
      <c r="A3419" s="5">
        <v>12316</v>
      </c>
      <c r="B3419" s="5" t="s">
        <v>78</v>
      </c>
      <c r="C3419" s="5" t="s">
        <v>99</v>
      </c>
      <c r="D3419" s="5" t="s">
        <v>21</v>
      </c>
      <c r="E3419" s="5" t="s">
        <v>34</v>
      </c>
      <c r="F3419" s="5" t="s">
        <v>100</v>
      </c>
      <c r="G3419" s="5" t="s">
        <v>75</v>
      </c>
      <c r="H3419" s="9" t="s">
        <v>159</v>
      </c>
      <c r="I3419" s="10"/>
      <c r="J3419" s="10">
        <v>47545</v>
      </c>
      <c r="K3419" s="5" t="s">
        <v>102</v>
      </c>
      <c r="L3419" s="5" t="s">
        <v>102</v>
      </c>
      <c r="M3419" s="11">
        <v>0.078</v>
      </c>
      <c r="N3419" s="5" t="e">
        <f>IF(AND(M3419&gt;#REF!,Cartera!O3419="Guaraníes"),"Rendimiento significativo",IF(AND(M3419&gt;#REF!,Cartera!O3419="Dólares americanos"),"Rendimiento significativo","Rendimiento no significativo"))</f>
        <v>#REF!</v>
      </c>
      <c r="O3419" s="5" t="s">
        <v>41</v>
      </c>
      <c r="P3419" s="12">
        <v>31200000</v>
      </c>
      <c r="Q3419" s="12">
        <f>IF(O3419="Guaraníes",P3419,P3419*#REF!)</f>
        <v>31200000</v>
      </c>
      <c r="R3419" s="12" t="e">
        <f>IF(O3419="Guaraníes",P3419/#REF!,P3419)</f>
        <v>#REF!</v>
      </c>
      <c r="S3419" s="5" t="s">
        <v>42</v>
      </c>
      <c r="T3419" s="5">
        <v>25</v>
      </c>
      <c r="W3419" s="5" t="s">
        <v>65</v>
      </c>
      <c r="X3419" s="5">
        <v>0</v>
      </c>
      <c r="Y3419" s="5">
        <v>0</v>
      </c>
      <c r="Z3419" s="5">
        <v>39000</v>
      </c>
      <c r="AA3419" s="5">
        <v>800</v>
      </c>
      <c r="AB3419" s="5">
        <v>31200000</v>
      </c>
      <c r="AC3419" s="5" t="str">
        <f t="shared" si="163"/>
        <v>Bonos</v>
      </c>
      <c r="AD3419" s="5" t="s">
        <v>43</v>
      </c>
      <c r="AE3419" s="5">
        <f t="shared" si="164"/>
        <v>3</v>
      </c>
      <c r="AF3419" s="5">
        <f t="shared" si="165"/>
        <v>2030</v>
      </c>
    </row>
    <row r="3420" s="5" customFormat="1" ht="13">
      <c r="A3420" s="5">
        <v>12316</v>
      </c>
      <c r="B3420" s="5" t="s">
        <v>78</v>
      </c>
      <c r="C3420" s="5" t="s">
        <v>99</v>
      </c>
      <c r="D3420" s="5" t="s">
        <v>21</v>
      </c>
      <c r="E3420" s="5" t="s">
        <v>34</v>
      </c>
      <c r="F3420" s="5" t="s">
        <v>100</v>
      </c>
      <c r="G3420" s="5" t="s">
        <v>145</v>
      </c>
      <c r="H3420" s="9" t="s">
        <v>159</v>
      </c>
      <c r="I3420" s="10">
        <v>44657</v>
      </c>
      <c r="J3420" s="10">
        <v>47545</v>
      </c>
      <c r="K3420" s="5" t="s">
        <v>102</v>
      </c>
      <c r="L3420" s="5" t="s">
        <v>102</v>
      </c>
      <c r="M3420" s="11">
        <v>0.078</v>
      </c>
      <c r="N3420" s="5" t="e">
        <f>IF(AND(M3420&gt;#REF!,Cartera!O3420="Guaraníes"),"Rendimiento significativo",IF(AND(M3420&gt;#REF!,Cartera!O3420="Dólares americanos"),"Rendimiento significativo","Rendimiento no significativo"))</f>
        <v>#REF!</v>
      </c>
      <c r="O3420" s="5" t="s">
        <v>41</v>
      </c>
      <c r="P3420" s="12">
        <v>35100000</v>
      </c>
      <c r="Q3420" s="12">
        <f>IF(O3420="Guaraníes",P3420,P3420*#REF!)</f>
        <v>35100000</v>
      </c>
      <c r="R3420" s="12" t="e">
        <f>IF(O3420="Guaraníes",P3420/#REF!,P3420)</f>
        <v>#REF!</v>
      </c>
      <c r="S3420" s="5" t="s">
        <v>42</v>
      </c>
      <c r="V3420" s="5">
        <v>39000</v>
      </c>
      <c r="AA3420" s="5">
        <v>900</v>
      </c>
      <c r="AC3420" s="5" t="str">
        <f t="shared" si="163"/>
        <v>Bonos</v>
      </c>
      <c r="AD3420" s="5" t="s">
        <v>43</v>
      </c>
      <c r="AE3420" s="5">
        <f t="shared" si="164"/>
        <v>3</v>
      </c>
      <c r="AF3420" s="5">
        <f t="shared" si="165"/>
        <v>2030</v>
      </c>
    </row>
    <row r="3421" s="5" customFormat="1" ht="13">
      <c r="A3421" s="5">
        <v>12315</v>
      </c>
      <c r="B3421" s="5" t="s">
        <v>73</v>
      </c>
      <c r="C3421" s="5" t="s">
        <v>33</v>
      </c>
      <c r="D3421" s="5" t="s">
        <v>21</v>
      </c>
      <c r="E3421" s="5" t="s">
        <v>34</v>
      </c>
      <c r="F3421" s="5" t="s">
        <v>35</v>
      </c>
      <c r="G3421" s="5" t="s">
        <v>75</v>
      </c>
      <c r="H3421" s="9" t="s">
        <v>186</v>
      </c>
      <c r="I3421" s="10"/>
      <c r="J3421" s="10">
        <v>47548</v>
      </c>
      <c r="K3421" s="5" t="s">
        <v>39</v>
      </c>
      <c r="L3421" s="5" t="s">
        <v>50</v>
      </c>
      <c r="M3421" s="11">
        <v>0.044999999999999998</v>
      </c>
      <c r="N3421" s="5" t="e">
        <f>IF(AND(M3421&gt;#REF!,Cartera!O3421="Guaraníes"),"Rendimiento significativo",IF(AND(M3421&gt;#REF!,Cartera!O3421="Dólares americanos"),"Rendimiento significativo","Rendimiento no significativo"))</f>
        <v>#REF!</v>
      </c>
      <c r="O3421" s="5" t="s">
        <v>51</v>
      </c>
      <c r="P3421" s="13">
        <v>336.57533999999998</v>
      </c>
      <c r="Q3421" s="12" t="e">
        <f>IF(O3421="Guaraníes",P3421,P3421*#REF!)</f>
        <v>#REF!</v>
      </c>
      <c r="R3421" s="12">
        <f>IF(O3421="Guaraníes",P3421/#REF!,P3421)</f>
        <v>336.57533999999998</v>
      </c>
      <c r="S3421" s="5" t="s">
        <v>42</v>
      </c>
      <c r="T3421" s="5">
        <v>25</v>
      </c>
      <c r="W3421" s="5" t="s">
        <v>65</v>
      </c>
      <c r="X3421" s="5">
        <v>0</v>
      </c>
      <c r="Y3421" s="5">
        <v>0</v>
      </c>
      <c r="Z3421" s="5">
        <v>11.219177999999999</v>
      </c>
      <c r="AA3421" s="5">
        <v>30</v>
      </c>
      <c r="AB3421" s="5">
        <v>336.57533999999998</v>
      </c>
      <c r="AC3421" s="5" t="str">
        <f t="shared" si="163"/>
        <v>Bonos</v>
      </c>
      <c r="AD3421" s="5" t="s">
        <v>43</v>
      </c>
      <c r="AE3421" s="5">
        <f t="shared" si="164"/>
        <v>3</v>
      </c>
      <c r="AF3421" s="5">
        <f t="shared" si="165"/>
        <v>2030</v>
      </c>
    </row>
    <row r="3422" s="5" customFormat="1" ht="13">
      <c r="A3422" s="5">
        <v>12315</v>
      </c>
      <c r="B3422" s="5" t="s">
        <v>73</v>
      </c>
      <c r="C3422" s="5" t="s">
        <v>33</v>
      </c>
      <c r="D3422" s="5" t="s">
        <v>21</v>
      </c>
      <c r="E3422" s="5" t="s">
        <v>34</v>
      </c>
      <c r="F3422" s="5" t="s">
        <v>35</v>
      </c>
      <c r="G3422" s="5" t="s">
        <v>69</v>
      </c>
      <c r="H3422" s="9" t="s">
        <v>186</v>
      </c>
      <c r="I3422" s="10"/>
      <c r="J3422" s="10">
        <v>47548</v>
      </c>
      <c r="K3422" s="5" t="s">
        <v>39</v>
      </c>
      <c r="L3422" s="5" t="s">
        <v>50</v>
      </c>
      <c r="M3422" s="11">
        <v>0.044999999999999998</v>
      </c>
      <c r="N3422" s="5" t="e">
        <f>IF(AND(M3422&gt;#REF!,Cartera!O3422="Guaraníes"),"Rendimiento significativo",IF(AND(M3422&gt;#REF!,Cartera!O3422="Dólares americanos"),"Rendimiento significativo","Rendimiento no significativo"))</f>
        <v>#REF!</v>
      </c>
      <c r="O3422" s="5" t="s">
        <v>51</v>
      </c>
      <c r="P3422" s="13">
        <v>448.76711999999998</v>
      </c>
      <c r="Q3422" s="12" t="e">
        <f>IF(O3422="Guaraníes",P3422,P3422*#REF!)</f>
        <v>#REF!</v>
      </c>
      <c r="R3422" s="12">
        <f>IF(O3422="Guaraníes",P3422/#REF!,P3422)</f>
        <v>448.76711999999998</v>
      </c>
      <c r="S3422" s="5" t="s">
        <v>42</v>
      </c>
      <c r="T3422" s="5">
        <v>593</v>
      </c>
      <c r="W3422" s="5" t="s">
        <v>65</v>
      </c>
      <c r="X3422" s="5">
        <v>0</v>
      </c>
      <c r="Y3422" s="5">
        <v>0</v>
      </c>
      <c r="Z3422" s="5">
        <v>11.219177999999999</v>
      </c>
      <c r="AA3422" s="5">
        <v>40</v>
      </c>
      <c r="AB3422" s="5">
        <v>448.76711999999998</v>
      </c>
      <c r="AC3422" s="5" t="str">
        <f t="shared" si="163"/>
        <v>Bonos</v>
      </c>
      <c r="AD3422" s="5" t="s">
        <v>43</v>
      </c>
      <c r="AE3422" s="5">
        <f t="shared" si="164"/>
        <v>3</v>
      </c>
      <c r="AF3422" s="5">
        <f t="shared" si="165"/>
        <v>2030</v>
      </c>
    </row>
    <row r="3423" s="5" customFormat="1" ht="13">
      <c r="A3423" s="5">
        <v>12316</v>
      </c>
      <c r="B3423" s="5" t="s">
        <v>78</v>
      </c>
      <c r="C3423" s="5" t="s">
        <v>183</v>
      </c>
      <c r="D3423" s="5" t="s">
        <v>21</v>
      </c>
      <c r="E3423" s="5" t="s">
        <v>34</v>
      </c>
      <c r="F3423" s="5" t="s">
        <v>184</v>
      </c>
      <c r="H3423" s="9">
        <v>6217</v>
      </c>
      <c r="I3423" s="10"/>
      <c r="J3423" s="10">
        <v>47549</v>
      </c>
      <c r="K3423" s="5" t="s">
        <v>124</v>
      </c>
      <c r="L3423" s="5" t="s">
        <v>82</v>
      </c>
      <c r="M3423" s="11">
        <v>0.072499999999999995</v>
      </c>
      <c r="N3423" s="5" t="e">
        <f>IF(AND(M3423&gt;#REF!,Cartera!O3423="Guaraníes"),"Rendimiento significativo",IF(AND(M3423&gt;#REF!,Cartera!O3423="Dólares americanos"),"Rendimiento significativo","Rendimiento no significativo"))</f>
        <v>#REF!</v>
      </c>
      <c r="O3423" s="5" t="s">
        <v>41</v>
      </c>
      <c r="P3423" s="12">
        <v>17157895</v>
      </c>
      <c r="Q3423" s="12">
        <f>IF(O3423="Guaraníes",P3423,P3423*#REF!)</f>
        <v>17157895</v>
      </c>
      <c r="R3423" s="12" t="e">
        <f>IF(O3423="Guaraníes",P3423/#REF!,P3423)</f>
        <v>#REF!</v>
      </c>
      <c r="S3423" s="5" t="s">
        <v>42</v>
      </c>
      <c r="V3423" s="5">
        <v>17157895</v>
      </c>
      <c r="W3423" s="5" t="s">
        <v>722</v>
      </c>
      <c r="AC3423" s="5" t="str">
        <f t="shared" si="163"/>
        <v>CDA</v>
      </c>
      <c r="AD3423" s="5" t="s">
        <v>43</v>
      </c>
      <c r="AE3423" s="5">
        <f t="shared" si="164"/>
        <v>3</v>
      </c>
      <c r="AF3423" s="5">
        <f t="shared" si="165"/>
        <v>2030</v>
      </c>
    </row>
    <row r="3424" s="5" customFormat="1" ht="13">
      <c r="A3424" s="5">
        <v>12316</v>
      </c>
      <c r="B3424" s="5" t="s">
        <v>78</v>
      </c>
      <c r="C3424" s="5" t="s">
        <v>138</v>
      </c>
      <c r="D3424" s="5" t="s">
        <v>21</v>
      </c>
      <c r="E3424" s="5" t="s">
        <v>34</v>
      </c>
      <c r="F3424" s="5" t="s">
        <v>68</v>
      </c>
      <c r="G3424" s="5" t="s">
        <v>86</v>
      </c>
      <c r="H3424" s="9" t="s">
        <v>139</v>
      </c>
      <c r="I3424" s="10">
        <v>43948</v>
      </c>
      <c r="J3424" s="10">
        <v>47550</v>
      </c>
      <c r="K3424" s="5" t="s">
        <v>140</v>
      </c>
      <c r="L3424" s="5" t="s">
        <v>58</v>
      </c>
      <c r="M3424" s="11">
        <v>0.11</v>
      </c>
      <c r="N3424" s="5" t="e">
        <f>IF(AND(M3424&gt;#REF!,Cartera!O3424="Guaraníes"),"Rendimiento significativo",IF(AND(M3424&gt;#REF!,Cartera!O3424="Dólares americanos"),"Rendimiento significativo","Rendimiento no significativo"))</f>
        <v>#REF!</v>
      </c>
      <c r="O3424" s="5" t="s">
        <v>41</v>
      </c>
      <c r="P3424" s="12">
        <v>423280.32430000004</v>
      </c>
      <c r="Q3424" s="12">
        <f>IF(O3424="Guaraníes",P3424,P3424*#REF!)</f>
        <v>423280.32430000004</v>
      </c>
      <c r="R3424" s="12" t="e">
        <f>IF(O3424="Guaraníes",P3424/#REF!,P3424)</f>
        <v>#REF!</v>
      </c>
      <c r="S3424" s="5" t="s">
        <v>42</v>
      </c>
      <c r="AC3424" s="5" t="str">
        <f t="shared" si="163"/>
        <v>Bonos</v>
      </c>
      <c r="AD3424" s="5" t="s">
        <v>43</v>
      </c>
      <c r="AE3424" s="5">
        <f t="shared" si="164"/>
        <v>3</v>
      </c>
      <c r="AF3424" s="5">
        <f t="shared" si="165"/>
        <v>2030</v>
      </c>
    </row>
    <row r="3425" s="5" customFormat="1" ht="13">
      <c r="A3425" s="5">
        <v>12316</v>
      </c>
      <c r="B3425" s="5" t="s">
        <v>78</v>
      </c>
      <c r="C3425" s="5" t="s">
        <v>54</v>
      </c>
      <c r="D3425" s="5" t="s">
        <v>21</v>
      </c>
      <c r="E3425" s="5" t="s">
        <v>34</v>
      </c>
      <c r="F3425" s="5" t="s">
        <v>46</v>
      </c>
      <c r="G3425" s="5" t="s">
        <v>86</v>
      </c>
      <c r="H3425" s="9" t="s">
        <v>148</v>
      </c>
      <c r="I3425" s="10"/>
      <c r="J3425" s="10">
        <v>47560</v>
      </c>
      <c r="K3425" s="5" t="s">
        <v>57</v>
      </c>
      <c r="L3425" s="5" t="s">
        <v>58</v>
      </c>
      <c r="M3425" s="11">
        <v>0.097500000000000003</v>
      </c>
      <c r="N3425" s="5" t="e">
        <f>IF(AND(M3425&gt;#REF!,Cartera!O3425="Guaraníes"),"Rendimiento significativo",IF(AND(M3425&gt;#REF!,Cartera!O3425="Dólares americanos"),"Rendimiento significativo","Rendimiento no significativo"))</f>
        <v>#REF!</v>
      </c>
      <c r="O3425" s="5" t="s">
        <v>41</v>
      </c>
      <c r="P3425" s="12">
        <v>12154109.589</v>
      </c>
      <c r="Q3425" s="12">
        <f>IF(O3425="Guaraníes",P3425,P3425*#REF!)</f>
        <v>12154109.589</v>
      </c>
      <c r="R3425" s="12" t="e">
        <f>IF(O3425="Guaraníes",P3425/#REF!,P3425)</f>
        <v>#REF!</v>
      </c>
      <c r="S3425" s="5" t="s">
        <v>42</v>
      </c>
      <c r="T3425" s="5">
        <v>10834</v>
      </c>
      <c r="W3425" s="5" t="s">
        <v>65</v>
      </c>
      <c r="X3425" s="5">
        <v>0</v>
      </c>
      <c r="Y3425" s="5">
        <v>0</v>
      </c>
      <c r="Z3425" s="5">
        <v>24308.219177999999</v>
      </c>
      <c r="AA3425" s="5">
        <v>500</v>
      </c>
      <c r="AB3425" s="5">
        <v>12154109.589</v>
      </c>
      <c r="AC3425" s="5" t="str">
        <f t="shared" si="163"/>
        <v>Bonos</v>
      </c>
      <c r="AD3425" s="5" t="s">
        <v>43</v>
      </c>
      <c r="AE3425" s="5">
        <f t="shared" si="164"/>
        <v>3</v>
      </c>
      <c r="AF3425" s="5">
        <f t="shared" si="165"/>
        <v>2030</v>
      </c>
    </row>
    <row r="3426" s="5" customFormat="1" ht="13">
      <c r="A3426" s="5">
        <v>12316</v>
      </c>
      <c r="B3426" s="5" t="s">
        <v>78</v>
      </c>
      <c r="C3426" s="5" t="s">
        <v>54</v>
      </c>
      <c r="D3426" s="5" t="s">
        <v>21</v>
      </c>
      <c r="E3426" s="5" t="s">
        <v>34</v>
      </c>
      <c r="F3426" s="5" t="s">
        <v>46</v>
      </c>
      <c r="G3426" s="5" t="s">
        <v>75</v>
      </c>
      <c r="H3426" s="9" t="s">
        <v>147</v>
      </c>
      <c r="I3426" s="10"/>
      <c r="J3426" s="10">
        <v>47560</v>
      </c>
      <c r="K3426" s="5" t="s">
        <v>57</v>
      </c>
      <c r="L3426" s="5" t="s">
        <v>58</v>
      </c>
      <c r="M3426" s="11">
        <v>0.12</v>
      </c>
      <c r="N3426" s="5" t="e">
        <f>IF(AND(M3426&gt;#REF!,Cartera!O3426="Guaraníes"),"Rendimiento significativo",IF(AND(M3426&gt;#REF!,Cartera!O3426="Dólares americanos"),"Rendimiento significativo","Rendimiento no significativo"))</f>
        <v>#REF!</v>
      </c>
      <c r="O3426" s="5" t="s">
        <v>41</v>
      </c>
      <c r="P3426" s="12">
        <v>4487671.2300000004</v>
      </c>
      <c r="Q3426" s="12">
        <f>IF(O3426="Guaraníes",P3426,P3426*#REF!)</f>
        <v>4487671.2300000004</v>
      </c>
      <c r="R3426" s="12" t="e">
        <f>IF(O3426="Guaraníes",P3426/#REF!,P3426)</f>
        <v>#REF!</v>
      </c>
      <c r="S3426" s="5" t="s">
        <v>42</v>
      </c>
      <c r="T3426" s="5">
        <v>25</v>
      </c>
      <c r="AC3426" s="5" t="str">
        <f t="shared" si="163"/>
        <v>Bonos</v>
      </c>
      <c r="AD3426" s="5" t="s">
        <v>43</v>
      </c>
      <c r="AE3426" s="5">
        <f t="shared" si="164"/>
        <v>3</v>
      </c>
      <c r="AF3426" s="5">
        <f t="shared" si="165"/>
        <v>2030</v>
      </c>
    </row>
    <row r="3427" s="5" customFormat="1" ht="13">
      <c r="A3427" s="5">
        <v>12316</v>
      </c>
      <c r="B3427" s="5" t="s">
        <v>78</v>
      </c>
      <c r="C3427" s="5" t="s">
        <v>54</v>
      </c>
      <c r="D3427" s="5" t="s">
        <v>21</v>
      </c>
      <c r="E3427" s="5" t="s">
        <v>34</v>
      </c>
      <c r="F3427" s="5" t="s">
        <v>46</v>
      </c>
      <c r="G3427" s="5" t="s">
        <v>86</v>
      </c>
      <c r="H3427" s="9" t="s">
        <v>147</v>
      </c>
      <c r="I3427" s="10"/>
      <c r="J3427" s="10">
        <v>47560</v>
      </c>
      <c r="K3427" s="5" t="s">
        <v>57</v>
      </c>
      <c r="L3427" s="5" t="s">
        <v>58</v>
      </c>
      <c r="M3427" s="11">
        <v>0.12</v>
      </c>
      <c r="N3427" s="5" t="e">
        <f>IF(AND(M3427&gt;#REF!,Cartera!O3427="Guaraníes"),"Rendimiento significativo",IF(AND(M3427&gt;#REF!,Cartera!O3427="Dólares americanos"),"Rendimiento significativo","Rendimiento no significativo"))</f>
        <v>#REF!</v>
      </c>
      <c r="O3427" s="5" t="s">
        <v>41</v>
      </c>
      <c r="P3427" s="12">
        <v>2991780</v>
      </c>
      <c r="Q3427" s="12">
        <f>IF(O3427="Guaraníes",P3427,P3427*#REF!)</f>
        <v>2991780</v>
      </c>
      <c r="R3427" s="12" t="e">
        <f>IF(O3427="Guaraníes",P3427/#REF!,P3427)</f>
        <v>#REF!</v>
      </c>
      <c r="S3427" s="5" t="s">
        <v>42</v>
      </c>
      <c r="T3427" s="5">
        <v>10834</v>
      </c>
      <c r="AC3427" s="5" t="str">
        <f t="shared" si="163"/>
        <v>Bonos</v>
      </c>
      <c r="AD3427" s="5" t="s">
        <v>43</v>
      </c>
      <c r="AE3427" s="5">
        <f t="shared" si="164"/>
        <v>3</v>
      </c>
      <c r="AF3427" s="5">
        <f t="shared" si="165"/>
        <v>2030</v>
      </c>
    </row>
    <row r="3428" s="5" customFormat="1" ht="13">
      <c r="A3428" s="5">
        <v>12316</v>
      </c>
      <c r="B3428" s="5" t="s">
        <v>78</v>
      </c>
      <c r="C3428" s="5" t="s">
        <v>138</v>
      </c>
      <c r="D3428" s="5" t="s">
        <v>21</v>
      </c>
      <c r="E3428" s="5" t="s">
        <v>34</v>
      </c>
      <c r="F3428" s="5" t="s">
        <v>68</v>
      </c>
      <c r="G3428" s="5" t="s">
        <v>86</v>
      </c>
      <c r="H3428" s="9" t="s">
        <v>193</v>
      </c>
      <c r="I3428" s="10">
        <v>44104</v>
      </c>
      <c r="J3428" s="10">
        <v>47561</v>
      </c>
      <c r="K3428" s="5" t="s">
        <v>140</v>
      </c>
      <c r="L3428" s="5" t="s">
        <v>58</v>
      </c>
      <c r="M3428" s="11">
        <v>0.10000000000000001</v>
      </c>
      <c r="N3428" s="5" t="e">
        <f>IF(AND(M3428&gt;#REF!,Cartera!O3428="Guaraníes"),"Rendimiento significativo",IF(AND(M3428&gt;#REF!,Cartera!O3428="Dólares americanos"),"Rendimiento significativo","Rendimiento no significativo"))</f>
        <v>#REF!</v>
      </c>
      <c r="O3428" s="5" t="s">
        <v>41</v>
      </c>
      <c r="P3428" s="12">
        <v>2493150.6849000002</v>
      </c>
      <c r="Q3428" s="12">
        <f>IF(O3428="Guaraníes",P3428,P3428*#REF!)</f>
        <v>2493150.6849000002</v>
      </c>
      <c r="R3428" s="12" t="e">
        <f>IF(O3428="Guaraníes",P3428/#REF!,P3428)</f>
        <v>#REF!</v>
      </c>
      <c r="S3428" s="5" t="s">
        <v>42</v>
      </c>
      <c r="AC3428" s="5" t="str">
        <f t="shared" si="163"/>
        <v>Bonos</v>
      </c>
      <c r="AD3428" s="5" t="s">
        <v>43</v>
      </c>
      <c r="AE3428" s="5">
        <f t="shared" si="164"/>
        <v>3</v>
      </c>
      <c r="AF3428" s="5">
        <f t="shared" si="165"/>
        <v>2030</v>
      </c>
    </row>
    <row r="3429" s="5" customFormat="1" ht="13">
      <c r="A3429" s="5">
        <v>12315</v>
      </c>
      <c r="B3429" s="5" t="s">
        <v>73</v>
      </c>
      <c r="C3429" s="5" t="s">
        <v>116</v>
      </c>
      <c r="D3429" s="5" t="s">
        <v>21</v>
      </c>
      <c r="E3429" s="5" t="s">
        <v>34</v>
      </c>
      <c r="F3429" s="5" t="s">
        <v>68</v>
      </c>
      <c r="G3429" s="5" t="s">
        <v>69</v>
      </c>
      <c r="H3429" s="9" t="s">
        <v>194</v>
      </c>
      <c r="I3429" s="10"/>
      <c r="J3429" s="10">
        <v>47562</v>
      </c>
      <c r="K3429" s="5" t="s">
        <v>118</v>
      </c>
      <c r="L3429" s="5" t="s">
        <v>50</v>
      </c>
      <c r="M3429" s="11">
        <v>0.065000000000000002</v>
      </c>
      <c r="N3429" s="5" t="e">
        <f>IF(AND(M3429&gt;#REF!,Cartera!O3429="Guaraníes"),"Rendimiento significativo",IF(AND(M3429&gt;#REF!,Cartera!O3429="Dólares americanos"),"Rendimiento significativo","Rendimiento no significativo"))</f>
        <v>#REF!</v>
      </c>
      <c r="O3429" s="5" t="s">
        <v>51</v>
      </c>
      <c r="P3429" s="13">
        <v>324.10958999999997</v>
      </c>
      <c r="Q3429" s="12" t="e">
        <f>IF(O3429="Guaraníes",P3429,P3429*#REF!)</f>
        <v>#REF!</v>
      </c>
      <c r="R3429" s="12">
        <f>IF(O3429="Guaraníes",P3429/#REF!,P3429)</f>
        <v>324.10958999999997</v>
      </c>
      <c r="S3429" s="5" t="s">
        <v>42</v>
      </c>
      <c r="T3429" s="5">
        <v>593</v>
      </c>
      <c r="W3429" s="5" t="s">
        <v>218</v>
      </c>
      <c r="X3429" s="5">
        <v>0</v>
      </c>
      <c r="Y3429" s="5">
        <v>0</v>
      </c>
      <c r="Z3429" s="5">
        <v>32.410958999999998</v>
      </c>
      <c r="AA3429" s="5">
        <v>10</v>
      </c>
      <c r="AB3429" s="5">
        <v>324.10959000000003</v>
      </c>
      <c r="AC3429" s="5" t="str">
        <f t="shared" si="163"/>
        <v>Bonos</v>
      </c>
      <c r="AD3429" s="5" t="s">
        <v>43</v>
      </c>
      <c r="AE3429" s="5">
        <f t="shared" si="164"/>
        <v>3</v>
      </c>
      <c r="AF3429" s="5">
        <f t="shared" si="165"/>
        <v>2030</v>
      </c>
    </row>
    <row r="3430" s="5" customFormat="1" ht="13">
      <c r="A3430" s="5">
        <v>12315</v>
      </c>
      <c r="B3430" s="5" t="s">
        <v>73</v>
      </c>
      <c r="C3430" s="5" t="s">
        <v>212</v>
      </c>
      <c r="D3430" s="5" t="s">
        <v>21</v>
      </c>
      <c r="E3430" s="5" t="s">
        <v>34</v>
      </c>
      <c r="F3430" s="5" t="s">
        <v>68</v>
      </c>
      <c r="G3430" s="5" t="s">
        <v>86</v>
      </c>
      <c r="H3430" s="9" t="s">
        <v>213</v>
      </c>
      <c r="I3430" s="10">
        <v>44651</v>
      </c>
      <c r="J3430" s="10">
        <v>47563</v>
      </c>
      <c r="K3430" s="5" t="s">
        <v>81</v>
      </c>
      <c r="L3430" s="5" t="s">
        <v>58</v>
      </c>
      <c r="M3430" s="11">
        <v>0.053499999999999999</v>
      </c>
      <c r="N3430" s="5" t="e">
        <f>IF(AND(M3430&gt;#REF!,Cartera!O3430="Guaraníes"),"Rendimiento significativo",IF(AND(M3430&gt;#REF!,Cartera!O3430="Dólares americanos"),"Rendimiento significativo","Rendimiento no significativo"))</f>
        <v>#REF!</v>
      </c>
      <c r="O3430" s="5" t="s">
        <v>51</v>
      </c>
      <c r="P3430" s="13">
        <v>2667.6712000000002</v>
      </c>
      <c r="Q3430" s="12" t="e">
        <f>IF(O3430="Guaraníes",P3430,P3430*#REF!)</f>
        <v>#REF!</v>
      </c>
      <c r="R3430" s="12">
        <f>IF(O3430="Guaraníes",P3430/#REF!,P3430)</f>
        <v>2667.6712000000002</v>
      </c>
      <c r="S3430" s="5" t="s">
        <v>42</v>
      </c>
      <c r="V3430" s="5">
        <v>26.676711999999998</v>
      </c>
      <c r="AA3430" s="5">
        <v>100</v>
      </c>
      <c r="AC3430" s="5" t="str">
        <f t="shared" si="163"/>
        <v>Bonos</v>
      </c>
      <c r="AD3430" s="5" t="s">
        <v>43</v>
      </c>
      <c r="AE3430" s="5">
        <f t="shared" si="164"/>
        <v>3</v>
      </c>
      <c r="AF3430" s="5">
        <f t="shared" si="165"/>
        <v>2030</v>
      </c>
    </row>
    <row r="3431" s="5" customFormat="1" ht="13">
      <c r="A3431" s="5">
        <v>12315</v>
      </c>
      <c r="B3431" s="5" t="s">
        <v>73</v>
      </c>
      <c r="C3431" s="5" t="s">
        <v>74</v>
      </c>
      <c r="D3431" s="5" t="s">
        <v>21</v>
      </c>
      <c r="E3431" s="5" t="s">
        <v>34</v>
      </c>
      <c r="F3431" s="5" t="s">
        <v>68</v>
      </c>
      <c r="G3431" s="5" t="s">
        <v>75</v>
      </c>
      <c r="H3431" s="9" t="s">
        <v>76</v>
      </c>
      <c r="I3431" s="10"/>
      <c r="J3431" s="10">
        <v>47574</v>
      </c>
      <c r="K3431" s="5" t="s">
        <v>77</v>
      </c>
      <c r="L3431" s="5" t="s">
        <v>50</v>
      </c>
      <c r="M3431" s="11">
        <v>0.055</v>
      </c>
      <c r="N3431" s="5" t="e">
        <f>IF(AND(M3431&gt;#REF!,Cartera!O3431="Guaraníes"),"Rendimiento significativo",IF(AND(M3431&gt;#REF!,Cartera!O3431="Dólares americanos"),"Rendimiento significativo","Rendimiento no significativo"))</f>
        <v>#REF!</v>
      </c>
      <c r="O3431" s="5" t="s">
        <v>51</v>
      </c>
      <c r="P3431" s="13">
        <v>402.32877000000002</v>
      </c>
      <c r="Q3431" s="12" t="e">
        <f>IF(O3431="Guaraníes",P3431,P3431*#REF!)</f>
        <v>#REF!</v>
      </c>
      <c r="R3431" s="12">
        <f>IF(O3431="Guaraníes",P3431/#REF!,P3431)</f>
        <v>402.32877000000002</v>
      </c>
      <c r="S3431" s="5" t="s">
        <v>42</v>
      </c>
      <c r="T3431" s="5">
        <v>25</v>
      </c>
      <c r="W3431" s="5" t="s">
        <v>65</v>
      </c>
      <c r="X3431" s="5">
        <v>0</v>
      </c>
      <c r="Y3431" s="5">
        <v>0</v>
      </c>
      <c r="Z3431" s="5">
        <v>13.410959</v>
      </c>
      <c r="AA3431" s="5">
        <v>30</v>
      </c>
      <c r="AB3431" s="5">
        <v>402.32999999999998</v>
      </c>
      <c r="AC3431" s="5" t="str">
        <f t="shared" si="163"/>
        <v>Bonos</v>
      </c>
      <c r="AD3431" s="5" t="s">
        <v>43</v>
      </c>
      <c r="AE3431" s="5">
        <f t="shared" si="164"/>
        <v>4</v>
      </c>
      <c r="AF3431" s="5">
        <f t="shared" si="165"/>
        <v>2030</v>
      </c>
    </row>
    <row r="3432" s="5" customFormat="1" ht="13">
      <c r="A3432" s="5">
        <v>12316</v>
      </c>
      <c r="B3432" s="5" t="s">
        <v>78</v>
      </c>
      <c r="C3432" s="5" t="s">
        <v>138</v>
      </c>
      <c r="D3432" s="5" t="s">
        <v>21</v>
      </c>
      <c r="E3432" s="5" t="s">
        <v>34</v>
      </c>
      <c r="F3432" s="5" t="s">
        <v>68</v>
      </c>
      <c r="G3432" s="5" t="s">
        <v>86</v>
      </c>
      <c r="H3432" s="9" t="s">
        <v>139</v>
      </c>
      <c r="I3432" s="10">
        <v>43948</v>
      </c>
      <c r="J3432" s="10">
        <v>47581</v>
      </c>
      <c r="K3432" s="5" t="s">
        <v>140</v>
      </c>
      <c r="L3432" s="5" t="s">
        <v>58</v>
      </c>
      <c r="M3432" s="11">
        <v>0.11</v>
      </c>
      <c r="N3432" s="5" t="e">
        <f>IF(AND(M3432&gt;#REF!,Cartera!O3432="Guaraníes"),"Rendimiento significativo",IF(AND(M3432&gt;#REF!,Cartera!O3432="Dólares americanos"),"Rendimiento significativo","Rendimiento no significativo"))</f>
        <v>#REF!</v>
      </c>
      <c r="O3432" s="5" t="s">
        <v>41</v>
      </c>
      <c r="P3432" s="12">
        <v>423616.55039999995</v>
      </c>
      <c r="Q3432" s="12">
        <f>IF(O3432="Guaraníes",P3432,P3432*#REF!)</f>
        <v>423616.55039999995</v>
      </c>
      <c r="R3432" s="12" t="e">
        <f>IF(O3432="Guaraníes",P3432/#REF!,P3432)</f>
        <v>#REF!</v>
      </c>
      <c r="S3432" s="5" t="s">
        <v>42</v>
      </c>
      <c r="AC3432" s="5" t="str">
        <f t="shared" si="163"/>
        <v>Bonos</v>
      </c>
      <c r="AD3432" s="5" t="s">
        <v>43</v>
      </c>
      <c r="AE3432" s="5">
        <f t="shared" si="164"/>
        <v>4</v>
      </c>
      <c r="AF3432" s="5">
        <f t="shared" si="165"/>
        <v>2030</v>
      </c>
    </row>
    <row r="3433" s="5" customFormat="1" ht="13">
      <c r="A3433" s="5">
        <v>12316</v>
      </c>
      <c r="B3433" s="5" t="s">
        <v>78</v>
      </c>
      <c r="C3433" s="5" t="s">
        <v>138</v>
      </c>
      <c r="D3433" s="5" t="s">
        <v>21</v>
      </c>
      <c r="E3433" s="5" t="s">
        <v>34</v>
      </c>
      <c r="F3433" s="5" t="s">
        <v>68</v>
      </c>
      <c r="G3433" s="5" t="s">
        <v>86</v>
      </c>
      <c r="H3433" s="9" t="s">
        <v>139</v>
      </c>
      <c r="I3433" s="10">
        <v>43948</v>
      </c>
      <c r="J3433" s="10">
        <v>47611</v>
      </c>
      <c r="K3433" s="5" t="s">
        <v>140</v>
      </c>
      <c r="L3433" s="5" t="s">
        <v>58</v>
      </c>
      <c r="M3433" s="11">
        <v>0.11</v>
      </c>
      <c r="N3433" s="5" t="e">
        <f>IF(AND(M3433&gt;#REF!,Cartera!O3433="Guaraníes"),"Rendimiento significativo",IF(AND(M3433&gt;#REF!,Cartera!O3433="Dólares americanos"),"Rendimiento significativo","Rendimiento no significativo"))</f>
        <v>#REF!</v>
      </c>
      <c r="O3433" s="5" t="s">
        <v>41</v>
      </c>
      <c r="P3433" s="12">
        <v>396500.49609999999</v>
      </c>
      <c r="Q3433" s="12">
        <f>IF(O3433="Guaraníes",P3433,P3433*#REF!)</f>
        <v>396500.49609999999</v>
      </c>
      <c r="R3433" s="12" t="e">
        <f>IF(O3433="Guaraníes",P3433/#REF!,P3433)</f>
        <v>#REF!</v>
      </c>
      <c r="S3433" s="5" t="s">
        <v>42</v>
      </c>
      <c r="AC3433" s="5" t="str">
        <f t="shared" si="163"/>
        <v>Bonos</v>
      </c>
      <c r="AD3433" s="5" t="s">
        <v>43</v>
      </c>
      <c r="AE3433" s="5">
        <f t="shared" si="164"/>
        <v>5</v>
      </c>
      <c r="AF3433" s="5">
        <f t="shared" si="165"/>
        <v>2030</v>
      </c>
    </row>
    <row r="3434" s="5" customFormat="1" ht="13">
      <c r="A3434" s="5">
        <v>12316</v>
      </c>
      <c r="B3434" s="5" t="s">
        <v>78</v>
      </c>
      <c r="C3434" s="5" t="s">
        <v>183</v>
      </c>
      <c r="D3434" s="5" t="s">
        <v>21</v>
      </c>
      <c r="E3434" s="5" t="s">
        <v>34</v>
      </c>
      <c r="F3434" s="5" t="s">
        <v>184</v>
      </c>
      <c r="H3434" s="9">
        <v>6389</v>
      </c>
      <c r="I3434" s="10"/>
      <c r="J3434" s="10">
        <v>47612</v>
      </c>
      <c r="K3434" s="5" t="s">
        <v>124</v>
      </c>
      <c r="L3434" s="5" t="s">
        <v>82</v>
      </c>
      <c r="M3434" s="11">
        <v>0.079000000000000001</v>
      </c>
      <c r="N3434" s="5" t="e">
        <f>IF(AND(M3434&gt;#REF!,Cartera!O3434="Guaraníes"),"Rendimiento significativo",IF(AND(M3434&gt;#REF!,Cartera!O3434="Dólares americanos"),"Rendimiento significativo","Rendimiento no significativo"))</f>
        <v>#REF!</v>
      </c>
      <c r="O3434" s="5" t="s">
        <v>41</v>
      </c>
      <c r="P3434" s="12">
        <v>9793910</v>
      </c>
      <c r="Q3434" s="12">
        <f>IF(O3434="Guaraníes",P3434,P3434*#REF!)</f>
        <v>9793910</v>
      </c>
      <c r="R3434" s="12" t="e">
        <f>IF(O3434="Guaraníes",P3434/#REF!,P3434)</f>
        <v>#REF!</v>
      </c>
      <c r="S3434" s="5" t="s">
        <v>42</v>
      </c>
      <c r="V3434" s="5">
        <v>9793910</v>
      </c>
      <c r="W3434" s="5" t="s">
        <v>716</v>
      </c>
      <c r="AC3434" s="5" t="str">
        <f t="shared" si="163"/>
        <v>CDA</v>
      </c>
      <c r="AD3434" s="5" t="s">
        <v>43</v>
      </c>
      <c r="AE3434" s="5">
        <f t="shared" si="164"/>
        <v>5</v>
      </c>
      <c r="AF3434" s="5">
        <f t="shared" si="165"/>
        <v>2030</v>
      </c>
    </row>
    <row r="3435" s="5" customFormat="1" ht="13">
      <c r="A3435" s="5">
        <v>12316</v>
      </c>
      <c r="B3435" s="5" t="s">
        <v>78</v>
      </c>
      <c r="C3435" s="5" t="s">
        <v>183</v>
      </c>
      <c r="D3435" s="5" t="s">
        <v>21</v>
      </c>
      <c r="E3435" s="5" t="s">
        <v>34</v>
      </c>
      <c r="F3435" s="5" t="s">
        <v>184</v>
      </c>
      <c r="H3435" s="9">
        <v>6390</v>
      </c>
      <c r="I3435" s="10"/>
      <c r="J3435" s="10">
        <v>47612</v>
      </c>
      <c r="K3435" s="5" t="s">
        <v>124</v>
      </c>
      <c r="L3435" s="5" t="s">
        <v>82</v>
      </c>
      <c r="M3435" s="11">
        <v>0.079000000000000001</v>
      </c>
      <c r="N3435" s="5" t="e">
        <f>IF(AND(M3435&gt;#REF!,Cartera!O3435="Guaraníes"),"Rendimiento significativo",IF(AND(M3435&gt;#REF!,Cartera!O3435="Dólares americanos"),"Rendimiento significativo","Rendimiento no significativo"))</f>
        <v>#REF!</v>
      </c>
      <c r="O3435" s="5" t="s">
        <v>41</v>
      </c>
      <c r="P3435" s="12">
        <v>9793910</v>
      </c>
      <c r="Q3435" s="12">
        <f>IF(O3435="Guaraníes",P3435,P3435*#REF!)</f>
        <v>9793910</v>
      </c>
      <c r="R3435" s="12" t="e">
        <f>IF(O3435="Guaraníes",P3435/#REF!,P3435)</f>
        <v>#REF!</v>
      </c>
      <c r="S3435" s="5" t="s">
        <v>42</v>
      </c>
      <c r="V3435" s="5">
        <v>9793910</v>
      </c>
      <c r="W3435" s="5" t="s">
        <v>716</v>
      </c>
      <c r="AC3435" s="5" t="str">
        <f t="shared" si="163"/>
        <v>CDA</v>
      </c>
      <c r="AD3435" s="5" t="s">
        <v>43</v>
      </c>
      <c r="AE3435" s="5">
        <f t="shared" si="164"/>
        <v>5</v>
      </c>
      <c r="AF3435" s="5">
        <f t="shared" si="165"/>
        <v>2030</v>
      </c>
    </row>
    <row r="3436" s="5" customFormat="1" ht="13">
      <c r="A3436" s="5">
        <v>12316</v>
      </c>
      <c r="B3436" s="5" t="s">
        <v>78</v>
      </c>
      <c r="C3436" s="5" t="s">
        <v>183</v>
      </c>
      <c r="D3436" s="5" t="s">
        <v>21</v>
      </c>
      <c r="E3436" s="5" t="s">
        <v>34</v>
      </c>
      <c r="F3436" s="5" t="s">
        <v>184</v>
      </c>
      <c r="H3436" s="9">
        <v>6391</v>
      </c>
      <c r="I3436" s="10"/>
      <c r="J3436" s="10">
        <v>47612</v>
      </c>
      <c r="K3436" s="5" t="s">
        <v>124</v>
      </c>
      <c r="L3436" s="5" t="s">
        <v>82</v>
      </c>
      <c r="M3436" s="11">
        <v>0.079000000000000001</v>
      </c>
      <c r="N3436" s="5" t="e">
        <f>IF(AND(M3436&gt;#REF!,Cartera!O3436="Guaraníes"),"Rendimiento significativo",IF(AND(M3436&gt;#REF!,Cartera!O3436="Dólares americanos"),"Rendimiento significativo","Rendimiento no significativo"))</f>
        <v>#REF!</v>
      </c>
      <c r="O3436" s="5" t="s">
        <v>41</v>
      </c>
      <c r="P3436" s="12">
        <v>9793910</v>
      </c>
      <c r="Q3436" s="12">
        <f>IF(O3436="Guaraníes",P3436,P3436*#REF!)</f>
        <v>9793910</v>
      </c>
      <c r="R3436" s="12" t="e">
        <f>IF(O3436="Guaraníes",P3436/#REF!,P3436)</f>
        <v>#REF!</v>
      </c>
      <c r="S3436" s="5" t="s">
        <v>42</v>
      </c>
      <c r="V3436" s="5">
        <v>9793910</v>
      </c>
      <c r="W3436" s="5" t="s">
        <v>716</v>
      </c>
      <c r="AC3436" s="5" t="str">
        <f t="shared" si="163"/>
        <v>CDA</v>
      </c>
      <c r="AD3436" s="5" t="s">
        <v>43</v>
      </c>
      <c r="AE3436" s="5">
        <f t="shared" si="164"/>
        <v>5</v>
      </c>
      <c r="AF3436" s="5">
        <f t="shared" si="165"/>
        <v>2030</v>
      </c>
    </row>
    <row r="3437" s="5" customFormat="1" ht="13">
      <c r="A3437" s="5" t="s">
        <v>44</v>
      </c>
      <c r="B3437" s="5" t="s">
        <v>44</v>
      </c>
      <c r="C3437" s="5" t="s">
        <v>164</v>
      </c>
      <c r="D3437" s="5" t="s">
        <v>21</v>
      </c>
      <c r="E3437" s="5" t="s">
        <v>44</v>
      </c>
      <c r="F3437" s="5" t="s">
        <v>68</v>
      </c>
      <c r="G3437" s="5" t="s">
        <v>145</v>
      </c>
      <c r="H3437" s="9" t="s">
        <v>165</v>
      </c>
      <c r="I3437" s="10"/>
      <c r="J3437" s="10">
        <v>45656</v>
      </c>
      <c r="K3437" s="5" t="s">
        <v>124</v>
      </c>
      <c r="L3437" s="5" t="s">
        <v>58</v>
      </c>
      <c r="M3437" s="11">
        <v>0.10000000000000001</v>
      </c>
      <c r="N3437" s="5" t="e">
        <f>IF(AND(M3437&gt;#REF!,Cartera!O3437="Guaraníes"),"Rendimiento significativo",IF(AND(M3437&gt;#REF!,Cartera!O3437="Dólares americanos"),"Rendimiento significativo","Rendimiento no significativo"))</f>
        <v>#REF!</v>
      </c>
      <c r="O3437" s="5" t="s">
        <v>41</v>
      </c>
      <c r="P3437" s="12">
        <v>3397260.2740000002</v>
      </c>
      <c r="Q3437" s="12">
        <f>IF(O3437="Guaraníes",P3437,P3437*#REF!)</f>
        <v>3397260.2740000002</v>
      </c>
      <c r="R3437" s="12" t="e">
        <f>IF(O3437="Guaraníes",P3437/#REF!,P3437)</f>
        <v>#REF!</v>
      </c>
      <c r="S3437" s="5" t="s">
        <v>52</v>
      </c>
      <c r="T3437" s="5">
        <v>1057</v>
      </c>
      <c r="W3437" s="5" t="s">
        <v>65</v>
      </c>
      <c r="X3437" s="5">
        <v>0</v>
      </c>
      <c r="Y3437" s="5">
        <v>0</v>
      </c>
      <c r="Z3437" s="5">
        <v>8493.1506850000005</v>
      </c>
      <c r="AA3437" s="5">
        <v>400</v>
      </c>
      <c r="AB3437" s="5">
        <v>3397260.2740000002</v>
      </c>
      <c r="AC3437" s="5" t="str">
        <f t="shared" si="163"/>
        <v>Bonos</v>
      </c>
      <c r="AD3437" s="5" t="s">
        <v>43</v>
      </c>
      <c r="AE3437" s="5">
        <f t="shared" si="164"/>
        <v>12</v>
      </c>
      <c r="AF3437" s="5">
        <f t="shared" si="165"/>
        <v>2024</v>
      </c>
    </row>
    <row r="3438" s="5" customFormat="1" ht="13">
      <c r="A3438" s="5" t="s">
        <v>44</v>
      </c>
      <c r="B3438" s="5" t="s">
        <v>44</v>
      </c>
      <c r="C3438" s="5" t="s">
        <v>143</v>
      </c>
      <c r="D3438" s="5" t="s">
        <v>21</v>
      </c>
      <c r="E3438" s="5" t="s">
        <v>34</v>
      </c>
      <c r="F3438" s="5" t="s">
        <v>144</v>
      </c>
      <c r="G3438" s="5" t="s">
        <v>145</v>
      </c>
      <c r="H3438" s="9" t="s">
        <v>146</v>
      </c>
      <c r="I3438" s="10"/>
      <c r="J3438" s="10">
        <v>45565</v>
      </c>
      <c r="K3438" s="5" t="s">
        <v>49</v>
      </c>
      <c r="L3438" s="5" t="s">
        <v>106</v>
      </c>
      <c r="M3438" s="11">
        <v>0.060999999999999999</v>
      </c>
      <c r="N3438" s="5" t="e">
        <f>IF(AND(M3438&gt;#REF!,Cartera!O3438="Guaraníes"),"Rendimiento significativo",IF(AND(M3438&gt;#REF!,Cartera!O3438="Dólares americanos"),"Rendimiento significativo","Rendimiento no significativo"))</f>
        <v>#REF!</v>
      </c>
      <c r="O3438" s="5" t="s">
        <v>51</v>
      </c>
      <c r="P3438" s="13">
        <v>207.23287999999999</v>
      </c>
      <c r="Q3438" s="12" t="e">
        <f>IF(O3438="Guaraníes",P3438,P3438*#REF!)</f>
        <v>#REF!</v>
      </c>
      <c r="R3438" s="12">
        <f>IF(O3438="Guaraníes",P3438/#REF!,P3438)</f>
        <v>207.23287999999999</v>
      </c>
      <c r="S3438" s="5" t="s">
        <v>52</v>
      </c>
      <c r="T3438" s="5">
        <v>1057</v>
      </c>
      <c r="W3438" s="5" t="s">
        <v>65</v>
      </c>
      <c r="X3438" s="5">
        <v>0</v>
      </c>
      <c r="Y3438" s="5">
        <v>0</v>
      </c>
      <c r="Z3438" s="5">
        <v>5.180822</v>
      </c>
      <c r="AA3438" s="5">
        <v>40</v>
      </c>
      <c r="AB3438" s="5">
        <v>207.23287999999999</v>
      </c>
      <c r="AC3438" s="5" t="str">
        <f t="shared" si="163"/>
        <v>Bonos</v>
      </c>
      <c r="AD3438" s="5" t="s">
        <v>43</v>
      </c>
      <c r="AE3438" s="5">
        <f t="shared" si="164"/>
        <v>9</v>
      </c>
      <c r="AF3438" s="5">
        <f t="shared" si="165"/>
        <v>2024</v>
      </c>
    </row>
    <row r="3439" s="5" customFormat="1" ht="13">
      <c r="A3439" s="5" t="s">
        <v>44</v>
      </c>
      <c r="B3439" s="5" t="s">
        <v>44</v>
      </c>
      <c r="C3439" s="5" t="s">
        <v>138</v>
      </c>
      <c r="D3439" s="5" t="s">
        <v>21</v>
      </c>
      <c r="E3439" s="5" t="s">
        <v>44</v>
      </c>
      <c r="F3439" s="5" t="s">
        <v>68</v>
      </c>
      <c r="G3439" s="5" t="s">
        <v>86</v>
      </c>
      <c r="H3439" s="9" t="s">
        <v>193</v>
      </c>
      <c r="I3439" s="10">
        <v>44104</v>
      </c>
      <c r="J3439" s="10">
        <v>45468</v>
      </c>
      <c r="K3439" s="5" t="s">
        <v>140</v>
      </c>
      <c r="L3439" s="5" t="s">
        <v>58</v>
      </c>
      <c r="M3439" s="11">
        <v>0.10000000000000001</v>
      </c>
      <c r="N3439" s="5" t="e">
        <f>IF(AND(M3439&gt;#REF!,Cartera!O3439="Guaraníes"),"Rendimiento significativo",IF(AND(M3439&gt;#REF!,Cartera!O3439="Dólares americanos"),"Rendimiento significativo","Rendimiento no significativo"))</f>
        <v>#REF!</v>
      </c>
      <c r="O3439" s="5" t="s">
        <v>41</v>
      </c>
      <c r="P3439" s="12">
        <v>2493150.6849000002</v>
      </c>
      <c r="Q3439" s="12">
        <f>IF(O3439="Guaraníes",P3439,P3439*#REF!)</f>
        <v>2493150.6849000002</v>
      </c>
      <c r="R3439" s="12" t="e">
        <f>IF(O3439="Guaraníes",P3439/#REF!,P3439)</f>
        <v>#REF!</v>
      </c>
      <c r="S3439" s="5" t="s">
        <v>52</v>
      </c>
      <c r="AC3439" s="5" t="str">
        <f t="shared" si="163"/>
        <v>Bonos</v>
      </c>
      <c r="AD3439" s="5" t="s">
        <v>43</v>
      </c>
      <c r="AE3439" s="5">
        <f t="shared" si="164"/>
        <v>6</v>
      </c>
      <c r="AF3439" s="5">
        <f t="shared" si="165"/>
        <v>2024</v>
      </c>
    </row>
    <row r="3440" s="5" customFormat="1" ht="13">
      <c r="A3440" s="5" t="s">
        <v>44</v>
      </c>
      <c r="B3440" s="5" t="s">
        <v>44</v>
      </c>
      <c r="C3440" s="5" t="s">
        <v>138</v>
      </c>
      <c r="D3440" s="5" t="s">
        <v>21</v>
      </c>
      <c r="E3440" s="5" t="s">
        <v>44</v>
      </c>
      <c r="F3440" s="5" t="s">
        <v>68</v>
      </c>
      <c r="G3440" s="5" t="s">
        <v>86</v>
      </c>
      <c r="H3440" s="9" t="s">
        <v>193</v>
      </c>
      <c r="I3440" s="10">
        <v>44104</v>
      </c>
      <c r="J3440" s="10">
        <v>45377</v>
      </c>
      <c r="K3440" s="5" t="s">
        <v>140</v>
      </c>
      <c r="L3440" s="5" t="s">
        <v>58</v>
      </c>
      <c r="M3440" s="11">
        <v>0.10000000000000001</v>
      </c>
      <c r="N3440" s="5" t="e">
        <f>IF(AND(M3440&gt;#REF!,Cartera!O3440="Guaraníes"),"Rendimiento significativo",IF(AND(M3440&gt;#REF!,Cartera!O3440="Dólares americanos"),"Rendimiento significativo","Rendimiento no significativo"))</f>
        <v>#REF!</v>
      </c>
      <c r="O3440" s="5" t="s">
        <v>41</v>
      </c>
      <c r="P3440" s="12">
        <v>2493150.6849000002</v>
      </c>
      <c r="Q3440" s="12">
        <f>IF(O3440="Guaraníes",P3440,P3440*#REF!)</f>
        <v>2493150.6849000002</v>
      </c>
      <c r="R3440" s="12" t="e">
        <f>IF(O3440="Guaraníes",P3440/#REF!,P3440)</f>
        <v>#REF!</v>
      </c>
      <c r="S3440" s="5" t="s">
        <v>52</v>
      </c>
      <c r="AC3440" s="5" t="str">
        <f t="shared" si="163"/>
        <v>Bonos</v>
      </c>
      <c r="AD3440" s="5" t="s">
        <v>43</v>
      </c>
      <c r="AE3440" s="5">
        <f t="shared" si="164"/>
        <v>3</v>
      </c>
      <c r="AF3440" s="5">
        <f t="shared" si="165"/>
        <v>2024</v>
      </c>
    </row>
    <row r="3441" s="5" customFormat="1" ht="13">
      <c r="A3441" s="5" t="s">
        <v>44</v>
      </c>
      <c r="B3441" s="5" t="s">
        <v>44</v>
      </c>
      <c r="C3441" s="5" t="s">
        <v>138</v>
      </c>
      <c r="D3441" s="5" t="s">
        <v>21</v>
      </c>
      <c r="E3441" s="5" t="s">
        <v>44</v>
      </c>
      <c r="F3441" s="5" t="s">
        <v>68</v>
      </c>
      <c r="G3441" s="5" t="s">
        <v>86</v>
      </c>
      <c r="H3441" s="9" t="s">
        <v>193</v>
      </c>
      <c r="I3441" s="10">
        <v>44104</v>
      </c>
      <c r="J3441" s="10">
        <v>45286</v>
      </c>
      <c r="K3441" s="5" t="s">
        <v>140</v>
      </c>
      <c r="L3441" s="5" t="s">
        <v>58</v>
      </c>
      <c r="M3441" s="11">
        <v>0.10000000000000001</v>
      </c>
      <c r="N3441" s="5" t="e">
        <f>IF(AND(M3441&gt;#REF!,Cartera!O3441="Guaraníes"),"Rendimiento significativo",IF(AND(M3441&gt;#REF!,Cartera!O3441="Dólares americanos"),"Rendimiento significativo","Rendimiento no significativo"))</f>
        <v>#REF!</v>
      </c>
      <c r="O3441" s="5" t="s">
        <v>41</v>
      </c>
      <c r="P3441" s="12">
        <v>2493150.6849000002</v>
      </c>
      <c r="Q3441" s="12">
        <f>IF(O3441="Guaraníes",P3441,P3441*#REF!)</f>
        <v>2493150.6849000002</v>
      </c>
      <c r="R3441" s="12" t="e">
        <f>IF(O3441="Guaraníes",P3441/#REF!,P3441)</f>
        <v>#REF!</v>
      </c>
      <c r="S3441" s="5" t="s">
        <v>52</v>
      </c>
      <c r="AC3441" s="5" t="str">
        <f t="shared" si="163"/>
        <v>Bonos</v>
      </c>
      <c r="AD3441" s="5" t="s">
        <v>43</v>
      </c>
      <c r="AE3441" s="5">
        <f t="shared" si="164"/>
        <v>12</v>
      </c>
      <c r="AF3441" s="5">
        <f t="shared" si="165"/>
        <v>2023</v>
      </c>
    </row>
    <row r="3442" s="5" customFormat="1" ht="13">
      <c r="A3442" s="5" t="s">
        <v>44</v>
      </c>
      <c r="B3442" s="5" t="s">
        <v>44</v>
      </c>
      <c r="C3442" s="5" t="s">
        <v>138</v>
      </c>
      <c r="D3442" s="5" t="s">
        <v>21</v>
      </c>
      <c r="E3442" s="5" t="s">
        <v>44</v>
      </c>
      <c r="F3442" s="5" t="s">
        <v>68</v>
      </c>
      <c r="G3442" s="5" t="s">
        <v>86</v>
      </c>
      <c r="H3442" s="9" t="s">
        <v>193</v>
      </c>
      <c r="I3442" s="10">
        <v>44104</v>
      </c>
      <c r="J3442" s="10">
        <v>45195</v>
      </c>
      <c r="K3442" s="5" t="s">
        <v>140</v>
      </c>
      <c r="L3442" s="5" t="s">
        <v>58</v>
      </c>
      <c r="M3442" s="11">
        <v>0.10000000000000001</v>
      </c>
      <c r="N3442" s="5" t="e">
        <f>IF(AND(M3442&gt;#REF!,Cartera!O3442="Guaraníes"),"Rendimiento significativo",IF(AND(M3442&gt;#REF!,Cartera!O3442="Dólares americanos"),"Rendimiento significativo","Rendimiento no significativo"))</f>
        <v>#REF!</v>
      </c>
      <c r="O3442" s="5" t="s">
        <v>41</v>
      </c>
      <c r="P3442" s="12">
        <v>2493150.6849000002</v>
      </c>
      <c r="Q3442" s="12">
        <f>IF(O3442="Guaraníes",P3442,P3442*#REF!)</f>
        <v>2493150.6849000002</v>
      </c>
      <c r="R3442" s="12" t="e">
        <f>IF(O3442="Guaraníes",P3442/#REF!,P3442)</f>
        <v>#REF!</v>
      </c>
      <c r="S3442" s="5" t="s">
        <v>52</v>
      </c>
      <c r="AC3442" s="5" t="str">
        <f t="shared" si="163"/>
        <v>Bonos</v>
      </c>
      <c r="AD3442" s="5" t="s">
        <v>43</v>
      </c>
      <c r="AE3442" s="5">
        <f t="shared" si="164"/>
        <v>9</v>
      </c>
      <c r="AF3442" s="5">
        <f t="shared" si="165"/>
        <v>2023</v>
      </c>
    </row>
    <row r="3443" s="5" customFormat="1" ht="13">
      <c r="A3443" s="5" t="s">
        <v>44</v>
      </c>
      <c r="B3443" s="5" t="s">
        <v>44</v>
      </c>
      <c r="C3443" s="5" t="s">
        <v>138</v>
      </c>
      <c r="D3443" s="5" t="s">
        <v>21</v>
      </c>
      <c r="E3443" s="5" t="s">
        <v>44</v>
      </c>
      <c r="F3443" s="5" t="s">
        <v>68</v>
      </c>
      <c r="G3443" s="5" t="s">
        <v>86</v>
      </c>
      <c r="H3443" s="9" t="s">
        <v>193</v>
      </c>
      <c r="I3443" s="10">
        <v>44104</v>
      </c>
      <c r="J3443" s="10">
        <v>45104</v>
      </c>
      <c r="K3443" s="5" t="s">
        <v>140</v>
      </c>
      <c r="L3443" s="5" t="s">
        <v>58</v>
      </c>
      <c r="M3443" s="11">
        <v>0.10000000000000001</v>
      </c>
      <c r="N3443" s="5" t="e">
        <f>IF(AND(M3443&gt;#REF!,Cartera!O3443="Guaraníes"),"Rendimiento significativo",IF(AND(M3443&gt;#REF!,Cartera!O3443="Dólares americanos"),"Rendimiento significativo","Rendimiento no significativo"))</f>
        <v>#REF!</v>
      </c>
      <c r="O3443" s="5" t="s">
        <v>41</v>
      </c>
      <c r="P3443" s="12">
        <v>2493150.6849000002</v>
      </c>
      <c r="Q3443" s="12">
        <f>IF(O3443="Guaraníes",P3443,P3443*#REF!)</f>
        <v>2493150.6849000002</v>
      </c>
      <c r="R3443" s="12" t="e">
        <f>IF(O3443="Guaraníes",P3443/#REF!,P3443)</f>
        <v>#REF!</v>
      </c>
      <c r="S3443" s="5" t="s">
        <v>52</v>
      </c>
      <c r="AC3443" s="5" t="str">
        <f t="shared" si="163"/>
        <v>Bonos</v>
      </c>
      <c r="AD3443" s="5" t="s">
        <v>43</v>
      </c>
      <c r="AE3443" s="5">
        <f t="shared" si="164"/>
        <v>6</v>
      </c>
      <c r="AF3443" s="5">
        <f t="shared" si="165"/>
        <v>2023</v>
      </c>
    </row>
    <row r="3444" s="5" customFormat="1" ht="13">
      <c r="A3444" s="5" t="s">
        <v>44</v>
      </c>
      <c r="B3444" s="5" t="s">
        <v>44</v>
      </c>
      <c r="C3444" s="5" t="s">
        <v>138</v>
      </c>
      <c r="D3444" s="5" t="s">
        <v>21</v>
      </c>
      <c r="E3444" s="5" t="s">
        <v>44</v>
      </c>
      <c r="F3444" s="5" t="s">
        <v>68</v>
      </c>
      <c r="G3444" s="5" t="s">
        <v>86</v>
      </c>
      <c r="H3444" s="9" t="s">
        <v>193</v>
      </c>
      <c r="I3444" s="10">
        <v>44104</v>
      </c>
      <c r="J3444" s="10">
        <v>45013</v>
      </c>
      <c r="K3444" s="5" t="s">
        <v>140</v>
      </c>
      <c r="L3444" s="5" t="s">
        <v>58</v>
      </c>
      <c r="M3444" s="11">
        <v>0.10000000000000001</v>
      </c>
      <c r="N3444" s="5" t="e">
        <f>IF(AND(M3444&gt;#REF!,Cartera!O3444="Guaraníes"),"Rendimiento significativo",IF(AND(M3444&gt;#REF!,Cartera!O3444="Dólares americanos"),"Rendimiento significativo","Rendimiento no significativo"))</f>
        <v>#REF!</v>
      </c>
      <c r="O3444" s="5" t="s">
        <v>41</v>
      </c>
      <c r="P3444" s="12">
        <v>2493150.6849000002</v>
      </c>
      <c r="Q3444" s="12">
        <f>IF(O3444="Guaraníes",P3444,P3444*#REF!)</f>
        <v>2493150.6849000002</v>
      </c>
      <c r="R3444" s="12" t="e">
        <f>IF(O3444="Guaraníes",P3444/#REF!,P3444)</f>
        <v>#REF!</v>
      </c>
      <c r="S3444" s="5" t="s">
        <v>52</v>
      </c>
      <c r="AC3444" s="5" t="str">
        <f t="shared" si="163"/>
        <v>Bonos</v>
      </c>
      <c r="AD3444" s="5" t="s">
        <v>43</v>
      </c>
      <c r="AE3444" s="5">
        <f t="shared" si="164"/>
        <v>3</v>
      </c>
      <c r="AF3444" s="5">
        <f t="shared" si="165"/>
        <v>2023</v>
      </c>
    </row>
    <row r="3445" s="5" customFormat="1" ht="13">
      <c r="A3445" s="5" t="s">
        <v>44</v>
      </c>
      <c r="B3445" s="5" t="s">
        <v>44</v>
      </c>
      <c r="C3445" s="5" t="s">
        <v>138</v>
      </c>
      <c r="D3445" s="5" t="s">
        <v>21</v>
      </c>
      <c r="E3445" s="5" t="s">
        <v>44</v>
      </c>
      <c r="F3445" s="5" t="s">
        <v>68</v>
      </c>
      <c r="G3445" s="5" t="s">
        <v>86</v>
      </c>
      <c r="H3445" s="9" t="s">
        <v>193</v>
      </c>
      <c r="I3445" s="10">
        <v>44104</v>
      </c>
      <c r="J3445" s="10">
        <v>44922</v>
      </c>
      <c r="K3445" s="5" t="s">
        <v>140</v>
      </c>
      <c r="L3445" s="5" t="s">
        <v>58</v>
      </c>
      <c r="M3445" s="11">
        <v>0.10000000000000001</v>
      </c>
      <c r="N3445" s="5" t="e">
        <f>IF(AND(M3445&gt;#REF!,Cartera!O3445="Guaraníes"),"Rendimiento significativo",IF(AND(M3445&gt;#REF!,Cartera!O3445="Dólares americanos"),"Rendimiento significativo","Rendimiento no significativo"))</f>
        <v>#REF!</v>
      </c>
      <c r="O3445" s="5" t="s">
        <v>41</v>
      </c>
      <c r="P3445" s="12">
        <v>2493150.6849000002</v>
      </c>
      <c r="Q3445" s="12">
        <f>IF(O3445="Guaraníes",P3445,P3445*#REF!)</f>
        <v>2493150.6849000002</v>
      </c>
      <c r="R3445" s="12" t="e">
        <f>IF(O3445="Guaraníes",P3445/#REF!,P3445)</f>
        <v>#REF!</v>
      </c>
      <c r="S3445" s="5" t="s">
        <v>52</v>
      </c>
      <c r="AC3445" s="5" t="str">
        <f t="shared" si="163"/>
        <v>Bonos</v>
      </c>
      <c r="AD3445" s="5" t="s">
        <v>43</v>
      </c>
      <c r="AE3445" s="5">
        <f t="shared" si="164"/>
        <v>12</v>
      </c>
      <c r="AF3445" s="5">
        <f t="shared" si="165"/>
        <v>2022</v>
      </c>
    </row>
    <row r="3446" s="5" customFormat="1" ht="13">
      <c r="A3446" s="5" t="s">
        <v>44</v>
      </c>
      <c r="B3446" s="5" t="s">
        <v>44</v>
      </c>
      <c r="C3446" s="5" t="s">
        <v>138</v>
      </c>
      <c r="D3446" s="5" t="s">
        <v>21</v>
      </c>
      <c r="E3446" s="5" t="s">
        <v>44</v>
      </c>
      <c r="F3446" s="5" t="s">
        <v>68</v>
      </c>
      <c r="G3446" s="5" t="s">
        <v>86</v>
      </c>
      <c r="H3446" s="9" t="s">
        <v>193</v>
      </c>
      <c r="I3446" s="10">
        <v>44104</v>
      </c>
      <c r="J3446" s="10">
        <v>44831</v>
      </c>
      <c r="K3446" s="5" t="s">
        <v>140</v>
      </c>
      <c r="L3446" s="5" t="s">
        <v>58</v>
      </c>
      <c r="M3446" s="11">
        <v>0.10000000000000001</v>
      </c>
      <c r="N3446" s="5" t="e">
        <f>IF(AND(M3446&gt;#REF!,Cartera!O3446="Guaraníes"),"Rendimiento significativo",IF(AND(M3446&gt;#REF!,Cartera!O3446="Dólares americanos"),"Rendimiento significativo","Rendimiento no significativo"))</f>
        <v>#REF!</v>
      </c>
      <c r="O3446" s="5" t="s">
        <v>41</v>
      </c>
      <c r="P3446" s="12">
        <v>2493150.6849000002</v>
      </c>
      <c r="Q3446" s="12">
        <f>IF(O3446="Guaraníes",P3446,P3446*#REF!)</f>
        <v>2493150.6849000002</v>
      </c>
      <c r="R3446" s="12" t="e">
        <f>IF(O3446="Guaraníes",P3446/#REF!,P3446)</f>
        <v>#REF!</v>
      </c>
      <c r="S3446" s="5" t="s">
        <v>52</v>
      </c>
      <c r="AC3446" s="5" t="str">
        <f t="shared" si="163"/>
        <v>Bonos</v>
      </c>
      <c r="AD3446" s="5" t="s">
        <v>43</v>
      </c>
      <c r="AE3446" s="5">
        <f t="shared" si="164"/>
        <v>9</v>
      </c>
      <c r="AF3446" s="5">
        <f t="shared" si="165"/>
        <v>2022</v>
      </c>
    </row>
    <row r="3447" s="5" customFormat="1" ht="13">
      <c r="A3447" s="5" t="s">
        <v>44</v>
      </c>
      <c r="B3447" s="5" t="s">
        <v>44</v>
      </c>
      <c r="C3447" s="5" t="s">
        <v>138</v>
      </c>
      <c r="D3447" s="5" t="s">
        <v>21</v>
      </c>
      <c r="E3447" s="5" t="s">
        <v>44</v>
      </c>
      <c r="F3447" s="5" t="s">
        <v>68</v>
      </c>
      <c r="G3447" s="5" t="s">
        <v>86</v>
      </c>
      <c r="H3447" s="9" t="s">
        <v>193</v>
      </c>
      <c r="I3447" s="10">
        <v>44104</v>
      </c>
      <c r="J3447" s="10">
        <v>44740</v>
      </c>
      <c r="K3447" s="5" t="s">
        <v>140</v>
      </c>
      <c r="L3447" s="5" t="s">
        <v>58</v>
      </c>
      <c r="M3447" s="11">
        <v>0.10000000000000001</v>
      </c>
      <c r="N3447" s="5" t="e">
        <f>IF(AND(M3447&gt;#REF!,Cartera!O3447="Guaraníes"),"Rendimiento significativo",IF(AND(M3447&gt;#REF!,Cartera!O3447="Dólares americanos"),"Rendimiento significativo","Rendimiento no significativo"))</f>
        <v>#REF!</v>
      </c>
      <c r="O3447" s="5" t="s">
        <v>41</v>
      </c>
      <c r="P3447" s="12">
        <v>2493150.6849000002</v>
      </c>
      <c r="Q3447" s="12">
        <f>IF(O3447="Guaraníes",P3447,P3447*#REF!)</f>
        <v>2493150.6849000002</v>
      </c>
      <c r="R3447" s="12" t="e">
        <f>IF(O3447="Guaraníes",P3447/#REF!,P3447)</f>
        <v>#REF!</v>
      </c>
      <c r="S3447" s="5" t="s">
        <v>52</v>
      </c>
      <c r="AC3447" s="5" t="str">
        <f t="shared" ref="AC3447:AC3510" si="166">IF(ISNUMBER(SEARCH("Acciones",L3447)),"Acciones",IF(ISNUMBER(SEARCH("Bono",L3447)),"Bonos",IF(ISNUMBER(SEARCH("CDA",L3447)),"CDA",IF(ISNUMBER(SEARCH("Fondo",L3447)),"Fondo",0))))</f>
        <v>Bonos</v>
      </c>
      <c r="AD3447" s="5" t="s">
        <v>43</v>
      </c>
      <c r="AE3447" s="5">
        <f t="shared" si="164"/>
        <v>6</v>
      </c>
      <c r="AF3447" s="5">
        <f t="shared" si="165"/>
        <v>2022</v>
      </c>
    </row>
    <row r="3448" s="5" customFormat="1" ht="13">
      <c r="A3448" s="5" t="s">
        <v>44</v>
      </c>
      <c r="B3448" s="5" t="s">
        <v>44</v>
      </c>
      <c r="C3448" s="5" t="s">
        <v>138</v>
      </c>
      <c r="D3448" s="5" t="s">
        <v>21</v>
      </c>
      <c r="E3448" s="5" t="s">
        <v>44</v>
      </c>
      <c r="F3448" s="5" t="s">
        <v>68</v>
      </c>
      <c r="G3448" s="5" t="s">
        <v>86</v>
      </c>
      <c r="H3448" s="9" t="s">
        <v>193</v>
      </c>
      <c r="I3448" s="10">
        <v>44104</v>
      </c>
      <c r="J3448" s="10">
        <v>44649</v>
      </c>
      <c r="K3448" s="5" t="s">
        <v>140</v>
      </c>
      <c r="L3448" s="5" t="s">
        <v>58</v>
      </c>
      <c r="M3448" s="11">
        <v>0.10000000000000001</v>
      </c>
      <c r="N3448" s="5" t="e">
        <f>IF(AND(M3448&gt;#REF!,Cartera!O3448="Guaraníes"),"Rendimiento significativo",IF(AND(M3448&gt;#REF!,Cartera!O3448="Dólares americanos"),"Rendimiento significativo","Rendimiento no significativo"))</f>
        <v>#REF!</v>
      </c>
      <c r="O3448" s="5" t="s">
        <v>41</v>
      </c>
      <c r="P3448" s="12">
        <v>2493150.6849000002</v>
      </c>
      <c r="Q3448" s="12">
        <f>IF(O3448="Guaraníes",P3448,P3448*#REF!)</f>
        <v>2493150.6849000002</v>
      </c>
      <c r="R3448" s="12" t="e">
        <f>IF(O3448="Guaraníes",P3448/#REF!,P3448)</f>
        <v>#REF!</v>
      </c>
      <c r="S3448" s="5" t="s">
        <v>52</v>
      </c>
      <c r="AC3448" s="5" t="str">
        <f t="shared" si="166"/>
        <v>Bonos</v>
      </c>
      <c r="AD3448" s="5" t="s">
        <v>43</v>
      </c>
      <c r="AE3448" s="5">
        <f t="shared" si="164"/>
        <v>3</v>
      </c>
      <c r="AF3448" s="5">
        <f t="shared" si="165"/>
        <v>2022</v>
      </c>
    </row>
    <row r="3449" s="5" customFormat="1" ht="13">
      <c r="A3449" s="5" t="s">
        <v>44</v>
      </c>
      <c r="B3449" s="5" t="s">
        <v>44</v>
      </c>
      <c r="C3449" s="5" t="s">
        <v>138</v>
      </c>
      <c r="D3449" s="5" t="s">
        <v>21</v>
      </c>
      <c r="E3449" s="5" t="s">
        <v>44</v>
      </c>
      <c r="F3449" s="5" t="s">
        <v>68</v>
      </c>
      <c r="G3449" s="5" t="s">
        <v>86</v>
      </c>
      <c r="H3449" s="9" t="s">
        <v>193</v>
      </c>
      <c r="I3449" s="10">
        <v>44104</v>
      </c>
      <c r="J3449" s="10">
        <v>44558</v>
      </c>
      <c r="K3449" s="5" t="s">
        <v>140</v>
      </c>
      <c r="L3449" s="5" t="s">
        <v>58</v>
      </c>
      <c r="M3449" s="11">
        <v>0.10000000000000001</v>
      </c>
      <c r="N3449" s="5" t="e">
        <f>IF(AND(M3449&gt;#REF!,Cartera!O3449="Guaraníes"),"Rendimiento significativo",IF(AND(M3449&gt;#REF!,Cartera!O3449="Dólares americanos"),"Rendimiento significativo","Rendimiento no significativo"))</f>
        <v>#REF!</v>
      </c>
      <c r="O3449" s="5" t="s">
        <v>41</v>
      </c>
      <c r="P3449" s="12">
        <v>2493150.6849000002</v>
      </c>
      <c r="Q3449" s="12">
        <f>IF(O3449="Guaraníes",P3449,P3449*#REF!)</f>
        <v>2493150.6849000002</v>
      </c>
      <c r="R3449" s="12" t="e">
        <f>IF(O3449="Guaraníes",P3449/#REF!,P3449)</f>
        <v>#REF!</v>
      </c>
      <c r="S3449" s="5" t="s">
        <v>52</v>
      </c>
      <c r="AC3449" s="5" t="str">
        <f t="shared" si="166"/>
        <v>Bonos</v>
      </c>
      <c r="AD3449" s="5" t="s">
        <v>43</v>
      </c>
      <c r="AE3449" s="5">
        <f t="shared" si="164"/>
        <v>12</v>
      </c>
      <c r="AF3449" s="5">
        <f t="shared" si="165"/>
        <v>2021</v>
      </c>
    </row>
    <row r="3450" s="5" customFormat="1" ht="13">
      <c r="A3450" s="5" t="s">
        <v>44</v>
      </c>
      <c r="B3450" s="5" t="s">
        <v>44</v>
      </c>
      <c r="C3450" s="5" t="s">
        <v>138</v>
      </c>
      <c r="D3450" s="5" t="s">
        <v>21</v>
      </c>
      <c r="E3450" s="5" t="s">
        <v>44</v>
      </c>
      <c r="F3450" s="5" t="s">
        <v>68</v>
      </c>
      <c r="G3450" s="5" t="s">
        <v>86</v>
      </c>
      <c r="H3450" s="9" t="s">
        <v>193</v>
      </c>
      <c r="I3450" s="10">
        <v>44104</v>
      </c>
      <c r="J3450" s="10">
        <v>44467</v>
      </c>
      <c r="K3450" s="5" t="s">
        <v>140</v>
      </c>
      <c r="L3450" s="5" t="s">
        <v>58</v>
      </c>
      <c r="M3450" s="11">
        <v>0.10000000000000001</v>
      </c>
      <c r="N3450" s="5" t="e">
        <f>IF(AND(M3450&gt;#REF!,Cartera!O3450="Guaraníes"),"Rendimiento significativo",IF(AND(M3450&gt;#REF!,Cartera!O3450="Dólares americanos"),"Rendimiento significativo","Rendimiento no significativo"))</f>
        <v>#REF!</v>
      </c>
      <c r="O3450" s="5" t="s">
        <v>41</v>
      </c>
      <c r="P3450" s="12">
        <v>2493150.6849000002</v>
      </c>
      <c r="Q3450" s="12">
        <f>IF(O3450="Guaraníes",P3450,P3450*#REF!)</f>
        <v>2493150.6849000002</v>
      </c>
      <c r="R3450" s="12" t="e">
        <f>IF(O3450="Guaraníes",P3450/#REF!,P3450)</f>
        <v>#REF!</v>
      </c>
      <c r="S3450" s="5" t="s">
        <v>52</v>
      </c>
      <c r="AC3450" s="5" t="str">
        <f t="shared" si="166"/>
        <v>Bonos</v>
      </c>
      <c r="AD3450" s="5" t="s">
        <v>43</v>
      </c>
      <c r="AE3450" s="5">
        <f t="shared" si="164"/>
        <v>9</v>
      </c>
      <c r="AF3450" s="5">
        <f t="shared" si="165"/>
        <v>2021</v>
      </c>
    </row>
    <row r="3451" s="5" customFormat="1" ht="13">
      <c r="A3451" s="5" t="s">
        <v>44</v>
      </c>
      <c r="B3451" s="5" t="s">
        <v>44</v>
      </c>
      <c r="C3451" s="5" t="s">
        <v>138</v>
      </c>
      <c r="D3451" s="5" t="s">
        <v>21</v>
      </c>
      <c r="E3451" s="5" t="s">
        <v>44</v>
      </c>
      <c r="F3451" s="5" t="s">
        <v>68</v>
      </c>
      <c r="G3451" s="5" t="s">
        <v>86</v>
      </c>
      <c r="H3451" s="9" t="s">
        <v>193</v>
      </c>
      <c r="I3451" s="10">
        <v>44104</v>
      </c>
      <c r="J3451" s="10">
        <v>44376</v>
      </c>
      <c r="K3451" s="5" t="s">
        <v>140</v>
      </c>
      <c r="L3451" s="5" t="s">
        <v>58</v>
      </c>
      <c r="M3451" s="11">
        <v>0.10000000000000001</v>
      </c>
      <c r="N3451" s="5" t="e">
        <f>IF(AND(M3451&gt;#REF!,Cartera!O3451="Guaraníes"),"Rendimiento significativo",IF(AND(M3451&gt;#REF!,Cartera!O3451="Dólares americanos"),"Rendimiento significativo","Rendimiento no significativo"))</f>
        <v>#REF!</v>
      </c>
      <c r="O3451" s="5" t="s">
        <v>41</v>
      </c>
      <c r="P3451" s="12">
        <v>2493150.6849000002</v>
      </c>
      <c r="Q3451" s="12">
        <f>IF(O3451="Guaraníes",P3451,P3451*#REF!)</f>
        <v>2493150.6849000002</v>
      </c>
      <c r="R3451" s="12" t="e">
        <f>IF(O3451="Guaraníes",P3451/#REF!,P3451)</f>
        <v>#REF!</v>
      </c>
      <c r="S3451" s="5" t="s">
        <v>52</v>
      </c>
      <c r="AC3451" s="5" t="str">
        <f t="shared" si="166"/>
        <v>Bonos</v>
      </c>
      <c r="AD3451" s="5" t="s">
        <v>43</v>
      </c>
      <c r="AE3451" s="5">
        <f t="shared" si="164"/>
        <v>6</v>
      </c>
      <c r="AF3451" s="5">
        <f t="shared" si="165"/>
        <v>2021</v>
      </c>
    </row>
    <row r="3452" s="5" customFormat="1" ht="13">
      <c r="A3452" s="5" t="s">
        <v>44</v>
      </c>
      <c r="B3452" s="5" t="s">
        <v>44</v>
      </c>
      <c r="C3452" s="5" t="s">
        <v>138</v>
      </c>
      <c r="D3452" s="5" t="s">
        <v>21</v>
      </c>
      <c r="E3452" s="5" t="s">
        <v>44</v>
      </c>
      <c r="F3452" s="5" t="s">
        <v>68</v>
      </c>
      <c r="G3452" s="5" t="s">
        <v>86</v>
      </c>
      <c r="H3452" s="9" t="s">
        <v>193</v>
      </c>
      <c r="I3452" s="10">
        <v>44104</v>
      </c>
      <c r="J3452" s="10">
        <v>44285</v>
      </c>
      <c r="K3452" s="5" t="s">
        <v>140</v>
      </c>
      <c r="L3452" s="5" t="s">
        <v>58</v>
      </c>
      <c r="M3452" s="11">
        <v>0.10000000000000001</v>
      </c>
      <c r="N3452" s="5" t="e">
        <f>IF(AND(M3452&gt;#REF!,Cartera!O3452="Guaraníes"),"Rendimiento significativo",IF(AND(M3452&gt;#REF!,Cartera!O3452="Dólares americanos"),"Rendimiento significativo","Rendimiento no significativo"))</f>
        <v>#REF!</v>
      </c>
      <c r="O3452" s="5" t="s">
        <v>41</v>
      </c>
      <c r="P3452" s="12">
        <v>2493150.6849000002</v>
      </c>
      <c r="Q3452" s="12">
        <f>IF(O3452="Guaraníes",P3452,P3452*#REF!)</f>
        <v>2493150.6849000002</v>
      </c>
      <c r="R3452" s="12" t="e">
        <f>IF(O3452="Guaraníes",P3452/#REF!,P3452)</f>
        <v>#REF!</v>
      </c>
      <c r="S3452" s="5" t="s">
        <v>52</v>
      </c>
      <c r="AC3452" s="5" t="str">
        <f t="shared" si="166"/>
        <v>Bonos</v>
      </c>
      <c r="AD3452" s="5" t="s">
        <v>43</v>
      </c>
      <c r="AE3452" s="5">
        <f t="shared" si="164"/>
        <v>3</v>
      </c>
      <c r="AF3452" s="5">
        <f t="shared" si="165"/>
        <v>2021</v>
      </c>
    </row>
    <row r="3453" s="5" customFormat="1" ht="13">
      <c r="A3453" s="5" t="s">
        <v>44</v>
      </c>
      <c r="B3453" s="5" t="s">
        <v>44</v>
      </c>
      <c r="C3453" s="5" t="s">
        <v>138</v>
      </c>
      <c r="D3453" s="5" t="s">
        <v>21</v>
      </c>
      <c r="E3453" s="5" t="s">
        <v>44</v>
      </c>
      <c r="F3453" s="5" t="s">
        <v>68</v>
      </c>
      <c r="G3453" s="5" t="s">
        <v>86</v>
      </c>
      <c r="H3453" s="9" t="s">
        <v>193</v>
      </c>
      <c r="I3453" s="10">
        <v>44104</v>
      </c>
      <c r="J3453" s="10">
        <v>44194</v>
      </c>
      <c r="K3453" s="5" t="s">
        <v>140</v>
      </c>
      <c r="L3453" s="5" t="s">
        <v>58</v>
      </c>
      <c r="M3453" s="11">
        <v>0.10000000000000001</v>
      </c>
      <c r="N3453" s="5" t="e">
        <f>IF(AND(M3453&gt;#REF!,Cartera!O3453="Guaraníes"),"Rendimiento significativo",IF(AND(M3453&gt;#REF!,Cartera!O3453="Dólares americanos"),"Rendimiento significativo","Rendimiento no significativo"))</f>
        <v>#REF!</v>
      </c>
      <c r="O3453" s="5" t="s">
        <v>41</v>
      </c>
      <c r="P3453" s="12">
        <v>2465753.4246999999</v>
      </c>
      <c r="Q3453" s="12">
        <f>IF(O3453="Guaraníes",P3453,P3453*#REF!)</f>
        <v>2465753.4246999999</v>
      </c>
      <c r="R3453" s="12" t="e">
        <f>IF(O3453="Guaraníes",P3453/#REF!,P3453)</f>
        <v>#REF!</v>
      </c>
      <c r="S3453" s="5" t="s">
        <v>52</v>
      </c>
      <c r="AC3453" s="5" t="str">
        <f t="shared" si="166"/>
        <v>Bonos</v>
      </c>
      <c r="AD3453" s="5" t="s">
        <v>43</v>
      </c>
      <c r="AE3453" s="5">
        <f t="shared" si="164"/>
        <v>12</v>
      </c>
      <c r="AF3453" s="5">
        <f t="shared" si="165"/>
        <v>2020</v>
      </c>
    </row>
    <row r="3454" s="5" customFormat="1" ht="13">
      <c r="A3454" s="5">
        <v>12301</v>
      </c>
      <c r="B3454" s="5" t="s">
        <v>107</v>
      </c>
      <c r="C3454" s="5" t="s">
        <v>138</v>
      </c>
      <c r="D3454" s="5" t="s">
        <v>20</v>
      </c>
      <c r="E3454" s="5" t="s">
        <v>34</v>
      </c>
      <c r="F3454" s="5" t="s">
        <v>68</v>
      </c>
      <c r="G3454" s="5" t="s">
        <v>86</v>
      </c>
      <c r="H3454" s="9" t="s">
        <v>193</v>
      </c>
      <c r="I3454" s="10">
        <v>44104</v>
      </c>
      <c r="J3454" s="10">
        <v>48471</v>
      </c>
      <c r="K3454" s="5" t="s">
        <v>140</v>
      </c>
      <c r="L3454" s="5" t="s">
        <v>58</v>
      </c>
      <c r="M3454" s="11">
        <v>0.10000000000000001</v>
      </c>
      <c r="N3454" s="5" t="e">
        <f>IF(AND(M3454&gt;#REF!,Cartera!O3454="Guaraníes"),"Rendimiento significativo",IF(AND(M3454&gt;#REF!,Cartera!O3454="Dólares americanos"),"Rendimiento significativo","Rendimiento no significativo"))</f>
        <v>#REF!</v>
      </c>
      <c r="O3454" s="5" t="s">
        <v>41</v>
      </c>
      <c r="P3454" s="12">
        <v>12500000</v>
      </c>
      <c r="Q3454" s="12">
        <f>IF(O3454="Guaraníes",P3454,P3454*#REF!)</f>
        <v>12500000</v>
      </c>
      <c r="R3454" s="12" t="e">
        <f>IF(O3454="Guaraníes",P3454/#REF!,P3454)</f>
        <v>#REF!</v>
      </c>
      <c r="S3454" s="5" t="s">
        <v>42</v>
      </c>
      <c r="AC3454" s="5" t="str">
        <f t="shared" si="166"/>
        <v>Bonos</v>
      </c>
      <c r="AD3454" s="5" t="s">
        <v>43</v>
      </c>
      <c r="AE3454" s="5">
        <f t="shared" si="164"/>
        <v>9</v>
      </c>
      <c r="AF3454" s="5">
        <f t="shared" si="165"/>
        <v>2032</v>
      </c>
    </row>
    <row r="3455" s="5" customFormat="1" ht="13">
      <c r="A3455" s="5">
        <v>12301</v>
      </c>
      <c r="B3455" s="5" t="s">
        <v>107</v>
      </c>
      <c r="C3455" s="5" t="s">
        <v>138</v>
      </c>
      <c r="D3455" s="5" t="s">
        <v>20</v>
      </c>
      <c r="E3455" s="5" t="s">
        <v>34</v>
      </c>
      <c r="F3455" s="5" t="s">
        <v>68</v>
      </c>
      <c r="G3455" s="5" t="s">
        <v>86</v>
      </c>
      <c r="H3455" s="9" t="s">
        <v>193</v>
      </c>
      <c r="I3455" s="10">
        <v>44104</v>
      </c>
      <c r="J3455" s="10">
        <v>48380</v>
      </c>
      <c r="K3455" s="5" t="s">
        <v>140</v>
      </c>
      <c r="L3455" s="5" t="s">
        <v>58</v>
      </c>
      <c r="M3455" s="11">
        <v>0.10000000000000001</v>
      </c>
      <c r="N3455" s="5" t="e">
        <f>IF(AND(M3455&gt;#REF!,Cartera!O3455="Guaraníes"),"Rendimiento significativo",IF(AND(M3455&gt;#REF!,Cartera!O3455="Dólares americanos"),"Rendimiento significativo","Rendimiento no significativo"))</f>
        <v>#REF!</v>
      </c>
      <c r="O3455" s="5" t="s">
        <v>41</v>
      </c>
      <c r="P3455" s="12">
        <v>12500000</v>
      </c>
      <c r="Q3455" s="12">
        <f>IF(O3455="Guaraníes",P3455,P3455*#REF!)</f>
        <v>12500000</v>
      </c>
      <c r="R3455" s="12" t="e">
        <f>IF(O3455="Guaraníes",P3455/#REF!,P3455)</f>
        <v>#REF!</v>
      </c>
      <c r="S3455" s="5" t="s">
        <v>42</v>
      </c>
      <c r="AC3455" s="5" t="str">
        <f t="shared" si="166"/>
        <v>Bonos</v>
      </c>
      <c r="AD3455" s="5" t="s">
        <v>43</v>
      </c>
      <c r="AE3455" s="5">
        <f t="shared" si="164"/>
        <v>6</v>
      </c>
      <c r="AF3455" s="5">
        <f t="shared" si="165"/>
        <v>2032</v>
      </c>
    </row>
    <row r="3456" s="5" customFormat="1" ht="13">
      <c r="A3456" s="5">
        <v>12301</v>
      </c>
      <c r="B3456" s="5" t="s">
        <v>107</v>
      </c>
      <c r="C3456" s="5" t="s">
        <v>138</v>
      </c>
      <c r="D3456" s="5" t="s">
        <v>20</v>
      </c>
      <c r="E3456" s="5" t="s">
        <v>34</v>
      </c>
      <c r="F3456" s="5" t="s">
        <v>68</v>
      </c>
      <c r="G3456" s="5" t="s">
        <v>86</v>
      </c>
      <c r="H3456" s="9" t="s">
        <v>193</v>
      </c>
      <c r="I3456" s="10">
        <v>44104</v>
      </c>
      <c r="J3456" s="10">
        <v>48289</v>
      </c>
      <c r="K3456" s="5" t="s">
        <v>140</v>
      </c>
      <c r="L3456" s="5" t="s">
        <v>58</v>
      </c>
      <c r="M3456" s="11">
        <v>0.10000000000000001</v>
      </c>
      <c r="N3456" s="5" t="e">
        <f>IF(AND(M3456&gt;#REF!,Cartera!O3456="Guaraníes"),"Rendimiento significativo",IF(AND(M3456&gt;#REF!,Cartera!O3456="Dólares americanos"),"Rendimiento significativo","Rendimiento no significativo"))</f>
        <v>#REF!</v>
      </c>
      <c r="O3456" s="5" t="s">
        <v>41</v>
      </c>
      <c r="P3456" s="12">
        <v>12500000</v>
      </c>
      <c r="Q3456" s="12">
        <f>IF(O3456="Guaraníes",P3456,P3456*#REF!)</f>
        <v>12500000</v>
      </c>
      <c r="R3456" s="12" t="e">
        <f>IF(O3456="Guaraníes",P3456/#REF!,P3456)</f>
        <v>#REF!</v>
      </c>
      <c r="S3456" s="5" t="s">
        <v>42</v>
      </c>
      <c r="AC3456" s="5" t="str">
        <f t="shared" si="166"/>
        <v>Bonos</v>
      </c>
      <c r="AD3456" s="5" t="s">
        <v>43</v>
      </c>
      <c r="AE3456" s="5">
        <f t="shared" si="164"/>
        <v>3</v>
      </c>
      <c r="AF3456" s="5">
        <f t="shared" si="165"/>
        <v>2032</v>
      </c>
    </row>
    <row r="3457" s="5" customFormat="1" ht="13">
      <c r="A3457" s="5">
        <v>12301</v>
      </c>
      <c r="B3457" s="5" t="s">
        <v>107</v>
      </c>
      <c r="C3457" s="5" t="s">
        <v>138</v>
      </c>
      <c r="D3457" s="5" t="s">
        <v>20</v>
      </c>
      <c r="E3457" s="5" t="s">
        <v>34</v>
      </c>
      <c r="F3457" s="5" t="s">
        <v>68</v>
      </c>
      <c r="G3457" s="5" t="s">
        <v>86</v>
      </c>
      <c r="H3457" s="9" t="s">
        <v>193</v>
      </c>
      <c r="I3457" s="10">
        <v>44104</v>
      </c>
      <c r="J3457" s="10">
        <v>48198</v>
      </c>
      <c r="K3457" s="5" t="s">
        <v>140</v>
      </c>
      <c r="L3457" s="5" t="s">
        <v>58</v>
      </c>
      <c r="M3457" s="11">
        <v>0.10000000000000001</v>
      </c>
      <c r="N3457" s="5" t="e">
        <f>IF(AND(M3457&gt;#REF!,Cartera!O3457="Guaraníes"),"Rendimiento significativo",IF(AND(M3457&gt;#REF!,Cartera!O3457="Dólares americanos"),"Rendimiento significativo","Rendimiento no significativo"))</f>
        <v>#REF!</v>
      </c>
      <c r="O3457" s="5" t="s">
        <v>41</v>
      </c>
      <c r="P3457" s="12">
        <v>12500000</v>
      </c>
      <c r="Q3457" s="12">
        <f>IF(O3457="Guaraníes",P3457,P3457*#REF!)</f>
        <v>12500000</v>
      </c>
      <c r="R3457" s="12" t="e">
        <f>IF(O3457="Guaraníes",P3457/#REF!,P3457)</f>
        <v>#REF!</v>
      </c>
      <c r="S3457" s="5" t="s">
        <v>42</v>
      </c>
      <c r="AC3457" s="5" t="str">
        <f t="shared" si="166"/>
        <v>Bonos</v>
      </c>
      <c r="AD3457" s="5" t="s">
        <v>43</v>
      </c>
      <c r="AE3457" s="5">
        <f t="shared" si="164"/>
        <v>12</v>
      </c>
      <c r="AF3457" s="5">
        <f t="shared" si="165"/>
        <v>2031</v>
      </c>
    </row>
    <row r="3458" s="5" customFormat="1" ht="13">
      <c r="A3458" s="5">
        <v>12301</v>
      </c>
      <c r="B3458" s="5" t="s">
        <v>107</v>
      </c>
      <c r="C3458" s="5" t="s">
        <v>138</v>
      </c>
      <c r="D3458" s="5" t="s">
        <v>20</v>
      </c>
      <c r="E3458" s="5" t="s">
        <v>34</v>
      </c>
      <c r="F3458" s="5" t="s">
        <v>68</v>
      </c>
      <c r="G3458" s="5" t="s">
        <v>86</v>
      </c>
      <c r="H3458" s="9" t="s">
        <v>193</v>
      </c>
      <c r="I3458" s="10">
        <v>44104</v>
      </c>
      <c r="J3458" s="10">
        <v>48107</v>
      </c>
      <c r="K3458" s="5" t="s">
        <v>140</v>
      </c>
      <c r="L3458" s="5" t="s">
        <v>58</v>
      </c>
      <c r="M3458" s="11">
        <v>0.10000000000000001</v>
      </c>
      <c r="N3458" s="5" t="e">
        <f>IF(AND(M3458&gt;#REF!,Cartera!O3458="Guaraníes"),"Rendimiento significativo",IF(AND(M3458&gt;#REF!,Cartera!O3458="Dólares americanos"),"Rendimiento significativo","Rendimiento no significativo"))</f>
        <v>#REF!</v>
      </c>
      <c r="O3458" s="5" t="s">
        <v>41</v>
      </c>
      <c r="P3458" s="12">
        <v>12500000</v>
      </c>
      <c r="Q3458" s="12">
        <f>IF(O3458="Guaraníes",P3458,P3458*#REF!)</f>
        <v>12500000</v>
      </c>
      <c r="R3458" s="12" t="e">
        <f>IF(O3458="Guaraníes",P3458/#REF!,P3458)</f>
        <v>#REF!</v>
      </c>
      <c r="S3458" s="5" t="s">
        <v>42</v>
      </c>
      <c r="AC3458" s="5" t="str">
        <f t="shared" si="166"/>
        <v>Bonos</v>
      </c>
      <c r="AD3458" s="5" t="s">
        <v>43</v>
      </c>
      <c r="AE3458" s="5">
        <f t="shared" si="164"/>
        <v>9</v>
      </c>
      <c r="AF3458" s="5">
        <f t="shared" si="165"/>
        <v>2031</v>
      </c>
    </row>
    <row r="3459" s="5" customFormat="1" ht="13">
      <c r="A3459" s="5">
        <v>12301</v>
      </c>
      <c r="B3459" s="5" t="s">
        <v>107</v>
      </c>
      <c r="C3459" s="5" t="s">
        <v>138</v>
      </c>
      <c r="D3459" s="5" t="s">
        <v>20</v>
      </c>
      <c r="E3459" s="5" t="s">
        <v>34</v>
      </c>
      <c r="F3459" s="5" t="s">
        <v>68</v>
      </c>
      <c r="G3459" s="5" t="s">
        <v>86</v>
      </c>
      <c r="H3459" s="9" t="s">
        <v>193</v>
      </c>
      <c r="I3459" s="10">
        <v>44104</v>
      </c>
      <c r="J3459" s="10">
        <v>48016</v>
      </c>
      <c r="K3459" s="5" t="s">
        <v>140</v>
      </c>
      <c r="L3459" s="5" t="s">
        <v>58</v>
      </c>
      <c r="M3459" s="11">
        <v>0.10000000000000001</v>
      </c>
      <c r="N3459" s="5" t="e">
        <f>IF(AND(M3459&gt;#REF!,Cartera!O3459="Guaraníes"),"Rendimiento significativo",IF(AND(M3459&gt;#REF!,Cartera!O3459="Dólares americanos"),"Rendimiento significativo","Rendimiento no significativo"))</f>
        <v>#REF!</v>
      </c>
      <c r="O3459" s="5" t="s">
        <v>41</v>
      </c>
      <c r="P3459" s="12">
        <v>12500000</v>
      </c>
      <c r="Q3459" s="12">
        <f>IF(O3459="Guaraníes",P3459,P3459*#REF!)</f>
        <v>12500000</v>
      </c>
      <c r="R3459" s="12" t="e">
        <f>IF(O3459="Guaraníes",P3459/#REF!,P3459)</f>
        <v>#REF!</v>
      </c>
      <c r="S3459" s="5" t="s">
        <v>42</v>
      </c>
      <c r="AC3459" s="5" t="str">
        <f t="shared" si="166"/>
        <v>Bonos</v>
      </c>
      <c r="AD3459" s="5" t="s">
        <v>43</v>
      </c>
      <c r="AE3459" s="5">
        <f t="shared" si="164"/>
        <v>6</v>
      </c>
      <c r="AF3459" s="5">
        <f t="shared" si="165"/>
        <v>2031</v>
      </c>
    </row>
    <row r="3460" s="5" customFormat="1" ht="13">
      <c r="A3460" s="5">
        <v>12301</v>
      </c>
      <c r="B3460" s="5" t="s">
        <v>107</v>
      </c>
      <c r="C3460" s="5" t="s">
        <v>138</v>
      </c>
      <c r="D3460" s="5" t="s">
        <v>20</v>
      </c>
      <c r="E3460" s="5" t="s">
        <v>34</v>
      </c>
      <c r="F3460" s="5" t="s">
        <v>68</v>
      </c>
      <c r="G3460" s="5" t="s">
        <v>86</v>
      </c>
      <c r="H3460" s="9" t="s">
        <v>193</v>
      </c>
      <c r="I3460" s="10">
        <v>44104</v>
      </c>
      <c r="J3460" s="10">
        <v>47925</v>
      </c>
      <c r="K3460" s="5" t="s">
        <v>140</v>
      </c>
      <c r="L3460" s="5" t="s">
        <v>58</v>
      </c>
      <c r="M3460" s="11">
        <v>0.10000000000000001</v>
      </c>
      <c r="N3460" s="5" t="e">
        <f>IF(AND(M3460&gt;#REF!,Cartera!O3460="Guaraníes"),"Rendimiento significativo",IF(AND(M3460&gt;#REF!,Cartera!O3460="Dólares americanos"),"Rendimiento significativo","Rendimiento no significativo"))</f>
        <v>#REF!</v>
      </c>
      <c r="O3460" s="5" t="s">
        <v>41</v>
      </c>
      <c r="P3460" s="12">
        <v>12500000</v>
      </c>
      <c r="Q3460" s="12">
        <f>IF(O3460="Guaraníes",P3460,P3460*#REF!)</f>
        <v>12500000</v>
      </c>
      <c r="R3460" s="12" t="e">
        <f>IF(O3460="Guaraníes",P3460/#REF!,P3460)</f>
        <v>#REF!</v>
      </c>
      <c r="S3460" s="5" t="s">
        <v>42</v>
      </c>
      <c r="AC3460" s="5" t="str">
        <f t="shared" si="166"/>
        <v>Bonos</v>
      </c>
      <c r="AD3460" s="5" t="s">
        <v>43</v>
      </c>
      <c r="AE3460" s="5">
        <f t="shared" si="164"/>
        <v>3</v>
      </c>
      <c r="AF3460" s="5">
        <f t="shared" si="165"/>
        <v>2031</v>
      </c>
    </row>
    <row r="3461" s="5" customFormat="1" ht="13">
      <c r="A3461" s="5">
        <v>12301</v>
      </c>
      <c r="B3461" s="5" t="s">
        <v>107</v>
      </c>
      <c r="C3461" s="5" t="s">
        <v>138</v>
      </c>
      <c r="D3461" s="5" t="s">
        <v>20</v>
      </c>
      <c r="E3461" s="5" t="s">
        <v>34</v>
      </c>
      <c r="F3461" s="5" t="s">
        <v>68</v>
      </c>
      <c r="G3461" s="5" t="s">
        <v>86</v>
      </c>
      <c r="H3461" s="9" t="s">
        <v>193</v>
      </c>
      <c r="I3461" s="10">
        <v>44104</v>
      </c>
      <c r="J3461" s="10">
        <v>47834</v>
      </c>
      <c r="K3461" s="5" t="s">
        <v>140</v>
      </c>
      <c r="L3461" s="5" t="s">
        <v>58</v>
      </c>
      <c r="M3461" s="11">
        <v>0.10000000000000001</v>
      </c>
      <c r="N3461" s="5" t="e">
        <f>IF(AND(M3461&gt;#REF!,Cartera!O3461="Guaraníes"),"Rendimiento significativo",IF(AND(M3461&gt;#REF!,Cartera!O3461="Dólares americanos"),"Rendimiento significativo","Rendimiento no significativo"))</f>
        <v>#REF!</v>
      </c>
      <c r="O3461" s="5" t="s">
        <v>41</v>
      </c>
      <c r="P3461" s="12">
        <v>12500000</v>
      </c>
      <c r="Q3461" s="12">
        <f>IF(O3461="Guaraníes",P3461,P3461*#REF!)</f>
        <v>12500000</v>
      </c>
      <c r="R3461" s="12" t="e">
        <f>IF(O3461="Guaraníes",P3461/#REF!,P3461)</f>
        <v>#REF!</v>
      </c>
      <c r="S3461" s="5" t="s">
        <v>42</v>
      </c>
      <c r="AC3461" s="5" t="str">
        <f t="shared" si="166"/>
        <v>Bonos</v>
      </c>
      <c r="AD3461" s="5" t="s">
        <v>43</v>
      </c>
      <c r="AE3461" s="5">
        <f t="shared" si="164"/>
        <v>12</v>
      </c>
      <c r="AF3461" s="5">
        <f t="shared" si="165"/>
        <v>2030</v>
      </c>
    </row>
    <row r="3462" s="5" customFormat="1" ht="13">
      <c r="A3462" s="5" t="s">
        <v>44</v>
      </c>
      <c r="B3462" s="5" t="s">
        <v>44</v>
      </c>
      <c r="C3462" s="5" t="s">
        <v>67</v>
      </c>
      <c r="D3462" s="5" t="s">
        <v>20</v>
      </c>
      <c r="E3462" s="5" t="s">
        <v>44</v>
      </c>
      <c r="F3462" s="5" t="s">
        <v>68</v>
      </c>
      <c r="G3462" s="5" t="s">
        <v>91</v>
      </c>
      <c r="H3462" s="9" t="s">
        <v>110</v>
      </c>
      <c r="I3462" s="10"/>
      <c r="J3462" s="10">
        <v>45394</v>
      </c>
      <c r="K3462" s="5" t="s">
        <v>71</v>
      </c>
      <c r="L3462" s="5" t="s">
        <v>58</v>
      </c>
      <c r="M3462" s="11">
        <v>0.089999999999999997</v>
      </c>
      <c r="N3462" s="5" t="e">
        <f>IF(AND(M3462&gt;#REF!,Cartera!O3462="Guaraníes"),"Rendimiento significativo",IF(AND(M3462&gt;#REF!,Cartera!O3462="Dólares americanos"),"Rendimiento significativo","Rendimiento no significativo"))</f>
        <v>#REF!</v>
      </c>
      <c r="O3462" s="5" t="s">
        <v>51</v>
      </c>
      <c r="P3462" s="13">
        <v>1500</v>
      </c>
      <c r="Q3462" s="12" t="e">
        <f>IF(O3462="Guaraníes",P3462,P3462*#REF!)</f>
        <v>#REF!</v>
      </c>
      <c r="R3462" s="12">
        <f>IF(O3462="Guaraníes",P3462/#REF!,P3462)</f>
        <v>1500</v>
      </c>
      <c r="S3462" s="5" t="s">
        <v>52</v>
      </c>
      <c r="AC3462" s="5" t="str">
        <f t="shared" si="166"/>
        <v>Bonos</v>
      </c>
      <c r="AD3462" s="5" t="s">
        <v>43</v>
      </c>
      <c r="AE3462" s="5">
        <f t="shared" si="164"/>
        <v>4</v>
      </c>
      <c r="AF3462" s="5">
        <f t="shared" si="165"/>
        <v>2024</v>
      </c>
    </row>
    <row r="3463" s="5" customFormat="1" ht="13">
      <c r="A3463" s="5" t="s">
        <v>44</v>
      </c>
      <c r="B3463" s="5" t="s">
        <v>44</v>
      </c>
      <c r="C3463" s="5" t="s">
        <v>67</v>
      </c>
      <c r="D3463" s="5" t="s">
        <v>20</v>
      </c>
      <c r="E3463" s="5" t="s">
        <v>44</v>
      </c>
      <c r="F3463" s="5" t="s">
        <v>68</v>
      </c>
      <c r="G3463" s="5" t="s">
        <v>91</v>
      </c>
      <c r="H3463" s="9" t="s">
        <v>110</v>
      </c>
      <c r="I3463" s="10"/>
      <c r="J3463" s="10">
        <v>45428</v>
      </c>
      <c r="K3463" s="5" t="s">
        <v>71</v>
      </c>
      <c r="L3463" s="5" t="s">
        <v>58</v>
      </c>
      <c r="M3463" s="11">
        <v>0.089999999999999997</v>
      </c>
      <c r="N3463" s="5" t="e">
        <f>IF(AND(M3463&gt;#REF!,Cartera!O3463="Guaraníes"),"Rendimiento significativo",IF(AND(M3463&gt;#REF!,Cartera!O3463="Dólares americanos"),"Rendimiento significativo","Rendimiento no significativo"))</f>
        <v>#REF!</v>
      </c>
      <c r="O3463" s="5" t="s">
        <v>51</v>
      </c>
      <c r="P3463" s="13">
        <v>1500</v>
      </c>
      <c r="Q3463" s="12" t="e">
        <f>IF(O3463="Guaraníes",P3463,P3463*#REF!)</f>
        <v>#REF!</v>
      </c>
      <c r="R3463" s="12">
        <f>IF(O3463="Guaraníes",P3463/#REF!,P3463)</f>
        <v>1500</v>
      </c>
      <c r="S3463" s="5" t="s">
        <v>52</v>
      </c>
      <c r="AC3463" s="5" t="str">
        <f t="shared" si="166"/>
        <v>Bonos</v>
      </c>
      <c r="AD3463" s="5" t="s">
        <v>43</v>
      </c>
      <c r="AE3463" s="5">
        <f t="shared" si="164"/>
        <v>5</v>
      </c>
      <c r="AF3463" s="5">
        <f t="shared" si="165"/>
        <v>2024</v>
      </c>
    </row>
    <row r="3464" s="5" customFormat="1" ht="13">
      <c r="A3464" s="5" t="s">
        <v>44</v>
      </c>
      <c r="B3464" s="5" t="s">
        <v>44</v>
      </c>
      <c r="C3464" s="5" t="s">
        <v>67</v>
      </c>
      <c r="D3464" s="5" t="s">
        <v>20</v>
      </c>
      <c r="E3464" s="5" t="s">
        <v>44</v>
      </c>
      <c r="F3464" s="5" t="s">
        <v>68</v>
      </c>
      <c r="G3464" s="5" t="s">
        <v>91</v>
      </c>
      <c r="H3464" s="9" t="s">
        <v>110</v>
      </c>
      <c r="I3464" s="10"/>
      <c r="J3464" s="10">
        <v>45458</v>
      </c>
      <c r="K3464" s="5" t="s">
        <v>71</v>
      </c>
      <c r="L3464" s="5" t="s">
        <v>58</v>
      </c>
      <c r="M3464" s="11">
        <v>0.089999999999999997</v>
      </c>
      <c r="N3464" s="5" t="e">
        <f>IF(AND(M3464&gt;#REF!,Cartera!O3464="Guaraníes"),"Rendimiento significativo",IF(AND(M3464&gt;#REF!,Cartera!O3464="Dólares americanos"),"Rendimiento significativo","Rendimiento no significativo"))</f>
        <v>#REF!</v>
      </c>
      <c r="O3464" s="5" t="s">
        <v>51</v>
      </c>
      <c r="P3464" s="13">
        <v>2000</v>
      </c>
      <c r="Q3464" s="12" t="e">
        <f>IF(O3464="Guaraníes",P3464,P3464*#REF!)</f>
        <v>#REF!</v>
      </c>
      <c r="R3464" s="12">
        <f>IF(O3464="Guaraníes",P3464/#REF!,P3464)</f>
        <v>2000</v>
      </c>
      <c r="S3464" s="5" t="s">
        <v>52</v>
      </c>
      <c r="AC3464" s="5" t="str">
        <f t="shared" si="166"/>
        <v>Bonos</v>
      </c>
      <c r="AD3464" s="5" t="s">
        <v>43</v>
      </c>
      <c r="AE3464" s="5">
        <f t="shared" si="164"/>
        <v>6</v>
      </c>
      <c r="AF3464" s="5">
        <f t="shared" si="165"/>
        <v>2024</v>
      </c>
    </row>
    <row r="3465" s="5" customFormat="1" ht="13">
      <c r="A3465" s="5" t="s">
        <v>44</v>
      </c>
      <c r="B3465" s="5" t="s">
        <v>44</v>
      </c>
      <c r="C3465" s="5" t="s">
        <v>67</v>
      </c>
      <c r="D3465" s="5" t="s">
        <v>20</v>
      </c>
      <c r="E3465" s="5" t="s">
        <v>44</v>
      </c>
      <c r="F3465" s="5" t="s">
        <v>68</v>
      </c>
      <c r="G3465" s="5" t="s">
        <v>91</v>
      </c>
      <c r="H3465" s="9" t="s">
        <v>110</v>
      </c>
      <c r="I3465" s="10"/>
      <c r="J3465" s="10">
        <v>45489</v>
      </c>
      <c r="K3465" s="5" t="s">
        <v>71</v>
      </c>
      <c r="L3465" s="5" t="s">
        <v>58</v>
      </c>
      <c r="M3465" s="11">
        <v>0.089999999999999997</v>
      </c>
      <c r="N3465" s="5" t="e">
        <f>IF(AND(M3465&gt;#REF!,Cartera!O3465="Guaraníes"),"Rendimiento significativo",IF(AND(M3465&gt;#REF!,Cartera!O3465="Dólares americanos"),"Rendimiento significativo","Rendimiento no significativo"))</f>
        <v>#REF!</v>
      </c>
      <c r="O3465" s="5" t="s">
        <v>51</v>
      </c>
      <c r="P3465" s="13">
        <v>2000</v>
      </c>
      <c r="Q3465" s="12" t="e">
        <f>IF(O3465="Guaraníes",P3465,P3465*#REF!)</f>
        <v>#REF!</v>
      </c>
      <c r="R3465" s="12">
        <f>IF(O3465="Guaraníes",P3465/#REF!,P3465)</f>
        <v>2000</v>
      </c>
      <c r="S3465" s="5" t="s">
        <v>52</v>
      </c>
      <c r="AC3465" s="5" t="str">
        <f t="shared" si="166"/>
        <v>Bonos</v>
      </c>
      <c r="AD3465" s="5" t="s">
        <v>43</v>
      </c>
      <c r="AE3465" s="5">
        <f t="shared" si="164"/>
        <v>7</v>
      </c>
      <c r="AF3465" s="5">
        <f t="shared" si="165"/>
        <v>2024</v>
      </c>
    </row>
    <row r="3466" s="5" customFormat="1" ht="13">
      <c r="A3466" s="5" t="s">
        <v>44</v>
      </c>
      <c r="B3466" s="5" t="s">
        <v>44</v>
      </c>
      <c r="C3466" s="5" t="s">
        <v>164</v>
      </c>
      <c r="D3466" s="5" t="s">
        <v>21</v>
      </c>
      <c r="E3466" s="5" t="s">
        <v>44</v>
      </c>
      <c r="F3466" s="5" t="s">
        <v>68</v>
      </c>
      <c r="G3466" s="5" t="s">
        <v>145</v>
      </c>
      <c r="H3466" s="9" t="s">
        <v>165</v>
      </c>
      <c r="I3466" s="20"/>
      <c r="J3466" s="10">
        <v>45534</v>
      </c>
      <c r="K3466" s="5" t="s">
        <v>124</v>
      </c>
      <c r="L3466" s="5" t="s">
        <v>58</v>
      </c>
      <c r="M3466" s="11">
        <v>0.10000000000000001</v>
      </c>
      <c r="N3466" s="5" t="e">
        <f>IF(AND(M3466&gt;#REF!,Cartera!O3466="Guaraníes"),"Rendimiento significativo",IF(AND(M3466&gt;#REF!,Cartera!O3466="Dólares americanos"),"Rendimiento significativo","Rendimiento no significativo"))</f>
        <v>#REF!</v>
      </c>
      <c r="O3466" s="5" t="s">
        <v>41</v>
      </c>
      <c r="P3466" s="12">
        <v>3287671.2328000003</v>
      </c>
      <c r="Q3466" s="12">
        <f>IF(O3466="Guaraníes",P3466,P3466*#REF!)</f>
        <v>3287671.2328000003</v>
      </c>
      <c r="R3466" s="12" t="e">
        <f>IF(O3466="Guaraníes",P3466/#REF!,P3466)</f>
        <v>#REF!</v>
      </c>
      <c r="S3466" s="5" t="s">
        <v>52</v>
      </c>
      <c r="T3466" s="5">
        <v>1057</v>
      </c>
      <c r="W3466" s="5" t="s">
        <v>65</v>
      </c>
      <c r="X3466" s="5">
        <v>0</v>
      </c>
      <c r="Y3466" s="5">
        <v>0</v>
      </c>
      <c r="Z3466" s="5">
        <v>8219.1780820000004</v>
      </c>
      <c r="AA3466" s="5">
        <v>400</v>
      </c>
      <c r="AB3466" s="5">
        <v>3287671.2327999999</v>
      </c>
      <c r="AC3466" s="5" t="str">
        <f t="shared" si="166"/>
        <v>Bonos</v>
      </c>
      <c r="AD3466" s="5" t="s">
        <v>43</v>
      </c>
      <c r="AE3466" s="5">
        <f t="shared" si="164"/>
        <v>8</v>
      </c>
      <c r="AF3466" s="5">
        <f t="shared" si="165"/>
        <v>2024</v>
      </c>
    </row>
    <row r="3467" s="5" customFormat="1" ht="13">
      <c r="A3467" s="5" t="s">
        <v>44</v>
      </c>
      <c r="B3467" s="5" t="s">
        <v>44</v>
      </c>
      <c r="C3467" s="5" t="s">
        <v>111</v>
      </c>
      <c r="D3467" s="5" t="s">
        <v>21</v>
      </c>
      <c r="E3467" s="5" t="s">
        <v>44</v>
      </c>
      <c r="F3467" s="5" t="s">
        <v>68</v>
      </c>
      <c r="H3467" s="9" t="s">
        <v>188</v>
      </c>
      <c r="I3467" s="10">
        <v>45370</v>
      </c>
      <c r="J3467" s="10">
        <v>45642</v>
      </c>
      <c r="K3467" s="5" t="s">
        <v>140</v>
      </c>
      <c r="L3467" s="5" t="s">
        <v>82</v>
      </c>
      <c r="M3467" s="11">
        <v>0.057000000000000002</v>
      </c>
      <c r="N3467" s="5" t="e">
        <f>IF(AND(M3467&gt;#REF!,Cartera!O3467="Guaraníes"),"Rendimiento significativo",IF(AND(M3467&gt;#REF!,Cartera!O3467="Dólares americanos"),"Rendimiento significativo","Rendimiento no significativo"))</f>
        <v>#REF!</v>
      </c>
      <c r="O3467" s="5" t="s">
        <v>51</v>
      </c>
      <c r="P3467" s="13">
        <v>284.22000000000003</v>
      </c>
      <c r="Q3467" s="12" t="e">
        <f>IF(O3467="Guaraníes",P3467,P3467*#REF!)</f>
        <v>#REF!</v>
      </c>
      <c r="R3467" s="12">
        <f>IF(O3467="Guaraníes",P3467/#REF!,P3467)</f>
        <v>284.22000000000003</v>
      </c>
      <c r="S3467" s="5" t="s">
        <v>52</v>
      </c>
      <c r="AC3467" s="5" t="str">
        <f t="shared" si="166"/>
        <v>CDA</v>
      </c>
      <c r="AD3467" s="5" t="s">
        <v>43</v>
      </c>
      <c r="AE3467" s="5">
        <f t="shared" si="164"/>
        <v>12</v>
      </c>
      <c r="AF3467" s="5">
        <f t="shared" si="165"/>
        <v>2024</v>
      </c>
    </row>
    <row r="3468" s="5" customFormat="1" ht="13">
      <c r="A3468" s="5" t="s">
        <v>368</v>
      </c>
      <c r="B3468" s="5" t="s">
        <v>368</v>
      </c>
      <c r="C3468" s="5" t="s">
        <v>67</v>
      </c>
      <c r="D3468" s="5" t="s">
        <v>20</v>
      </c>
      <c r="E3468" s="5" t="s">
        <v>34</v>
      </c>
      <c r="F3468" s="5" t="s">
        <v>68</v>
      </c>
      <c r="G3468" s="5" t="s">
        <v>91</v>
      </c>
      <c r="H3468" s="9" t="s">
        <v>110</v>
      </c>
      <c r="I3468" s="10"/>
      <c r="J3468" s="10">
        <v>45646</v>
      </c>
      <c r="K3468" s="5" t="s">
        <v>71</v>
      </c>
      <c r="L3468" s="5" t="s">
        <v>58</v>
      </c>
      <c r="M3468" s="11">
        <v>0.089999999999999997</v>
      </c>
      <c r="N3468" s="5" t="e">
        <f>IF(AND(M3468&gt;#REF!,Cartera!O3468="Guaraníes"),"Rendimiento significativo",IF(AND(M3468&gt;#REF!,Cartera!O3468="Dólares americanos"),"Rendimiento significativo","Rendimiento no significativo"))</f>
        <v>#REF!</v>
      </c>
      <c r="O3468" s="5" t="s">
        <v>51</v>
      </c>
      <c r="P3468" s="13">
        <v>2000</v>
      </c>
      <c r="Q3468" s="12" t="e">
        <f>IF(O3468="Guaraníes",P3468,P3468*#REF!)</f>
        <v>#REF!</v>
      </c>
      <c r="R3468" s="12">
        <f>IF(O3468="Guaraníes",P3468/#REF!,P3468)</f>
        <v>2000</v>
      </c>
      <c r="S3468" s="5" t="s">
        <v>52</v>
      </c>
      <c r="AC3468" s="5" t="str">
        <f t="shared" si="166"/>
        <v>Bonos</v>
      </c>
      <c r="AD3468" s="5" t="s">
        <v>43</v>
      </c>
      <c r="AE3468" s="5">
        <f t="shared" si="164"/>
        <v>12</v>
      </c>
      <c r="AF3468" s="5">
        <f t="shared" si="165"/>
        <v>2024</v>
      </c>
    </row>
    <row r="3469" s="5" customFormat="1" ht="13">
      <c r="A3469" s="5" t="s">
        <v>368</v>
      </c>
      <c r="B3469" s="5" t="s">
        <v>368</v>
      </c>
      <c r="C3469" s="5" t="s">
        <v>67</v>
      </c>
      <c r="D3469" s="5" t="s">
        <v>20</v>
      </c>
      <c r="E3469" s="5" t="s">
        <v>34</v>
      </c>
      <c r="F3469" s="5" t="s">
        <v>68</v>
      </c>
      <c r="G3469" s="5" t="s">
        <v>91</v>
      </c>
      <c r="H3469" s="9" t="s">
        <v>110</v>
      </c>
      <c r="I3469" s="10">
        <v>43305</v>
      </c>
      <c r="J3469" s="10">
        <v>45674</v>
      </c>
      <c r="K3469" s="5" t="s">
        <v>71</v>
      </c>
      <c r="L3469" s="5" t="s">
        <v>58</v>
      </c>
      <c r="M3469" s="11">
        <v>0.089999999999999997</v>
      </c>
      <c r="N3469" s="5" t="e">
        <f>IF(AND(M3469&gt;#REF!,Cartera!O3469="Guaraníes"),"Rendimiento significativo",IF(AND(M3469&gt;#REF!,Cartera!O3469="Dólares americanos"),"Rendimiento significativo","Rendimiento no significativo"))</f>
        <v>#REF!</v>
      </c>
      <c r="O3469" s="5" t="s">
        <v>51</v>
      </c>
      <c r="P3469" s="13">
        <v>2000</v>
      </c>
      <c r="Q3469" s="12" t="e">
        <f>IF(O3469="Guaraníes",P3469,P3469*#REF!)</f>
        <v>#REF!</v>
      </c>
      <c r="R3469" s="12">
        <f>IF(O3469="Guaraníes",P3469/#REF!,P3469)</f>
        <v>2000</v>
      </c>
      <c r="S3469" s="5" t="s">
        <v>52</v>
      </c>
      <c r="AC3469" s="5" t="str">
        <f t="shared" si="166"/>
        <v>Bonos</v>
      </c>
      <c r="AD3469" s="5" t="s">
        <v>43</v>
      </c>
      <c r="AE3469" s="5">
        <f t="shared" si="164"/>
        <v>1</v>
      </c>
      <c r="AF3469" s="5">
        <f t="shared" si="165"/>
        <v>2025</v>
      </c>
    </row>
    <row r="3470" s="5" customFormat="1" ht="13">
      <c r="A3470" s="5">
        <v>12316</v>
      </c>
      <c r="B3470" s="5" t="s">
        <v>78</v>
      </c>
      <c r="C3470" s="5" t="s">
        <v>183</v>
      </c>
      <c r="D3470" s="5" t="s">
        <v>21</v>
      </c>
      <c r="E3470" s="5" t="s">
        <v>34</v>
      </c>
      <c r="F3470" s="5" t="s">
        <v>184</v>
      </c>
      <c r="H3470" s="9">
        <v>6388</v>
      </c>
      <c r="I3470" s="10"/>
      <c r="J3470" s="10">
        <v>47612</v>
      </c>
      <c r="K3470" s="5" t="s">
        <v>124</v>
      </c>
      <c r="L3470" s="5" t="s">
        <v>82</v>
      </c>
      <c r="M3470" s="11">
        <v>0.079000000000000001</v>
      </c>
      <c r="N3470" s="5" t="e">
        <f>IF(AND(M3470&gt;#REF!,Cartera!O3470="Guaraníes"),"Rendimiento significativo",IF(AND(M3470&gt;#REF!,Cartera!O3470="Dólares americanos"),"Rendimiento significativo","Rendimiento no significativo"))</f>
        <v>#REF!</v>
      </c>
      <c r="O3470" s="5" t="s">
        <v>41</v>
      </c>
      <c r="P3470" s="12">
        <v>9793910</v>
      </c>
      <c r="Q3470" s="12">
        <f>IF(O3470="Guaraníes",P3470,P3470*#REF!)</f>
        <v>9793910</v>
      </c>
      <c r="R3470" s="12" t="e">
        <f>IF(O3470="Guaraníes",P3470/#REF!,P3470)</f>
        <v>#REF!</v>
      </c>
      <c r="S3470" s="5" t="s">
        <v>42</v>
      </c>
      <c r="V3470" s="5">
        <v>9792410</v>
      </c>
      <c r="W3470" s="5" t="s">
        <v>320</v>
      </c>
      <c r="AC3470" s="5" t="str">
        <f t="shared" si="166"/>
        <v>CDA</v>
      </c>
      <c r="AD3470" s="5" t="s">
        <v>43</v>
      </c>
      <c r="AE3470" s="5">
        <f t="shared" si="164"/>
        <v>5</v>
      </c>
      <c r="AF3470" s="5">
        <f t="shared" si="165"/>
        <v>2030</v>
      </c>
    </row>
    <row r="3471" s="5" customFormat="1" ht="13">
      <c r="A3471" s="5" t="s">
        <v>368</v>
      </c>
      <c r="B3471" s="5" t="s">
        <v>368</v>
      </c>
      <c r="C3471" s="5" t="s">
        <v>67</v>
      </c>
      <c r="D3471" s="5" t="s">
        <v>20</v>
      </c>
      <c r="E3471" s="5" t="s">
        <v>34</v>
      </c>
      <c r="F3471" s="5" t="s">
        <v>68</v>
      </c>
      <c r="G3471" s="5" t="s">
        <v>69</v>
      </c>
      <c r="H3471" s="9" t="s">
        <v>70</v>
      </c>
      <c r="I3471" s="10"/>
      <c r="J3471" s="10">
        <v>46101</v>
      </c>
      <c r="K3471" s="5" t="s">
        <v>71</v>
      </c>
      <c r="L3471" s="5" t="s">
        <v>58</v>
      </c>
      <c r="M3471" s="11">
        <v>0.067500000000000004</v>
      </c>
      <c r="N3471" s="5" t="e">
        <f>IF(AND(M3471&gt;#REF!,Cartera!O3471="Guaraníes"),"Rendimiento significativo",IF(AND(M3471&gt;#REF!,Cartera!O3471="Dólares americanos"),"Rendimiento significativo","Rendimiento no significativo"))</f>
        <v>#REF!</v>
      </c>
      <c r="O3471" s="5" t="s">
        <v>51</v>
      </c>
      <c r="P3471" s="13">
        <v>333.32999999999998</v>
      </c>
      <c r="Q3471" s="12" t="e">
        <f>IF(O3471="Guaraníes",P3471,P3471*#REF!)</f>
        <v>#REF!</v>
      </c>
      <c r="R3471" s="12">
        <f>IF(O3471="Guaraníes",P3471/#REF!,P3471)</f>
        <v>333.32999999999998</v>
      </c>
      <c r="S3471" s="5" t="s">
        <v>52</v>
      </c>
      <c r="T3471" s="5">
        <v>593</v>
      </c>
      <c r="AC3471" s="5" t="str">
        <f t="shared" si="166"/>
        <v>Bonos</v>
      </c>
      <c r="AD3471" s="5" t="s">
        <v>43</v>
      </c>
      <c r="AE3471" s="5">
        <f t="shared" si="164"/>
        <v>3</v>
      </c>
      <c r="AF3471" s="5">
        <f t="shared" si="165"/>
        <v>2026</v>
      </c>
    </row>
    <row r="3472" s="5" customFormat="1" ht="13">
      <c r="A3472" s="5" t="s">
        <v>368</v>
      </c>
      <c r="B3472" s="5" t="s">
        <v>368</v>
      </c>
      <c r="C3472" s="5" t="s">
        <v>67</v>
      </c>
      <c r="D3472" s="5" t="s">
        <v>20</v>
      </c>
      <c r="E3472" s="5" t="s">
        <v>34</v>
      </c>
      <c r="F3472" s="5" t="s">
        <v>68</v>
      </c>
      <c r="G3472" s="5" t="s">
        <v>69</v>
      </c>
      <c r="H3472" s="9" t="s">
        <v>70</v>
      </c>
      <c r="I3472" s="10"/>
      <c r="J3472" s="10">
        <v>46071</v>
      </c>
      <c r="K3472" s="5" t="s">
        <v>71</v>
      </c>
      <c r="L3472" s="5" t="s">
        <v>58</v>
      </c>
      <c r="M3472" s="11">
        <v>0.067500000000000004</v>
      </c>
      <c r="N3472" s="5" t="e">
        <f>IF(AND(M3472&gt;#REF!,Cartera!O3472="Guaraníes"),"Rendimiento significativo",IF(AND(M3472&gt;#REF!,Cartera!O3472="Dólares americanos"),"Rendimiento significativo","Rendimiento no significativo"))</f>
        <v>#REF!</v>
      </c>
      <c r="O3472" s="5" t="s">
        <v>51</v>
      </c>
      <c r="P3472" s="13">
        <v>333.32999999999998</v>
      </c>
      <c r="Q3472" s="12" t="e">
        <f>IF(O3472="Guaraníes",P3472,P3472*#REF!)</f>
        <v>#REF!</v>
      </c>
      <c r="R3472" s="12">
        <f>IF(O3472="Guaraníes",P3472/#REF!,P3472)</f>
        <v>333.32999999999998</v>
      </c>
      <c r="S3472" s="5" t="s">
        <v>52</v>
      </c>
      <c r="T3472" s="5">
        <v>593</v>
      </c>
      <c r="AC3472" s="5" t="str">
        <f t="shared" si="166"/>
        <v>Bonos</v>
      </c>
      <c r="AD3472" s="5" t="s">
        <v>43</v>
      </c>
      <c r="AE3472" s="5">
        <f t="shared" si="164"/>
        <v>2</v>
      </c>
      <c r="AF3472" s="5">
        <f t="shared" si="165"/>
        <v>2026</v>
      </c>
    </row>
    <row r="3473" s="5" customFormat="1" ht="13">
      <c r="A3473" s="5" t="s">
        <v>368</v>
      </c>
      <c r="B3473" s="5" t="s">
        <v>368</v>
      </c>
      <c r="C3473" s="5" t="s">
        <v>67</v>
      </c>
      <c r="D3473" s="5" t="s">
        <v>20</v>
      </c>
      <c r="E3473" s="5" t="s">
        <v>34</v>
      </c>
      <c r="F3473" s="5" t="s">
        <v>68</v>
      </c>
      <c r="G3473" s="5" t="s">
        <v>69</v>
      </c>
      <c r="H3473" s="9" t="s">
        <v>70</v>
      </c>
      <c r="I3473" s="10"/>
      <c r="J3473" s="10">
        <v>46039</v>
      </c>
      <c r="K3473" s="5" t="s">
        <v>71</v>
      </c>
      <c r="L3473" s="5" t="s">
        <v>58</v>
      </c>
      <c r="M3473" s="11">
        <v>0.067500000000000004</v>
      </c>
      <c r="N3473" s="5" t="e">
        <f>IF(AND(M3473&gt;#REF!,Cartera!O3473="Guaraníes"),"Rendimiento significativo",IF(AND(M3473&gt;#REF!,Cartera!O3473="Dólares americanos"),"Rendimiento significativo","Rendimiento no significativo"))</f>
        <v>#REF!</v>
      </c>
      <c r="O3473" s="5" t="s">
        <v>51</v>
      </c>
      <c r="P3473" s="13">
        <v>333.32999999999998</v>
      </c>
      <c r="Q3473" s="12" t="e">
        <f>IF(O3473="Guaraníes",P3473,P3473*#REF!)</f>
        <v>#REF!</v>
      </c>
      <c r="R3473" s="12">
        <f>IF(O3473="Guaraníes",P3473/#REF!,P3473)</f>
        <v>333.32999999999998</v>
      </c>
      <c r="S3473" s="5" t="s">
        <v>52</v>
      </c>
      <c r="T3473" s="5">
        <v>593</v>
      </c>
      <c r="AC3473" s="5" t="str">
        <f t="shared" si="166"/>
        <v>Bonos</v>
      </c>
      <c r="AD3473" s="5" t="s">
        <v>43</v>
      </c>
      <c r="AE3473" s="5">
        <f t="shared" si="164"/>
        <v>1</v>
      </c>
      <c r="AF3473" s="5">
        <f t="shared" si="165"/>
        <v>2026</v>
      </c>
    </row>
    <row r="3474" s="5" customFormat="1" ht="13">
      <c r="A3474" s="5" t="s">
        <v>368</v>
      </c>
      <c r="B3474" s="5" t="s">
        <v>368</v>
      </c>
      <c r="C3474" s="5" t="s">
        <v>67</v>
      </c>
      <c r="D3474" s="5" t="s">
        <v>20</v>
      </c>
      <c r="E3474" s="5" t="s">
        <v>34</v>
      </c>
      <c r="F3474" s="5" t="s">
        <v>68</v>
      </c>
      <c r="G3474" s="5" t="s">
        <v>69</v>
      </c>
      <c r="H3474" s="9" t="s">
        <v>70</v>
      </c>
      <c r="I3474" s="10"/>
      <c r="J3474" s="10">
        <v>46011</v>
      </c>
      <c r="K3474" s="5" t="s">
        <v>71</v>
      </c>
      <c r="L3474" s="5" t="s">
        <v>58</v>
      </c>
      <c r="M3474" s="11">
        <v>0.067500000000000004</v>
      </c>
      <c r="N3474" s="5" t="e">
        <f>IF(AND(M3474&gt;#REF!,Cartera!O3474="Guaraníes"),"Rendimiento significativo",IF(AND(M3474&gt;#REF!,Cartera!O3474="Dólares americanos"),"Rendimiento significativo","Rendimiento no significativo"))</f>
        <v>#REF!</v>
      </c>
      <c r="O3474" s="5" t="s">
        <v>51</v>
      </c>
      <c r="P3474" s="13">
        <v>333.32999999999998</v>
      </c>
      <c r="Q3474" s="12" t="e">
        <f>IF(O3474="Guaraníes",P3474,P3474*#REF!)</f>
        <v>#REF!</v>
      </c>
      <c r="R3474" s="12">
        <f>IF(O3474="Guaraníes",P3474/#REF!,P3474)</f>
        <v>333.32999999999998</v>
      </c>
      <c r="S3474" s="5" t="s">
        <v>52</v>
      </c>
      <c r="T3474" s="5">
        <v>593</v>
      </c>
      <c r="AC3474" s="5" t="str">
        <f t="shared" si="166"/>
        <v>Bonos</v>
      </c>
      <c r="AD3474" s="5" t="s">
        <v>43</v>
      </c>
      <c r="AE3474" s="5">
        <f t="shared" ref="AE3474:AE3537" si="167">IFERROR((MONTH(J3474)),0)</f>
        <v>12</v>
      </c>
      <c r="AF3474" s="5">
        <f t="shared" ref="AF3474:AF3537" si="168">IFERROR((YEAR(J3474)),0)</f>
        <v>2025</v>
      </c>
    </row>
    <row r="3475" s="5" customFormat="1" ht="13">
      <c r="A3475" s="5" t="s">
        <v>368</v>
      </c>
      <c r="B3475" s="5" t="s">
        <v>368</v>
      </c>
      <c r="C3475" s="5" t="s">
        <v>67</v>
      </c>
      <c r="D3475" s="5" t="s">
        <v>20</v>
      </c>
      <c r="E3475" s="5" t="s">
        <v>34</v>
      </c>
      <c r="F3475" s="5" t="s">
        <v>68</v>
      </c>
      <c r="G3475" s="5" t="s">
        <v>69</v>
      </c>
      <c r="H3475" s="9" t="s">
        <v>70</v>
      </c>
      <c r="I3475" s="10"/>
      <c r="J3475" s="10">
        <v>45979</v>
      </c>
      <c r="K3475" s="5" t="s">
        <v>71</v>
      </c>
      <c r="L3475" s="5" t="s">
        <v>58</v>
      </c>
      <c r="M3475" s="11">
        <v>0.067500000000000004</v>
      </c>
      <c r="N3475" s="5" t="e">
        <f>IF(AND(M3475&gt;#REF!,Cartera!O3475="Guaraníes"),"Rendimiento significativo",IF(AND(M3475&gt;#REF!,Cartera!O3475="Dólares americanos"),"Rendimiento significativo","Rendimiento no significativo"))</f>
        <v>#REF!</v>
      </c>
      <c r="O3475" s="5" t="s">
        <v>51</v>
      </c>
      <c r="P3475" s="13">
        <v>333.32999999999998</v>
      </c>
      <c r="Q3475" s="12" t="e">
        <f>IF(O3475="Guaraníes",P3475,P3475*#REF!)</f>
        <v>#REF!</v>
      </c>
      <c r="R3475" s="12">
        <f>IF(O3475="Guaraníes",P3475/#REF!,P3475)</f>
        <v>333.32999999999998</v>
      </c>
      <c r="S3475" s="5" t="s">
        <v>52</v>
      </c>
      <c r="T3475" s="5">
        <v>593</v>
      </c>
      <c r="AC3475" s="5" t="str">
        <f t="shared" si="166"/>
        <v>Bonos</v>
      </c>
      <c r="AD3475" s="5" t="s">
        <v>43</v>
      </c>
      <c r="AE3475" s="5">
        <f t="shared" si="167"/>
        <v>11</v>
      </c>
      <c r="AF3475" s="5">
        <f t="shared" si="168"/>
        <v>2025</v>
      </c>
    </row>
    <row r="3476" s="5" customFormat="1" ht="13">
      <c r="A3476" s="5" t="s">
        <v>368</v>
      </c>
      <c r="B3476" s="5" t="s">
        <v>368</v>
      </c>
      <c r="C3476" s="5" t="s">
        <v>67</v>
      </c>
      <c r="D3476" s="5" t="s">
        <v>20</v>
      </c>
      <c r="E3476" s="5" t="s">
        <v>34</v>
      </c>
      <c r="F3476" s="5" t="s">
        <v>68</v>
      </c>
      <c r="G3476" s="5" t="s">
        <v>69</v>
      </c>
      <c r="H3476" s="9" t="s">
        <v>70</v>
      </c>
      <c r="I3476" s="10"/>
      <c r="J3476" s="10">
        <v>45947</v>
      </c>
      <c r="K3476" s="5" t="s">
        <v>71</v>
      </c>
      <c r="L3476" s="5" t="s">
        <v>58</v>
      </c>
      <c r="M3476" s="11">
        <v>0.067500000000000004</v>
      </c>
      <c r="N3476" s="5" t="e">
        <f>IF(AND(M3476&gt;#REF!,Cartera!O3476="Guaraníes"),"Rendimiento significativo",IF(AND(M3476&gt;#REF!,Cartera!O3476="Dólares americanos"),"Rendimiento significativo","Rendimiento no significativo"))</f>
        <v>#REF!</v>
      </c>
      <c r="O3476" s="5" t="s">
        <v>51</v>
      </c>
      <c r="P3476" s="13">
        <v>333.32999999999998</v>
      </c>
      <c r="Q3476" s="12" t="e">
        <f>IF(O3476="Guaraníes",P3476,P3476*#REF!)</f>
        <v>#REF!</v>
      </c>
      <c r="R3476" s="12">
        <f>IF(O3476="Guaraníes",P3476/#REF!,P3476)</f>
        <v>333.32999999999998</v>
      </c>
      <c r="S3476" s="5" t="s">
        <v>52</v>
      </c>
      <c r="T3476" s="5">
        <v>593</v>
      </c>
      <c r="AC3476" s="5" t="str">
        <f t="shared" si="166"/>
        <v>Bonos</v>
      </c>
      <c r="AD3476" s="5" t="s">
        <v>43</v>
      </c>
      <c r="AE3476" s="5">
        <f t="shared" si="167"/>
        <v>10</v>
      </c>
      <c r="AF3476" s="5">
        <f t="shared" si="168"/>
        <v>2025</v>
      </c>
    </row>
    <row r="3477" s="5" customFormat="1" ht="13">
      <c r="A3477" s="5" t="s">
        <v>368</v>
      </c>
      <c r="B3477" s="5" t="s">
        <v>368</v>
      </c>
      <c r="C3477" s="5" t="s">
        <v>67</v>
      </c>
      <c r="D3477" s="5" t="s">
        <v>20</v>
      </c>
      <c r="E3477" s="5" t="s">
        <v>34</v>
      </c>
      <c r="F3477" s="5" t="s">
        <v>68</v>
      </c>
      <c r="G3477" s="5" t="s">
        <v>69</v>
      </c>
      <c r="H3477" s="9" t="s">
        <v>70</v>
      </c>
      <c r="I3477" s="10"/>
      <c r="J3477" s="10">
        <v>45916</v>
      </c>
      <c r="K3477" s="5" t="s">
        <v>71</v>
      </c>
      <c r="L3477" s="5" t="s">
        <v>58</v>
      </c>
      <c r="M3477" s="11">
        <v>0.067500000000000004</v>
      </c>
      <c r="N3477" s="5" t="e">
        <f>IF(AND(M3477&gt;#REF!,Cartera!O3477="Guaraníes"),"Rendimiento significativo",IF(AND(M3477&gt;#REF!,Cartera!O3477="Dólares americanos"),"Rendimiento significativo","Rendimiento no significativo"))</f>
        <v>#REF!</v>
      </c>
      <c r="O3477" s="5" t="s">
        <v>51</v>
      </c>
      <c r="P3477" s="13">
        <v>333.32999999999998</v>
      </c>
      <c r="Q3477" s="12" t="e">
        <f>IF(O3477="Guaraníes",P3477,P3477*#REF!)</f>
        <v>#REF!</v>
      </c>
      <c r="R3477" s="12">
        <f>IF(O3477="Guaraníes",P3477/#REF!,P3477)</f>
        <v>333.32999999999998</v>
      </c>
      <c r="S3477" s="5" t="s">
        <v>52</v>
      </c>
      <c r="T3477" s="5">
        <v>593</v>
      </c>
      <c r="AC3477" s="5" t="str">
        <f t="shared" si="166"/>
        <v>Bonos</v>
      </c>
      <c r="AD3477" s="5" t="s">
        <v>43</v>
      </c>
      <c r="AE3477" s="5">
        <f t="shared" si="167"/>
        <v>9</v>
      </c>
      <c r="AF3477" s="5">
        <f t="shared" si="168"/>
        <v>2025</v>
      </c>
    </row>
    <row r="3478" s="5" customFormat="1" ht="13">
      <c r="A3478" s="5" t="s">
        <v>368</v>
      </c>
      <c r="B3478" s="5" t="s">
        <v>368</v>
      </c>
      <c r="C3478" s="5" t="s">
        <v>67</v>
      </c>
      <c r="D3478" s="5" t="s">
        <v>20</v>
      </c>
      <c r="E3478" s="5" t="s">
        <v>34</v>
      </c>
      <c r="F3478" s="5" t="s">
        <v>68</v>
      </c>
      <c r="G3478" s="5" t="s">
        <v>69</v>
      </c>
      <c r="H3478" s="9" t="s">
        <v>70</v>
      </c>
      <c r="I3478" s="10"/>
      <c r="J3478" s="10">
        <v>45885</v>
      </c>
      <c r="K3478" s="5" t="s">
        <v>71</v>
      </c>
      <c r="L3478" s="5" t="s">
        <v>58</v>
      </c>
      <c r="M3478" s="11">
        <v>0.067500000000000004</v>
      </c>
      <c r="N3478" s="5" t="e">
        <f>IF(AND(M3478&gt;#REF!,Cartera!O3478="Guaraníes"),"Rendimiento significativo",IF(AND(M3478&gt;#REF!,Cartera!O3478="Dólares americanos"),"Rendimiento significativo","Rendimiento no significativo"))</f>
        <v>#REF!</v>
      </c>
      <c r="O3478" s="5" t="s">
        <v>51</v>
      </c>
      <c r="P3478" s="13">
        <v>333.32999999999998</v>
      </c>
      <c r="Q3478" s="12" t="e">
        <f>IF(O3478="Guaraníes",P3478,P3478*#REF!)</f>
        <v>#REF!</v>
      </c>
      <c r="R3478" s="12">
        <f>IF(O3478="Guaraníes",P3478/#REF!,P3478)</f>
        <v>333.32999999999998</v>
      </c>
      <c r="S3478" s="5" t="s">
        <v>52</v>
      </c>
      <c r="T3478" s="5">
        <v>593</v>
      </c>
      <c r="AC3478" s="5" t="str">
        <f t="shared" si="166"/>
        <v>Bonos</v>
      </c>
      <c r="AD3478" s="5" t="s">
        <v>43</v>
      </c>
      <c r="AE3478" s="5">
        <f t="shared" si="167"/>
        <v>8</v>
      </c>
      <c r="AF3478" s="5">
        <f t="shared" si="168"/>
        <v>2025</v>
      </c>
    </row>
    <row r="3479" s="5" customFormat="1" ht="13">
      <c r="A3479" s="5" t="s">
        <v>368</v>
      </c>
      <c r="B3479" s="5" t="s">
        <v>368</v>
      </c>
      <c r="C3479" s="5" t="s">
        <v>67</v>
      </c>
      <c r="D3479" s="5" t="s">
        <v>20</v>
      </c>
      <c r="E3479" s="5" t="s">
        <v>34</v>
      </c>
      <c r="F3479" s="5" t="s">
        <v>68</v>
      </c>
      <c r="G3479" s="5" t="s">
        <v>69</v>
      </c>
      <c r="H3479" s="9" t="s">
        <v>70</v>
      </c>
      <c r="I3479" s="10"/>
      <c r="J3479" s="10">
        <v>45857</v>
      </c>
      <c r="K3479" s="5" t="s">
        <v>71</v>
      </c>
      <c r="L3479" s="5" t="s">
        <v>58</v>
      </c>
      <c r="M3479" s="11">
        <v>0.067500000000000004</v>
      </c>
      <c r="N3479" s="5" t="e">
        <f>IF(AND(M3479&gt;#REF!,Cartera!O3479="Guaraníes"),"Rendimiento significativo",IF(AND(M3479&gt;#REF!,Cartera!O3479="Dólares americanos"),"Rendimiento significativo","Rendimiento no significativo"))</f>
        <v>#REF!</v>
      </c>
      <c r="O3479" s="5" t="s">
        <v>51</v>
      </c>
      <c r="P3479" s="13">
        <v>333.32999999999998</v>
      </c>
      <c r="Q3479" s="12" t="e">
        <f>IF(O3479="Guaraníes",P3479,P3479*#REF!)</f>
        <v>#REF!</v>
      </c>
      <c r="R3479" s="12">
        <f>IF(O3479="Guaraníes",P3479/#REF!,P3479)</f>
        <v>333.32999999999998</v>
      </c>
      <c r="S3479" s="5" t="s">
        <v>52</v>
      </c>
      <c r="T3479" s="5">
        <v>593</v>
      </c>
      <c r="AC3479" s="5" t="str">
        <f t="shared" si="166"/>
        <v>Bonos</v>
      </c>
      <c r="AD3479" s="5" t="s">
        <v>43</v>
      </c>
      <c r="AE3479" s="5">
        <f t="shared" si="167"/>
        <v>7</v>
      </c>
      <c r="AF3479" s="5">
        <f t="shared" si="168"/>
        <v>2025</v>
      </c>
    </row>
    <row r="3480" s="5" customFormat="1" ht="13">
      <c r="A3480" s="5" t="s">
        <v>368</v>
      </c>
      <c r="B3480" s="5" t="s">
        <v>368</v>
      </c>
      <c r="C3480" s="5" t="s">
        <v>67</v>
      </c>
      <c r="D3480" s="5" t="s">
        <v>20</v>
      </c>
      <c r="E3480" s="5" t="s">
        <v>34</v>
      </c>
      <c r="F3480" s="5" t="s">
        <v>68</v>
      </c>
      <c r="G3480" s="5" t="s">
        <v>69</v>
      </c>
      <c r="H3480" s="9" t="s">
        <v>70</v>
      </c>
      <c r="I3480" s="10"/>
      <c r="J3480" s="10">
        <v>45828</v>
      </c>
      <c r="K3480" s="5" t="s">
        <v>71</v>
      </c>
      <c r="L3480" s="5" t="s">
        <v>58</v>
      </c>
      <c r="M3480" s="11">
        <v>0.067500000000000004</v>
      </c>
      <c r="N3480" s="5" t="e">
        <f>IF(AND(M3480&gt;#REF!,Cartera!O3480="Guaraníes"),"Rendimiento significativo",IF(AND(M3480&gt;#REF!,Cartera!O3480="Dólares americanos"),"Rendimiento significativo","Rendimiento no significativo"))</f>
        <v>#REF!</v>
      </c>
      <c r="O3480" s="5" t="s">
        <v>51</v>
      </c>
      <c r="P3480" s="13">
        <v>333.32999999999998</v>
      </c>
      <c r="Q3480" s="12" t="e">
        <f>IF(O3480="Guaraníes",P3480,P3480*#REF!)</f>
        <v>#REF!</v>
      </c>
      <c r="R3480" s="12">
        <f>IF(O3480="Guaraníes",P3480/#REF!,P3480)</f>
        <v>333.32999999999998</v>
      </c>
      <c r="S3480" s="5" t="s">
        <v>52</v>
      </c>
      <c r="T3480" s="5">
        <v>593</v>
      </c>
      <c r="AC3480" s="5" t="str">
        <f t="shared" si="166"/>
        <v>Bonos</v>
      </c>
      <c r="AD3480" s="5" t="s">
        <v>43</v>
      </c>
      <c r="AE3480" s="5">
        <f t="shared" si="167"/>
        <v>6</v>
      </c>
      <c r="AF3480" s="5">
        <f t="shared" si="168"/>
        <v>2025</v>
      </c>
    </row>
    <row r="3481" s="5" customFormat="1" ht="13">
      <c r="A3481" s="5" t="s">
        <v>368</v>
      </c>
      <c r="B3481" s="5" t="s">
        <v>368</v>
      </c>
      <c r="C3481" s="5" t="s">
        <v>67</v>
      </c>
      <c r="D3481" s="5" t="s">
        <v>20</v>
      </c>
      <c r="E3481" s="5" t="s">
        <v>34</v>
      </c>
      <c r="F3481" s="5" t="s">
        <v>68</v>
      </c>
      <c r="G3481" s="5" t="s">
        <v>69</v>
      </c>
      <c r="H3481" s="9" t="s">
        <v>70</v>
      </c>
      <c r="I3481" s="10"/>
      <c r="J3481" s="10">
        <v>45797</v>
      </c>
      <c r="K3481" s="5" t="s">
        <v>71</v>
      </c>
      <c r="L3481" s="5" t="s">
        <v>58</v>
      </c>
      <c r="M3481" s="11">
        <v>0.067500000000000004</v>
      </c>
      <c r="N3481" s="5" t="e">
        <f>IF(AND(M3481&gt;#REF!,Cartera!O3481="Guaraníes"),"Rendimiento significativo",IF(AND(M3481&gt;#REF!,Cartera!O3481="Dólares americanos"),"Rendimiento significativo","Rendimiento no significativo"))</f>
        <v>#REF!</v>
      </c>
      <c r="O3481" s="5" t="s">
        <v>51</v>
      </c>
      <c r="P3481" s="13">
        <v>333.32999999999998</v>
      </c>
      <c r="Q3481" s="12" t="e">
        <f>IF(O3481="Guaraníes",P3481,P3481*#REF!)</f>
        <v>#REF!</v>
      </c>
      <c r="R3481" s="12">
        <f>IF(O3481="Guaraníes",P3481/#REF!,P3481)</f>
        <v>333.32999999999998</v>
      </c>
      <c r="S3481" s="5" t="s">
        <v>52</v>
      </c>
      <c r="T3481" s="5">
        <v>593</v>
      </c>
      <c r="AC3481" s="5" t="str">
        <f t="shared" si="166"/>
        <v>Bonos</v>
      </c>
      <c r="AD3481" s="5" t="s">
        <v>43</v>
      </c>
      <c r="AE3481" s="5">
        <f t="shared" si="167"/>
        <v>5</v>
      </c>
      <c r="AF3481" s="5">
        <f t="shared" si="168"/>
        <v>2025</v>
      </c>
    </row>
    <row r="3482" s="5" customFormat="1" ht="13">
      <c r="A3482" s="5" t="s">
        <v>368</v>
      </c>
      <c r="B3482" s="5" t="s">
        <v>368</v>
      </c>
      <c r="C3482" s="5" t="s">
        <v>67</v>
      </c>
      <c r="D3482" s="5" t="s">
        <v>20</v>
      </c>
      <c r="E3482" s="5" t="s">
        <v>34</v>
      </c>
      <c r="F3482" s="5" t="s">
        <v>68</v>
      </c>
      <c r="G3482" s="5" t="s">
        <v>69</v>
      </c>
      <c r="H3482" s="9" t="s">
        <v>70</v>
      </c>
      <c r="I3482" s="10"/>
      <c r="J3482" s="10">
        <v>45765</v>
      </c>
      <c r="K3482" s="5" t="s">
        <v>71</v>
      </c>
      <c r="L3482" s="5" t="s">
        <v>58</v>
      </c>
      <c r="M3482" s="11">
        <v>0.067500000000000004</v>
      </c>
      <c r="N3482" s="5" t="e">
        <f>IF(AND(M3482&gt;#REF!,Cartera!O3482="Guaraníes"),"Rendimiento significativo",IF(AND(M3482&gt;#REF!,Cartera!O3482="Dólares americanos"),"Rendimiento significativo","Rendimiento no significativo"))</f>
        <v>#REF!</v>
      </c>
      <c r="O3482" s="5" t="s">
        <v>51</v>
      </c>
      <c r="P3482" s="13">
        <v>333.32999999999998</v>
      </c>
      <c r="Q3482" s="12" t="e">
        <f>IF(O3482="Guaraníes",P3482,P3482*#REF!)</f>
        <v>#REF!</v>
      </c>
      <c r="R3482" s="12">
        <f>IF(O3482="Guaraníes",P3482/#REF!,P3482)</f>
        <v>333.32999999999998</v>
      </c>
      <c r="S3482" s="5" t="s">
        <v>52</v>
      </c>
      <c r="T3482" s="5">
        <v>593</v>
      </c>
      <c r="AC3482" s="5" t="str">
        <f t="shared" si="166"/>
        <v>Bonos</v>
      </c>
      <c r="AD3482" s="5" t="s">
        <v>43</v>
      </c>
      <c r="AE3482" s="5">
        <f t="shared" si="167"/>
        <v>4</v>
      </c>
      <c r="AF3482" s="5">
        <f t="shared" si="168"/>
        <v>2025</v>
      </c>
    </row>
    <row r="3483" s="5" customFormat="1" ht="13">
      <c r="A3483" s="5" t="s">
        <v>368</v>
      </c>
      <c r="B3483" s="5" t="s">
        <v>368</v>
      </c>
      <c r="C3483" s="5" t="s">
        <v>67</v>
      </c>
      <c r="D3483" s="5" t="s">
        <v>20</v>
      </c>
      <c r="E3483" s="5" t="s">
        <v>34</v>
      </c>
      <c r="F3483" s="5" t="s">
        <v>68</v>
      </c>
      <c r="G3483" s="5" t="s">
        <v>69</v>
      </c>
      <c r="H3483" s="9" t="s">
        <v>70</v>
      </c>
      <c r="I3483" s="10"/>
      <c r="J3483" s="10">
        <v>45734</v>
      </c>
      <c r="K3483" s="5" t="s">
        <v>71</v>
      </c>
      <c r="L3483" s="5" t="s">
        <v>58</v>
      </c>
      <c r="M3483" s="11">
        <v>0.067500000000000004</v>
      </c>
      <c r="N3483" s="5" t="e">
        <f>IF(AND(M3483&gt;#REF!,Cartera!O3483="Guaraníes"),"Rendimiento significativo",IF(AND(M3483&gt;#REF!,Cartera!O3483="Dólares americanos"),"Rendimiento significativo","Rendimiento no significativo"))</f>
        <v>#REF!</v>
      </c>
      <c r="O3483" s="5" t="s">
        <v>51</v>
      </c>
      <c r="P3483" s="13">
        <v>333.32999999999998</v>
      </c>
      <c r="Q3483" s="12" t="e">
        <f>IF(O3483="Guaraníes",P3483,P3483*#REF!)</f>
        <v>#REF!</v>
      </c>
      <c r="R3483" s="12">
        <f>IF(O3483="Guaraníes",P3483/#REF!,P3483)</f>
        <v>333.32999999999998</v>
      </c>
      <c r="S3483" s="5" t="s">
        <v>52</v>
      </c>
      <c r="T3483" s="5">
        <v>593</v>
      </c>
      <c r="AC3483" s="5" t="str">
        <f t="shared" si="166"/>
        <v>Bonos</v>
      </c>
      <c r="AD3483" s="5" t="s">
        <v>43</v>
      </c>
      <c r="AE3483" s="5">
        <f t="shared" si="167"/>
        <v>3</v>
      </c>
      <c r="AF3483" s="5">
        <f t="shared" si="168"/>
        <v>2025</v>
      </c>
    </row>
    <row r="3484" s="5" customFormat="1" ht="13">
      <c r="A3484" s="5" t="s">
        <v>368</v>
      </c>
      <c r="B3484" s="5" t="s">
        <v>368</v>
      </c>
      <c r="C3484" s="5" t="s">
        <v>67</v>
      </c>
      <c r="D3484" s="5" t="s">
        <v>20</v>
      </c>
      <c r="E3484" s="5" t="s">
        <v>34</v>
      </c>
      <c r="F3484" s="5" t="s">
        <v>68</v>
      </c>
      <c r="G3484" s="5" t="s">
        <v>69</v>
      </c>
      <c r="H3484" s="9" t="s">
        <v>70</v>
      </c>
      <c r="I3484" s="10"/>
      <c r="J3484" s="10">
        <v>45703</v>
      </c>
      <c r="K3484" s="5" t="s">
        <v>71</v>
      </c>
      <c r="L3484" s="5" t="s">
        <v>58</v>
      </c>
      <c r="M3484" s="11">
        <v>0.067500000000000004</v>
      </c>
      <c r="N3484" s="5" t="e">
        <f>IF(AND(M3484&gt;#REF!,Cartera!O3484="Guaraníes"),"Rendimiento significativo",IF(AND(M3484&gt;#REF!,Cartera!O3484="Dólares americanos"),"Rendimiento significativo","Rendimiento no significativo"))</f>
        <v>#REF!</v>
      </c>
      <c r="O3484" s="5" t="s">
        <v>51</v>
      </c>
      <c r="P3484" s="13">
        <v>333.32999999999998</v>
      </c>
      <c r="Q3484" s="12" t="e">
        <f>IF(O3484="Guaraníes",P3484,P3484*#REF!)</f>
        <v>#REF!</v>
      </c>
      <c r="R3484" s="12">
        <f>IF(O3484="Guaraníes",P3484/#REF!,P3484)</f>
        <v>333.32999999999998</v>
      </c>
      <c r="S3484" s="5" t="s">
        <v>52</v>
      </c>
      <c r="T3484" s="5">
        <v>593</v>
      </c>
      <c r="AC3484" s="5" t="str">
        <f t="shared" si="166"/>
        <v>Bonos</v>
      </c>
      <c r="AD3484" s="5" t="s">
        <v>43</v>
      </c>
      <c r="AE3484" s="5">
        <f t="shared" si="167"/>
        <v>2</v>
      </c>
      <c r="AF3484" s="5">
        <f t="shared" si="168"/>
        <v>2025</v>
      </c>
    </row>
    <row r="3485" s="5" customFormat="1" ht="13">
      <c r="A3485" s="5" t="s">
        <v>368</v>
      </c>
      <c r="B3485" s="5" t="s">
        <v>368</v>
      </c>
      <c r="C3485" s="5" t="s">
        <v>67</v>
      </c>
      <c r="D3485" s="5" t="s">
        <v>20</v>
      </c>
      <c r="E3485" s="5" t="s">
        <v>34</v>
      </c>
      <c r="F3485" s="5" t="s">
        <v>68</v>
      </c>
      <c r="G3485" s="5" t="s">
        <v>69</v>
      </c>
      <c r="H3485" s="9" t="s">
        <v>70</v>
      </c>
      <c r="I3485" s="10"/>
      <c r="J3485" s="10">
        <v>45672</v>
      </c>
      <c r="K3485" s="5" t="s">
        <v>71</v>
      </c>
      <c r="L3485" s="5" t="s">
        <v>58</v>
      </c>
      <c r="M3485" s="11">
        <v>0.067500000000000004</v>
      </c>
      <c r="N3485" s="5" t="e">
        <f>IF(AND(M3485&gt;#REF!,Cartera!O3485="Guaraníes"),"Rendimiento significativo",IF(AND(M3485&gt;#REF!,Cartera!O3485="Dólares americanos"),"Rendimiento significativo","Rendimiento no significativo"))</f>
        <v>#REF!</v>
      </c>
      <c r="O3485" s="5" t="s">
        <v>51</v>
      </c>
      <c r="P3485" s="13">
        <v>333.32999999999998</v>
      </c>
      <c r="Q3485" s="12" t="e">
        <f>IF(O3485="Guaraníes",P3485,P3485*#REF!)</f>
        <v>#REF!</v>
      </c>
      <c r="R3485" s="12">
        <f>IF(O3485="Guaraníes",P3485/#REF!,P3485)</f>
        <v>333.32999999999998</v>
      </c>
      <c r="S3485" s="5" t="s">
        <v>52</v>
      </c>
      <c r="T3485" s="5">
        <v>593</v>
      </c>
      <c r="AC3485" s="5" t="str">
        <f t="shared" si="166"/>
        <v>Bonos</v>
      </c>
      <c r="AD3485" s="5" t="s">
        <v>43</v>
      </c>
      <c r="AE3485" s="5">
        <f t="shared" si="167"/>
        <v>1</v>
      </c>
      <c r="AF3485" s="5">
        <f t="shared" si="168"/>
        <v>2025</v>
      </c>
    </row>
    <row r="3486" s="5" customFormat="1" ht="13">
      <c r="A3486" s="5" t="s">
        <v>44</v>
      </c>
      <c r="B3486" s="5" t="s">
        <v>44</v>
      </c>
      <c r="C3486" s="5" t="s">
        <v>67</v>
      </c>
      <c r="D3486" s="5" t="s">
        <v>21</v>
      </c>
      <c r="E3486" s="5" t="s">
        <v>44</v>
      </c>
      <c r="F3486" s="5" t="s">
        <v>68</v>
      </c>
      <c r="G3486" s="5" t="s">
        <v>69</v>
      </c>
      <c r="H3486" s="9" t="s">
        <v>70</v>
      </c>
      <c r="I3486" s="10">
        <v>45580</v>
      </c>
      <c r="J3486" s="10">
        <v>45643</v>
      </c>
      <c r="K3486" s="5" t="s">
        <v>538</v>
      </c>
      <c r="L3486" s="5" t="s">
        <v>58</v>
      </c>
      <c r="M3486" s="11">
        <v>0.067500000000000004</v>
      </c>
      <c r="N3486" s="5" t="e">
        <f>IF(AND(M3486&gt;#REF!,Cartera!O3486="Guaraníes"),"Rendimiento significativo",IF(AND(M3486&gt;#REF!,Cartera!O3486="Dólares americanos"),"Rendimiento significativo","Rendimiento no significativo"))</f>
        <v>#REF!</v>
      </c>
      <c r="O3486" s="5" t="s">
        <v>51</v>
      </c>
      <c r="P3486" s="13">
        <v>11.32</v>
      </c>
      <c r="Q3486" s="12" t="e">
        <f>IF(O3486="Guaraníes",P3486,P3486*#REF!)</f>
        <v>#REF!</v>
      </c>
      <c r="R3486" s="12">
        <f>IF(O3486="Guaraníes",P3486/#REF!,P3486)</f>
        <v>11.32</v>
      </c>
      <c r="S3486" s="5" t="s">
        <v>52</v>
      </c>
      <c r="T3486" s="5">
        <v>593</v>
      </c>
      <c r="AC3486" s="5" t="str">
        <f t="shared" si="166"/>
        <v>Bonos</v>
      </c>
      <c r="AD3486" s="5" t="s">
        <v>43</v>
      </c>
      <c r="AE3486" s="5">
        <f t="shared" si="167"/>
        <v>12</v>
      </c>
      <c r="AF3486" s="5">
        <f t="shared" si="168"/>
        <v>2024</v>
      </c>
      <c r="AG3486" s="28" t="s">
        <v>539</v>
      </c>
    </row>
    <row r="3487" s="5" customFormat="1" ht="13">
      <c r="A3487" s="5" t="s">
        <v>44</v>
      </c>
      <c r="B3487" s="5" t="s">
        <v>44</v>
      </c>
      <c r="C3487" s="5" t="s">
        <v>60</v>
      </c>
      <c r="D3487" s="5" t="s">
        <v>21</v>
      </c>
      <c r="E3487" s="5" t="s">
        <v>44</v>
      </c>
      <c r="F3487" s="5" t="s">
        <v>68</v>
      </c>
      <c r="H3487" s="9"/>
      <c r="I3487" s="10">
        <v>45527</v>
      </c>
      <c r="J3487" s="10">
        <v>45618</v>
      </c>
      <c r="L3487" s="5" t="s">
        <v>82</v>
      </c>
      <c r="M3487" s="11">
        <v>0.057500000000000002</v>
      </c>
      <c r="N3487" s="5" t="e">
        <f>IF(AND(M3487&gt;#REF!,Cartera!O3487="Guaraníes"),"Rendimiento significativo",IF(AND(M3487&gt;#REF!,Cartera!O3487="Dólares americanos"),"Rendimiento significativo","Rendimiento no significativo"))</f>
        <v>#REF!</v>
      </c>
      <c r="O3487" s="5" t="s">
        <v>51</v>
      </c>
      <c r="P3487" s="13">
        <v>286.70999999999998</v>
      </c>
      <c r="Q3487" s="12" t="e">
        <f>IF(O3487="Guaraníes",P3487,P3487*#REF!)</f>
        <v>#REF!</v>
      </c>
      <c r="R3487" s="13">
        <f>IF(O3487="Guaraníes",P3487/#REF!,P3487)</f>
        <v>286.70999999999998</v>
      </c>
      <c r="S3487" s="5" t="s">
        <v>52</v>
      </c>
      <c r="AC3487" s="5" t="str">
        <f t="shared" si="166"/>
        <v>CDA</v>
      </c>
      <c r="AD3487" s="5" t="s">
        <v>43</v>
      </c>
      <c r="AE3487" s="5">
        <f t="shared" si="167"/>
        <v>11</v>
      </c>
      <c r="AF3487" s="5">
        <f t="shared" si="168"/>
        <v>2024</v>
      </c>
    </row>
    <row r="3488" s="5" customFormat="1" ht="13">
      <c r="A3488" s="5" t="s">
        <v>44</v>
      </c>
      <c r="B3488" s="5" t="s">
        <v>44</v>
      </c>
      <c r="C3488" s="5" t="s">
        <v>54</v>
      </c>
      <c r="D3488" s="5" t="s">
        <v>21</v>
      </c>
      <c r="E3488" s="5" t="s">
        <v>44</v>
      </c>
      <c r="F3488" s="5" t="s">
        <v>46</v>
      </c>
      <c r="G3488" s="5" t="s">
        <v>55</v>
      </c>
      <c r="H3488" s="9" t="s">
        <v>56</v>
      </c>
      <c r="I3488" s="10">
        <v>44680</v>
      </c>
      <c r="J3488" s="10">
        <v>45590</v>
      </c>
      <c r="K3488" s="5" t="s">
        <v>57</v>
      </c>
      <c r="L3488" s="5" t="s">
        <v>58</v>
      </c>
      <c r="M3488" s="11">
        <v>0.059999999999999998</v>
      </c>
      <c r="N3488" s="5" t="e">
        <f>IF(AND(M3488&gt;#REF!,Cartera!O3488="Guaraníes"),"Rendimiento significativo",IF(AND(M3488&gt;#REF!,Cartera!O3488="Dólares americanos"),"Rendimiento significativo","Rendimiento no significativo"))</f>
        <v>#REF!</v>
      </c>
      <c r="O3488" s="5" t="s">
        <v>51</v>
      </c>
      <c r="P3488" s="13">
        <v>747.9452</v>
      </c>
      <c r="Q3488" s="12" t="e">
        <f>IF(O3488="Guaraníes",P3488,P3488*#REF!)</f>
        <v>#REF!</v>
      </c>
      <c r="R3488" s="12">
        <f>IF(O3488="Guaraníes",P3488/#REF!,P3488)</f>
        <v>747.9452</v>
      </c>
      <c r="S3488" s="5" t="s">
        <v>52</v>
      </c>
      <c r="T3488" s="5">
        <v>17035</v>
      </c>
      <c r="V3488" s="5">
        <v>14.960000000000001</v>
      </c>
      <c r="AA3488" s="5">
        <v>50</v>
      </c>
      <c r="AC3488" s="5" t="str">
        <f t="shared" si="166"/>
        <v>Bonos</v>
      </c>
      <c r="AD3488" s="5" t="s">
        <v>43</v>
      </c>
      <c r="AE3488" s="5">
        <f t="shared" si="167"/>
        <v>10</v>
      </c>
      <c r="AF3488" s="5">
        <f t="shared" si="168"/>
        <v>2024</v>
      </c>
    </row>
    <row r="3489" s="5" customFormat="1" ht="13">
      <c r="A3489" s="5" t="s">
        <v>44</v>
      </c>
      <c r="B3489" s="5" t="s">
        <v>44</v>
      </c>
      <c r="C3489" s="5" t="s">
        <v>164</v>
      </c>
      <c r="D3489" s="5" t="s">
        <v>21</v>
      </c>
      <c r="E3489" s="5" t="s">
        <v>44</v>
      </c>
      <c r="F3489" s="5" t="s">
        <v>68</v>
      </c>
      <c r="G3489" s="5" t="s">
        <v>145</v>
      </c>
      <c r="H3489" s="9" t="s">
        <v>165</v>
      </c>
      <c r="I3489" s="10"/>
      <c r="J3489" s="10">
        <v>45565</v>
      </c>
      <c r="K3489" s="5" t="s">
        <v>124</v>
      </c>
      <c r="L3489" s="5" t="s">
        <v>58</v>
      </c>
      <c r="M3489" s="11">
        <v>0.10000000000000001</v>
      </c>
      <c r="N3489" s="5" t="e">
        <f>IF(AND(M3489&gt;#REF!,Cartera!O3489="Guaraníes"),"Rendimiento significativo",IF(AND(M3489&gt;#REF!,Cartera!O3489="Dólares americanos"),"Rendimiento significativo","Rendimiento no significativo"))</f>
        <v>#REF!</v>
      </c>
      <c r="O3489" s="5" t="s">
        <v>41</v>
      </c>
      <c r="P3489" s="12">
        <v>3397260.2740000002</v>
      </c>
      <c r="Q3489" s="12">
        <f>IF(O3489="Guaraníes",P3489,P3489*#REF!)</f>
        <v>3397260.2740000002</v>
      </c>
      <c r="R3489" s="12" t="e">
        <f>IF(O3489="Guaraníes",P3489/#REF!,P3489)</f>
        <v>#REF!</v>
      </c>
      <c r="S3489" s="5" t="s">
        <v>52</v>
      </c>
      <c r="T3489" s="5">
        <v>1057</v>
      </c>
      <c r="W3489" s="5" t="s">
        <v>65</v>
      </c>
      <c r="X3489" s="5">
        <v>0</v>
      </c>
      <c r="Y3489" s="5">
        <v>0</v>
      </c>
      <c r="Z3489" s="5">
        <v>8493.1506850000005</v>
      </c>
      <c r="AA3489" s="5">
        <v>400</v>
      </c>
      <c r="AB3489" s="5">
        <v>3397260.2740000002</v>
      </c>
      <c r="AC3489" s="5" t="str">
        <f t="shared" si="166"/>
        <v>Bonos</v>
      </c>
      <c r="AD3489" s="5" t="s">
        <v>43</v>
      </c>
      <c r="AE3489" s="5">
        <f t="shared" si="167"/>
        <v>9</v>
      </c>
      <c r="AF3489" s="5">
        <f t="shared" si="168"/>
        <v>2024</v>
      </c>
    </row>
    <row r="3490" s="5" customFormat="1" ht="13">
      <c r="A3490" s="5" t="s">
        <v>44</v>
      </c>
      <c r="B3490" s="5" t="s">
        <v>44</v>
      </c>
      <c r="C3490" s="5" t="s">
        <v>143</v>
      </c>
      <c r="D3490" s="5" t="s">
        <v>21</v>
      </c>
      <c r="E3490" s="5" t="s">
        <v>44</v>
      </c>
      <c r="F3490" s="5" t="s">
        <v>144</v>
      </c>
      <c r="G3490" s="5" t="s">
        <v>91</v>
      </c>
      <c r="H3490" s="9" t="s">
        <v>380</v>
      </c>
      <c r="I3490" s="20"/>
      <c r="J3490" s="10">
        <v>45534</v>
      </c>
      <c r="K3490" s="5" t="s">
        <v>49</v>
      </c>
      <c r="L3490" s="5" t="s">
        <v>106</v>
      </c>
      <c r="M3490" s="11">
        <v>0.059999999999999998</v>
      </c>
      <c r="N3490" s="5" t="e">
        <f>IF(AND(M3490&gt;#REF!,Cartera!O3490="Guaraníes"),"Rendimiento significativo",IF(AND(M3490&gt;#REF!,Cartera!O3490="Dólares americanos"),"Rendimiento significativo","Rendimiento no significativo"))</f>
        <v>#REF!</v>
      </c>
      <c r="O3490" s="5" t="s">
        <v>51</v>
      </c>
      <c r="P3490" s="13">
        <v>49.315069999999999</v>
      </c>
      <c r="Q3490" s="12" t="e">
        <f>IF(O3490="Guaraníes",P3490,P3490*#REF!)</f>
        <v>#REF!</v>
      </c>
      <c r="R3490" s="12">
        <f>IF(O3490="Guaraníes",P3490/#REF!,P3490)</f>
        <v>49.315069999999999</v>
      </c>
      <c r="S3490" s="5" t="s">
        <v>52</v>
      </c>
      <c r="T3490" s="5">
        <v>3253</v>
      </c>
      <c r="W3490" s="5" t="s">
        <v>65</v>
      </c>
      <c r="X3490" s="5">
        <v>0</v>
      </c>
      <c r="Y3490" s="5">
        <v>0</v>
      </c>
      <c r="Z3490" s="5">
        <v>4.9315069999999999</v>
      </c>
      <c r="AA3490" s="5">
        <v>10</v>
      </c>
      <c r="AB3490" s="5">
        <v>49.315069999999999</v>
      </c>
      <c r="AC3490" s="5" t="str">
        <f t="shared" si="166"/>
        <v>Bonos</v>
      </c>
      <c r="AD3490" s="5" t="s">
        <v>43</v>
      </c>
      <c r="AE3490" s="5">
        <f t="shared" si="167"/>
        <v>8</v>
      </c>
      <c r="AF3490" s="5">
        <f t="shared" si="168"/>
        <v>2024</v>
      </c>
    </row>
    <row r="3491" s="5" customFormat="1" ht="13">
      <c r="A3491" s="5" t="s">
        <v>44</v>
      </c>
      <c r="B3491" s="5" t="s">
        <v>44</v>
      </c>
      <c r="C3491" s="5" t="s">
        <v>67</v>
      </c>
      <c r="D3491" s="5" t="s">
        <v>20</v>
      </c>
      <c r="E3491" s="5" t="s">
        <v>44</v>
      </c>
      <c r="F3491" s="5" t="s">
        <v>68</v>
      </c>
      <c r="G3491" s="5" t="s">
        <v>69</v>
      </c>
      <c r="H3491" s="9" t="s">
        <v>70</v>
      </c>
      <c r="I3491" s="10">
        <v>45580</v>
      </c>
      <c r="J3491" s="10">
        <v>45493</v>
      </c>
      <c r="K3491" s="5" t="s">
        <v>538</v>
      </c>
      <c r="L3491" s="5" t="s">
        <v>58</v>
      </c>
      <c r="M3491" s="11">
        <v>0.067500000000000004</v>
      </c>
      <c r="N3491" s="5" t="e">
        <f>IF(AND(M3491&gt;#REF!,Cartera!O3491="Guaraníes"),"Rendimiento significativo",IF(AND(M3491&gt;#REF!,Cartera!O3491="Dólares americanos"),"Rendimiento significativo","Rendimiento no significativo"))</f>
        <v>#REF!</v>
      </c>
      <c r="O3491" s="5" t="s">
        <v>51</v>
      </c>
      <c r="P3491" s="13">
        <v>333.32999999999998</v>
      </c>
      <c r="Q3491" s="12" t="e">
        <f>IF(O3491="Guaraníes",P3491,P3491*#REF!)</f>
        <v>#REF!</v>
      </c>
      <c r="R3491" s="12">
        <f>IF(O3491="Guaraníes",P3491/#REF!,P3491)</f>
        <v>333.32999999999998</v>
      </c>
      <c r="S3491" s="5" t="s">
        <v>52</v>
      </c>
      <c r="T3491" s="5">
        <v>593</v>
      </c>
      <c r="AC3491" s="5" t="str">
        <f t="shared" si="166"/>
        <v>Bonos</v>
      </c>
      <c r="AD3491" s="5" t="s">
        <v>43</v>
      </c>
      <c r="AE3491" s="5">
        <f t="shared" si="167"/>
        <v>7</v>
      </c>
      <c r="AF3491" s="5">
        <f t="shared" si="168"/>
        <v>2024</v>
      </c>
      <c r="AG3491" s="28" t="s">
        <v>539</v>
      </c>
    </row>
    <row r="3492" s="5" customFormat="1" ht="13">
      <c r="A3492" s="5" t="s">
        <v>44</v>
      </c>
      <c r="B3492" s="5" t="s">
        <v>44</v>
      </c>
      <c r="C3492" s="5" t="s">
        <v>67</v>
      </c>
      <c r="D3492" s="5" t="s">
        <v>20</v>
      </c>
      <c r="E3492" s="5" t="s">
        <v>44</v>
      </c>
      <c r="F3492" s="5" t="s">
        <v>68</v>
      </c>
      <c r="G3492" s="5" t="s">
        <v>69</v>
      </c>
      <c r="H3492" s="9" t="s">
        <v>70</v>
      </c>
      <c r="I3492" s="10">
        <v>45580</v>
      </c>
      <c r="J3492" s="10">
        <v>45462</v>
      </c>
      <c r="K3492" s="5" t="s">
        <v>538</v>
      </c>
      <c r="L3492" s="5" t="s">
        <v>58</v>
      </c>
      <c r="M3492" s="11">
        <v>0.067500000000000004</v>
      </c>
      <c r="N3492" s="5" t="e">
        <f>IF(AND(M3492&gt;#REF!,Cartera!O3492="Guaraníes"),"Rendimiento significativo",IF(AND(M3492&gt;#REF!,Cartera!O3492="Dólares americanos"),"Rendimiento significativo","Rendimiento no significativo"))</f>
        <v>#REF!</v>
      </c>
      <c r="O3492" s="5" t="s">
        <v>51</v>
      </c>
      <c r="P3492" s="13">
        <v>333.32999999999998</v>
      </c>
      <c r="Q3492" s="12" t="e">
        <f>IF(O3492="Guaraníes",P3492,P3492*#REF!)</f>
        <v>#REF!</v>
      </c>
      <c r="R3492" s="12">
        <f>IF(O3492="Guaraníes",P3492/#REF!,P3492)</f>
        <v>333.32999999999998</v>
      </c>
      <c r="S3492" s="5" t="s">
        <v>52</v>
      </c>
      <c r="T3492" s="5">
        <v>593</v>
      </c>
      <c r="AC3492" s="5" t="str">
        <f t="shared" si="166"/>
        <v>Bonos</v>
      </c>
      <c r="AD3492" s="5" t="s">
        <v>43</v>
      </c>
      <c r="AE3492" s="5">
        <f t="shared" si="167"/>
        <v>6</v>
      </c>
      <c r="AF3492" s="5">
        <f t="shared" si="168"/>
        <v>2024</v>
      </c>
      <c r="AG3492" s="28" t="s">
        <v>539</v>
      </c>
    </row>
    <row r="3493" s="5" customFormat="1" ht="13">
      <c r="A3493" s="5" t="s">
        <v>44</v>
      </c>
      <c r="B3493" s="5" t="s">
        <v>44</v>
      </c>
      <c r="C3493" s="5" t="s">
        <v>67</v>
      </c>
      <c r="D3493" s="5" t="s">
        <v>20</v>
      </c>
      <c r="E3493" s="5" t="s">
        <v>44</v>
      </c>
      <c r="F3493" s="5" t="s">
        <v>68</v>
      </c>
      <c r="G3493" s="5" t="s">
        <v>69</v>
      </c>
      <c r="H3493" s="9" t="s">
        <v>70</v>
      </c>
      <c r="I3493" s="10">
        <v>45580</v>
      </c>
      <c r="J3493" s="10">
        <v>45428</v>
      </c>
      <c r="K3493" s="5" t="s">
        <v>538</v>
      </c>
      <c r="L3493" s="5" t="s">
        <v>58</v>
      </c>
      <c r="M3493" s="11">
        <v>0.067500000000000004</v>
      </c>
      <c r="N3493" s="5" t="e">
        <f>IF(AND(M3493&gt;#REF!,Cartera!O3493="Guaraníes"),"Rendimiento significativo",IF(AND(M3493&gt;#REF!,Cartera!O3493="Dólares americanos"),"Rendimiento significativo","Rendimiento no significativo"))</f>
        <v>#REF!</v>
      </c>
      <c r="O3493" s="5" t="s">
        <v>51</v>
      </c>
      <c r="P3493" s="13">
        <v>333.32999999999998</v>
      </c>
      <c r="Q3493" s="12" t="e">
        <f>IF(O3493="Guaraníes",P3493,P3493*#REF!)</f>
        <v>#REF!</v>
      </c>
      <c r="R3493" s="12">
        <f>IF(O3493="Guaraníes",P3493/#REF!,P3493)</f>
        <v>333.32999999999998</v>
      </c>
      <c r="S3493" s="5" t="s">
        <v>52</v>
      </c>
      <c r="T3493" s="5">
        <v>593</v>
      </c>
      <c r="AC3493" s="5" t="str">
        <f t="shared" si="166"/>
        <v>Bonos</v>
      </c>
      <c r="AD3493" s="5" t="s">
        <v>43</v>
      </c>
      <c r="AE3493" s="5">
        <f t="shared" si="167"/>
        <v>5</v>
      </c>
      <c r="AF3493" s="5">
        <f t="shared" si="168"/>
        <v>2024</v>
      </c>
      <c r="AG3493" s="28" t="s">
        <v>539</v>
      </c>
    </row>
    <row r="3494" s="5" customFormat="1" ht="13">
      <c r="A3494" s="5" t="s">
        <v>44</v>
      </c>
      <c r="B3494" s="5" t="s">
        <v>44</v>
      </c>
      <c r="C3494" s="5" t="s">
        <v>122</v>
      </c>
      <c r="D3494" s="5" t="s">
        <v>21</v>
      </c>
      <c r="E3494" s="5" t="s">
        <v>44</v>
      </c>
      <c r="F3494" s="5" t="s">
        <v>61</v>
      </c>
      <c r="G3494" s="5" t="s">
        <v>91</v>
      </c>
      <c r="H3494" s="9" t="s">
        <v>132</v>
      </c>
      <c r="I3494" s="10"/>
      <c r="J3494" s="10">
        <v>43950</v>
      </c>
      <c r="K3494" s="5" t="s">
        <v>124</v>
      </c>
      <c r="L3494" s="5" t="s">
        <v>50</v>
      </c>
      <c r="M3494" s="11">
        <v>0.059999999999999998</v>
      </c>
      <c r="N3494" s="5" t="e">
        <f>IF(AND(M3494&gt;#REF!,Cartera!O3494="Guaraníes"),"Rendimiento significativo",IF(AND(M3494&gt;#REF!,Cartera!O3494="Dólares americanos"),"Rendimiento significativo","Rendimiento no significativo"))</f>
        <v>#REF!</v>
      </c>
      <c r="O3494" s="5" t="s">
        <v>51</v>
      </c>
      <c r="P3494" s="13">
        <v>299.17808000000002</v>
      </c>
      <c r="Q3494" s="12" t="e">
        <f>IF(O3494="Guaraníes",P3494,P3494*#REF!)</f>
        <v>#REF!</v>
      </c>
      <c r="R3494" s="12">
        <f>IF(O3494="Guaraníes",P3494/#REF!,P3494)</f>
        <v>299.17808000000002</v>
      </c>
      <c r="S3494" s="5" t="s">
        <v>52</v>
      </c>
      <c r="T3494" s="5">
        <v>3253</v>
      </c>
      <c r="AC3494" s="5" t="str">
        <f t="shared" si="166"/>
        <v>Bonos</v>
      </c>
      <c r="AD3494" s="5" t="s">
        <v>43</v>
      </c>
      <c r="AE3494" s="5">
        <f t="shared" si="167"/>
        <v>4</v>
      </c>
      <c r="AF3494" s="5">
        <f t="shared" si="168"/>
        <v>2020</v>
      </c>
    </row>
    <row r="3495" s="5" customFormat="1" ht="13">
      <c r="A3495" s="5" t="s">
        <v>44</v>
      </c>
      <c r="B3495" s="5" t="s">
        <v>44</v>
      </c>
      <c r="C3495" s="5" t="s">
        <v>122</v>
      </c>
      <c r="D3495" s="5" t="s">
        <v>21</v>
      </c>
      <c r="E3495" s="5" t="s">
        <v>44</v>
      </c>
      <c r="F3495" s="5" t="s">
        <v>61</v>
      </c>
      <c r="G3495" s="5" t="s">
        <v>91</v>
      </c>
      <c r="H3495" s="9" t="s">
        <v>132</v>
      </c>
      <c r="I3495" s="10"/>
      <c r="J3495" s="10">
        <v>44132</v>
      </c>
      <c r="K3495" s="5" t="s">
        <v>124</v>
      </c>
      <c r="L3495" s="5" t="s">
        <v>50</v>
      </c>
      <c r="M3495" s="11">
        <v>0.059999999999999998</v>
      </c>
      <c r="N3495" s="5" t="e">
        <f>IF(AND(M3495&gt;#REF!,Cartera!O3495="Guaraníes"),"Rendimiento significativo",IF(AND(M3495&gt;#REF!,Cartera!O3495="Dólares americanos"),"Rendimiento significativo","Rendimiento no significativo"))</f>
        <v>#REF!</v>
      </c>
      <c r="O3495" s="5" t="s">
        <v>51</v>
      </c>
      <c r="P3495" s="13">
        <v>299.17808000000002</v>
      </c>
      <c r="Q3495" s="12" t="e">
        <f>IF(O3495="Guaraníes",P3495,P3495*#REF!)</f>
        <v>#REF!</v>
      </c>
      <c r="R3495" s="12">
        <f>IF(O3495="Guaraníes",P3495/#REF!,P3495)</f>
        <v>299.17808000000002</v>
      </c>
      <c r="S3495" s="5" t="s">
        <v>52</v>
      </c>
      <c r="T3495" s="5">
        <v>3253</v>
      </c>
      <c r="AC3495" s="5" t="str">
        <f t="shared" si="166"/>
        <v>Bonos</v>
      </c>
      <c r="AD3495" s="5" t="s">
        <v>43</v>
      </c>
      <c r="AE3495" s="5">
        <f t="shared" si="167"/>
        <v>10</v>
      </c>
      <c r="AF3495" s="5">
        <f t="shared" si="168"/>
        <v>2020</v>
      </c>
    </row>
    <row r="3496" s="5" customFormat="1" ht="13">
      <c r="A3496" s="5">
        <v>12303</v>
      </c>
      <c r="B3496" s="5" t="s">
        <v>32</v>
      </c>
      <c r="C3496" s="5" t="s">
        <v>122</v>
      </c>
      <c r="D3496" s="5" t="s">
        <v>20</v>
      </c>
      <c r="E3496" s="5" t="s">
        <v>34</v>
      </c>
      <c r="F3496" s="5" t="s">
        <v>61</v>
      </c>
      <c r="G3496" s="5" t="s">
        <v>723</v>
      </c>
      <c r="H3496" s="9" t="s">
        <v>130</v>
      </c>
      <c r="I3496" s="10">
        <v>45048</v>
      </c>
      <c r="J3496" s="10" t="s">
        <v>38</v>
      </c>
      <c r="K3496" s="5" t="s">
        <v>124</v>
      </c>
      <c r="L3496" s="5" t="s">
        <v>40</v>
      </c>
      <c r="M3496" s="11">
        <v>0</v>
      </c>
      <c r="N3496" s="5" t="e">
        <f>IF(AND(M3496&gt;#REF!,Cartera!O3496="Guaraníes"),"Rendimiento significativo",IF(AND(M3496&gt;#REF!,Cartera!O3496="Dólares americanos"),"Rendimiento significativo","Rendimiento no significativo"))</f>
        <v>#REF!</v>
      </c>
      <c r="O3496" s="5" t="s">
        <v>41</v>
      </c>
      <c r="P3496" s="12">
        <v>10100000</v>
      </c>
      <c r="Q3496" s="12">
        <f>IF(O3496="Guaraníes",P3496,P3496*#REF!)</f>
        <v>10100000</v>
      </c>
      <c r="R3496" s="12" t="e">
        <f>IF(O3496="Guaraníes",P3496/#REF!,P3496)</f>
        <v>#REF!</v>
      </c>
      <c r="S3496" s="5" t="s">
        <v>42</v>
      </c>
      <c r="AC3496" s="5" t="str">
        <f t="shared" si="166"/>
        <v>Acciones</v>
      </c>
      <c r="AD3496" s="5" t="s">
        <v>43</v>
      </c>
      <c r="AE3496" s="5">
        <f t="shared" si="167"/>
        <v>0</v>
      </c>
      <c r="AF3496" s="5">
        <f t="shared" si="168"/>
        <v>0</v>
      </c>
    </row>
    <row r="3497" s="5" customFormat="1" ht="13">
      <c r="A3497" s="5">
        <v>12303</v>
      </c>
      <c r="B3497" s="5" t="s">
        <v>32</v>
      </c>
      <c r="C3497" s="5" t="s">
        <v>122</v>
      </c>
      <c r="D3497" s="5" t="s">
        <v>20</v>
      </c>
      <c r="E3497" s="5" t="s">
        <v>34</v>
      </c>
      <c r="F3497" s="5" t="s">
        <v>61</v>
      </c>
      <c r="G3497" s="5" t="s">
        <v>723</v>
      </c>
      <c r="H3497" s="9" t="s">
        <v>130</v>
      </c>
      <c r="I3497" s="10">
        <v>45048</v>
      </c>
      <c r="J3497" s="10" t="s">
        <v>38</v>
      </c>
      <c r="K3497" s="5" t="s">
        <v>124</v>
      </c>
      <c r="L3497" s="5" t="s">
        <v>40</v>
      </c>
      <c r="M3497" s="11">
        <v>0</v>
      </c>
      <c r="N3497" s="5" t="e">
        <f>IF(AND(M3497&gt;#REF!,Cartera!O3497="Guaraníes"),"Rendimiento significativo",IF(AND(M3497&gt;#REF!,Cartera!O3497="Dólares americanos"),"Rendimiento significativo","Rendimiento no significativo"))</f>
        <v>#REF!</v>
      </c>
      <c r="O3497" s="5" t="s">
        <v>41</v>
      </c>
      <c r="P3497" s="12">
        <v>36100000</v>
      </c>
      <c r="Q3497" s="12">
        <f>IF(O3497="Guaraníes",P3497,P3497*#REF!)</f>
        <v>36100000</v>
      </c>
      <c r="R3497" s="12" t="e">
        <f>IF(O3497="Guaraníes",P3497/#REF!,P3497)</f>
        <v>#REF!</v>
      </c>
      <c r="S3497" s="5" t="s">
        <v>42</v>
      </c>
      <c r="AC3497" s="5" t="str">
        <f t="shared" si="166"/>
        <v>Acciones</v>
      </c>
      <c r="AD3497" s="5" t="s">
        <v>43</v>
      </c>
      <c r="AE3497" s="5">
        <f t="shared" si="167"/>
        <v>0</v>
      </c>
      <c r="AF3497" s="5">
        <f t="shared" si="168"/>
        <v>0</v>
      </c>
    </row>
    <row r="3498" s="5" customFormat="1" ht="13">
      <c r="A3498" s="5">
        <v>12303</v>
      </c>
      <c r="B3498" s="5" t="s">
        <v>32</v>
      </c>
      <c r="C3498" s="5" t="s">
        <v>94</v>
      </c>
      <c r="D3498" s="5" t="s">
        <v>20</v>
      </c>
      <c r="E3498" s="5" t="s">
        <v>34</v>
      </c>
      <c r="F3498" s="5" t="s">
        <v>68</v>
      </c>
      <c r="H3498" s="9" t="s">
        <v>130</v>
      </c>
      <c r="I3498" s="10">
        <v>44776</v>
      </c>
      <c r="J3498" s="10" t="s">
        <v>38</v>
      </c>
      <c r="K3498" s="5" t="s">
        <v>96</v>
      </c>
      <c r="L3498" s="5" t="s">
        <v>40</v>
      </c>
      <c r="M3498" s="11">
        <v>0</v>
      </c>
      <c r="N3498" s="5" t="e">
        <f>IF(AND(M3498&gt;#REF!,Cartera!O3498="Guaraníes"),"Rendimiento significativo",IF(AND(M3498&gt;#REF!,Cartera!O3498="Dólares americanos"),"Rendimiento significativo","Rendimiento no significativo"))</f>
        <v>#REF!</v>
      </c>
      <c r="O3498" s="5" t="s">
        <v>41</v>
      </c>
      <c r="P3498" s="12">
        <v>10000000</v>
      </c>
      <c r="Q3498" s="12">
        <f>IF(O3498="Guaraníes",P3498,P3498*#REF!)</f>
        <v>10000000</v>
      </c>
      <c r="R3498" s="12" t="e">
        <f>IF(O3498="Guaraníes",P3498/#REF!,P3498)</f>
        <v>#REF!</v>
      </c>
      <c r="S3498" s="5" t="s">
        <v>42</v>
      </c>
      <c r="AC3498" s="5" t="str">
        <f t="shared" si="166"/>
        <v>Acciones</v>
      </c>
      <c r="AD3498" s="5" t="s">
        <v>43</v>
      </c>
      <c r="AE3498" s="5">
        <f t="shared" si="167"/>
        <v>0</v>
      </c>
      <c r="AF3498" s="5">
        <f t="shared" si="168"/>
        <v>0</v>
      </c>
    </row>
    <row r="3499" s="5" customFormat="1" ht="13">
      <c r="A3499" s="5">
        <v>12315</v>
      </c>
      <c r="B3499" s="5" t="s">
        <v>73</v>
      </c>
      <c r="C3499" s="5" t="s">
        <v>33</v>
      </c>
      <c r="D3499" s="5" t="s">
        <v>21</v>
      </c>
      <c r="E3499" s="5" t="s">
        <v>34</v>
      </c>
      <c r="F3499" s="5" t="s">
        <v>35</v>
      </c>
      <c r="G3499" s="5" t="s">
        <v>75</v>
      </c>
      <c r="H3499" s="9" t="s">
        <v>186</v>
      </c>
      <c r="I3499" s="10"/>
      <c r="J3499" s="10">
        <v>47639</v>
      </c>
      <c r="K3499" s="5" t="s">
        <v>39</v>
      </c>
      <c r="L3499" s="5" t="s">
        <v>50</v>
      </c>
      <c r="M3499" s="11">
        <v>0.044999999999999998</v>
      </c>
      <c r="N3499" s="5" t="e">
        <f>IF(AND(M3499&gt;#REF!,Cartera!O3499="Guaraníes"),"Rendimiento significativo",IF(AND(M3499&gt;#REF!,Cartera!O3499="Dólares americanos"),"Rendimiento significativo","Rendimiento no significativo"))</f>
        <v>#REF!</v>
      </c>
      <c r="O3499" s="5" t="s">
        <v>51</v>
      </c>
      <c r="P3499" s="13">
        <v>336.57533999999998</v>
      </c>
      <c r="Q3499" s="12" t="e">
        <f>IF(O3499="Guaraníes",P3499,P3499*#REF!)</f>
        <v>#REF!</v>
      </c>
      <c r="R3499" s="12">
        <f>IF(O3499="Guaraníes",P3499/#REF!,P3499)</f>
        <v>336.57533999999998</v>
      </c>
      <c r="S3499" s="5" t="s">
        <v>42</v>
      </c>
      <c r="T3499" s="5">
        <v>25</v>
      </c>
      <c r="W3499" s="5" t="s">
        <v>65</v>
      </c>
      <c r="X3499" s="5">
        <v>0</v>
      </c>
      <c r="Y3499" s="5">
        <v>0</v>
      </c>
      <c r="Z3499" s="5">
        <v>11.219177999999999</v>
      </c>
      <c r="AA3499" s="5">
        <v>30</v>
      </c>
      <c r="AB3499" s="5">
        <v>336.57533999999998</v>
      </c>
      <c r="AC3499" s="5" t="str">
        <f t="shared" si="166"/>
        <v>Bonos</v>
      </c>
      <c r="AD3499" s="5" t="s">
        <v>43</v>
      </c>
      <c r="AE3499" s="5">
        <f t="shared" si="167"/>
        <v>6</v>
      </c>
      <c r="AF3499" s="5">
        <f t="shared" si="168"/>
        <v>2030</v>
      </c>
    </row>
    <row r="3500" s="5" customFormat="1" ht="13">
      <c r="A3500" s="5">
        <v>12315</v>
      </c>
      <c r="B3500" s="5" t="s">
        <v>73</v>
      </c>
      <c r="C3500" s="5" t="s">
        <v>33</v>
      </c>
      <c r="D3500" s="5" t="s">
        <v>21</v>
      </c>
      <c r="E3500" s="5" t="s">
        <v>34</v>
      </c>
      <c r="F3500" s="5" t="s">
        <v>35</v>
      </c>
      <c r="G3500" s="5" t="s">
        <v>69</v>
      </c>
      <c r="H3500" s="9" t="s">
        <v>186</v>
      </c>
      <c r="I3500" s="10"/>
      <c r="J3500" s="10">
        <v>47639</v>
      </c>
      <c r="K3500" s="5" t="s">
        <v>39</v>
      </c>
      <c r="L3500" s="5" t="s">
        <v>50</v>
      </c>
      <c r="M3500" s="11">
        <v>0.044999999999999998</v>
      </c>
      <c r="N3500" s="5" t="e">
        <f>IF(AND(M3500&gt;#REF!,Cartera!O3500="Guaraníes"),"Rendimiento significativo",IF(AND(M3500&gt;#REF!,Cartera!O3500="Dólares americanos"),"Rendimiento significativo","Rendimiento no significativo"))</f>
        <v>#REF!</v>
      </c>
      <c r="O3500" s="5" t="s">
        <v>51</v>
      </c>
      <c r="P3500" s="13">
        <v>448.76711999999998</v>
      </c>
      <c r="Q3500" s="12" t="e">
        <f>IF(O3500="Guaraníes",P3500,P3500*#REF!)</f>
        <v>#REF!</v>
      </c>
      <c r="R3500" s="12">
        <f>IF(O3500="Guaraníes",P3500/#REF!,P3500)</f>
        <v>448.76711999999998</v>
      </c>
      <c r="S3500" s="5" t="s">
        <v>42</v>
      </c>
      <c r="T3500" s="5">
        <v>593</v>
      </c>
      <c r="W3500" s="5" t="s">
        <v>65</v>
      </c>
      <c r="X3500" s="5">
        <v>0</v>
      </c>
      <c r="Y3500" s="5">
        <v>0</v>
      </c>
      <c r="Z3500" s="5">
        <v>11.219177999999999</v>
      </c>
      <c r="AA3500" s="5">
        <v>40</v>
      </c>
      <c r="AB3500" s="5">
        <v>448.76711999999998</v>
      </c>
      <c r="AC3500" s="5" t="str">
        <f t="shared" si="166"/>
        <v>Bonos</v>
      </c>
      <c r="AD3500" s="5" t="s">
        <v>43</v>
      </c>
      <c r="AE3500" s="5">
        <f t="shared" si="167"/>
        <v>6</v>
      </c>
      <c r="AF3500" s="5">
        <f t="shared" si="168"/>
        <v>2030</v>
      </c>
    </row>
    <row r="3501" s="5" customFormat="1" ht="13">
      <c r="A3501" s="5">
        <v>12316</v>
      </c>
      <c r="B3501" s="5" t="s">
        <v>78</v>
      </c>
      <c r="C3501" s="5" t="s">
        <v>160</v>
      </c>
      <c r="D3501" s="5" t="s">
        <v>21</v>
      </c>
      <c r="E3501" s="5" t="s">
        <v>34</v>
      </c>
      <c r="F3501" s="5" t="s">
        <v>68</v>
      </c>
      <c r="G3501" s="5" t="s">
        <v>91</v>
      </c>
      <c r="H3501" s="9" t="s">
        <v>161</v>
      </c>
      <c r="I3501" s="10">
        <v>44581</v>
      </c>
      <c r="J3501" s="10">
        <v>47644</v>
      </c>
      <c r="K3501" s="5" t="s">
        <v>162</v>
      </c>
      <c r="L3501" s="5" t="s">
        <v>58</v>
      </c>
      <c r="M3501" s="11">
        <v>0.086999999999999994</v>
      </c>
      <c r="N3501" s="5" t="e">
        <f>IF(AND(M3501&gt;#REF!,Cartera!O3501="Guaraníes"),"Rendimiento significativo",IF(AND(M3501&gt;#REF!,Cartera!O3501="Dólares americanos"),"Rendimiento significativo","Rendimiento no significativo"))</f>
        <v>#REF!</v>
      </c>
      <c r="O3501" s="5" t="s">
        <v>41</v>
      </c>
      <c r="P3501" s="12">
        <v>17352328.767200001</v>
      </c>
      <c r="Q3501" s="12">
        <f>IF(O3501="Guaraníes",P3501,P3501*#REF!)</f>
        <v>17352328.767200001</v>
      </c>
      <c r="R3501" s="12" t="e">
        <f>IF(O3501="Guaraníes",P3501/#REF!,P3501)</f>
        <v>#REF!</v>
      </c>
      <c r="S3501" s="5" t="s">
        <v>42</v>
      </c>
      <c r="AC3501" s="5" t="str">
        <f t="shared" si="166"/>
        <v>Bonos</v>
      </c>
      <c r="AD3501" s="5" t="s">
        <v>43</v>
      </c>
      <c r="AE3501" s="5">
        <f t="shared" si="167"/>
        <v>6</v>
      </c>
      <c r="AF3501" s="5">
        <f t="shared" si="168"/>
        <v>2030</v>
      </c>
    </row>
    <row r="3502" s="5" customFormat="1" ht="13">
      <c r="A3502" s="5">
        <v>12316</v>
      </c>
      <c r="B3502" s="5" t="s">
        <v>78</v>
      </c>
      <c r="C3502" s="5" t="s">
        <v>138</v>
      </c>
      <c r="D3502" s="5" t="s">
        <v>21</v>
      </c>
      <c r="E3502" s="5" t="s">
        <v>34</v>
      </c>
      <c r="F3502" s="5" t="s">
        <v>68</v>
      </c>
      <c r="G3502" s="5" t="s">
        <v>86</v>
      </c>
      <c r="H3502" s="9" t="s">
        <v>139</v>
      </c>
      <c r="I3502" s="10">
        <v>43948</v>
      </c>
      <c r="J3502" s="10">
        <v>47644</v>
      </c>
      <c r="K3502" s="5" t="s">
        <v>140</v>
      </c>
      <c r="L3502" s="5" t="s">
        <v>58</v>
      </c>
      <c r="M3502" s="11">
        <v>0.11</v>
      </c>
      <c r="N3502" s="5" t="e">
        <f>IF(AND(M3502&gt;#REF!,Cartera!O3502="Guaraníes"),"Rendimiento significativo",IF(AND(M3502&gt;#REF!,Cartera!O3502="Dólares americanos"),"Rendimiento significativo","Rendimiento no significativo"))</f>
        <v>#REF!</v>
      </c>
      <c r="O3502" s="5" t="s">
        <v>41</v>
      </c>
      <c r="P3502" s="12">
        <v>421218.80920000002</v>
      </c>
      <c r="Q3502" s="12">
        <f>IF(O3502="Guaraníes",P3502,P3502*#REF!)</f>
        <v>421218.80920000002</v>
      </c>
      <c r="R3502" s="12" t="e">
        <f>IF(O3502="Guaraníes",P3502/#REF!,P3502)</f>
        <v>#REF!</v>
      </c>
      <c r="S3502" s="5" t="s">
        <v>42</v>
      </c>
      <c r="AC3502" s="5" t="str">
        <f t="shared" si="166"/>
        <v>Bonos</v>
      </c>
      <c r="AD3502" s="5" t="s">
        <v>43</v>
      </c>
      <c r="AE3502" s="5">
        <f t="shared" si="167"/>
        <v>6</v>
      </c>
      <c r="AF3502" s="5">
        <f t="shared" si="168"/>
        <v>2030</v>
      </c>
    </row>
    <row r="3503" s="5" customFormat="1" ht="13">
      <c r="A3503" s="5">
        <v>12316</v>
      </c>
      <c r="B3503" s="5" t="s">
        <v>78</v>
      </c>
      <c r="C3503" s="5" t="s">
        <v>54</v>
      </c>
      <c r="D3503" s="5" t="s">
        <v>21</v>
      </c>
      <c r="E3503" s="5" t="s">
        <v>34</v>
      </c>
      <c r="F3503" s="5" t="s">
        <v>46</v>
      </c>
      <c r="G3503" s="5" t="s">
        <v>86</v>
      </c>
      <c r="H3503" s="9" t="s">
        <v>148</v>
      </c>
      <c r="I3503" s="10"/>
      <c r="J3503" s="10">
        <v>47651</v>
      </c>
      <c r="K3503" s="5" t="s">
        <v>57</v>
      </c>
      <c r="L3503" s="5" t="s">
        <v>58</v>
      </c>
      <c r="M3503" s="11">
        <v>0.097500000000000003</v>
      </c>
      <c r="N3503" s="5" t="e">
        <f>IF(AND(M3503&gt;#REF!,Cartera!O3503="Guaraníes"),"Rendimiento significativo",IF(AND(M3503&gt;#REF!,Cartera!O3503="Dólares americanos"),"Rendimiento significativo","Rendimiento no significativo"))</f>
        <v>#REF!</v>
      </c>
      <c r="O3503" s="5" t="s">
        <v>41</v>
      </c>
      <c r="P3503" s="12">
        <v>12154109.589</v>
      </c>
      <c r="Q3503" s="12">
        <f>IF(O3503="Guaraníes",P3503,P3503*#REF!)</f>
        <v>12154109.589</v>
      </c>
      <c r="R3503" s="12" t="e">
        <f>IF(O3503="Guaraníes",P3503/#REF!,P3503)</f>
        <v>#REF!</v>
      </c>
      <c r="S3503" s="5" t="s">
        <v>42</v>
      </c>
      <c r="T3503" s="5">
        <v>10834</v>
      </c>
      <c r="W3503" s="5" t="s">
        <v>65</v>
      </c>
      <c r="X3503" s="5">
        <v>0</v>
      </c>
      <c r="Y3503" s="5">
        <v>0</v>
      </c>
      <c r="Z3503" s="5">
        <v>24308.219177999999</v>
      </c>
      <c r="AA3503" s="5">
        <v>500</v>
      </c>
      <c r="AB3503" s="5">
        <v>12154109.589</v>
      </c>
      <c r="AC3503" s="5" t="str">
        <f t="shared" si="166"/>
        <v>Bonos</v>
      </c>
      <c r="AD3503" s="5" t="s">
        <v>43</v>
      </c>
      <c r="AE3503" s="5">
        <f t="shared" si="167"/>
        <v>6</v>
      </c>
      <c r="AF3503" s="5">
        <f t="shared" si="168"/>
        <v>2030</v>
      </c>
    </row>
    <row r="3504" s="5" customFormat="1" ht="13">
      <c r="A3504" s="5">
        <v>12316</v>
      </c>
      <c r="B3504" s="5" t="s">
        <v>78</v>
      </c>
      <c r="C3504" s="5" t="s">
        <v>138</v>
      </c>
      <c r="D3504" s="5" t="s">
        <v>21</v>
      </c>
      <c r="E3504" s="5" t="s">
        <v>34</v>
      </c>
      <c r="F3504" s="5" t="s">
        <v>68</v>
      </c>
      <c r="G3504" s="5" t="s">
        <v>86</v>
      </c>
      <c r="H3504" s="9" t="s">
        <v>193</v>
      </c>
      <c r="I3504" s="10">
        <v>44104</v>
      </c>
      <c r="J3504" s="10">
        <v>47652</v>
      </c>
      <c r="K3504" s="5" t="s">
        <v>140</v>
      </c>
      <c r="L3504" s="5" t="s">
        <v>58</v>
      </c>
      <c r="M3504" s="11">
        <v>0.10000000000000001</v>
      </c>
      <c r="N3504" s="5" t="e">
        <f>IF(AND(M3504&gt;#REF!,Cartera!O3504="Guaraníes"),"Rendimiento significativo",IF(AND(M3504&gt;#REF!,Cartera!O3504="Dólares americanos"),"Rendimiento significativo","Rendimiento no significativo"))</f>
        <v>#REF!</v>
      </c>
      <c r="O3504" s="5" t="s">
        <v>41</v>
      </c>
      <c r="P3504" s="12">
        <v>2493150.6849000002</v>
      </c>
      <c r="Q3504" s="12">
        <f>IF(O3504="Guaraníes",P3504,P3504*#REF!)</f>
        <v>2493150.6849000002</v>
      </c>
      <c r="R3504" s="12" t="e">
        <f>IF(O3504="Guaraníes",P3504/#REF!,P3504)</f>
        <v>#REF!</v>
      </c>
      <c r="S3504" s="5" t="s">
        <v>42</v>
      </c>
      <c r="AC3504" s="5" t="str">
        <f t="shared" si="166"/>
        <v>Bonos</v>
      </c>
      <c r="AD3504" s="5" t="s">
        <v>43</v>
      </c>
      <c r="AE3504" s="5">
        <f t="shared" si="167"/>
        <v>6</v>
      </c>
      <c r="AF3504" s="5">
        <f t="shared" si="168"/>
        <v>2030</v>
      </c>
    </row>
    <row r="3505" s="5" customFormat="1" ht="13">
      <c r="A3505" s="5" t="s">
        <v>44</v>
      </c>
      <c r="B3505" s="5" t="s">
        <v>44</v>
      </c>
      <c r="C3505" s="5" t="s">
        <v>457</v>
      </c>
      <c r="D3505" s="5" t="s">
        <v>21</v>
      </c>
      <c r="E3505" s="5" t="s">
        <v>44</v>
      </c>
      <c r="F3505" s="5" t="s">
        <v>100</v>
      </c>
      <c r="G3505" s="5" t="s">
        <v>69</v>
      </c>
      <c r="H3505" s="9" t="s">
        <v>458</v>
      </c>
      <c r="I3505" s="10"/>
      <c r="J3505" s="10">
        <v>44417</v>
      </c>
      <c r="K3505" s="5" t="s">
        <v>173</v>
      </c>
      <c r="L3505" s="5" t="s">
        <v>58</v>
      </c>
      <c r="M3505" s="11">
        <v>0.13500000000000001</v>
      </c>
      <c r="N3505" s="5" t="e">
        <f>IF(AND(M3505&gt;#REF!,Cartera!O3505="Guaraníes"),"Rendimiento significativo",IF(AND(M3505&gt;#REF!,Cartera!O3505="Dólares americanos"),"Rendimiento significativo","Rendimiento no significativo"))</f>
        <v>#REF!</v>
      </c>
      <c r="O3505" s="5" t="s">
        <v>41</v>
      </c>
      <c r="P3505" s="12">
        <v>4820054.7944879998</v>
      </c>
      <c r="Q3505" s="12">
        <f>IF(O3505="Guaraníes",P3505,P3505*#REF!)</f>
        <v>4820054.7944879998</v>
      </c>
      <c r="R3505" s="12" t="e">
        <f>IF(O3505="Guaraníes",P3505/#REF!,P3505)</f>
        <v>#REF!</v>
      </c>
      <c r="S3505" s="5" t="s">
        <v>52</v>
      </c>
      <c r="AC3505" s="5" t="str">
        <f t="shared" si="166"/>
        <v>Bonos</v>
      </c>
      <c r="AD3505" s="5" t="s">
        <v>43</v>
      </c>
      <c r="AE3505" s="5">
        <f t="shared" si="167"/>
        <v>8</v>
      </c>
      <c r="AF3505" s="5">
        <f t="shared" si="168"/>
        <v>2021</v>
      </c>
    </row>
    <row r="3506" s="5" customFormat="1" ht="13">
      <c r="A3506" s="5">
        <v>12303</v>
      </c>
      <c r="B3506" s="5" t="s">
        <v>32</v>
      </c>
      <c r="C3506" s="5" t="s">
        <v>122</v>
      </c>
      <c r="D3506" s="5" t="s">
        <v>20</v>
      </c>
      <c r="E3506" s="5" t="s">
        <v>34</v>
      </c>
      <c r="F3506" s="5" t="s">
        <v>61</v>
      </c>
      <c r="G3506" s="5" t="s">
        <v>723</v>
      </c>
      <c r="H3506" s="9" t="s">
        <v>130</v>
      </c>
      <c r="I3506" s="10">
        <v>44683</v>
      </c>
      <c r="J3506" s="10" t="s">
        <v>38</v>
      </c>
      <c r="K3506" s="5" t="s">
        <v>124</v>
      </c>
      <c r="L3506" s="5" t="s">
        <v>40</v>
      </c>
      <c r="M3506" s="11">
        <v>0</v>
      </c>
      <c r="N3506" s="5" t="e">
        <f>IF(AND(M3506&gt;#REF!,Cartera!O3506="Guaraníes"),"Rendimiento significativo",IF(AND(M3506&gt;#REF!,Cartera!O3506="Dólares americanos"),"Rendimiento significativo","Rendimiento no significativo"))</f>
        <v>#REF!</v>
      </c>
      <c r="O3506" s="5" t="s">
        <v>41</v>
      </c>
      <c r="P3506" s="12">
        <v>7200000</v>
      </c>
      <c r="Q3506" s="12">
        <f>IF(O3506="Guaraníes",P3506,P3506*#REF!)</f>
        <v>7200000</v>
      </c>
      <c r="R3506" s="12" t="e">
        <f>IF(O3506="Guaraníes",P3506/#REF!,P3506)</f>
        <v>#REF!</v>
      </c>
      <c r="S3506" s="5" t="s">
        <v>42</v>
      </c>
      <c r="AC3506" s="5" t="str">
        <f t="shared" si="166"/>
        <v>Acciones</v>
      </c>
      <c r="AD3506" s="5" t="s">
        <v>43</v>
      </c>
      <c r="AE3506" s="5">
        <f t="shared" si="167"/>
        <v>0</v>
      </c>
      <c r="AF3506" s="5">
        <f t="shared" si="168"/>
        <v>0</v>
      </c>
    </row>
    <row r="3507" s="5" customFormat="1" ht="13">
      <c r="A3507" s="5" t="s">
        <v>44</v>
      </c>
      <c r="B3507" s="5" t="s">
        <v>44</v>
      </c>
      <c r="C3507" s="5" t="s">
        <v>33</v>
      </c>
      <c r="D3507" s="5" t="s">
        <v>21</v>
      </c>
      <c r="E3507" s="5" t="s">
        <v>44</v>
      </c>
      <c r="F3507" s="5" t="s">
        <v>35</v>
      </c>
      <c r="G3507" s="5" t="s">
        <v>141</v>
      </c>
      <c r="H3507" s="9" t="s">
        <v>142</v>
      </c>
      <c r="I3507" s="10">
        <v>44956</v>
      </c>
      <c r="J3507" s="10">
        <v>45048</v>
      </c>
      <c r="K3507" s="5" t="s">
        <v>39</v>
      </c>
      <c r="L3507" s="5" t="s">
        <v>50</v>
      </c>
      <c r="M3507" s="11">
        <v>0.065000000000000002</v>
      </c>
      <c r="N3507" s="5" t="e">
        <f>IF(AND(M3507&gt;#REF!,Cartera!O3507="Guaraníes"),"Rendimiento significativo",IF(AND(M3507&gt;#REF!,Cartera!O3507="Dólares americanos"),"Rendimiento significativo","Rendimiento no significativo"))</f>
        <v>#REF!</v>
      </c>
      <c r="O3507" s="5" t="s">
        <v>51</v>
      </c>
      <c r="P3507" s="13">
        <v>1310.68496</v>
      </c>
      <c r="Q3507" s="12" t="e">
        <f>IF(O3507="Guaraníes",P3507,P3507*#REF!)</f>
        <v>#REF!</v>
      </c>
      <c r="R3507" s="12">
        <f>IF(O3507="Guaraníes",P3507/#REF!,P3507)</f>
        <v>1310.68496</v>
      </c>
      <c r="S3507" s="5" t="s">
        <v>52</v>
      </c>
      <c r="AC3507" s="5" t="str">
        <f t="shared" si="166"/>
        <v>Bonos</v>
      </c>
      <c r="AD3507" s="5" t="s">
        <v>43</v>
      </c>
      <c r="AE3507" s="5">
        <f t="shared" si="167"/>
        <v>5</v>
      </c>
      <c r="AF3507" s="5">
        <f t="shared" si="168"/>
        <v>2023</v>
      </c>
    </row>
    <row r="3508" s="5" customFormat="1" ht="13">
      <c r="A3508" s="5" t="s">
        <v>44</v>
      </c>
      <c r="B3508" s="5" t="s">
        <v>44</v>
      </c>
      <c r="C3508" s="5" t="s">
        <v>79</v>
      </c>
      <c r="D3508" s="5" t="s">
        <v>21</v>
      </c>
      <c r="E3508" s="5" t="s">
        <v>44</v>
      </c>
      <c r="F3508" s="5" t="s">
        <v>68</v>
      </c>
      <c r="H3508" s="9" t="s">
        <v>696</v>
      </c>
      <c r="I3508" s="10">
        <v>45252</v>
      </c>
      <c r="J3508" s="10">
        <v>45344</v>
      </c>
      <c r="K3508" s="5" t="s">
        <v>81</v>
      </c>
      <c r="L3508" s="5" t="s">
        <v>82</v>
      </c>
      <c r="M3508" s="11">
        <v>0.098000000000000004</v>
      </c>
      <c r="N3508" s="5" t="e">
        <f>IF(AND(M3508&gt;#REF!,Cartera!O3508="Guaraníes"),"Rendimiento significativo",IF(AND(M3508&gt;#REF!,Cartera!O3508="Dólares americanos"),"Rendimiento significativo","Rendimiento no significativo"))</f>
        <v>#REF!</v>
      </c>
      <c r="O3508" s="5" t="s">
        <v>41</v>
      </c>
      <c r="P3508" s="12">
        <v>12283562</v>
      </c>
      <c r="Q3508" s="12">
        <f>IF(O3508="Guaraníes",P3508,P3508*#REF!)</f>
        <v>12283562</v>
      </c>
      <c r="R3508" s="12" t="e">
        <f>IF(O3508="Guaraníes",P3508/#REF!,P3508)</f>
        <v>#REF!</v>
      </c>
      <c r="S3508" s="5" t="s">
        <v>52</v>
      </c>
      <c r="AC3508" s="5" t="str">
        <f t="shared" si="166"/>
        <v>CDA</v>
      </c>
      <c r="AD3508" s="5" t="s">
        <v>43</v>
      </c>
      <c r="AE3508" s="5">
        <f t="shared" si="167"/>
        <v>2</v>
      </c>
      <c r="AF3508" s="5">
        <f t="shared" si="168"/>
        <v>2024</v>
      </c>
    </row>
    <row r="3509" s="5" customFormat="1" ht="13">
      <c r="A3509" s="5" t="s">
        <v>44</v>
      </c>
      <c r="B3509" s="5" t="s">
        <v>44</v>
      </c>
      <c r="C3509" s="5" t="s">
        <v>79</v>
      </c>
      <c r="D3509" s="5" t="s">
        <v>21</v>
      </c>
      <c r="E3509" s="5" t="s">
        <v>44</v>
      </c>
      <c r="F3509" s="5" t="s">
        <v>68</v>
      </c>
      <c r="H3509" s="9" t="s">
        <v>696</v>
      </c>
      <c r="I3509" s="10">
        <v>45252</v>
      </c>
      <c r="J3509" s="10">
        <v>45434</v>
      </c>
      <c r="K3509" s="5" t="s">
        <v>81</v>
      </c>
      <c r="L3509" s="5" t="s">
        <v>82</v>
      </c>
      <c r="M3509" s="11">
        <v>0.098000000000000004</v>
      </c>
      <c r="N3509" s="5" t="e">
        <f>IF(AND(M3509&gt;#REF!,Cartera!O3509="Guaraníes"),"Rendimiento significativo",IF(AND(M3509&gt;#REF!,Cartera!O3509="Dólares americanos"),"Rendimiento significativo","Rendimiento no significativo"))</f>
        <v>#REF!</v>
      </c>
      <c r="O3509" s="5" t="s">
        <v>41</v>
      </c>
      <c r="P3509" s="12">
        <v>12283562</v>
      </c>
      <c r="Q3509" s="12">
        <f>IF(O3509="Guaraníes",P3509,P3509*#REF!)</f>
        <v>12283562</v>
      </c>
      <c r="R3509" s="12" t="e">
        <f>IF(O3509="Guaraníes",P3509/#REF!,P3509)</f>
        <v>#REF!</v>
      </c>
      <c r="S3509" s="5" t="s">
        <v>52</v>
      </c>
      <c r="AC3509" s="5" t="str">
        <f t="shared" si="166"/>
        <v>CDA</v>
      </c>
      <c r="AD3509" s="5" t="s">
        <v>43</v>
      </c>
      <c r="AE3509" s="5">
        <f t="shared" si="167"/>
        <v>5</v>
      </c>
      <c r="AF3509" s="5">
        <f t="shared" si="168"/>
        <v>2024</v>
      </c>
    </row>
    <row r="3510" s="5" customFormat="1" ht="13">
      <c r="A3510" s="5" t="s">
        <v>44</v>
      </c>
      <c r="B3510" s="5" t="s">
        <v>44</v>
      </c>
      <c r="C3510" s="5" t="s">
        <v>164</v>
      </c>
      <c r="D3510" s="5" t="s">
        <v>21</v>
      </c>
      <c r="E3510" s="5" t="s">
        <v>44</v>
      </c>
      <c r="F3510" s="5" t="s">
        <v>68</v>
      </c>
      <c r="G3510" s="5" t="s">
        <v>91</v>
      </c>
      <c r="H3510" s="9" t="s">
        <v>166</v>
      </c>
      <c r="I3510" s="20"/>
      <c r="J3510" s="10">
        <v>45534</v>
      </c>
      <c r="K3510" s="5" t="s">
        <v>124</v>
      </c>
      <c r="L3510" s="5" t="s">
        <v>58</v>
      </c>
      <c r="M3510" s="11">
        <v>0.092499999999999999</v>
      </c>
      <c r="N3510" s="5" t="e">
        <f>IF(AND(M3510&gt;#REF!,Cartera!O3510="Guaraníes"),"Rendimiento significativo",IF(AND(M3510&gt;#REF!,Cartera!O3510="Dólares americanos"),"Rendimiento significativo","Rendimiento no significativo"))</f>
        <v>#REF!</v>
      </c>
      <c r="O3510" s="5" t="s">
        <v>41</v>
      </c>
      <c r="P3510" s="12">
        <v>1140410.9589</v>
      </c>
      <c r="Q3510" s="12">
        <f>IF(O3510="Guaraníes",P3510,P3510*#REF!)</f>
        <v>1140410.9589</v>
      </c>
      <c r="R3510" s="12" t="e">
        <f>IF(O3510="Guaraníes",P3510/#REF!,P3510)</f>
        <v>#REF!</v>
      </c>
      <c r="S3510" s="5" t="s">
        <v>52</v>
      </c>
      <c r="T3510" s="5">
        <v>3253</v>
      </c>
      <c r="W3510" s="5" t="s">
        <v>65</v>
      </c>
      <c r="X3510" s="5">
        <v>0</v>
      </c>
      <c r="Y3510" s="5">
        <v>0</v>
      </c>
      <c r="Z3510" s="5">
        <v>7602.7397259999998</v>
      </c>
      <c r="AA3510" s="5">
        <v>150</v>
      </c>
      <c r="AB3510" s="5">
        <v>1140410.9589</v>
      </c>
      <c r="AC3510" s="5" t="str">
        <f t="shared" si="166"/>
        <v>Bonos</v>
      </c>
      <c r="AD3510" s="5" t="s">
        <v>43</v>
      </c>
      <c r="AE3510" s="5">
        <f t="shared" si="167"/>
        <v>8</v>
      </c>
      <c r="AF3510" s="5">
        <f t="shared" si="168"/>
        <v>2024</v>
      </c>
    </row>
    <row r="3511" s="5" customFormat="1" ht="13">
      <c r="A3511" s="5" t="s">
        <v>44</v>
      </c>
      <c r="B3511" s="5" t="s">
        <v>44</v>
      </c>
      <c r="C3511" s="5" t="s">
        <v>94</v>
      </c>
      <c r="D3511" s="5" t="s">
        <v>21</v>
      </c>
      <c r="E3511" s="5" t="s">
        <v>44</v>
      </c>
      <c r="F3511" s="5" t="s">
        <v>68</v>
      </c>
      <c r="H3511" s="9" t="s">
        <v>182</v>
      </c>
      <c r="I3511" s="10">
        <v>45530</v>
      </c>
      <c r="J3511" s="10">
        <v>45620</v>
      </c>
      <c r="L3511" s="5" t="s">
        <v>82</v>
      </c>
      <c r="M3511" s="11">
        <v>0.082500000000000004</v>
      </c>
      <c r="N3511" s="5" t="e">
        <f>IF(AND(M3511&gt;#REF!,Cartera!O3511="Guaraníes"),"Rendimiento significativo",IF(AND(M3511&gt;#REF!,Cartera!O3511="Dólares americanos"),"Rendimiento significativo","Rendimiento no significativo"))</f>
        <v>#REF!</v>
      </c>
      <c r="O3511" s="5" t="s">
        <v>41</v>
      </c>
      <c r="P3511" s="13">
        <v>4068493</v>
      </c>
      <c r="Q3511" s="12">
        <f>IF(O3511="Guaraníes",P3511,P3511*#REF!)</f>
        <v>4068493</v>
      </c>
      <c r="R3511" s="13" t="e">
        <f>IF(O3511="Guaraníes",P3511/#REF!,P3511)</f>
        <v>#REF!</v>
      </c>
      <c r="S3511" s="5" t="s">
        <v>52</v>
      </c>
      <c r="AC3511" s="5" t="str">
        <f t="shared" ref="AC3511:AC3574" si="169">IF(ISNUMBER(SEARCH("Acciones",L3511)),"Acciones",IF(ISNUMBER(SEARCH("Bono",L3511)),"Bonos",IF(ISNUMBER(SEARCH("CDA",L3511)),"CDA",IF(ISNUMBER(SEARCH("Fondo",L3511)),"Fondo",0))))</f>
        <v>CDA</v>
      </c>
      <c r="AD3511" s="5" t="s">
        <v>43</v>
      </c>
      <c r="AE3511" s="5">
        <f t="shared" si="167"/>
        <v>11</v>
      </c>
      <c r="AF3511" s="5">
        <f t="shared" si="168"/>
        <v>2024</v>
      </c>
    </row>
    <row r="3512" s="5" customFormat="1" ht="13">
      <c r="A3512" s="5" t="s">
        <v>44</v>
      </c>
      <c r="B3512" s="5" t="s">
        <v>44</v>
      </c>
      <c r="C3512" s="5" t="s">
        <v>138</v>
      </c>
      <c r="D3512" s="5" t="s">
        <v>21</v>
      </c>
      <c r="E3512" s="5" t="s">
        <v>44</v>
      </c>
      <c r="F3512" s="5" t="s">
        <v>68</v>
      </c>
      <c r="G3512" s="5" t="s">
        <v>86</v>
      </c>
      <c r="H3512" s="9" t="s">
        <v>139</v>
      </c>
      <c r="I3512" s="10">
        <v>43948</v>
      </c>
      <c r="J3512" s="10">
        <v>45621</v>
      </c>
      <c r="K3512" s="5" t="s">
        <v>140</v>
      </c>
      <c r="L3512" s="5" t="s">
        <v>58</v>
      </c>
      <c r="M3512" s="11">
        <v>0.11</v>
      </c>
      <c r="N3512" s="5" t="e">
        <f>IF(AND(M3512&gt;#REF!,Cartera!O3512="Guaraníes"),"Rendimiento significativo",IF(AND(M3512&gt;#REF!,Cartera!O3512="Dólares americanos"),"Rendimiento significativo","Rendimiento no significativo"))</f>
        <v>#REF!</v>
      </c>
      <c r="O3512" s="5" t="s">
        <v>41</v>
      </c>
      <c r="P3512" s="12">
        <v>934246.57530000003</v>
      </c>
      <c r="Q3512" s="12">
        <f>IF(O3512="Guaraníes",P3512,P3512*#REF!)</f>
        <v>934246.57530000003</v>
      </c>
      <c r="R3512" s="12" t="e">
        <f>IF(O3512="Guaraníes",P3512/#REF!,P3512)</f>
        <v>#REF!</v>
      </c>
      <c r="S3512" s="5" t="s">
        <v>52</v>
      </c>
      <c r="AC3512" s="5" t="str">
        <f t="shared" si="169"/>
        <v>Bonos</v>
      </c>
      <c r="AD3512" s="5" t="s">
        <v>43</v>
      </c>
      <c r="AE3512" s="5">
        <f t="shared" si="167"/>
        <v>11</v>
      </c>
      <c r="AF3512" s="5">
        <f t="shared" si="168"/>
        <v>2024</v>
      </c>
    </row>
    <row r="3513" s="5" customFormat="1" ht="13">
      <c r="A3513" s="5">
        <v>12312</v>
      </c>
      <c r="B3513" s="5" t="s">
        <v>724</v>
      </c>
      <c r="C3513" s="5" t="s">
        <v>710</v>
      </c>
      <c r="D3513" s="5" t="s">
        <v>20</v>
      </c>
      <c r="E3513" s="5" t="s">
        <v>34</v>
      </c>
      <c r="F3513" s="5" t="s">
        <v>61</v>
      </c>
      <c r="G3513" s="5" t="s">
        <v>62</v>
      </c>
      <c r="H3513" s="9" t="s">
        <v>151</v>
      </c>
      <c r="I3513" s="10" t="s">
        <v>152</v>
      </c>
      <c r="J3513" s="10" t="s">
        <v>152</v>
      </c>
      <c r="K3513" s="5" t="s">
        <v>153</v>
      </c>
      <c r="L3513" s="5" t="s">
        <v>151</v>
      </c>
      <c r="M3513" s="11">
        <v>0.052499999999999998</v>
      </c>
      <c r="N3513" s="5" t="e">
        <f>IF(AND(M3513&gt;#REF!,Cartera!O3513="Guaraníes"),"Rendimiento significativo",IF(AND(M3513&gt;#REF!,Cartera!O3513="Dólares americanos"),"Rendimiento significativo","Rendimiento no significativo"))</f>
        <v>#REF!</v>
      </c>
      <c r="O3513" s="5" t="s">
        <v>41</v>
      </c>
      <c r="P3513" s="12">
        <v>867211651</v>
      </c>
      <c r="Q3513" s="12">
        <f>IF(O3513="Guaraníes",P3513,P3513*#REF!)</f>
        <v>867211651</v>
      </c>
      <c r="R3513" s="13" t="e">
        <f>IF(O3513="Guaraníes",P3513/#REF!,P3513)</f>
        <v>#REF!</v>
      </c>
      <c r="S3513" s="5" t="s">
        <v>120</v>
      </c>
      <c r="AC3513" s="5" t="str">
        <f t="shared" si="169"/>
        <v>Fondo</v>
      </c>
      <c r="AD3513" s="5" t="s">
        <v>43</v>
      </c>
      <c r="AE3513" s="5">
        <f t="shared" si="167"/>
        <v>0</v>
      </c>
      <c r="AF3513" s="5">
        <f t="shared" si="168"/>
        <v>0</v>
      </c>
    </row>
    <row r="3514" s="5" customFormat="1" ht="13">
      <c r="A3514" s="5" t="s">
        <v>44</v>
      </c>
      <c r="B3514" s="5" t="s">
        <v>44</v>
      </c>
      <c r="C3514" s="5" t="s">
        <v>99</v>
      </c>
      <c r="D3514" s="5" t="s">
        <v>21</v>
      </c>
      <c r="E3514" s="5" t="s">
        <v>44</v>
      </c>
      <c r="F3514" s="5" t="s">
        <v>100</v>
      </c>
      <c r="G3514" s="5" t="s">
        <v>75</v>
      </c>
      <c r="H3514" s="9" t="s">
        <v>238</v>
      </c>
      <c r="I3514" s="10"/>
      <c r="J3514" s="10">
        <v>42584</v>
      </c>
      <c r="K3514" s="5" t="s">
        <v>102</v>
      </c>
      <c r="L3514" s="5" t="s">
        <v>102</v>
      </c>
      <c r="M3514" s="11">
        <v>0.081000000000000003</v>
      </c>
      <c r="N3514" s="5" t="e">
        <f>IF(AND(M3514&gt;#REF!,Cartera!O3514="Guaraníes"),"Rendimiento significativo",IF(AND(M3514&gt;#REF!,Cartera!O3514="Dólares americanos"),"Rendimiento significativo","Rendimiento no significativo"))</f>
        <v>#REF!</v>
      </c>
      <c r="O3514" s="5" t="s">
        <v>41</v>
      </c>
      <c r="P3514" s="12">
        <v>2827232.8767200001</v>
      </c>
      <c r="Q3514" s="12">
        <f>IF(O3514="Guaraníes",P3514,P3514*#REF!)</f>
        <v>2827232.8767200001</v>
      </c>
      <c r="R3514" s="12" t="e">
        <f>IF(O3514="Guaraníes",P3514/#REF!,P3514)</f>
        <v>#REF!</v>
      </c>
      <c r="S3514" s="5" t="s">
        <v>52</v>
      </c>
      <c r="T3514" s="5">
        <v>25</v>
      </c>
      <c r="W3514" s="5" t="s">
        <v>230</v>
      </c>
      <c r="X3514" s="5">
        <v>0</v>
      </c>
      <c r="Y3514" s="5">
        <v>0</v>
      </c>
      <c r="Z3514" s="5">
        <v>40832.876711999997</v>
      </c>
      <c r="AA3514" s="5">
        <v>105</v>
      </c>
      <c r="AB3514" s="5">
        <v>4287452.0547599997</v>
      </c>
      <c r="AC3514" s="5" t="str">
        <f t="shared" si="169"/>
        <v>Bonos</v>
      </c>
      <c r="AD3514" s="5" t="s">
        <v>43</v>
      </c>
      <c r="AE3514" s="5">
        <f t="shared" si="167"/>
        <v>8</v>
      </c>
      <c r="AF3514" s="5">
        <f t="shared" si="168"/>
        <v>2016</v>
      </c>
    </row>
    <row r="3515" s="5" customFormat="1" ht="13">
      <c r="A3515" s="5" t="s">
        <v>44</v>
      </c>
      <c r="B3515" s="5" t="s">
        <v>44</v>
      </c>
      <c r="C3515" s="5" t="s">
        <v>99</v>
      </c>
      <c r="D3515" s="5" t="s">
        <v>21</v>
      </c>
      <c r="E3515" s="5" t="s">
        <v>44</v>
      </c>
      <c r="F3515" s="5" t="s">
        <v>100</v>
      </c>
      <c r="G3515" s="5" t="s">
        <v>75</v>
      </c>
      <c r="H3515" s="9" t="s">
        <v>238</v>
      </c>
      <c r="I3515" s="10"/>
      <c r="J3515" s="10">
        <v>42768</v>
      </c>
      <c r="K3515" s="5" t="s">
        <v>102</v>
      </c>
      <c r="L3515" s="5" t="s">
        <v>102</v>
      </c>
      <c r="M3515" s="11">
        <v>0.081000000000000003</v>
      </c>
      <c r="N3515" s="5" t="e">
        <f>IF(AND(M3515&gt;#REF!,Cartera!O3515="Guaraníes"),"Rendimiento significativo",IF(AND(M3515&gt;#REF!,Cartera!O3515="Dólares americanos"),"Rendimiento significativo","Rendimiento no significativo"))</f>
        <v>#REF!</v>
      </c>
      <c r="O3515" s="5" t="s">
        <v>41</v>
      </c>
      <c r="P3515" s="12">
        <v>4287452.0547599997</v>
      </c>
      <c r="Q3515" s="12">
        <f>IF(O3515="Guaraníes",P3515,P3515*#REF!)</f>
        <v>4287452.0547599997</v>
      </c>
      <c r="R3515" s="12" t="e">
        <f>IF(O3515="Guaraníes",P3515/#REF!,P3515)</f>
        <v>#REF!</v>
      </c>
      <c r="S3515" s="5" t="s">
        <v>52</v>
      </c>
      <c r="T3515" s="5">
        <v>25</v>
      </c>
      <c r="W3515" s="5" t="s">
        <v>230</v>
      </c>
      <c r="X3515" s="5">
        <v>0</v>
      </c>
      <c r="Y3515" s="5">
        <v>0</v>
      </c>
      <c r="Z3515" s="5">
        <v>40832.876711999997</v>
      </c>
      <c r="AA3515" s="5">
        <v>105</v>
      </c>
      <c r="AB3515" s="5">
        <v>4287452.0547599997</v>
      </c>
      <c r="AC3515" s="5" t="str">
        <f t="shared" si="169"/>
        <v>Bonos</v>
      </c>
      <c r="AD3515" s="5" t="s">
        <v>43</v>
      </c>
      <c r="AE3515" s="5">
        <f t="shared" si="167"/>
        <v>2</v>
      </c>
      <c r="AF3515" s="5">
        <f t="shared" si="168"/>
        <v>2017</v>
      </c>
    </row>
    <row r="3516" s="5" customFormat="1" ht="13">
      <c r="A3516" s="5" t="s">
        <v>44</v>
      </c>
      <c r="B3516" s="5" t="s">
        <v>44</v>
      </c>
      <c r="C3516" s="5" t="s">
        <v>99</v>
      </c>
      <c r="D3516" s="5" t="s">
        <v>21</v>
      </c>
      <c r="E3516" s="5" t="s">
        <v>44</v>
      </c>
      <c r="F3516" s="5" t="s">
        <v>100</v>
      </c>
      <c r="G3516" s="5" t="s">
        <v>75</v>
      </c>
      <c r="H3516" s="9" t="s">
        <v>238</v>
      </c>
      <c r="I3516" s="10"/>
      <c r="J3516" s="10">
        <v>42949</v>
      </c>
      <c r="K3516" s="5" t="s">
        <v>102</v>
      </c>
      <c r="L3516" s="5" t="s">
        <v>102</v>
      </c>
      <c r="M3516" s="11">
        <v>0.081000000000000003</v>
      </c>
      <c r="N3516" s="5" t="e">
        <f>IF(AND(M3516&gt;#REF!,Cartera!O3516="Guaraníes"),"Rendimiento significativo",IF(AND(M3516&gt;#REF!,Cartera!O3516="Dólares americanos"),"Rendimiento significativo","Rendimiento no significativo"))</f>
        <v>#REF!</v>
      </c>
      <c r="O3516" s="5" t="s">
        <v>41</v>
      </c>
      <c r="P3516" s="12">
        <v>4217547.9452400003</v>
      </c>
      <c r="Q3516" s="12">
        <f>IF(O3516="Guaraníes",P3516,P3516*#REF!)</f>
        <v>4217547.9452400003</v>
      </c>
      <c r="R3516" s="12" t="e">
        <f>IF(O3516="Guaraníes",P3516/#REF!,P3516)</f>
        <v>#REF!</v>
      </c>
      <c r="S3516" s="5" t="s">
        <v>52</v>
      </c>
      <c r="T3516" s="5">
        <v>25</v>
      </c>
      <c r="W3516" s="5" t="s">
        <v>230</v>
      </c>
      <c r="X3516" s="5">
        <v>0</v>
      </c>
      <c r="Y3516" s="5">
        <v>0</v>
      </c>
      <c r="Z3516" s="5">
        <v>40832.876711999997</v>
      </c>
      <c r="AA3516" s="5">
        <v>105</v>
      </c>
      <c r="AB3516" s="5">
        <v>4287452.0547599997</v>
      </c>
      <c r="AC3516" s="5" t="str">
        <f t="shared" si="169"/>
        <v>Bonos</v>
      </c>
      <c r="AD3516" s="5" t="s">
        <v>43</v>
      </c>
      <c r="AE3516" s="5">
        <f t="shared" si="167"/>
        <v>8</v>
      </c>
      <c r="AF3516" s="5">
        <f t="shared" si="168"/>
        <v>2017</v>
      </c>
    </row>
    <row r="3517" s="5" customFormat="1" ht="13">
      <c r="A3517" s="5" t="s">
        <v>44</v>
      </c>
      <c r="B3517" s="5" t="s">
        <v>44</v>
      </c>
      <c r="C3517" s="5" t="s">
        <v>99</v>
      </c>
      <c r="D3517" s="5" t="s">
        <v>21</v>
      </c>
      <c r="E3517" s="5" t="s">
        <v>44</v>
      </c>
      <c r="F3517" s="5" t="s">
        <v>100</v>
      </c>
      <c r="G3517" s="5" t="s">
        <v>75</v>
      </c>
      <c r="H3517" s="9" t="s">
        <v>238</v>
      </c>
      <c r="I3517" s="10"/>
      <c r="J3517" s="10">
        <v>43133</v>
      </c>
      <c r="K3517" s="5" t="s">
        <v>102</v>
      </c>
      <c r="L3517" s="5" t="s">
        <v>102</v>
      </c>
      <c r="M3517" s="11">
        <v>0.081000000000000003</v>
      </c>
      <c r="N3517" s="5" t="e">
        <f>IF(AND(M3517&gt;#REF!,Cartera!O3517="Guaraníes"),"Rendimiento significativo",IF(AND(M3517&gt;#REF!,Cartera!O3517="Dólares americanos"),"Rendimiento significativo","Rendimiento no significativo"))</f>
        <v>#REF!</v>
      </c>
      <c r="O3517" s="5" t="s">
        <v>41</v>
      </c>
      <c r="P3517" s="12">
        <v>4287452.0547599997</v>
      </c>
      <c r="Q3517" s="12">
        <f>IF(O3517="Guaraníes",P3517,P3517*#REF!)</f>
        <v>4287452.0547599997</v>
      </c>
      <c r="R3517" s="12" t="e">
        <f>IF(O3517="Guaraníes",P3517/#REF!,P3517)</f>
        <v>#REF!</v>
      </c>
      <c r="S3517" s="5" t="s">
        <v>52</v>
      </c>
      <c r="T3517" s="5">
        <v>25</v>
      </c>
      <c r="W3517" s="5" t="s">
        <v>230</v>
      </c>
      <c r="X3517" s="5">
        <v>0</v>
      </c>
      <c r="Y3517" s="5">
        <v>0</v>
      </c>
      <c r="Z3517" s="5">
        <v>40832.876711999997</v>
      </c>
      <c r="AA3517" s="5">
        <v>105</v>
      </c>
      <c r="AB3517" s="5">
        <v>4287452.0547599997</v>
      </c>
      <c r="AC3517" s="5" t="str">
        <f t="shared" si="169"/>
        <v>Bonos</v>
      </c>
      <c r="AD3517" s="5" t="s">
        <v>43</v>
      </c>
      <c r="AE3517" s="5">
        <f t="shared" si="167"/>
        <v>2</v>
      </c>
      <c r="AF3517" s="5">
        <f t="shared" si="168"/>
        <v>2018</v>
      </c>
    </row>
    <row r="3518" s="5" customFormat="1" ht="13">
      <c r="A3518" s="5" t="s">
        <v>44</v>
      </c>
      <c r="B3518" s="5" t="s">
        <v>44</v>
      </c>
      <c r="C3518" s="5" t="s">
        <v>99</v>
      </c>
      <c r="D3518" s="5" t="s">
        <v>21</v>
      </c>
      <c r="E3518" s="5" t="s">
        <v>44</v>
      </c>
      <c r="F3518" s="5" t="s">
        <v>100</v>
      </c>
      <c r="G3518" s="5" t="s">
        <v>75</v>
      </c>
      <c r="H3518" s="9" t="s">
        <v>238</v>
      </c>
      <c r="I3518" s="10"/>
      <c r="J3518" s="10">
        <v>43314</v>
      </c>
      <c r="K3518" s="5" t="s">
        <v>102</v>
      </c>
      <c r="L3518" s="5" t="s">
        <v>102</v>
      </c>
      <c r="M3518" s="11">
        <v>0.081000000000000003</v>
      </c>
      <c r="N3518" s="5" t="e">
        <f>IF(AND(M3518&gt;#REF!,Cartera!O3518="Guaraníes"),"Rendimiento significativo",IF(AND(M3518&gt;#REF!,Cartera!O3518="Dólares americanos"),"Rendimiento significativo","Rendimiento no significativo"))</f>
        <v>#REF!</v>
      </c>
      <c r="O3518" s="5" t="s">
        <v>41</v>
      </c>
      <c r="P3518" s="12">
        <v>4217547.9452400003</v>
      </c>
      <c r="Q3518" s="12">
        <f>IF(O3518="Guaraníes",P3518,P3518*#REF!)</f>
        <v>4217547.9452400003</v>
      </c>
      <c r="R3518" s="12" t="e">
        <f>IF(O3518="Guaraníes",P3518/#REF!,P3518)</f>
        <v>#REF!</v>
      </c>
      <c r="S3518" s="5" t="s">
        <v>52</v>
      </c>
      <c r="T3518" s="5">
        <v>25</v>
      </c>
      <c r="W3518" s="5" t="s">
        <v>230</v>
      </c>
      <c r="X3518" s="5">
        <v>0</v>
      </c>
      <c r="Y3518" s="5">
        <v>0</v>
      </c>
      <c r="Z3518" s="5">
        <v>40832.876711999997</v>
      </c>
      <c r="AA3518" s="5">
        <v>105</v>
      </c>
      <c r="AB3518" s="5">
        <v>4287452.0547599997</v>
      </c>
      <c r="AC3518" s="5" t="str">
        <f t="shared" si="169"/>
        <v>Bonos</v>
      </c>
      <c r="AD3518" s="5" t="s">
        <v>43</v>
      </c>
      <c r="AE3518" s="5">
        <f t="shared" si="167"/>
        <v>8</v>
      </c>
      <c r="AF3518" s="5">
        <f t="shared" si="168"/>
        <v>2018</v>
      </c>
    </row>
    <row r="3519" s="5" customFormat="1" ht="13">
      <c r="A3519" s="5" t="s">
        <v>44</v>
      </c>
      <c r="B3519" s="5" t="s">
        <v>44</v>
      </c>
      <c r="C3519" s="5" t="s">
        <v>99</v>
      </c>
      <c r="D3519" s="5" t="s">
        <v>21</v>
      </c>
      <c r="E3519" s="5" t="s">
        <v>44</v>
      </c>
      <c r="F3519" s="5" t="s">
        <v>100</v>
      </c>
      <c r="G3519" s="5" t="s">
        <v>69</v>
      </c>
      <c r="H3519" s="9" t="s">
        <v>238</v>
      </c>
      <c r="I3519" s="10"/>
      <c r="J3519" s="10">
        <v>42584</v>
      </c>
      <c r="K3519" s="5" t="s">
        <v>102</v>
      </c>
      <c r="L3519" s="5" t="s">
        <v>102</v>
      </c>
      <c r="M3519" s="11">
        <v>0.070000000000000007</v>
      </c>
      <c r="N3519" s="5" t="e">
        <f>IF(AND(M3519&gt;#REF!,Cartera!O3519="Guaraníes"),"Rendimiento significativo",IF(AND(M3519&gt;#REF!,Cartera!O3519="Dólares americanos"),"Rendimiento significativo","Rendimiento no significativo"))</f>
        <v>#REF!</v>
      </c>
      <c r="O3519" s="5" t="s">
        <v>41</v>
      </c>
      <c r="P3519" s="12">
        <v>2019452.0548</v>
      </c>
      <c r="Q3519" s="12">
        <f>IF(O3519="Guaraníes",P3519,P3519*#REF!)</f>
        <v>2019452.0548</v>
      </c>
      <c r="R3519" s="12" t="e">
        <f>IF(O3519="Guaraníes",P3519/#REF!,P3519)</f>
        <v>#REF!</v>
      </c>
      <c r="S3519" s="5" t="s">
        <v>52</v>
      </c>
      <c r="T3519" s="5">
        <v>593</v>
      </c>
      <c r="W3519" s="5" t="s">
        <v>483</v>
      </c>
      <c r="X3519" s="5">
        <v>0</v>
      </c>
      <c r="Y3519" s="5">
        <v>0</v>
      </c>
      <c r="Z3519" s="5">
        <v>40167.123288000003</v>
      </c>
      <c r="AA3519" s="5">
        <v>50</v>
      </c>
      <c r="AB3519" s="5">
        <v>2008356.1643999999</v>
      </c>
      <c r="AC3519" s="5" t="str">
        <f t="shared" si="169"/>
        <v>Bonos</v>
      </c>
      <c r="AD3519" s="5" t="s">
        <v>43</v>
      </c>
      <c r="AE3519" s="5">
        <f t="shared" si="167"/>
        <v>8</v>
      </c>
      <c r="AF3519" s="5">
        <f t="shared" si="168"/>
        <v>2016</v>
      </c>
    </row>
    <row r="3520" s="5" customFormat="1" ht="13">
      <c r="A3520" s="5" t="s">
        <v>44</v>
      </c>
      <c r="B3520" s="5" t="s">
        <v>44</v>
      </c>
      <c r="C3520" s="5" t="s">
        <v>103</v>
      </c>
      <c r="D3520" s="5" t="s">
        <v>21</v>
      </c>
      <c r="E3520" s="5" t="s">
        <v>44</v>
      </c>
      <c r="F3520" s="5" t="s">
        <v>68</v>
      </c>
      <c r="G3520" s="5" t="s">
        <v>104</v>
      </c>
      <c r="H3520" s="9" t="s">
        <v>105</v>
      </c>
      <c r="I3520" s="10">
        <v>45266</v>
      </c>
      <c r="J3520" s="10">
        <v>45357</v>
      </c>
      <c r="K3520" s="5" t="s">
        <v>64</v>
      </c>
      <c r="L3520" s="5" t="s">
        <v>106</v>
      </c>
      <c r="M3520" s="11">
        <v>0.079500000000000001</v>
      </c>
      <c r="N3520" s="5" t="e">
        <f>IF(AND(M3520&gt;#REF!,Cartera!O3520="Guaraníes"),"Rendimiento significativo",IF(AND(M3520&gt;#REF!,Cartera!O3520="Dólares americanos"),"Rendimiento significativo","Rendimiento no significativo"))</f>
        <v>#REF!</v>
      </c>
      <c r="O3520" s="5" t="s">
        <v>41</v>
      </c>
      <c r="P3520" s="12">
        <v>1982054.7944999998</v>
      </c>
      <c r="Q3520" s="12">
        <f>IF(O3520="Guaraníes",P3520,P3520*#REF!)</f>
        <v>1982054.7944999998</v>
      </c>
      <c r="R3520" s="12" t="e">
        <f>IF(O3520="Guaraníes",P3520/#REF!,P3520)</f>
        <v>#REF!</v>
      </c>
      <c r="S3520" s="5" t="s">
        <v>52</v>
      </c>
      <c r="T3520" s="5">
        <v>26543</v>
      </c>
      <c r="AC3520" s="5" t="str">
        <f t="shared" si="169"/>
        <v>Bonos</v>
      </c>
      <c r="AD3520" s="5" t="s">
        <v>43</v>
      </c>
      <c r="AE3520" s="5">
        <f t="shared" si="167"/>
        <v>3</v>
      </c>
      <c r="AF3520" s="5">
        <f t="shared" si="168"/>
        <v>2024</v>
      </c>
    </row>
    <row r="3521" s="5" customFormat="1" ht="13">
      <c r="A3521" s="5" t="s">
        <v>44</v>
      </c>
      <c r="B3521" s="5" t="s">
        <v>44</v>
      </c>
      <c r="C3521" s="5" t="s">
        <v>103</v>
      </c>
      <c r="D3521" s="5" t="s">
        <v>21</v>
      </c>
      <c r="E3521" s="5" t="s">
        <v>44</v>
      </c>
      <c r="F3521" s="5" t="s">
        <v>68</v>
      </c>
      <c r="G3521" s="5" t="s">
        <v>104</v>
      </c>
      <c r="H3521" s="9" t="s">
        <v>105</v>
      </c>
      <c r="I3521" s="10">
        <v>45266</v>
      </c>
      <c r="J3521" s="10">
        <v>45448</v>
      </c>
      <c r="K3521" s="5" t="s">
        <v>64</v>
      </c>
      <c r="L3521" s="5" t="s">
        <v>106</v>
      </c>
      <c r="M3521" s="11">
        <v>0.079500000000000001</v>
      </c>
      <c r="N3521" s="5" t="e">
        <f>IF(AND(M3521&gt;#REF!,Cartera!O3521="Guaraníes"),"Rendimiento significativo",IF(AND(M3521&gt;#REF!,Cartera!O3521="Dólares americanos"),"Rendimiento significativo","Rendimiento no significativo"))</f>
        <v>#REF!</v>
      </c>
      <c r="O3521" s="5" t="s">
        <v>41</v>
      </c>
      <c r="P3521" s="12">
        <v>1982054.7944999998</v>
      </c>
      <c r="Q3521" s="12">
        <f>IF(O3521="Guaraníes",P3521,P3521*#REF!)</f>
        <v>1982054.7944999998</v>
      </c>
      <c r="R3521" s="12" t="e">
        <f>IF(O3521="Guaraníes",P3521/#REF!,P3521)</f>
        <v>#REF!</v>
      </c>
      <c r="S3521" s="5" t="s">
        <v>52</v>
      </c>
      <c r="T3521" s="5">
        <v>26543</v>
      </c>
      <c r="AC3521" s="5" t="str">
        <f t="shared" si="169"/>
        <v>Bonos</v>
      </c>
      <c r="AD3521" s="5" t="s">
        <v>43</v>
      </c>
      <c r="AE3521" s="5">
        <f t="shared" si="167"/>
        <v>6</v>
      </c>
      <c r="AF3521" s="5">
        <f t="shared" si="168"/>
        <v>2024</v>
      </c>
    </row>
    <row r="3522" s="5" customFormat="1" ht="13">
      <c r="A3522" s="5" t="s">
        <v>44</v>
      </c>
      <c r="B3522" s="5" t="s">
        <v>44</v>
      </c>
      <c r="C3522" s="5" t="s">
        <v>164</v>
      </c>
      <c r="D3522" s="5" t="s">
        <v>21</v>
      </c>
      <c r="E3522" s="5" t="s">
        <v>44</v>
      </c>
      <c r="F3522" s="5" t="s">
        <v>68</v>
      </c>
      <c r="G3522" s="5" t="s">
        <v>91</v>
      </c>
      <c r="H3522" s="9" t="s">
        <v>166</v>
      </c>
      <c r="I3522" s="10"/>
      <c r="J3522" s="10">
        <v>45565</v>
      </c>
      <c r="K3522" s="5" t="s">
        <v>124</v>
      </c>
      <c r="L3522" s="5" t="s">
        <v>58</v>
      </c>
      <c r="M3522" s="11">
        <v>0.092499999999999999</v>
      </c>
      <c r="N3522" s="5" t="e">
        <f>IF(AND(M3522&gt;#REF!,Cartera!O3522="Guaraníes"),"Rendimiento significativo",IF(AND(M3522&gt;#REF!,Cartera!O3522="Dólares americanos"),"Rendimiento significativo","Rendimiento no significativo"))</f>
        <v>#REF!</v>
      </c>
      <c r="O3522" s="5" t="s">
        <v>41</v>
      </c>
      <c r="P3522" s="12">
        <v>1178424.6576</v>
      </c>
      <c r="Q3522" s="12">
        <f>IF(O3522="Guaraníes",P3522,P3522*#REF!)</f>
        <v>1178424.6576</v>
      </c>
      <c r="R3522" s="12" t="e">
        <f>IF(O3522="Guaraníes",P3522/#REF!,P3522)</f>
        <v>#REF!</v>
      </c>
      <c r="S3522" s="5" t="s">
        <v>52</v>
      </c>
      <c r="T3522" s="5">
        <v>3253</v>
      </c>
      <c r="W3522" s="5" t="s">
        <v>65</v>
      </c>
      <c r="X3522" s="5">
        <v>0</v>
      </c>
      <c r="Y3522" s="5">
        <v>0</v>
      </c>
      <c r="Z3522" s="5">
        <v>7856.1643839999997</v>
      </c>
      <c r="AA3522" s="5">
        <v>150</v>
      </c>
      <c r="AB3522" s="5">
        <v>1178424.6576</v>
      </c>
      <c r="AC3522" s="5" t="str">
        <f t="shared" si="169"/>
        <v>Bonos</v>
      </c>
      <c r="AD3522" s="5" t="s">
        <v>43</v>
      </c>
      <c r="AE3522" s="5">
        <f t="shared" si="167"/>
        <v>9</v>
      </c>
      <c r="AF3522" s="5">
        <f t="shared" si="168"/>
        <v>2024</v>
      </c>
    </row>
    <row r="3523" s="5" customFormat="1" ht="13">
      <c r="A3523" s="5" t="s">
        <v>44</v>
      </c>
      <c r="B3523" s="5" t="s">
        <v>44</v>
      </c>
      <c r="C3523" s="5" t="s">
        <v>164</v>
      </c>
      <c r="D3523" s="5" t="s">
        <v>21</v>
      </c>
      <c r="E3523" s="5" t="s">
        <v>44</v>
      </c>
      <c r="F3523" s="5" t="s">
        <v>68</v>
      </c>
      <c r="G3523" s="5" t="s">
        <v>91</v>
      </c>
      <c r="H3523" s="9" t="s">
        <v>166</v>
      </c>
      <c r="I3523" s="10"/>
      <c r="J3523" s="10">
        <v>45656</v>
      </c>
      <c r="K3523" s="5" t="s">
        <v>124</v>
      </c>
      <c r="L3523" s="5" t="s">
        <v>58</v>
      </c>
      <c r="M3523" s="11">
        <v>0.092499999999999999</v>
      </c>
      <c r="N3523" s="5" t="e">
        <f>IF(AND(M3523&gt;#REF!,Cartera!O3523="Guaraníes"),"Rendimiento significativo",IF(AND(M3523&gt;#REF!,Cartera!O3523="Dólares americanos"),"Rendimiento significativo","Rendimiento no significativo"))</f>
        <v>#REF!</v>
      </c>
      <c r="O3523" s="5" t="s">
        <v>41</v>
      </c>
      <c r="P3523" s="12">
        <v>1178424.6576</v>
      </c>
      <c r="Q3523" s="12">
        <f>IF(O3523="Guaraníes",P3523,P3523*#REF!)</f>
        <v>1178424.6576</v>
      </c>
      <c r="R3523" s="12" t="e">
        <f>IF(O3523="Guaraníes",P3523/#REF!,P3523)</f>
        <v>#REF!</v>
      </c>
      <c r="S3523" s="5" t="s">
        <v>52</v>
      </c>
      <c r="T3523" s="5">
        <v>3253</v>
      </c>
      <c r="W3523" s="5" t="s">
        <v>65</v>
      </c>
      <c r="X3523" s="5">
        <v>0</v>
      </c>
      <c r="Y3523" s="5">
        <v>0</v>
      </c>
      <c r="Z3523" s="5">
        <v>7856.1643839999997</v>
      </c>
      <c r="AA3523" s="5">
        <v>150</v>
      </c>
      <c r="AB3523" s="5">
        <v>1178424.6576</v>
      </c>
      <c r="AC3523" s="5" t="str">
        <f t="shared" si="169"/>
        <v>Bonos</v>
      </c>
      <c r="AD3523" s="5" t="s">
        <v>43</v>
      </c>
      <c r="AE3523" s="5">
        <f t="shared" si="167"/>
        <v>12</v>
      </c>
      <c r="AF3523" s="5">
        <f t="shared" si="168"/>
        <v>2024</v>
      </c>
    </row>
    <row r="3524" s="5" customFormat="1" ht="13">
      <c r="A3524" s="5">
        <v>12315</v>
      </c>
      <c r="B3524" s="5" t="s">
        <v>73</v>
      </c>
      <c r="C3524" s="5" t="s">
        <v>74</v>
      </c>
      <c r="D3524" s="5" t="s">
        <v>21</v>
      </c>
      <c r="E3524" s="5" t="s">
        <v>34</v>
      </c>
      <c r="F3524" s="5" t="s">
        <v>68</v>
      </c>
      <c r="G3524" s="5" t="s">
        <v>75</v>
      </c>
      <c r="H3524" s="9" t="s">
        <v>76</v>
      </c>
      <c r="I3524" s="10"/>
      <c r="J3524" s="10">
        <v>47665</v>
      </c>
      <c r="K3524" s="5" t="s">
        <v>77</v>
      </c>
      <c r="L3524" s="5" t="s">
        <v>50</v>
      </c>
      <c r="M3524" s="11">
        <v>0.055</v>
      </c>
      <c r="N3524" s="5" t="e">
        <f>IF(AND(M3524&gt;#REF!,Cartera!O3524="Guaraníes"),"Rendimiento significativo",IF(AND(M3524&gt;#REF!,Cartera!O3524="Dólares americanos"),"Rendimiento significativo","Rendimiento no significativo"))</f>
        <v>#REF!</v>
      </c>
      <c r="O3524" s="5" t="s">
        <v>51</v>
      </c>
      <c r="P3524" s="13">
        <v>411.36986999999999</v>
      </c>
      <c r="Q3524" s="12" t="e">
        <f>IF(O3524="Guaraníes",P3524,P3524*#REF!)</f>
        <v>#REF!</v>
      </c>
      <c r="R3524" s="12">
        <f>IF(O3524="Guaraníes",P3524/#REF!,P3524)</f>
        <v>411.36986999999999</v>
      </c>
      <c r="S3524" s="5" t="s">
        <v>42</v>
      </c>
      <c r="T3524" s="5">
        <v>25</v>
      </c>
      <c r="W3524" s="5" t="s">
        <v>65</v>
      </c>
      <c r="X3524" s="5">
        <v>0</v>
      </c>
      <c r="Y3524" s="5">
        <v>0</v>
      </c>
      <c r="Z3524" s="5">
        <v>13.712329</v>
      </c>
      <c r="AA3524" s="5">
        <v>30</v>
      </c>
      <c r="AB3524" s="5">
        <v>411.37</v>
      </c>
      <c r="AC3524" s="5" t="str">
        <f t="shared" si="169"/>
        <v>Bonos</v>
      </c>
      <c r="AD3524" s="5" t="s">
        <v>43</v>
      </c>
      <c r="AE3524" s="5">
        <f t="shared" si="167"/>
        <v>7</v>
      </c>
      <c r="AF3524" s="5">
        <f t="shared" si="168"/>
        <v>2030</v>
      </c>
    </row>
    <row r="3525" s="5" customFormat="1" ht="13">
      <c r="A3525" s="5">
        <v>12316</v>
      </c>
      <c r="B3525" s="5" t="s">
        <v>78</v>
      </c>
      <c r="C3525" s="5" t="s">
        <v>138</v>
      </c>
      <c r="D3525" s="5" t="s">
        <v>21</v>
      </c>
      <c r="E3525" s="5" t="s">
        <v>34</v>
      </c>
      <c r="F3525" s="5" t="s">
        <v>68</v>
      </c>
      <c r="G3525" s="5" t="s">
        <v>86</v>
      </c>
      <c r="H3525" s="9" t="s">
        <v>139</v>
      </c>
      <c r="I3525" s="10">
        <v>43948</v>
      </c>
      <c r="J3525" s="10">
        <v>47674</v>
      </c>
      <c r="K3525" s="5" t="s">
        <v>140</v>
      </c>
      <c r="L3525" s="5" t="s">
        <v>58</v>
      </c>
      <c r="M3525" s="11">
        <v>0.11</v>
      </c>
      <c r="N3525" s="5" t="e">
        <f>IF(AND(M3525&gt;#REF!,Cartera!O3525="Guaraníes"),"Rendimiento significativo",IF(AND(M3525&gt;#REF!,Cartera!O3525="Dólares americanos"),"Rendimiento significativo","Rendimiento no significativo"))</f>
        <v>#REF!</v>
      </c>
      <c r="O3525" s="5" t="s">
        <v>41</v>
      </c>
      <c r="P3525" s="12">
        <v>369227.4535</v>
      </c>
      <c r="Q3525" s="12">
        <f>IF(O3525="Guaraníes",P3525,P3525*#REF!)</f>
        <v>369227.4535</v>
      </c>
      <c r="R3525" s="12" t="e">
        <f>IF(O3525="Guaraníes",P3525/#REF!,P3525)</f>
        <v>#REF!</v>
      </c>
      <c r="S3525" s="5" t="s">
        <v>42</v>
      </c>
      <c r="AC3525" s="5" t="str">
        <f t="shared" si="169"/>
        <v>Bonos</v>
      </c>
      <c r="AD3525" s="5" t="s">
        <v>43</v>
      </c>
      <c r="AE3525" s="5">
        <f t="shared" si="167"/>
        <v>7</v>
      </c>
      <c r="AF3525" s="5">
        <f t="shared" si="168"/>
        <v>2030</v>
      </c>
    </row>
    <row r="3526" s="5" customFormat="1" ht="13">
      <c r="A3526" s="5">
        <v>12301</v>
      </c>
      <c r="B3526" s="5" t="s">
        <v>107</v>
      </c>
      <c r="C3526" s="5" t="s">
        <v>103</v>
      </c>
      <c r="D3526" s="5" t="s">
        <v>20</v>
      </c>
      <c r="E3526" s="5" t="s">
        <v>34</v>
      </c>
      <c r="F3526" s="5" t="s">
        <v>68</v>
      </c>
      <c r="G3526" s="5" t="s">
        <v>104</v>
      </c>
      <c r="H3526" s="9" t="s">
        <v>105</v>
      </c>
      <c r="I3526" s="10">
        <v>45266</v>
      </c>
      <c r="J3526" s="10">
        <v>45817</v>
      </c>
      <c r="K3526" s="5" t="s">
        <v>64</v>
      </c>
      <c r="L3526" s="5" t="s">
        <v>106</v>
      </c>
      <c r="M3526" s="11">
        <v>0.079500000000000001</v>
      </c>
      <c r="N3526" s="5" t="e">
        <f>IF(AND(M3526&gt;#REF!,Cartera!O3526="Guaraníes"),"Rendimiento significativo",IF(AND(M3526&gt;#REF!,Cartera!O3526="Dólares americanos"),"Rendimiento significativo","Rendimiento no significativo"))</f>
        <v>#REF!</v>
      </c>
      <c r="O3526" s="5" t="s">
        <v>41</v>
      </c>
      <c r="P3526" s="12">
        <v>100000000</v>
      </c>
      <c r="Q3526" s="12">
        <f>IF(O3526="Guaraníes",P3526,P3526*#REF!)</f>
        <v>100000000</v>
      </c>
      <c r="R3526" s="12" t="e">
        <f>IF(O3526="Guaraníes",P3526/#REF!,P3526)</f>
        <v>#REF!</v>
      </c>
      <c r="S3526" s="5" t="s">
        <v>42</v>
      </c>
      <c r="T3526" s="5">
        <v>26543</v>
      </c>
      <c r="AC3526" s="5" t="str">
        <f t="shared" si="169"/>
        <v>Bonos</v>
      </c>
      <c r="AD3526" s="5" t="s">
        <v>43</v>
      </c>
      <c r="AE3526" s="5">
        <f t="shared" si="167"/>
        <v>6</v>
      </c>
      <c r="AF3526" s="5">
        <f t="shared" si="168"/>
        <v>2025</v>
      </c>
    </row>
    <row r="3527" s="5" customFormat="1" ht="13">
      <c r="A3527" s="5">
        <v>12313</v>
      </c>
      <c r="B3527" s="5" t="s">
        <v>698</v>
      </c>
      <c r="C3527" s="5" t="s">
        <v>116</v>
      </c>
      <c r="D3527" s="5" t="s">
        <v>20</v>
      </c>
      <c r="E3527" s="5" t="s">
        <v>34</v>
      </c>
      <c r="F3527" s="5" t="s">
        <v>68</v>
      </c>
      <c r="H3527" s="9" t="s">
        <v>117</v>
      </c>
      <c r="I3527" s="10">
        <v>45321</v>
      </c>
      <c r="J3527" s="10">
        <v>45873</v>
      </c>
      <c r="K3527" s="5" t="s">
        <v>118</v>
      </c>
      <c r="L3527" s="5" t="s">
        <v>82</v>
      </c>
      <c r="M3527" s="11">
        <v>0.055</v>
      </c>
      <c r="N3527" s="5" t="e">
        <f>IF(AND(M3527&gt;#REF!,Cartera!O3527="Guaraníes"),"Rendimiento significativo",IF(AND(M3527&gt;#REF!,Cartera!O3527="Dólares americanos"),"Rendimiento significativo","Rendimiento no significativo"))</f>
        <v>#REF!</v>
      </c>
      <c r="O3527" s="5" t="s">
        <v>51</v>
      </c>
      <c r="P3527" s="13">
        <v>40000</v>
      </c>
      <c r="Q3527" s="12" t="e">
        <f>IF(O3527="Guaraníes",P3527,P3527*#REF!)</f>
        <v>#REF!</v>
      </c>
      <c r="R3527" s="12">
        <f>IF(O3527="Guaraníes",P3527/#REF!,P3527)</f>
        <v>40000</v>
      </c>
      <c r="S3527" s="5" t="s">
        <v>42</v>
      </c>
      <c r="AC3527" s="5" t="str">
        <f t="shared" si="169"/>
        <v>CDA</v>
      </c>
      <c r="AD3527" s="5" t="s">
        <v>43</v>
      </c>
      <c r="AE3527" s="5">
        <f t="shared" si="167"/>
        <v>8</v>
      </c>
      <c r="AF3527" s="5">
        <f t="shared" si="168"/>
        <v>2025</v>
      </c>
    </row>
    <row r="3528" s="5" customFormat="1" ht="13">
      <c r="A3528" s="5" t="s">
        <v>44</v>
      </c>
      <c r="B3528" s="5" t="s">
        <v>44</v>
      </c>
      <c r="C3528" s="5" t="s">
        <v>74</v>
      </c>
      <c r="D3528" s="5" t="s">
        <v>21</v>
      </c>
      <c r="E3528" s="5" t="s">
        <v>44</v>
      </c>
      <c r="F3528" s="5" t="s">
        <v>68</v>
      </c>
      <c r="H3528" s="9" t="s">
        <v>133</v>
      </c>
      <c r="I3528" s="20">
        <v>45329</v>
      </c>
      <c r="J3528" s="10">
        <v>45509</v>
      </c>
      <c r="K3528" s="5" t="s">
        <v>77</v>
      </c>
      <c r="L3528" s="5" t="s">
        <v>82</v>
      </c>
      <c r="M3528" s="11">
        <v>0.086499999999999994</v>
      </c>
      <c r="N3528" s="5" t="e">
        <f>IF(AND(M3528&gt;#REF!,Cartera!O3528="Guaraníes"),"Rendimiento significativo",IF(AND(M3528&gt;#REF!,Cartera!O3528="Dólares americanos"),"Rendimiento significativo","Rendimiento no significativo"))</f>
        <v>#REF!</v>
      </c>
      <c r="O3528" s="5" t="s">
        <v>41</v>
      </c>
      <c r="P3528" s="12">
        <v>3199315</v>
      </c>
      <c r="Q3528" s="12">
        <f>IF(O3528="Guaraníes",P3528,P3528*#REF!)</f>
        <v>3199315</v>
      </c>
      <c r="R3528" s="12" t="e">
        <f>IF(O3528="Guaraníes",P3528/#REF!,P3528)</f>
        <v>#REF!</v>
      </c>
      <c r="S3528" s="5" t="s">
        <v>52</v>
      </c>
      <c r="AC3528" s="5" t="str">
        <f t="shared" si="169"/>
        <v>CDA</v>
      </c>
      <c r="AD3528" s="5" t="s">
        <v>43</v>
      </c>
      <c r="AE3528" s="5">
        <f t="shared" si="167"/>
        <v>8</v>
      </c>
      <c r="AF3528" s="5">
        <f t="shared" si="168"/>
        <v>2024</v>
      </c>
    </row>
    <row r="3529" s="5" customFormat="1" ht="13">
      <c r="A3529" s="5" t="s">
        <v>44</v>
      </c>
      <c r="B3529" s="5" t="s">
        <v>44</v>
      </c>
      <c r="C3529" s="5" t="s">
        <v>74</v>
      </c>
      <c r="D3529" s="5" t="s">
        <v>21</v>
      </c>
      <c r="E3529" s="5" t="s">
        <v>44</v>
      </c>
      <c r="F3529" s="5" t="s">
        <v>68</v>
      </c>
      <c r="H3529" s="9" t="s">
        <v>133</v>
      </c>
      <c r="I3529" s="10">
        <v>45329</v>
      </c>
      <c r="J3529" s="10">
        <v>45419</v>
      </c>
      <c r="K3529" s="5" t="s">
        <v>77</v>
      </c>
      <c r="L3529" s="5" t="s">
        <v>82</v>
      </c>
      <c r="M3529" s="11">
        <v>0.086499999999999994</v>
      </c>
      <c r="N3529" s="5" t="e">
        <f>IF(AND(M3529&gt;#REF!,Cartera!O3529="Guaraníes"),"Rendimiento significativo",IF(AND(M3529&gt;#REF!,Cartera!O3529="Dólares americanos"),"Rendimiento significativo","Rendimiento no significativo"))</f>
        <v>#REF!</v>
      </c>
      <c r="O3529" s="5" t="s">
        <v>41</v>
      </c>
      <c r="P3529" s="12">
        <v>3199315</v>
      </c>
      <c r="Q3529" s="12">
        <f>IF(O3529="Guaraníes",P3529,P3529*#REF!)</f>
        <v>3199315</v>
      </c>
      <c r="R3529" s="12" t="e">
        <f>IF(O3529="Guaraníes",P3529/#REF!,P3529)</f>
        <v>#REF!</v>
      </c>
      <c r="S3529" s="5" t="s">
        <v>52</v>
      </c>
      <c r="AC3529" s="5" t="str">
        <f t="shared" si="169"/>
        <v>CDA</v>
      </c>
      <c r="AD3529" s="5" t="s">
        <v>43</v>
      </c>
      <c r="AE3529" s="5">
        <f t="shared" si="167"/>
        <v>5</v>
      </c>
      <c r="AF3529" s="5">
        <f t="shared" si="168"/>
        <v>2024</v>
      </c>
    </row>
    <row r="3530" s="5" customFormat="1" ht="13">
      <c r="A3530" s="5" t="s">
        <v>44</v>
      </c>
      <c r="B3530" s="5" t="s">
        <v>44</v>
      </c>
      <c r="C3530" s="5" t="s">
        <v>116</v>
      </c>
      <c r="D3530" s="5" t="s">
        <v>21</v>
      </c>
      <c r="E3530" s="5" t="s">
        <v>44</v>
      </c>
      <c r="F3530" s="5" t="s">
        <v>68</v>
      </c>
      <c r="H3530" s="9">
        <v>1519</v>
      </c>
      <c r="I3530" s="10"/>
      <c r="J3530" s="10">
        <v>45621</v>
      </c>
      <c r="K3530" s="5" t="s">
        <v>118</v>
      </c>
      <c r="L3530" s="5" t="s">
        <v>82</v>
      </c>
      <c r="M3530" s="11">
        <v>0.105</v>
      </c>
      <c r="N3530" s="5" t="e">
        <f>IF(AND(M3530&gt;#REF!,Cartera!O3530="Guaraníes"),"Rendimiento significativo",IF(AND(M3530&gt;#REF!,Cartera!O3530="Dólares americanos"),"Rendimiento significativo","Rendimiento no significativo"))</f>
        <v>#REF!</v>
      </c>
      <c r="O3530" s="5" t="s">
        <v>51</v>
      </c>
      <c r="P3530" s="13">
        <v>886.98000000000002</v>
      </c>
      <c r="Q3530" s="12" t="e">
        <f>IF(O3530="Guaraníes",P3530,P3530*#REF!)</f>
        <v>#REF!</v>
      </c>
      <c r="R3530" s="12">
        <f>IF(O3530="Guaraníes",P3530/#REF!,P3530)</f>
        <v>886.98000000000002</v>
      </c>
      <c r="S3530" s="5" t="s">
        <v>52</v>
      </c>
      <c r="V3530" s="5">
        <v>886.98000000000002</v>
      </c>
      <c r="W3530" s="5" t="s">
        <v>725</v>
      </c>
      <c r="AC3530" s="5" t="str">
        <f t="shared" si="169"/>
        <v>CDA</v>
      </c>
      <c r="AD3530" s="5" t="s">
        <v>43</v>
      </c>
      <c r="AE3530" s="5">
        <f t="shared" si="167"/>
        <v>11</v>
      </c>
      <c r="AF3530" s="5">
        <f t="shared" si="168"/>
        <v>2024</v>
      </c>
    </row>
    <row r="3531" s="5" customFormat="1" ht="13">
      <c r="A3531" s="5">
        <v>12316</v>
      </c>
      <c r="B3531" s="5" t="s">
        <v>78</v>
      </c>
      <c r="C3531" s="5" t="s">
        <v>138</v>
      </c>
      <c r="D3531" s="5" t="s">
        <v>21</v>
      </c>
      <c r="E3531" s="5" t="s">
        <v>34</v>
      </c>
      <c r="F3531" s="5" t="s">
        <v>68</v>
      </c>
      <c r="G3531" s="5" t="s">
        <v>86</v>
      </c>
      <c r="H3531" s="9" t="s">
        <v>139</v>
      </c>
      <c r="I3531" s="10">
        <v>43948</v>
      </c>
      <c r="J3531" s="10">
        <v>47704</v>
      </c>
      <c r="K3531" s="5" t="s">
        <v>140</v>
      </c>
      <c r="L3531" s="5" t="s">
        <v>58</v>
      </c>
      <c r="M3531" s="11">
        <v>0.11</v>
      </c>
      <c r="N3531" s="5" t="e">
        <f>IF(AND(M3531&gt;#REF!,Cartera!O3531="Guaraníes"),"Rendimiento significativo",IF(AND(M3531&gt;#REF!,Cartera!O3531="Dólares americanos"),"Rendimiento significativo","Rendimiento no significativo"))</f>
        <v>#REF!</v>
      </c>
      <c r="O3531" s="5" t="s">
        <v>41</v>
      </c>
      <c r="P3531" s="12">
        <v>355403.14500000002</v>
      </c>
      <c r="Q3531" s="12">
        <f>IF(O3531="Guaraníes",P3531,P3531*#REF!)</f>
        <v>355403.14500000002</v>
      </c>
      <c r="R3531" s="12" t="e">
        <f>IF(O3531="Guaraníes",P3531/#REF!,P3531)</f>
        <v>#REF!</v>
      </c>
      <c r="S3531" s="5" t="s">
        <v>42</v>
      </c>
      <c r="AC3531" s="5" t="str">
        <f t="shared" si="169"/>
        <v>Bonos</v>
      </c>
      <c r="AD3531" s="5" t="s">
        <v>43</v>
      </c>
      <c r="AE3531" s="5">
        <f t="shared" si="167"/>
        <v>8</v>
      </c>
      <c r="AF3531" s="5">
        <f t="shared" si="168"/>
        <v>2030</v>
      </c>
    </row>
    <row r="3532" s="5" customFormat="1" ht="13">
      <c r="A3532" s="5">
        <v>12316</v>
      </c>
      <c r="B3532" s="5" t="s">
        <v>78</v>
      </c>
      <c r="C3532" s="5" t="s">
        <v>99</v>
      </c>
      <c r="D3532" s="5" t="s">
        <v>21</v>
      </c>
      <c r="E3532" s="5" t="s">
        <v>34</v>
      </c>
      <c r="F3532" s="5" t="s">
        <v>100</v>
      </c>
      <c r="G3532" s="5" t="s">
        <v>86</v>
      </c>
      <c r="H3532" s="9" t="s">
        <v>155</v>
      </c>
      <c r="I3532" s="10"/>
      <c r="J3532" s="10">
        <v>47729</v>
      </c>
      <c r="K3532" s="5" t="s">
        <v>102</v>
      </c>
      <c r="L3532" s="5" t="s">
        <v>102</v>
      </c>
      <c r="M3532" s="11">
        <v>0.081000000000000003</v>
      </c>
      <c r="N3532" s="5" t="e">
        <f>IF(AND(M3532&gt;#REF!,Cartera!O3532="Guaraníes"),"Rendimiento significativo",IF(AND(M3532&gt;#REF!,Cartera!O3532="Dólares americanos"),"Rendimiento significativo","Rendimiento no significativo"))</f>
        <v>#REF!</v>
      </c>
      <c r="O3532" s="5" t="s">
        <v>41</v>
      </c>
      <c r="P3532" s="12">
        <v>28000000</v>
      </c>
      <c r="Q3532" s="12">
        <f>IF(O3532="Guaraníes",P3532,P3532*#REF!)</f>
        <v>28000000</v>
      </c>
      <c r="R3532" s="12" t="e">
        <f>IF(O3532="Guaraníes",P3532/#REF!,P3532)</f>
        <v>#REF!</v>
      </c>
      <c r="S3532" s="5" t="s">
        <v>42</v>
      </c>
      <c r="T3532" s="5">
        <v>10834</v>
      </c>
      <c r="W3532" s="5" t="s">
        <v>65</v>
      </c>
      <c r="X3532" s="5">
        <v>0</v>
      </c>
      <c r="Y3532" s="5">
        <v>0</v>
      </c>
      <c r="Z3532" s="5">
        <v>40000</v>
      </c>
      <c r="AA3532" s="5">
        <v>700</v>
      </c>
      <c r="AB3532" s="5">
        <v>28000000</v>
      </c>
      <c r="AC3532" s="5" t="str">
        <f t="shared" si="169"/>
        <v>Bonos</v>
      </c>
      <c r="AD3532" s="5" t="s">
        <v>43</v>
      </c>
      <c r="AE3532" s="5">
        <f t="shared" si="167"/>
        <v>9</v>
      </c>
      <c r="AF3532" s="5">
        <f t="shared" si="168"/>
        <v>2030</v>
      </c>
    </row>
    <row r="3533" s="5" customFormat="1" ht="13">
      <c r="A3533" s="5">
        <v>12316</v>
      </c>
      <c r="B3533" s="5" t="s">
        <v>78</v>
      </c>
      <c r="C3533" s="5" t="s">
        <v>99</v>
      </c>
      <c r="D3533" s="5" t="s">
        <v>21</v>
      </c>
      <c r="E3533" s="5" t="s">
        <v>34</v>
      </c>
      <c r="F3533" s="5" t="s">
        <v>100</v>
      </c>
      <c r="G3533" s="5" t="s">
        <v>75</v>
      </c>
      <c r="H3533" s="9" t="s">
        <v>159</v>
      </c>
      <c r="I3533" s="10"/>
      <c r="J3533" s="10">
        <v>47729</v>
      </c>
      <c r="K3533" s="5" t="s">
        <v>102</v>
      </c>
      <c r="L3533" s="5" t="s">
        <v>102</v>
      </c>
      <c r="M3533" s="11">
        <v>0.078</v>
      </c>
      <c r="N3533" s="5" t="e">
        <f>IF(AND(M3533&gt;#REF!,Cartera!O3533="Guaraníes"),"Rendimiento significativo",IF(AND(M3533&gt;#REF!,Cartera!O3533="Dólares americanos"),"Rendimiento significativo","Rendimiento no significativo"))</f>
        <v>#REF!</v>
      </c>
      <c r="O3533" s="5" t="s">
        <v>41</v>
      </c>
      <c r="P3533" s="12">
        <v>31200000</v>
      </c>
      <c r="Q3533" s="12">
        <f>IF(O3533="Guaraníes",P3533,P3533*#REF!)</f>
        <v>31200000</v>
      </c>
      <c r="R3533" s="12" t="e">
        <f>IF(O3533="Guaraníes",P3533/#REF!,P3533)</f>
        <v>#REF!</v>
      </c>
      <c r="S3533" s="5" t="s">
        <v>42</v>
      </c>
      <c r="T3533" s="5">
        <v>25</v>
      </c>
      <c r="W3533" s="5" t="s">
        <v>65</v>
      </c>
      <c r="X3533" s="5">
        <v>0</v>
      </c>
      <c r="Y3533" s="5">
        <v>0</v>
      </c>
      <c r="Z3533" s="5">
        <v>39000</v>
      </c>
      <c r="AA3533" s="5">
        <v>800</v>
      </c>
      <c r="AB3533" s="5">
        <v>31200000</v>
      </c>
      <c r="AC3533" s="5" t="str">
        <f t="shared" si="169"/>
        <v>Bonos</v>
      </c>
      <c r="AD3533" s="5" t="s">
        <v>43</v>
      </c>
      <c r="AE3533" s="5">
        <f t="shared" si="167"/>
        <v>9</v>
      </c>
      <c r="AF3533" s="5">
        <f t="shared" si="168"/>
        <v>2030</v>
      </c>
    </row>
    <row r="3534" s="5" customFormat="1" ht="13">
      <c r="A3534" s="5" t="s">
        <v>44</v>
      </c>
      <c r="B3534" s="5" t="s">
        <v>44</v>
      </c>
      <c r="C3534" s="5" t="s">
        <v>143</v>
      </c>
      <c r="D3534" s="5" t="s">
        <v>21</v>
      </c>
      <c r="E3534" s="5" t="s">
        <v>44</v>
      </c>
      <c r="F3534" s="5" t="s">
        <v>144</v>
      </c>
      <c r="G3534" s="5" t="s">
        <v>91</v>
      </c>
      <c r="H3534" s="9" t="s">
        <v>380</v>
      </c>
      <c r="I3534" s="10"/>
      <c r="J3534" s="10">
        <v>45625</v>
      </c>
      <c r="K3534" s="5" t="s">
        <v>49</v>
      </c>
      <c r="L3534" s="5" t="s">
        <v>106</v>
      </c>
      <c r="M3534" s="11">
        <v>0.059999999999999998</v>
      </c>
      <c r="N3534" s="5" t="e">
        <f>IF(AND(M3534&gt;#REF!,Cartera!O3534="Guaraníes"),"Rendimiento significativo",IF(AND(M3534&gt;#REF!,Cartera!O3534="Dólares americanos"),"Rendimiento significativo","Rendimiento no significativo"))</f>
        <v>#REF!</v>
      </c>
      <c r="O3534" s="5" t="s">
        <v>51</v>
      </c>
      <c r="P3534" s="13">
        <v>47.671229999999994</v>
      </c>
      <c r="Q3534" s="12" t="e">
        <f>IF(O3534="Guaraníes",P3534,P3534*#REF!)</f>
        <v>#REF!</v>
      </c>
      <c r="R3534" s="12">
        <f>IF(O3534="Guaraníes",P3534/#REF!,P3534)</f>
        <v>47.671229999999994</v>
      </c>
      <c r="S3534" s="5" t="s">
        <v>52</v>
      </c>
      <c r="T3534" s="5">
        <v>3253</v>
      </c>
      <c r="AC3534" s="5" t="str">
        <f t="shared" si="169"/>
        <v>Bonos</v>
      </c>
      <c r="AD3534" s="5" t="s">
        <v>43</v>
      </c>
      <c r="AE3534" s="5">
        <f t="shared" si="167"/>
        <v>11</v>
      </c>
      <c r="AF3534" s="5">
        <f t="shared" si="168"/>
        <v>2024</v>
      </c>
    </row>
    <row r="3535" s="5" customFormat="1" ht="13">
      <c r="A3535" s="5">
        <v>12306</v>
      </c>
      <c r="B3535" s="5" t="s">
        <v>373</v>
      </c>
      <c r="C3535" s="5" t="s">
        <v>74</v>
      </c>
      <c r="D3535" s="5" t="s">
        <v>20</v>
      </c>
      <c r="E3535" s="5" t="s">
        <v>34</v>
      </c>
      <c r="F3535" s="5" t="s">
        <v>68</v>
      </c>
      <c r="H3535" s="9" t="s">
        <v>133</v>
      </c>
      <c r="I3535" s="10">
        <v>45329</v>
      </c>
      <c r="J3535" s="10">
        <v>45880</v>
      </c>
      <c r="K3535" s="5" t="s">
        <v>77</v>
      </c>
      <c r="L3535" s="5" t="s">
        <v>82</v>
      </c>
      <c r="M3535" s="11">
        <v>0.086499999999999994</v>
      </c>
      <c r="N3535" s="5" t="e">
        <f>IF(AND(M3535&gt;#REF!,Cartera!O3535="Guaraníes"),"Rendimiento significativo",IF(AND(M3535&gt;#REF!,Cartera!O3535="Dólares americanos"),"Rendimiento significativo","Rendimiento no significativo"))</f>
        <v>#REF!</v>
      </c>
      <c r="O3535" s="5" t="s">
        <v>41</v>
      </c>
      <c r="P3535" s="12">
        <v>150000000</v>
      </c>
      <c r="Q3535" s="12">
        <f>IF(O3535="Guaraníes",P3535,P3535*#REF!)</f>
        <v>150000000</v>
      </c>
      <c r="R3535" s="12" t="e">
        <f>IF(O3535="Guaraníes",P3535/#REF!,P3535)</f>
        <v>#REF!</v>
      </c>
      <c r="S3535" s="5" t="s">
        <v>42</v>
      </c>
      <c r="AC3535" s="5" t="str">
        <f t="shared" si="169"/>
        <v>CDA</v>
      </c>
      <c r="AD3535" s="5" t="s">
        <v>43</v>
      </c>
      <c r="AE3535" s="5">
        <f t="shared" si="167"/>
        <v>8</v>
      </c>
      <c r="AF3535" s="5">
        <f t="shared" si="168"/>
        <v>2025</v>
      </c>
    </row>
    <row r="3536" s="5" customFormat="1" ht="13">
      <c r="A3536" s="5" t="s">
        <v>44</v>
      </c>
      <c r="B3536" s="5" t="s">
        <v>44</v>
      </c>
      <c r="C3536" s="5" t="s">
        <v>79</v>
      </c>
      <c r="D3536" s="5" t="s">
        <v>21</v>
      </c>
      <c r="E3536" s="5" t="s">
        <v>44</v>
      </c>
      <c r="F3536" s="5" t="s">
        <v>68</v>
      </c>
      <c r="H3536" s="9" t="s">
        <v>175</v>
      </c>
      <c r="I3536" s="20">
        <v>45338</v>
      </c>
      <c r="J3536" s="10">
        <v>45520</v>
      </c>
      <c r="K3536" s="5" t="s">
        <v>81</v>
      </c>
      <c r="L3536" s="5" t="s">
        <v>82</v>
      </c>
      <c r="M3536" s="11">
        <v>0.042000000000000003</v>
      </c>
      <c r="N3536" s="5" t="e">
        <f>IF(AND(M3536&gt;#REF!,Cartera!O3536="Guaraníes"),"Rendimiento significativo",IF(AND(M3536&gt;#REF!,Cartera!O3536="Dólares americanos"),"Rendimiento significativo","Rendimiento no significativo"))</f>
        <v>#REF!</v>
      </c>
      <c r="O3536" s="5" t="s">
        <v>51</v>
      </c>
      <c r="P3536" s="13">
        <v>739</v>
      </c>
      <c r="Q3536" s="12" t="e">
        <f>IF(O3536="Guaraníes",P3536,P3536*#REF!)</f>
        <v>#REF!</v>
      </c>
      <c r="R3536" s="12">
        <f>IF(O3536="Guaraníes",P3536/#REF!,P3536)</f>
        <v>739</v>
      </c>
      <c r="S3536" s="5" t="s">
        <v>52</v>
      </c>
      <c r="AC3536" s="5" t="str">
        <f t="shared" si="169"/>
        <v>CDA</v>
      </c>
      <c r="AD3536" s="5" t="s">
        <v>43</v>
      </c>
      <c r="AE3536" s="5">
        <f t="shared" si="167"/>
        <v>8</v>
      </c>
      <c r="AF3536" s="5">
        <f t="shared" si="168"/>
        <v>2024</v>
      </c>
    </row>
    <row r="3537" s="5" customFormat="1" ht="13">
      <c r="A3537" s="5" t="s">
        <v>44</v>
      </c>
      <c r="B3537" s="5" t="s">
        <v>44</v>
      </c>
      <c r="C3537" s="5" t="s">
        <v>143</v>
      </c>
      <c r="D3537" s="5" t="s">
        <v>21</v>
      </c>
      <c r="E3537" s="5" t="s">
        <v>44</v>
      </c>
      <c r="F3537" s="5" t="s">
        <v>144</v>
      </c>
      <c r="G3537" s="5" t="s">
        <v>145</v>
      </c>
      <c r="H3537" s="9" t="s">
        <v>146</v>
      </c>
      <c r="I3537" s="10"/>
      <c r="J3537" s="10">
        <v>45625</v>
      </c>
      <c r="K3537" s="5" t="s">
        <v>49</v>
      </c>
      <c r="L3537" s="5" t="s">
        <v>106</v>
      </c>
      <c r="M3537" s="11">
        <v>0.060999999999999999</v>
      </c>
      <c r="N3537" s="5" t="e">
        <f>IF(AND(M3537&gt;#REF!,Cartera!O3537="Guaraníes"),"Rendimiento significativo",IF(AND(M3537&gt;#REF!,Cartera!O3537="Dólares americanos"),"Rendimiento significativo","Rendimiento no significativo"))</f>
        <v>#REF!</v>
      </c>
      <c r="O3537" s="5" t="s">
        <v>51</v>
      </c>
      <c r="P3537" s="13">
        <v>193.863</v>
      </c>
      <c r="Q3537" s="12" t="e">
        <f>IF(O3537="Guaraníes",P3537,P3537*#REF!)</f>
        <v>#REF!</v>
      </c>
      <c r="R3537" s="12">
        <f>IF(O3537="Guaraníes",P3537/#REF!,P3537)</f>
        <v>193.863</v>
      </c>
      <c r="S3537" s="5" t="s">
        <v>52</v>
      </c>
      <c r="T3537" s="5">
        <v>1057</v>
      </c>
      <c r="W3537" s="5" t="s">
        <v>65</v>
      </c>
      <c r="X3537" s="5">
        <v>0</v>
      </c>
      <c r="Y3537" s="5">
        <v>0</v>
      </c>
      <c r="Z3537" s="5">
        <v>4.8465749999999996</v>
      </c>
      <c r="AA3537" s="5">
        <v>40</v>
      </c>
      <c r="AB3537" s="5">
        <v>193.863</v>
      </c>
      <c r="AC3537" s="5" t="str">
        <f t="shared" si="169"/>
        <v>Bonos</v>
      </c>
      <c r="AD3537" s="5" t="s">
        <v>43</v>
      </c>
      <c r="AE3537" s="5">
        <f t="shared" si="167"/>
        <v>11</v>
      </c>
      <c r="AF3537" s="5">
        <f t="shared" si="168"/>
        <v>2024</v>
      </c>
    </row>
    <row r="3538" s="5" customFormat="1" ht="13">
      <c r="A3538" s="5" t="s">
        <v>44</v>
      </c>
      <c r="B3538" s="5" t="s">
        <v>44</v>
      </c>
      <c r="C3538" s="5" t="s">
        <v>79</v>
      </c>
      <c r="D3538" s="5" t="s">
        <v>21</v>
      </c>
      <c r="E3538" s="5" t="s">
        <v>44</v>
      </c>
      <c r="F3538" s="5" t="s">
        <v>68</v>
      </c>
      <c r="H3538" s="9" t="s">
        <v>175</v>
      </c>
      <c r="I3538" s="10">
        <v>45338</v>
      </c>
      <c r="J3538" s="10">
        <v>45428</v>
      </c>
      <c r="K3538" s="5" t="s">
        <v>81</v>
      </c>
      <c r="L3538" s="5" t="s">
        <v>82</v>
      </c>
      <c r="M3538" s="11">
        <v>0.042000000000000003</v>
      </c>
      <c r="N3538" s="5" t="e">
        <f>IF(AND(M3538&gt;#REF!,Cartera!O3538="Guaraníes"),"Rendimiento significativo",IF(AND(M3538&gt;#REF!,Cartera!O3538="Dólares americanos"),"Rendimiento significativo","Rendimiento no significativo"))</f>
        <v>#REF!</v>
      </c>
      <c r="O3538" s="5" t="s">
        <v>51</v>
      </c>
      <c r="P3538" s="13">
        <v>739</v>
      </c>
      <c r="Q3538" s="12" t="e">
        <f>IF(O3538="Guaraníes",P3538,P3538*#REF!)</f>
        <v>#REF!</v>
      </c>
      <c r="R3538" s="12">
        <f>IF(O3538="Guaraníes",P3538/#REF!,P3538)</f>
        <v>739</v>
      </c>
      <c r="S3538" s="5" t="s">
        <v>52</v>
      </c>
      <c r="AC3538" s="5" t="str">
        <f t="shared" si="169"/>
        <v>CDA</v>
      </c>
      <c r="AD3538" s="5" t="s">
        <v>43</v>
      </c>
      <c r="AE3538" s="5">
        <f t="shared" ref="AE3538:AE3601" si="170">IFERROR((MONTH(J3538)),0)</f>
        <v>5</v>
      </c>
      <c r="AF3538" s="5">
        <f t="shared" ref="AF3538:AF3601" si="171">IFERROR((YEAR(J3538)),0)</f>
        <v>2024</v>
      </c>
    </row>
    <row r="3539" s="5" customFormat="1" ht="13">
      <c r="A3539" s="5">
        <v>12312</v>
      </c>
      <c r="B3539" s="5" t="s">
        <v>726</v>
      </c>
      <c r="C3539" s="5" t="s">
        <v>727</v>
      </c>
      <c r="D3539" s="5" t="s">
        <v>20</v>
      </c>
      <c r="E3539" s="5" t="s">
        <v>34</v>
      </c>
      <c r="F3539" s="5" t="s">
        <v>728</v>
      </c>
      <c r="G3539" s="5" t="s">
        <v>104</v>
      </c>
      <c r="H3539" s="9" t="s">
        <v>151</v>
      </c>
      <c r="I3539" s="10" t="s">
        <v>152</v>
      </c>
      <c r="J3539" s="10" t="s">
        <v>152</v>
      </c>
      <c r="K3539" s="5" t="s">
        <v>153</v>
      </c>
      <c r="L3539" s="5" t="s">
        <v>151</v>
      </c>
      <c r="M3539" s="11">
        <v>0.060600000000000001</v>
      </c>
      <c r="N3539" s="5" t="e">
        <f>IF(AND(M3539&gt;#REF!,Cartera!O3539="Guaraníes"),"Rendimiento significativo",IF(AND(M3539&gt;#REF!,Cartera!O3539="Dólares americanos"),"Rendimiento significativo","Rendimiento no significativo"))</f>
        <v>#REF!</v>
      </c>
      <c r="O3539" s="5" t="s">
        <v>41</v>
      </c>
      <c r="P3539" s="12">
        <v>679659629</v>
      </c>
      <c r="Q3539" s="12">
        <f>IF(O3539="Guaraníes",P3539,P3539*#REF!)</f>
        <v>679659629</v>
      </c>
      <c r="R3539" s="13" t="e">
        <f>IF(O3539="Guaraníes",P3539/#REF!,P3539)</f>
        <v>#REF!</v>
      </c>
      <c r="S3539" s="5" t="s">
        <v>120</v>
      </c>
      <c r="AC3539" s="5" t="str">
        <f t="shared" si="169"/>
        <v>Fondo</v>
      </c>
      <c r="AD3539" s="5" t="s">
        <v>43</v>
      </c>
      <c r="AE3539" s="5">
        <f t="shared" si="170"/>
        <v>0</v>
      </c>
      <c r="AF3539" s="5">
        <f t="shared" si="171"/>
        <v>0</v>
      </c>
    </row>
    <row r="3540" s="5" customFormat="1" ht="13">
      <c r="A3540" s="5">
        <v>12316</v>
      </c>
      <c r="B3540" s="5" t="s">
        <v>78</v>
      </c>
      <c r="C3540" s="5" t="s">
        <v>99</v>
      </c>
      <c r="D3540" s="5" t="s">
        <v>21</v>
      </c>
      <c r="E3540" s="5" t="s">
        <v>34</v>
      </c>
      <c r="F3540" s="5" t="s">
        <v>100</v>
      </c>
      <c r="G3540" s="5" t="s">
        <v>145</v>
      </c>
      <c r="H3540" s="9" t="s">
        <v>159</v>
      </c>
      <c r="I3540" s="10">
        <v>44657</v>
      </c>
      <c r="J3540" s="10">
        <v>47729</v>
      </c>
      <c r="K3540" s="5" t="s">
        <v>102</v>
      </c>
      <c r="L3540" s="5" t="s">
        <v>102</v>
      </c>
      <c r="M3540" s="11">
        <v>0.078</v>
      </c>
      <c r="N3540" s="5" t="e">
        <f>IF(AND(M3540&gt;#REF!,Cartera!O3540="Guaraníes"),"Rendimiento significativo",IF(AND(M3540&gt;#REF!,Cartera!O3540="Dólares americanos"),"Rendimiento significativo","Rendimiento no significativo"))</f>
        <v>#REF!</v>
      </c>
      <c r="O3540" s="5" t="s">
        <v>41</v>
      </c>
      <c r="P3540" s="12">
        <v>35100000</v>
      </c>
      <c r="Q3540" s="12">
        <f>IF(O3540="Guaraníes",P3540,P3540*#REF!)</f>
        <v>35100000</v>
      </c>
      <c r="R3540" s="12" t="e">
        <f>IF(O3540="Guaraníes",P3540/#REF!,P3540)</f>
        <v>#REF!</v>
      </c>
      <c r="S3540" s="5" t="s">
        <v>42</v>
      </c>
      <c r="V3540" s="5">
        <v>39000</v>
      </c>
      <c r="AA3540" s="5">
        <v>900</v>
      </c>
      <c r="AC3540" s="5" t="str">
        <f t="shared" si="169"/>
        <v>Bonos</v>
      </c>
      <c r="AD3540" s="5" t="s">
        <v>43</v>
      </c>
      <c r="AE3540" s="5">
        <f t="shared" si="170"/>
        <v>9</v>
      </c>
      <c r="AF3540" s="5">
        <f t="shared" si="171"/>
        <v>2030</v>
      </c>
    </row>
    <row r="3541" s="5" customFormat="1" ht="13">
      <c r="A3541" s="5" t="s">
        <v>44</v>
      </c>
      <c r="B3541" s="5" t="s">
        <v>44</v>
      </c>
      <c r="C3541" s="5" t="s">
        <v>164</v>
      </c>
      <c r="D3541" s="5" t="s">
        <v>21</v>
      </c>
      <c r="E3541" s="5" t="s">
        <v>44</v>
      </c>
      <c r="F3541" s="9" t="s">
        <v>68</v>
      </c>
      <c r="G3541" s="9" t="s">
        <v>141</v>
      </c>
      <c r="H3541" s="10" t="s">
        <v>165</v>
      </c>
      <c r="I3541" s="10"/>
      <c r="J3541" s="5">
        <v>45534</v>
      </c>
      <c r="K3541" s="5" t="s">
        <v>124</v>
      </c>
      <c r="L3541" s="11" t="s">
        <v>58</v>
      </c>
      <c r="M3541" s="11">
        <v>0.10000000000000001</v>
      </c>
      <c r="N3541" s="11" t="e">
        <f>IF(AND(M3541&gt;#REF!,Cartera!O3541="Guaraníes"),"Rendimiento significativo",IF(AND(M3541&gt;#REF!,Cartera!O3541="Dólares americanos"),"Rendimiento significativo","Rendimiento no significativo"))</f>
        <v>#REF!</v>
      </c>
      <c r="O3541" s="12" t="s">
        <v>41</v>
      </c>
      <c r="P3541" s="12">
        <v>476359</v>
      </c>
      <c r="Q3541" s="12">
        <f>IF(O3541="Guaraníes",P3541,P3541*#REF!)</f>
        <v>476359</v>
      </c>
      <c r="R3541" s="5" t="e">
        <f>IF(O3541="Guaraníes",P3541/#REF!,P3541)</f>
        <v>#REF!</v>
      </c>
      <c r="S3541" s="5" t="s">
        <v>52</v>
      </c>
      <c r="T3541" s="5">
        <v>9243</v>
      </c>
      <c r="W3541" s="5" t="s">
        <v>65</v>
      </c>
      <c r="X3541" s="5">
        <v>0</v>
      </c>
      <c r="Y3541" s="5">
        <v>0</v>
      </c>
      <c r="Z3541" s="5">
        <v>8219.1780820000004</v>
      </c>
      <c r="AA3541" s="5">
        <v>100</v>
      </c>
      <c r="AB3541" s="5">
        <v>821917.80819999997</v>
      </c>
      <c r="AC3541" s="5" t="str">
        <f t="shared" si="169"/>
        <v>Bonos</v>
      </c>
      <c r="AD3541" s="5" t="s">
        <v>43</v>
      </c>
      <c r="AE3541" s="5">
        <f t="shared" si="170"/>
        <v>8</v>
      </c>
      <c r="AF3541" s="5">
        <f t="shared" si="171"/>
        <v>2024</v>
      </c>
    </row>
    <row r="3542" s="5" customFormat="1" ht="13">
      <c r="A3542" s="5" t="s">
        <v>44</v>
      </c>
      <c r="B3542" s="5" t="s">
        <v>44</v>
      </c>
      <c r="C3542" s="5" t="s">
        <v>138</v>
      </c>
      <c r="D3542" s="5" t="s">
        <v>21</v>
      </c>
      <c r="E3542" s="5" t="s">
        <v>44</v>
      </c>
      <c r="F3542" s="5" t="s">
        <v>68</v>
      </c>
      <c r="G3542" s="5" t="s">
        <v>86</v>
      </c>
      <c r="H3542" s="9" t="s">
        <v>139</v>
      </c>
      <c r="I3542" s="10">
        <v>43948</v>
      </c>
      <c r="J3542" s="10">
        <v>45590</v>
      </c>
      <c r="K3542" s="5" t="s">
        <v>140</v>
      </c>
      <c r="L3542" s="5" t="s">
        <v>58</v>
      </c>
      <c r="M3542" s="11">
        <v>0.11</v>
      </c>
      <c r="N3542" s="5" t="e">
        <f>IF(AND(M3542&gt;#REF!,Cartera!O3542="Guaraníes"),"Rendimiento significativo",IF(AND(M3542&gt;#REF!,Cartera!O3542="Dólares americanos"),"Rendimiento significativo","Rendimiento no significativo"))</f>
        <v>#REF!</v>
      </c>
      <c r="O3542" s="5" t="s">
        <v>41</v>
      </c>
      <c r="P3542" s="12">
        <v>904109.58900000004</v>
      </c>
      <c r="Q3542" s="12">
        <f>IF(O3542="Guaraníes",P3542,P3542*#REF!)</f>
        <v>904109.58900000004</v>
      </c>
      <c r="R3542" s="12" t="e">
        <f>IF(O3542="Guaraníes",P3542/#REF!,P3542)</f>
        <v>#REF!</v>
      </c>
      <c r="S3542" s="5" t="s">
        <v>52</v>
      </c>
      <c r="AC3542" s="5" t="str">
        <f t="shared" si="169"/>
        <v>Bonos</v>
      </c>
      <c r="AD3542" s="5" t="s">
        <v>43</v>
      </c>
      <c r="AE3542" s="5">
        <f t="shared" si="170"/>
        <v>10</v>
      </c>
      <c r="AF3542" s="5">
        <f t="shared" si="171"/>
        <v>2024</v>
      </c>
    </row>
    <row r="3543" s="5" customFormat="1" ht="13">
      <c r="A3543" s="5">
        <v>12313</v>
      </c>
      <c r="B3543" s="5" t="s">
        <v>698</v>
      </c>
      <c r="C3543" s="5" t="s">
        <v>79</v>
      </c>
      <c r="D3543" s="5" t="s">
        <v>20</v>
      </c>
      <c r="E3543" s="5" t="s">
        <v>34</v>
      </c>
      <c r="F3543" s="5" t="s">
        <v>68</v>
      </c>
      <c r="H3543" s="9" t="s">
        <v>175</v>
      </c>
      <c r="I3543" s="10">
        <v>45338</v>
      </c>
      <c r="J3543" s="10">
        <v>45705</v>
      </c>
      <c r="K3543" s="5" t="s">
        <v>81</v>
      </c>
      <c r="L3543" s="5" t="s">
        <v>82</v>
      </c>
      <c r="M3543" s="11">
        <v>0.042000000000000003</v>
      </c>
      <c r="N3543" s="5" t="e">
        <f>IF(AND(M3543&gt;#REF!,Cartera!O3543="Guaraníes"),"Rendimiento significativo",IF(AND(M3543&gt;#REF!,Cartera!O3543="Dólares americanos"),"Rendimiento significativo","Rendimiento no significativo"))</f>
        <v>#REF!</v>
      </c>
      <c r="O3543" s="5" t="s">
        <v>51</v>
      </c>
      <c r="P3543" s="13">
        <v>70000</v>
      </c>
      <c r="Q3543" s="12" t="e">
        <f>IF(O3543="Guaraníes",P3543,P3543*#REF!)</f>
        <v>#REF!</v>
      </c>
      <c r="R3543" s="13">
        <f>IF(O3543="Guaraníes",P3543/#REF!,P3543)</f>
        <v>70000</v>
      </c>
      <c r="S3543" s="5" t="s">
        <v>42</v>
      </c>
      <c r="AC3543" s="5" t="str">
        <f t="shared" si="169"/>
        <v>CDA</v>
      </c>
      <c r="AD3543" s="5" t="s">
        <v>43</v>
      </c>
      <c r="AE3543" s="5">
        <f t="shared" si="170"/>
        <v>2</v>
      </c>
      <c r="AF3543" s="5">
        <f t="shared" si="171"/>
        <v>2025</v>
      </c>
    </row>
    <row r="3544" s="5" customFormat="1" ht="13">
      <c r="A3544" s="5" t="s">
        <v>44</v>
      </c>
      <c r="B3544" s="5" t="s">
        <v>44</v>
      </c>
      <c r="C3544" s="5" t="s">
        <v>111</v>
      </c>
      <c r="D3544" s="5" t="s">
        <v>21</v>
      </c>
      <c r="E3544" s="5" t="s">
        <v>44</v>
      </c>
      <c r="F3544" s="5" t="s">
        <v>68</v>
      </c>
      <c r="H3544" s="9" t="s">
        <v>187</v>
      </c>
      <c r="I3544" s="10">
        <v>45370</v>
      </c>
      <c r="J3544" s="10">
        <v>45551</v>
      </c>
      <c r="K3544" s="5" t="s">
        <v>140</v>
      </c>
      <c r="L3544" s="5" t="s">
        <v>82</v>
      </c>
      <c r="M3544" s="11">
        <v>0.086999999999999994</v>
      </c>
      <c r="N3544" s="5" t="e">
        <f>IF(AND(M3544&gt;#REF!,Cartera!O3544="Guaraníes"),"Rendimiento significativo",IF(AND(M3544&gt;#REF!,Cartera!O3544="Dólares americanos"),"Rendimiento significativo","Rendimiento no significativo"))</f>
        <v>#REF!</v>
      </c>
      <c r="O3544" s="5" t="s">
        <v>41</v>
      </c>
      <c r="P3544" s="12">
        <v>6507123</v>
      </c>
      <c r="Q3544" s="12">
        <f>IF(O3544="Guaraníes",P3544,P3544*#REF!)</f>
        <v>6507123</v>
      </c>
      <c r="R3544" s="12" t="e">
        <f>IF(O3544="Guaraníes",P3544/#REF!,P3544)</f>
        <v>#REF!</v>
      </c>
      <c r="S3544" s="5" t="s">
        <v>52</v>
      </c>
      <c r="AC3544" s="5" t="str">
        <f t="shared" si="169"/>
        <v>CDA</v>
      </c>
      <c r="AD3544" s="5" t="s">
        <v>43</v>
      </c>
      <c r="AE3544" s="5">
        <f t="shared" si="170"/>
        <v>9</v>
      </c>
      <c r="AF3544" s="5">
        <f t="shared" si="171"/>
        <v>2024</v>
      </c>
    </row>
    <row r="3545" s="5" customFormat="1" ht="13">
      <c r="A3545" s="5" t="s">
        <v>44</v>
      </c>
      <c r="B3545" s="5" t="s">
        <v>44</v>
      </c>
      <c r="C3545" s="5" t="s">
        <v>111</v>
      </c>
      <c r="D3545" s="5" t="s">
        <v>21</v>
      </c>
      <c r="E3545" s="5" t="s">
        <v>44</v>
      </c>
      <c r="F3545" s="5" t="s">
        <v>68</v>
      </c>
      <c r="H3545" s="9" t="s">
        <v>188</v>
      </c>
      <c r="I3545" s="10">
        <v>45370</v>
      </c>
      <c r="J3545" s="10">
        <v>45551</v>
      </c>
      <c r="K3545" s="5" t="s">
        <v>140</v>
      </c>
      <c r="L3545" s="5" t="s">
        <v>82</v>
      </c>
      <c r="M3545" s="11">
        <v>0.057000000000000002</v>
      </c>
      <c r="N3545" s="5" t="e">
        <f>IF(AND(M3545&gt;#REF!,Cartera!O3545="Guaraníes"),"Rendimiento significativo",IF(AND(M3545&gt;#REF!,Cartera!O3545="Dólares americanos"),"Rendimiento significativo","Rendimiento no significativo"))</f>
        <v>#REF!</v>
      </c>
      <c r="O3545" s="5" t="s">
        <v>51</v>
      </c>
      <c r="P3545" s="13">
        <v>284.22000000000003</v>
      </c>
      <c r="Q3545" s="12" t="e">
        <f>IF(O3545="Guaraníes",P3545,P3545*#REF!)</f>
        <v>#REF!</v>
      </c>
      <c r="R3545" s="12">
        <f>IF(O3545="Guaraníes",P3545/#REF!,P3545)</f>
        <v>284.22000000000003</v>
      </c>
      <c r="S3545" s="5" t="s">
        <v>52</v>
      </c>
      <c r="AC3545" s="5" t="str">
        <f t="shared" si="169"/>
        <v>CDA</v>
      </c>
      <c r="AD3545" s="5" t="s">
        <v>43</v>
      </c>
      <c r="AE3545" s="5">
        <f t="shared" si="170"/>
        <v>9</v>
      </c>
      <c r="AF3545" s="5">
        <f t="shared" si="171"/>
        <v>2024</v>
      </c>
    </row>
    <row r="3546" s="5" customFormat="1" ht="13">
      <c r="A3546" s="5" t="s">
        <v>44</v>
      </c>
      <c r="B3546" s="5" t="s">
        <v>44</v>
      </c>
      <c r="C3546" s="5" t="s">
        <v>164</v>
      </c>
      <c r="D3546" s="5" t="s">
        <v>21</v>
      </c>
      <c r="E3546" s="5" t="s">
        <v>44</v>
      </c>
      <c r="F3546" s="5" t="s">
        <v>68</v>
      </c>
      <c r="G3546" s="5" t="s">
        <v>141</v>
      </c>
      <c r="H3546" s="9" t="s">
        <v>167</v>
      </c>
      <c r="I3546" s="20"/>
      <c r="J3546" s="10">
        <v>45534</v>
      </c>
      <c r="K3546" s="5" t="s">
        <v>124</v>
      </c>
      <c r="L3546" s="5" t="s">
        <v>58</v>
      </c>
      <c r="M3546" s="11">
        <v>0.092499999999999999</v>
      </c>
      <c r="N3546" s="5" t="e">
        <f>IF(AND(M3546&gt;#REF!,Cartera!O3546="Guaraníes"),"Rendimiento significativo",IF(AND(M3546&gt;#REF!,Cartera!O3546="Dólares americanos"),"Rendimiento significativo","Rendimiento no significativo"))</f>
        <v>#REF!</v>
      </c>
      <c r="O3546" s="5" t="s">
        <v>41</v>
      </c>
      <c r="P3546" s="12">
        <v>760273.97259999998</v>
      </c>
      <c r="Q3546" s="12">
        <f>IF(O3546="Guaraníes",P3546,P3546*#REF!)</f>
        <v>760273.97259999998</v>
      </c>
      <c r="R3546" s="12" t="e">
        <f>IF(O3546="Guaraníes",P3546/#REF!,P3546)</f>
        <v>#REF!</v>
      </c>
      <c r="S3546" s="5" t="s">
        <v>52</v>
      </c>
      <c r="T3546" s="5">
        <v>9243</v>
      </c>
      <c r="W3546" s="5" t="s">
        <v>65</v>
      </c>
      <c r="X3546" s="5">
        <v>0</v>
      </c>
      <c r="Y3546" s="5">
        <v>0</v>
      </c>
      <c r="Z3546" s="5">
        <v>7602.7397259999998</v>
      </c>
      <c r="AA3546" s="5">
        <v>100</v>
      </c>
      <c r="AB3546" s="5">
        <v>760273.97259999998</v>
      </c>
      <c r="AC3546" s="5" t="str">
        <f t="shared" si="169"/>
        <v>Bonos</v>
      </c>
      <c r="AD3546" s="5" t="s">
        <v>43</v>
      </c>
      <c r="AE3546" s="5">
        <f t="shared" si="170"/>
        <v>8</v>
      </c>
      <c r="AF3546" s="5">
        <f t="shared" si="171"/>
        <v>2024</v>
      </c>
    </row>
    <row r="3547" s="5" customFormat="1" ht="13">
      <c r="A3547" s="5" t="s">
        <v>44</v>
      </c>
      <c r="B3547" s="5" t="s">
        <v>44</v>
      </c>
      <c r="C3547" s="5" t="s">
        <v>67</v>
      </c>
      <c r="D3547" s="5" t="s">
        <v>21</v>
      </c>
      <c r="E3547" s="5" t="s">
        <v>44</v>
      </c>
      <c r="F3547" s="5" t="s">
        <v>68</v>
      </c>
      <c r="G3547" s="5" t="s">
        <v>69</v>
      </c>
      <c r="H3547" s="9" t="s">
        <v>70</v>
      </c>
      <c r="I3547" s="10">
        <v>45580</v>
      </c>
      <c r="J3547" s="10">
        <v>45643</v>
      </c>
      <c r="K3547" s="5" t="s">
        <v>538</v>
      </c>
      <c r="L3547" s="5" t="s">
        <v>58</v>
      </c>
      <c r="M3547" s="11">
        <v>0.067500000000000004</v>
      </c>
      <c r="N3547" s="5" t="e">
        <f>IF(AND(M3547&gt;#REF!,Cartera!O3547="Guaraníes"),"Rendimiento significativo",IF(AND(M3547&gt;#REF!,Cartera!O3547="Dólares americanos"),"Rendimiento significativo","Rendimiento no significativo"))</f>
        <v>#REF!</v>
      </c>
      <c r="O3547" s="5" t="s">
        <v>51</v>
      </c>
      <c r="P3547" s="13">
        <v>11.32</v>
      </c>
      <c r="Q3547" s="12" t="e">
        <f>IF(O3547="Guaraníes",P3547,P3547*#REF!)</f>
        <v>#REF!</v>
      </c>
      <c r="R3547" s="12">
        <f>IF(O3547="Guaraníes",P3547/#REF!,P3547)</f>
        <v>11.32</v>
      </c>
      <c r="S3547" s="5" t="s">
        <v>52</v>
      </c>
      <c r="T3547" s="5">
        <v>593</v>
      </c>
      <c r="W3547" s="5" t="s">
        <v>385</v>
      </c>
      <c r="X3547" s="5">
        <v>4.1666666667000003</v>
      </c>
      <c r="Y3547" s="5">
        <v>41.666666999999997</v>
      </c>
      <c r="Z3547" s="5">
        <v>45.877853999999999</v>
      </c>
      <c r="AA3547" s="5">
        <v>8</v>
      </c>
      <c r="AB3547" s="5">
        <v>367.02283199999999</v>
      </c>
      <c r="AC3547" s="5" t="str">
        <f t="shared" si="169"/>
        <v>Bonos</v>
      </c>
      <c r="AD3547" s="5" t="s">
        <v>43</v>
      </c>
      <c r="AE3547" s="5">
        <f t="shared" si="170"/>
        <v>12</v>
      </c>
      <c r="AF3547" s="5">
        <f t="shared" si="171"/>
        <v>2024</v>
      </c>
      <c r="AG3547" s="28" t="s">
        <v>539</v>
      </c>
    </row>
    <row r="3548" s="5" customFormat="1" ht="13">
      <c r="A3548" s="5" t="s">
        <v>44</v>
      </c>
      <c r="B3548" s="5" t="s">
        <v>44</v>
      </c>
      <c r="C3548" s="5" t="s">
        <v>111</v>
      </c>
      <c r="D3548" s="5" t="s">
        <v>21</v>
      </c>
      <c r="E3548" s="5" t="s">
        <v>44</v>
      </c>
      <c r="F3548" s="5" t="s">
        <v>68</v>
      </c>
      <c r="H3548" s="9" t="s">
        <v>187</v>
      </c>
      <c r="I3548" s="10">
        <v>45370</v>
      </c>
      <c r="J3548" s="10">
        <v>45460</v>
      </c>
      <c r="K3548" s="5" t="s">
        <v>140</v>
      </c>
      <c r="L3548" s="5" t="s">
        <v>82</v>
      </c>
      <c r="M3548" s="11">
        <v>0.086999999999999994</v>
      </c>
      <c r="N3548" s="5" t="e">
        <f>IF(AND(M3548&gt;#REF!,Cartera!O3548="Guaraníes"),"Rendimiento significativo",IF(AND(M3548&gt;#REF!,Cartera!O3548="Dólares americanos"),"Rendimiento significativo","Rendimiento no significativo"))</f>
        <v>#REF!</v>
      </c>
      <c r="O3548" s="5" t="s">
        <v>41</v>
      </c>
      <c r="P3548" s="12">
        <v>6435616</v>
      </c>
      <c r="Q3548" s="12">
        <f>IF(O3548="Guaraníes",P3548,P3548*#REF!)</f>
        <v>6435616</v>
      </c>
      <c r="R3548" s="12" t="e">
        <f>IF(O3548="Guaraníes",P3548/#REF!,P3548)</f>
        <v>#REF!</v>
      </c>
      <c r="S3548" s="5" t="s">
        <v>52</v>
      </c>
      <c r="AC3548" s="5" t="str">
        <f t="shared" si="169"/>
        <v>CDA</v>
      </c>
      <c r="AD3548" s="5" t="s">
        <v>43</v>
      </c>
      <c r="AE3548" s="5">
        <f t="shared" si="170"/>
        <v>6</v>
      </c>
      <c r="AF3548" s="5">
        <f t="shared" si="171"/>
        <v>2024</v>
      </c>
    </row>
    <row r="3549" s="5" customFormat="1" ht="13">
      <c r="A3549" s="5" t="s">
        <v>44</v>
      </c>
      <c r="B3549" s="5" t="s">
        <v>44</v>
      </c>
      <c r="C3549" s="5" t="s">
        <v>164</v>
      </c>
      <c r="D3549" s="5" t="s">
        <v>21</v>
      </c>
      <c r="E3549" s="5" t="s">
        <v>44</v>
      </c>
      <c r="F3549" s="5" t="s">
        <v>68</v>
      </c>
      <c r="G3549" s="5" t="s">
        <v>141</v>
      </c>
      <c r="H3549" s="9" t="s">
        <v>165</v>
      </c>
      <c r="I3549" s="10"/>
      <c r="J3549" s="10">
        <v>45656</v>
      </c>
      <c r="K3549" s="5" t="s">
        <v>124</v>
      </c>
      <c r="L3549" s="5" t="s">
        <v>58</v>
      </c>
      <c r="M3549" s="11">
        <v>0.10000000000000001</v>
      </c>
      <c r="N3549" s="5" t="e">
        <f>IF(AND(M3549&gt;#REF!,Cartera!O3549="Guaraníes"),"Rendimiento significativo",IF(AND(M3549&gt;#REF!,Cartera!O3549="Dólares americanos"),"Rendimiento significativo","Rendimiento no significativo"))</f>
        <v>#REF!</v>
      </c>
      <c r="O3549" s="5" t="s">
        <v>41</v>
      </c>
      <c r="P3549" s="12">
        <v>849315.06850000005</v>
      </c>
      <c r="Q3549" s="12">
        <f>IF(O3549="Guaraníes",P3549,P3549*#REF!)</f>
        <v>849315.06850000005</v>
      </c>
      <c r="R3549" s="12" t="e">
        <f>IF(O3549="Guaraníes",P3549/#REF!,P3549)</f>
        <v>#REF!</v>
      </c>
      <c r="S3549" s="5" t="s">
        <v>52</v>
      </c>
      <c r="T3549" s="5">
        <v>9243</v>
      </c>
      <c r="W3549" s="5" t="s">
        <v>65</v>
      </c>
      <c r="X3549" s="5">
        <v>0</v>
      </c>
      <c r="Y3549" s="5">
        <v>0</v>
      </c>
      <c r="Z3549" s="5">
        <v>8493.1506850000005</v>
      </c>
      <c r="AA3549" s="5">
        <v>100</v>
      </c>
      <c r="AB3549" s="5">
        <v>849315.06850000005</v>
      </c>
      <c r="AC3549" s="5" t="str">
        <f t="shared" si="169"/>
        <v>Bonos</v>
      </c>
      <c r="AD3549" s="5" t="s">
        <v>43</v>
      </c>
      <c r="AE3549" s="5">
        <f t="shared" si="170"/>
        <v>12</v>
      </c>
      <c r="AF3549" s="5">
        <f t="shared" si="171"/>
        <v>2024</v>
      </c>
    </row>
    <row r="3550" s="5" customFormat="1" ht="13">
      <c r="A3550" s="5">
        <v>12315</v>
      </c>
      <c r="B3550" s="5" t="s">
        <v>73</v>
      </c>
      <c r="C3550" s="5" t="s">
        <v>33</v>
      </c>
      <c r="D3550" s="5" t="s">
        <v>21</v>
      </c>
      <c r="E3550" s="5" t="s">
        <v>34</v>
      </c>
      <c r="F3550" s="5" t="s">
        <v>35</v>
      </c>
      <c r="G3550" s="5" t="s">
        <v>75</v>
      </c>
      <c r="H3550" s="9" t="s">
        <v>186</v>
      </c>
      <c r="I3550" s="10"/>
      <c r="J3550" s="10">
        <v>47730</v>
      </c>
      <c r="K3550" s="5" t="s">
        <v>39</v>
      </c>
      <c r="L3550" s="5" t="s">
        <v>50</v>
      </c>
      <c r="M3550" s="11">
        <v>0.044999999999999998</v>
      </c>
      <c r="N3550" s="5" t="e">
        <f>IF(AND(M3550&gt;#REF!,Cartera!O3550="Guaraníes"),"Rendimiento significativo",IF(AND(M3550&gt;#REF!,Cartera!O3550="Dólares americanos"),"Rendimiento significativo","Rendimiento no significativo"))</f>
        <v>#REF!</v>
      </c>
      <c r="O3550" s="5" t="s">
        <v>51</v>
      </c>
      <c r="P3550" s="13">
        <v>336.57533999999998</v>
      </c>
      <c r="Q3550" s="12" t="e">
        <f>IF(O3550="Guaraníes",P3550,P3550*#REF!)</f>
        <v>#REF!</v>
      </c>
      <c r="R3550" s="12">
        <f>IF(O3550="Guaraníes",P3550/#REF!,P3550)</f>
        <v>336.57533999999998</v>
      </c>
      <c r="S3550" s="5" t="s">
        <v>42</v>
      </c>
      <c r="T3550" s="5">
        <v>25</v>
      </c>
      <c r="W3550" s="5" t="s">
        <v>65</v>
      </c>
      <c r="X3550" s="5">
        <v>0</v>
      </c>
      <c r="Y3550" s="5">
        <v>0</v>
      </c>
      <c r="Z3550" s="5">
        <v>11.219177999999999</v>
      </c>
      <c r="AA3550" s="5">
        <v>30</v>
      </c>
      <c r="AB3550" s="5">
        <v>336.57533999999998</v>
      </c>
      <c r="AC3550" s="5" t="str">
        <f t="shared" si="169"/>
        <v>Bonos</v>
      </c>
      <c r="AD3550" s="5" t="s">
        <v>43</v>
      </c>
      <c r="AE3550" s="5">
        <f t="shared" si="170"/>
        <v>9</v>
      </c>
      <c r="AF3550" s="5">
        <f t="shared" si="171"/>
        <v>2030</v>
      </c>
    </row>
    <row r="3551" s="5" customFormat="1" ht="13">
      <c r="A3551" s="5">
        <v>12315</v>
      </c>
      <c r="B3551" s="5" t="s">
        <v>73</v>
      </c>
      <c r="C3551" s="5" t="s">
        <v>33</v>
      </c>
      <c r="D3551" s="5" t="s">
        <v>21</v>
      </c>
      <c r="E3551" s="5" t="s">
        <v>34</v>
      </c>
      <c r="F3551" s="5" t="s">
        <v>35</v>
      </c>
      <c r="G3551" s="5" t="s">
        <v>69</v>
      </c>
      <c r="H3551" s="9" t="s">
        <v>186</v>
      </c>
      <c r="I3551" s="10"/>
      <c r="J3551" s="10">
        <v>47730</v>
      </c>
      <c r="K3551" s="5" t="s">
        <v>39</v>
      </c>
      <c r="L3551" s="5" t="s">
        <v>50</v>
      </c>
      <c r="M3551" s="11">
        <v>0.044999999999999998</v>
      </c>
      <c r="N3551" s="5" t="e">
        <f>IF(AND(M3551&gt;#REF!,Cartera!O3551="Guaraníes"),"Rendimiento significativo",IF(AND(M3551&gt;#REF!,Cartera!O3551="Dólares americanos"),"Rendimiento significativo","Rendimiento no significativo"))</f>
        <v>#REF!</v>
      </c>
      <c r="O3551" s="5" t="s">
        <v>51</v>
      </c>
      <c r="P3551" s="13">
        <v>448.76711999999998</v>
      </c>
      <c r="Q3551" s="12" t="e">
        <f>IF(O3551="Guaraníes",P3551,P3551*#REF!)</f>
        <v>#REF!</v>
      </c>
      <c r="R3551" s="12">
        <f>IF(O3551="Guaraníes",P3551/#REF!,P3551)</f>
        <v>448.76711999999998</v>
      </c>
      <c r="S3551" s="5" t="s">
        <v>42</v>
      </c>
      <c r="T3551" s="5">
        <v>593</v>
      </c>
      <c r="W3551" s="5" t="s">
        <v>65</v>
      </c>
      <c r="X3551" s="5">
        <v>0</v>
      </c>
      <c r="Y3551" s="5">
        <v>0</v>
      </c>
      <c r="Z3551" s="5">
        <v>11.219177999999999</v>
      </c>
      <c r="AA3551" s="5">
        <v>40</v>
      </c>
      <c r="AB3551" s="5">
        <v>448.76711999999998</v>
      </c>
      <c r="AC3551" s="5" t="str">
        <f t="shared" si="169"/>
        <v>Bonos</v>
      </c>
      <c r="AD3551" s="5" t="s">
        <v>43</v>
      </c>
      <c r="AE3551" s="5">
        <f t="shared" si="170"/>
        <v>9</v>
      </c>
      <c r="AF3551" s="5">
        <f t="shared" si="171"/>
        <v>2030</v>
      </c>
    </row>
    <row r="3552" s="5" customFormat="1" ht="13">
      <c r="A3552" s="5">
        <v>12316</v>
      </c>
      <c r="B3552" s="5" t="s">
        <v>78</v>
      </c>
      <c r="C3552" s="5" t="s">
        <v>183</v>
      </c>
      <c r="D3552" s="5" t="s">
        <v>21</v>
      </c>
      <c r="E3552" s="5" t="s">
        <v>34</v>
      </c>
      <c r="F3552" s="5" t="s">
        <v>184</v>
      </c>
      <c r="H3552" s="9">
        <v>6217</v>
      </c>
      <c r="I3552" s="10"/>
      <c r="J3552" s="10">
        <v>47735</v>
      </c>
      <c r="K3552" s="5" t="s">
        <v>124</v>
      </c>
      <c r="L3552" s="5" t="s">
        <v>82</v>
      </c>
      <c r="M3552" s="11">
        <v>0.072499999999999995</v>
      </c>
      <c r="N3552" s="5" t="e">
        <f>IF(AND(M3552&gt;#REF!,Cartera!O3552="Guaraníes"),"Rendimiento significativo",IF(AND(M3552&gt;#REF!,Cartera!O3552="Dólares americanos"),"Rendimiento significativo","Rendimiento no significativo"))</f>
        <v>#REF!</v>
      </c>
      <c r="O3552" s="5" t="s">
        <v>41</v>
      </c>
      <c r="P3552" s="12">
        <v>17631870</v>
      </c>
      <c r="Q3552" s="12">
        <f>IF(O3552="Guaraníes",P3552,P3552*#REF!)</f>
        <v>17631870</v>
      </c>
      <c r="R3552" s="12" t="e">
        <f>IF(O3552="Guaraníes",P3552/#REF!,P3552)</f>
        <v>#REF!</v>
      </c>
      <c r="S3552" s="5" t="s">
        <v>42</v>
      </c>
      <c r="V3552" s="5">
        <v>17631870</v>
      </c>
      <c r="W3552" s="5" t="s">
        <v>729</v>
      </c>
      <c r="AC3552" s="5" t="str">
        <f t="shared" si="169"/>
        <v>CDA</v>
      </c>
      <c r="AD3552" s="5" t="s">
        <v>43</v>
      </c>
      <c r="AE3552" s="5">
        <f t="shared" si="170"/>
        <v>9</v>
      </c>
      <c r="AF3552" s="5">
        <f t="shared" si="171"/>
        <v>2030</v>
      </c>
    </row>
    <row r="3553" s="5" customFormat="1" ht="13">
      <c r="A3553" s="5" t="s">
        <v>44</v>
      </c>
      <c r="B3553" s="5" t="s">
        <v>44</v>
      </c>
      <c r="C3553" s="5" t="s">
        <v>164</v>
      </c>
      <c r="D3553" s="5" t="s">
        <v>21</v>
      </c>
      <c r="E3553" s="5" t="s">
        <v>44</v>
      </c>
      <c r="F3553" s="5" t="s">
        <v>68</v>
      </c>
      <c r="G3553" s="5" t="s">
        <v>141</v>
      </c>
      <c r="H3553" s="9" t="s">
        <v>165</v>
      </c>
      <c r="I3553" s="10"/>
      <c r="J3553" s="10">
        <v>45565</v>
      </c>
      <c r="K3553" s="5" t="s">
        <v>124</v>
      </c>
      <c r="L3553" s="5" t="s">
        <v>58</v>
      </c>
      <c r="M3553" s="11">
        <v>0.10000000000000001</v>
      </c>
      <c r="N3553" s="5" t="e">
        <f>IF(AND(M3553&gt;#REF!,Cartera!O3553="Guaraníes"),"Rendimiento significativo",IF(AND(M3553&gt;#REF!,Cartera!O3553="Dólares americanos"),"Rendimiento significativo","Rendimiento no significativo"))</f>
        <v>#REF!</v>
      </c>
      <c r="O3553" s="5" t="s">
        <v>41</v>
      </c>
      <c r="P3553" s="12">
        <v>849315.06850000005</v>
      </c>
      <c r="Q3553" s="12">
        <f>IF(O3553="Guaraníes",P3553,P3553*#REF!)</f>
        <v>849315.06850000005</v>
      </c>
      <c r="R3553" s="12" t="e">
        <f>IF(O3553="Guaraníes",P3553/#REF!,P3553)</f>
        <v>#REF!</v>
      </c>
      <c r="S3553" s="5" t="s">
        <v>52</v>
      </c>
      <c r="T3553" s="5">
        <v>9243</v>
      </c>
      <c r="W3553" s="5" t="s">
        <v>65</v>
      </c>
      <c r="X3553" s="5">
        <v>0</v>
      </c>
      <c r="Y3553" s="5">
        <v>0</v>
      </c>
      <c r="Z3553" s="5">
        <v>8493.1506850000005</v>
      </c>
      <c r="AA3553" s="5">
        <v>100</v>
      </c>
      <c r="AB3553" s="5">
        <v>849315.06850000005</v>
      </c>
      <c r="AC3553" s="5" t="str">
        <f t="shared" si="169"/>
        <v>Bonos</v>
      </c>
      <c r="AD3553" s="5" t="s">
        <v>43</v>
      </c>
      <c r="AE3553" s="5">
        <f t="shared" si="170"/>
        <v>9</v>
      </c>
      <c r="AF3553" s="5">
        <f t="shared" si="171"/>
        <v>2024</v>
      </c>
    </row>
    <row r="3554" s="5" customFormat="1" ht="13">
      <c r="A3554" s="5">
        <v>12316</v>
      </c>
      <c r="B3554" s="5" t="s">
        <v>78</v>
      </c>
      <c r="C3554" s="5" t="s">
        <v>138</v>
      </c>
      <c r="D3554" s="5" t="s">
        <v>21</v>
      </c>
      <c r="E3554" s="5" t="s">
        <v>34</v>
      </c>
      <c r="F3554" s="5" t="s">
        <v>68</v>
      </c>
      <c r="G3554" s="5" t="s">
        <v>86</v>
      </c>
      <c r="H3554" s="9" t="s">
        <v>139</v>
      </c>
      <c r="I3554" s="10">
        <v>43948</v>
      </c>
      <c r="J3554" s="10">
        <v>47735</v>
      </c>
      <c r="K3554" s="5" t="s">
        <v>140</v>
      </c>
      <c r="L3554" s="5" t="s">
        <v>58</v>
      </c>
      <c r="M3554" s="11">
        <v>0.11</v>
      </c>
      <c r="N3554" s="5" t="e">
        <f>IF(AND(M3554&gt;#REF!,Cartera!O3554="Guaraníes"),"Rendimiento significativo",IF(AND(M3554&gt;#REF!,Cartera!O3554="Dólares americanos"),"Rendimiento significativo","Rendimiento no significativo"))</f>
        <v>#REF!</v>
      </c>
      <c r="O3554" s="5" t="s">
        <v>41</v>
      </c>
      <c r="P3554" s="12">
        <v>352833.85100000002</v>
      </c>
      <c r="Q3554" s="12">
        <f>IF(O3554="Guaraníes",P3554,P3554*#REF!)</f>
        <v>352833.85100000002</v>
      </c>
      <c r="R3554" s="12" t="e">
        <f>IF(O3554="Guaraníes",P3554/#REF!,P3554)</f>
        <v>#REF!</v>
      </c>
      <c r="S3554" s="5" t="s">
        <v>42</v>
      </c>
      <c r="AC3554" s="5" t="str">
        <f t="shared" si="169"/>
        <v>Bonos</v>
      </c>
      <c r="AD3554" s="5" t="s">
        <v>43</v>
      </c>
      <c r="AE3554" s="5">
        <f t="shared" si="170"/>
        <v>9</v>
      </c>
      <c r="AF3554" s="5">
        <f t="shared" si="171"/>
        <v>2030</v>
      </c>
    </row>
    <row r="3555" s="5" customFormat="1" ht="13">
      <c r="A3555" s="5">
        <v>12316</v>
      </c>
      <c r="B3555" s="5" t="s">
        <v>78</v>
      </c>
      <c r="C3555" s="5" t="s">
        <v>54</v>
      </c>
      <c r="D3555" s="5" t="s">
        <v>21</v>
      </c>
      <c r="E3555" s="5" t="s">
        <v>34</v>
      </c>
      <c r="F3555" s="5" t="s">
        <v>46</v>
      </c>
      <c r="G3555" s="5" t="s">
        <v>86</v>
      </c>
      <c r="H3555" s="9" t="s">
        <v>148</v>
      </c>
      <c r="I3555" s="10"/>
      <c r="J3555" s="10">
        <v>47742</v>
      </c>
      <c r="K3555" s="5" t="s">
        <v>57</v>
      </c>
      <c r="L3555" s="5" t="s">
        <v>58</v>
      </c>
      <c r="M3555" s="11">
        <v>0.097500000000000003</v>
      </c>
      <c r="N3555" s="5" t="e">
        <f>IF(AND(M3555&gt;#REF!,Cartera!O3555="Guaraníes"),"Rendimiento significativo",IF(AND(M3555&gt;#REF!,Cartera!O3555="Dólares americanos"),"Rendimiento significativo","Rendimiento no significativo"))</f>
        <v>#REF!</v>
      </c>
      <c r="O3555" s="5" t="s">
        <v>41</v>
      </c>
      <c r="P3555" s="12">
        <v>12154109.589</v>
      </c>
      <c r="Q3555" s="12">
        <f>IF(O3555="Guaraníes",P3555,P3555*#REF!)</f>
        <v>12154109.589</v>
      </c>
      <c r="R3555" s="12" t="e">
        <f>IF(O3555="Guaraníes",P3555/#REF!,P3555)</f>
        <v>#REF!</v>
      </c>
      <c r="S3555" s="5" t="s">
        <v>42</v>
      </c>
      <c r="T3555" s="5">
        <v>10834</v>
      </c>
      <c r="W3555" s="5" t="s">
        <v>65</v>
      </c>
      <c r="X3555" s="5">
        <v>0</v>
      </c>
      <c r="Y3555" s="5">
        <v>0</v>
      </c>
      <c r="Z3555" s="5">
        <v>24308.219177999999</v>
      </c>
      <c r="AA3555" s="5">
        <v>500</v>
      </c>
      <c r="AB3555" s="5">
        <v>12154109.589</v>
      </c>
      <c r="AC3555" s="5" t="str">
        <f t="shared" si="169"/>
        <v>Bonos</v>
      </c>
      <c r="AD3555" s="5" t="s">
        <v>43</v>
      </c>
      <c r="AE3555" s="5">
        <f t="shared" si="170"/>
        <v>9</v>
      </c>
      <c r="AF3555" s="5">
        <f t="shared" si="171"/>
        <v>2030</v>
      </c>
    </row>
    <row r="3556" s="5" customFormat="1" ht="13">
      <c r="A3556" s="5">
        <v>12316</v>
      </c>
      <c r="B3556" s="5" t="s">
        <v>78</v>
      </c>
      <c r="C3556" s="5" t="s">
        <v>138</v>
      </c>
      <c r="D3556" s="5" t="s">
        <v>21</v>
      </c>
      <c r="E3556" s="5" t="s">
        <v>34</v>
      </c>
      <c r="F3556" s="5" t="s">
        <v>68</v>
      </c>
      <c r="G3556" s="5" t="s">
        <v>86</v>
      </c>
      <c r="H3556" s="9" t="s">
        <v>193</v>
      </c>
      <c r="I3556" s="10">
        <v>44104</v>
      </c>
      <c r="J3556" s="10">
        <v>47743</v>
      </c>
      <c r="K3556" s="5" t="s">
        <v>140</v>
      </c>
      <c r="L3556" s="5" t="s">
        <v>58</v>
      </c>
      <c r="M3556" s="11">
        <v>0.10000000000000001</v>
      </c>
      <c r="N3556" s="5" t="e">
        <f>IF(AND(M3556&gt;#REF!,Cartera!O3556="Guaraníes"),"Rendimiento significativo",IF(AND(M3556&gt;#REF!,Cartera!O3556="Dólares americanos"),"Rendimiento significativo","Rendimiento no significativo"))</f>
        <v>#REF!</v>
      </c>
      <c r="O3556" s="5" t="s">
        <v>41</v>
      </c>
      <c r="P3556" s="12">
        <v>2493150.6849000002</v>
      </c>
      <c r="Q3556" s="12">
        <f>IF(O3556="Guaraníes",P3556,P3556*#REF!)</f>
        <v>2493150.6849000002</v>
      </c>
      <c r="R3556" s="12" t="e">
        <f>IF(O3556="Guaraníes",P3556/#REF!,P3556)</f>
        <v>#REF!</v>
      </c>
      <c r="S3556" s="5" t="s">
        <v>42</v>
      </c>
      <c r="AC3556" s="5" t="str">
        <f t="shared" si="169"/>
        <v>Bonos</v>
      </c>
      <c r="AD3556" s="5" t="s">
        <v>43</v>
      </c>
      <c r="AE3556" s="5">
        <f t="shared" si="170"/>
        <v>9</v>
      </c>
      <c r="AF3556" s="5">
        <f t="shared" si="171"/>
        <v>2030</v>
      </c>
    </row>
    <row r="3557" s="5" customFormat="1" ht="13">
      <c r="A3557" s="5">
        <v>12306</v>
      </c>
      <c r="B3557" s="5" t="s">
        <v>373</v>
      </c>
      <c r="C3557" s="5" t="s">
        <v>111</v>
      </c>
      <c r="D3557" s="5" t="s">
        <v>20</v>
      </c>
      <c r="E3557" s="5" t="s">
        <v>34</v>
      </c>
      <c r="F3557" s="5" t="s">
        <v>68</v>
      </c>
      <c r="H3557" s="9" t="s">
        <v>187</v>
      </c>
      <c r="I3557" s="10">
        <v>45370</v>
      </c>
      <c r="J3557" s="10">
        <v>46111</v>
      </c>
      <c r="K3557" s="5" t="s">
        <v>140</v>
      </c>
      <c r="L3557" s="5" t="s">
        <v>82</v>
      </c>
      <c r="M3557" s="11">
        <v>0.086999999999999994</v>
      </c>
      <c r="N3557" s="5" t="e">
        <f>IF(AND(M3557&gt;#REF!,Cartera!O3557="Guaraníes"),"Rendimiento significativo",IF(AND(M3557&gt;#REF!,Cartera!O3557="Dólares americanos"),"Rendimiento significativo","Rendimiento no significativo"))</f>
        <v>#REF!</v>
      </c>
      <c r="O3557" s="5" t="s">
        <v>41</v>
      </c>
      <c r="P3557" s="12">
        <v>300000000</v>
      </c>
      <c r="Q3557" s="12">
        <f>IF(O3557="Guaraníes",P3557,P3557*#REF!)</f>
        <v>300000000</v>
      </c>
      <c r="R3557" s="12" t="e">
        <f>IF(O3557="Guaraníes",P3557/#REF!,P3557)</f>
        <v>#REF!</v>
      </c>
      <c r="S3557" s="5" t="s">
        <v>42</v>
      </c>
      <c r="AC3557" s="5" t="str">
        <f t="shared" si="169"/>
        <v>CDA</v>
      </c>
      <c r="AD3557" s="5" t="s">
        <v>43</v>
      </c>
      <c r="AE3557" s="5">
        <f t="shared" si="170"/>
        <v>3</v>
      </c>
      <c r="AF3557" s="5">
        <f t="shared" si="171"/>
        <v>2026</v>
      </c>
    </row>
    <row r="3558" s="5" customFormat="1" ht="13">
      <c r="A3558" s="5" t="s">
        <v>44</v>
      </c>
      <c r="B3558" s="5" t="s">
        <v>44</v>
      </c>
      <c r="C3558" s="5" t="s">
        <v>111</v>
      </c>
      <c r="D3558" s="5" t="s">
        <v>21</v>
      </c>
      <c r="E3558" s="5" t="s">
        <v>44</v>
      </c>
      <c r="F3558" s="5" t="s">
        <v>68</v>
      </c>
      <c r="H3558" s="9" t="s">
        <v>188</v>
      </c>
      <c r="I3558" s="10">
        <v>45370</v>
      </c>
      <c r="J3558" s="10">
        <v>45460</v>
      </c>
      <c r="K3558" s="5" t="s">
        <v>140</v>
      </c>
      <c r="L3558" s="5" t="s">
        <v>82</v>
      </c>
      <c r="M3558" s="11">
        <v>0.057000000000000002</v>
      </c>
      <c r="N3558" s="5" t="e">
        <f>IF(AND(M3558&gt;#REF!,Cartera!O3558="Guaraníes"),"Rendimiento significativo",IF(AND(M3558&gt;#REF!,Cartera!O3558="Dólares americanos"),"Rendimiento significativo","Rendimiento no significativo"))</f>
        <v>#REF!</v>
      </c>
      <c r="O3558" s="5" t="s">
        <v>51</v>
      </c>
      <c r="P3558" s="13">
        <v>281.10000000000002</v>
      </c>
      <c r="Q3558" s="12" t="e">
        <f>IF(O3558="Guaraníes",P3558,P3558*#REF!)</f>
        <v>#REF!</v>
      </c>
      <c r="R3558" s="12">
        <f>IF(O3558="Guaraníes",P3558/#REF!,P3558)</f>
        <v>281.10000000000002</v>
      </c>
      <c r="S3558" s="5" t="s">
        <v>52</v>
      </c>
      <c r="AC3558" s="5" t="str">
        <f t="shared" si="169"/>
        <v>CDA</v>
      </c>
      <c r="AD3558" s="5" t="s">
        <v>43</v>
      </c>
      <c r="AE3558" s="5">
        <f t="shared" si="170"/>
        <v>6</v>
      </c>
      <c r="AF3558" s="5">
        <f t="shared" si="171"/>
        <v>2024</v>
      </c>
    </row>
    <row r="3559" s="5" customFormat="1" ht="13">
      <c r="A3559" s="5">
        <v>12315</v>
      </c>
      <c r="B3559" s="5" t="s">
        <v>73</v>
      </c>
      <c r="C3559" s="5" t="s">
        <v>212</v>
      </c>
      <c r="D3559" s="5" t="s">
        <v>21</v>
      </c>
      <c r="E3559" s="5" t="s">
        <v>34</v>
      </c>
      <c r="F3559" s="5" t="s">
        <v>68</v>
      </c>
      <c r="G3559" s="5" t="s">
        <v>86</v>
      </c>
      <c r="H3559" s="9" t="s">
        <v>213</v>
      </c>
      <c r="I3559" s="10">
        <v>44651</v>
      </c>
      <c r="J3559" s="10">
        <v>47745</v>
      </c>
      <c r="K3559" s="5" t="s">
        <v>81</v>
      </c>
      <c r="L3559" s="5" t="s">
        <v>58</v>
      </c>
      <c r="M3559" s="11">
        <v>0.053499999999999999</v>
      </c>
      <c r="N3559" s="5" t="e">
        <f>IF(AND(M3559&gt;#REF!,Cartera!O3559="Guaraníes"),"Rendimiento significativo",IF(AND(M3559&gt;#REF!,Cartera!O3559="Dólares americanos"),"Rendimiento significativo","Rendimiento no significativo"))</f>
        <v>#REF!</v>
      </c>
      <c r="O3559" s="5" t="s">
        <v>51</v>
      </c>
      <c r="P3559" s="13">
        <v>2667.6712000000002</v>
      </c>
      <c r="Q3559" s="12" t="e">
        <f>IF(O3559="Guaraníes",P3559,P3559*#REF!)</f>
        <v>#REF!</v>
      </c>
      <c r="R3559" s="12">
        <f>IF(O3559="Guaraníes",P3559/#REF!,P3559)</f>
        <v>2667.6712000000002</v>
      </c>
      <c r="S3559" s="5" t="s">
        <v>42</v>
      </c>
      <c r="V3559" s="5">
        <v>26.676711999999998</v>
      </c>
      <c r="AA3559" s="5">
        <v>100</v>
      </c>
      <c r="AC3559" s="5" t="str">
        <f t="shared" si="169"/>
        <v>Bonos</v>
      </c>
      <c r="AD3559" s="5" t="s">
        <v>43</v>
      </c>
      <c r="AE3559" s="5">
        <f t="shared" si="170"/>
        <v>9</v>
      </c>
      <c r="AF3559" s="5">
        <f t="shared" si="171"/>
        <v>2030</v>
      </c>
    </row>
    <row r="3560" s="5" customFormat="1" ht="13">
      <c r="A3560" s="5">
        <v>12315</v>
      </c>
      <c r="B3560" s="5" t="s">
        <v>73</v>
      </c>
      <c r="C3560" s="5" t="s">
        <v>116</v>
      </c>
      <c r="D3560" s="5" t="s">
        <v>21</v>
      </c>
      <c r="E3560" s="5" t="s">
        <v>34</v>
      </c>
      <c r="F3560" s="5" t="s">
        <v>68</v>
      </c>
      <c r="G3560" s="5" t="s">
        <v>69</v>
      </c>
      <c r="H3560" s="9" t="s">
        <v>194</v>
      </c>
      <c r="I3560" s="10"/>
      <c r="J3560" s="10">
        <v>47753</v>
      </c>
      <c r="K3560" s="5" t="s">
        <v>118</v>
      </c>
      <c r="L3560" s="5" t="s">
        <v>50</v>
      </c>
      <c r="M3560" s="11">
        <v>0.065000000000000002</v>
      </c>
      <c r="N3560" s="5" t="e">
        <f>IF(AND(M3560&gt;#REF!,Cartera!O3560="Guaraníes"),"Rendimiento significativo",IF(AND(M3560&gt;#REF!,Cartera!O3560="Dólares americanos"),"Rendimiento significativo","Rendimiento no significativo"))</f>
        <v>#REF!</v>
      </c>
      <c r="O3560" s="5" t="s">
        <v>51</v>
      </c>
      <c r="P3560" s="13">
        <v>340.13999999999999</v>
      </c>
      <c r="Q3560" s="12" t="e">
        <f>IF(O3560="Guaraníes",P3560,P3560*#REF!)</f>
        <v>#REF!</v>
      </c>
      <c r="R3560" s="12">
        <f>IF(O3560="Guaraníes",P3560/#REF!,P3560)</f>
        <v>340.13999999999999</v>
      </c>
      <c r="S3560" s="5" t="s">
        <v>42</v>
      </c>
      <c r="T3560" s="5">
        <v>593</v>
      </c>
      <c r="U3560" s="5">
        <v>10000</v>
      </c>
      <c r="V3560" s="5">
        <v>8118.7670900000012</v>
      </c>
      <c r="W3560" s="5" t="s">
        <v>218</v>
      </c>
      <c r="X3560" s="5">
        <v>100</v>
      </c>
      <c r="Y3560" s="5">
        <v>1000</v>
      </c>
      <c r="Z3560" s="5">
        <v>1034.0136990000001</v>
      </c>
      <c r="AA3560" s="5">
        <v>10</v>
      </c>
      <c r="AB3560" s="5">
        <v>10340.136990000001</v>
      </c>
      <c r="AC3560" s="5" t="str">
        <f t="shared" si="169"/>
        <v>Bonos</v>
      </c>
      <c r="AD3560" s="5" t="s">
        <v>43</v>
      </c>
      <c r="AE3560" s="5">
        <f t="shared" si="170"/>
        <v>9</v>
      </c>
      <c r="AF3560" s="5">
        <f t="shared" si="171"/>
        <v>2030</v>
      </c>
    </row>
    <row r="3561" s="5" customFormat="1" ht="13">
      <c r="A3561" s="5">
        <v>12315</v>
      </c>
      <c r="B3561" s="5" t="s">
        <v>73</v>
      </c>
      <c r="C3561" s="5" t="s">
        <v>74</v>
      </c>
      <c r="D3561" s="5" t="s">
        <v>21</v>
      </c>
      <c r="E3561" s="5" t="s">
        <v>34</v>
      </c>
      <c r="F3561" s="5" t="s">
        <v>68</v>
      </c>
      <c r="G3561" s="5" t="s">
        <v>75</v>
      </c>
      <c r="H3561" s="9" t="s">
        <v>76</v>
      </c>
      <c r="I3561" s="10"/>
      <c r="J3561" s="10">
        <v>47757</v>
      </c>
      <c r="K3561" s="5" t="s">
        <v>77</v>
      </c>
      <c r="L3561" s="5" t="s">
        <v>50</v>
      </c>
      <c r="M3561" s="11">
        <v>0.055</v>
      </c>
      <c r="N3561" s="5" t="e">
        <f>IF(AND(M3561&gt;#REF!,Cartera!O3561="Guaraníes"),"Rendimiento significativo",IF(AND(M3561&gt;#REF!,Cartera!O3561="Dólares americanos"),"Rendimiento significativo","Rendimiento no significativo"))</f>
        <v>#REF!</v>
      </c>
      <c r="O3561" s="5" t="s">
        <v>51</v>
      </c>
      <c r="P3561" s="13">
        <v>415.89042000000001</v>
      </c>
      <c r="Q3561" s="12" t="e">
        <f>IF(O3561="Guaraníes",P3561,P3561*#REF!)</f>
        <v>#REF!</v>
      </c>
      <c r="R3561" s="12">
        <f>IF(O3561="Guaraníes",P3561/#REF!,P3561)</f>
        <v>415.89042000000001</v>
      </c>
      <c r="S3561" s="5" t="s">
        <v>42</v>
      </c>
      <c r="T3561" s="5">
        <v>25</v>
      </c>
      <c r="W3561" s="5" t="s">
        <v>65</v>
      </c>
      <c r="X3561" s="5">
        <v>0</v>
      </c>
      <c r="Y3561" s="5">
        <v>0</v>
      </c>
      <c r="Z3561" s="5">
        <v>13.863014</v>
      </c>
      <c r="AA3561" s="5">
        <v>30</v>
      </c>
      <c r="AB3561" s="5">
        <v>415.88999999999999</v>
      </c>
      <c r="AC3561" s="5" t="str">
        <f t="shared" si="169"/>
        <v>Bonos</v>
      </c>
      <c r="AD3561" s="5" t="s">
        <v>43</v>
      </c>
      <c r="AE3561" s="5">
        <f t="shared" si="170"/>
        <v>10</v>
      </c>
      <c r="AF3561" s="5">
        <f t="shared" si="171"/>
        <v>2030</v>
      </c>
    </row>
    <row r="3562" s="5" customFormat="1" ht="13">
      <c r="A3562" s="5">
        <v>12316</v>
      </c>
      <c r="B3562" s="5" t="s">
        <v>78</v>
      </c>
      <c r="C3562" s="5" t="s">
        <v>138</v>
      </c>
      <c r="D3562" s="5" t="s">
        <v>21</v>
      </c>
      <c r="E3562" s="5" t="s">
        <v>34</v>
      </c>
      <c r="F3562" s="5" t="s">
        <v>68</v>
      </c>
      <c r="G3562" s="5" t="s">
        <v>86</v>
      </c>
      <c r="H3562" s="9" t="s">
        <v>139</v>
      </c>
      <c r="I3562" s="10">
        <v>43948</v>
      </c>
      <c r="J3562" s="10">
        <v>47765</v>
      </c>
      <c r="K3562" s="5" t="s">
        <v>140</v>
      </c>
      <c r="L3562" s="5" t="s">
        <v>58</v>
      </c>
      <c r="M3562" s="11">
        <v>0.11</v>
      </c>
      <c r="N3562" s="5" t="e">
        <f>IF(AND(M3562&gt;#REF!,Cartera!O3562="Guaraníes"),"Rendimiento significativo",IF(AND(M3562&gt;#REF!,Cartera!O3562="Dólares americanos"),"Rendimiento significativo","Rendimiento no significativo"))</f>
        <v>#REF!</v>
      </c>
      <c r="O3562" s="5" t="s">
        <v>41</v>
      </c>
      <c r="P3562" s="12">
        <v>327373.19819999998</v>
      </c>
      <c r="Q3562" s="12">
        <f>IF(O3562="Guaraníes",P3562,P3562*#REF!)</f>
        <v>327373.19819999998</v>
      </c>
      <c r="R3562" s="12" t="e">
        <f>IF(O3562="Guaraníes",P3562/#REF!,P3562)</f>
        <v>#REF!</v>
      </c>
      <c r="S3562" s="5" t="s">
        <v>42</v>
      </c>
      <c r="AC3562" s="5" t="str">
        <f t="shared" si="169"/>
        <v>Bonos</v>
      </c>
      <c r="AD3562" s="5" t="s">
        <v>43</v>
      </c>
      <c r="AE3562" s="5">
        <f t="shared" si="170"/>
        <v>10</v>
      </c>
      <c r="AF3562" s="5">
        <f t="shared" si="171"/>
        <v>2030</v>
      </c>
    </row>
    <row r="3563" s="5" customFormat="1" ht="13">
      <c r="A3563" s="5" t="s">
        <v>44</v>
      </c>
      <c r="B3563" s="5" t="s">
        <v>44</v>
      </c>
      <c r="C3563" s="5" t="s">
        <v>164</v>
      </c>
      <c r="D3563" s="5" t="s">
        <v>21</v>
      </c>
      <c r="E3563" s="5" t="s">
        <v>44</v>
      </c>
      <c r="F3563" s="5" t="s">
        <v>68</v>
      </c>
      <c r="G3563" s="5" t="s">
        <v>141</v>
      </c>
      <c r="H3563" s="9" t="s">
        <v>167</v>
      </c>
      <c r="I3563" s="10"/>
      <c r="J3563" s="10">
        <v>45565</v>
      </c>
      <c r="K3563" s="5" t="s">
        <v>124</v>
      </c>
      <c r="L3563" s="5" t="s">
        <v>58</v>
      </c>
      <c r="M3563" s="11">
        <v>0.092499999999999999</v>
      </c>
      <c r="N3563" s="5" t="e">
        <f>IF(AND(M3563&gt;#REF!,Cartera!O3563="Guaraníes"),"Rendimiento significativo",IF(AND(M3563&gt;#REF!,Cartera!O3563="Dólares americanos"),"Rendimiento significativo","Rendimiento no significativo"))</f>
        <v>#REF!</v>
      </c>
      <c r="O3563" s="5" t="s">
        <v>41</v>
      </c>
      <c r="P3563" s="12">
        <v>785616.43839999998</v>
      </c>
      <c r="Q3563" s="12">
        <f>IF(O3563="Guaraníes",P3563,P3563*#REF!)</f>
        <v>785616.43839999998</v>
      </c>
      <c r="R3563" s="12" t="e">
        <f>IF(O3563="Guaraníes",P3563/#REF!,P3563)</f>
        <v>#REF!</v>
      </c>
      <c r="S3563" s="5" t="s">
        <v>52</v>
      </c>
      <c r="T3563" s="5">
        <v>9243</v>
      </c>
      <c r="W3563" s="5" t="s">
        <v>65</v>
      </c>
      <c r="X3563" s="5">
        <v>0</v>
      </c>
      <c r="Y3563" s="5">
        <v>0</v>
      </c>
      <c r="Z3563" s="5">
        <v>7856.1643839999997</v>
      </c>
      <c r="AA3563" s="5">
        <v>100</v>
      </c>
      <c r="AB3563" s="5">
        <v>785616.43839999998</v>
      </c>
      <c r="AC3563" s="5" t="str">
        <f t="shared" si="169"/>
        <v>Bonos</v>
      </c>
      <c r="AD3563" s="5" t="s">
        <v>43</v>
      </c>
      <c r="AE3563" s="5">
        <f t="shared" si="170"/>
        <v>9</v>
      </c>
      <c r="AF3563" s="5">
        <f t="shared" si="171"/>
        <v>2024</v>
      </c>
    </row>
    <row r="3564" s="5" customFormat="1" ht="13">
      <c r="A3564" s="5" t="s">
        <v>44</v>
      </c>
      <c r="B3564" s="5" t="s">
        <v>44</v>
      </c>
      <c r="C3564" s="5" t="s">
        <v>143</v>
      </c>
      <c r="D3564" s="5" t="s">
        <v>20</v>
      </c>
      <c r="E3564" s="5" t="s">
        <v>44</v>
      </c>
      <c r="F3564" s="5" t="s">
        <v>144</v>
      </c>
      <c r="G3564" s="5" t="s">
        <v>91</v>
      </c>
      <c r="H3564" s="9" t="s">
        <v>380</v>
      </c>
      <c r="I3564" s="10">
        <v>43909</v>
      </c>
      <c r="J3564" s="10">
        <v>45625</v>
      </c>
      <c r="K3564" s="5" t="s">
        <v>49</v>
      </c>
      <c r="L3564" s="5" t="s">
        <v>106</v>
      </c>
      <c r="M3564" s="11">
        <v>0.059999999999999998</v>
      </c>
      <c r="N3564" s="5" t="e">
        <f>IF(AND(M3564&gt;#REF!,Cartera!O3564="Guaraníes"),"Rendimiento significativo",IF(AND(M3564&gt;#REF!,Cartera!O3564="Dólares americanos"),"Rendimiento significativo","Rendimiento no significativo"))</f>
        <v>#REF!</v>
      </c>
      <c r="O3564" s="5" t="s">
        <v>51</v>
      </c>
      <c r="P3564" s="13">
        <v>10000</v>
      </c>
      <c r="Q3564" s="12" t="e">
        <f>IF(O3564="Guaraníes",P3564,P3564*#REF!)</f>
        <v>#REF!</v>
      </c>
      <c r="R3564" s="12">
        <f>IF(O3564="Guaraníes",P3564/#REF!,P3564)</f>
        <v>10000</v>
      </c>
      <c r="S3564" s="5" t="s">
        <v>52</v>
      </c>
      <c r="T3564" s="5">
        <v>3253</v>
      </c>
      <c r="AC3564" s="5" t="str">
        <f t="shared" si="169"/>
        <v>Bonos</v>
      </c>
      <c r="AD3564" s="5" t="s">
        <v>43</v>
      </c>
      <c r="AE3564" s="5">
        <f t="shared" si="170"/>
        <v>11</v>
      </c>
      <c r="AF3564" s="5">
        <f t="shared" si="171"/>
        <v>2024</v>
      </c>
    </row>
    <row r="3565" s="5" customFormat="1" ht="13">
      <c r="A3565" s="5">
        <v>12316</v>
      </c>
      <c r="B3565" s="5" t="s">
        <v>78</v>
      </c>
      <c r="C3565" s="5" t="s">
        <v>138</v>
      </c>
      <c r="D3565" s="5" t="s">
        <v>21</v>
      </c>
      <c r="E3565" s="5" t="s">
        <v>34</v>
      </c>
      <c r="F3565" s="5" t="s">
        <v>68</v>
      </c>
      <c r="G3565" s="5" t="s">
        <v>86</v>
      </c>
      <c r="H3565" s="9" t="s">
        <v>139</v>
      </c>
      <c r="I3565" s="10">
        <v>43948</v>
      </c>
      <c r="J3565" s="10">
        <v>47795</v>
      </c>
      <c r="K3565" s="5" t="s">
        <v>140</v>
      </c>
      <c r="L3565" s="5" t="s">
        <v>58</v>
      </c>
      <c r="M3565" s="11">
        <v>0.11</v>
      </c>
      <c r="N3565" s="5" t="e">
        <f>IF(AND(M3565&gt;#REF!,Cartera!O3565="Guaraníes"),"Rendimiento significativo",IF(AND(M3565&gt;#REF!,Cartera!O3565="Dólares americanos"),"Rendimiento significativo","Rendimiento no significativo"))</f>
        <v>#REF!</v>
      </c>
      <c r="O3565" s="5" t="s">
        <v>41</v>
      </c>
      <c r="P3565" s="12">
        <v>313165.2254</v>
      </c>
      <c r="Q3565" s="12">
        <f>IF(O3565="Guaraníes",P3565,P3565*#REF!)</f>
        <v>313165.2254</v>
      </c>
      <c r="R3565" s="12" t="e">
        <f>IF(O3565="Guaraníes",P3565/#REF!,P3565)</f>
        <v>#REF!</v>
      </c>
      <c r="S3565" s="5" t="s">
        <v>42</v>
      </c>
      <c r="AC3565" s="5" t="str">
        <f t="shared" si="169"/>
        <v>Bonos</v>
      </c>
      <c r="AD3565" s="5" t="s">
        <v>43</v>
      </c>
      <c r="AE3565" s="5">
        <f t="shared" si="170"/>
        <v>11</v>
      </c>
      <c r="AF3565" s="5">
        <f t="shared" si="171"/>
        <v>2030</v>
      </c>
    </row>
    <row r="3566" s="5" customFormat="1" ht="13">
      <c r="A3566" s="5">
        <v>12316</v>
      </c>
      <c r="B3566" s="5" t="s">
        <v>78</v>
      </c>
      <c r="C3566" s="5" t="s">
        <v>183</v>
      </c>
      <c r="D3566" s="5" t="s">
        <v>21</v>
      </c>
      <c r="E3566" s="5" t="s">
        <v>34</v>
      </c>
      <c r="F3566" s="5" t="s">
        <v>184</v>
      </c>
      <c r="H3566" s="9">
        <v>6389</v>
      </c>
      <c r="I3566" s="10"/>
      <c r="J3566" s="10">
        <v>47798</v>
      </c>
      <c r="K3566" s="5" t="s">
        <v>124</v>
      </c>
      <c r="L3566" s="5" t="s">
        <v>82</v>
      </c>
      <c r="M3566" s="11">
        <v>0.079000000000000001</v>
      </c>
      <c r="N3566" s="5" t="e">
        <f>IF(AND(M3566&gt;#REF!,Cartera!O3566="Guaraníes"),"Rendimiento significativo",IF(AND(M3566&gt;#REF!,Cartera!O3566="Dólares americanos"),"Rendimiento significativo","Rendimiento no significativo"))</f>
        <v>#REF!</v>
      </c>
      <c r="O3566" s="5" t="s">
        <v>41</v>
      </c>
      <c r="P3566" s="12">
        <v>10064460</v>
      </c>
      <c r="Q3566" s="12">
        <f>IF(O3566="Guaraníes",P3566,P3566*#REF!)</f>
        <v>10064460</v>
      </c>
      <c r="R3566" s="12" t="e">
        <f>IF(O3566="Guaraníes",P3566/#REF!,P3566)</f>
        <v>#REF!</v>
      </c>
      <c r="S3566" s="5" t="s">
        <v>42</v>
      </c>
      <c r="V3566" s="5">
        <v>10064460</v>
      </c>
      <c r="W3566" s="5" t="s">
        <v>719</v>
      </c>
      <c r="AC3566" s="5" t="str">
        <f t="shared" si="169"/>
        <v>CDA</v>
      </c>
      <c r="AD3566" s="5" t="s">
        <v>43</v>
      </c>
      <c r="AE3566" s="5">
        <f t="shared" si="170"/>
        <v>11</v>
      </c>
      <c r="AF3566" s="5">
        <f t="shared" si="171"/>
        <v>2030</v>
      </c>
    </row>
    <row r="3567" s="5" customFormat="1" ht="13">
      <c r="A3567" s="5">
        <v>12313</v>
      </c>
      <c r="B3567" s="5" t="s">
        <v>698</v>
      </c>
      <c r="C3567" s="5" t="s">
        <v>111</v>
      </c>
      <c r="D3567" s="5" t="s">
        <v>20</v>
      </c>
      <c r="E3567" s="5" t="s">
        <v>34</v>
      </c>
      <c r="F3567" s="5" t="s">
        <v>68</v>
      </c>
      <c r="H3567" s="9" t="s">
        <v>188</v>
      </c>
      <c r="I3567" s="10">
        <v>45370</v>
      </c>
      <c r="J3567" s="10">
        <v>46111</v>
      </c>
      <c r="K3567" s="5" t="s">
        <v>140</v>
      </c>
      <c r="L3567" s="5" t="s">
        <v>82</v>
      </c>
      <c r="M3567" s="11">
        <v>0.057000000000000002</v>
      </c>
      <c r="N3567" s="5" t="e">
        <f>IF(AND(M3567&gt;#REF!,Cartera!O3567="Guaraníes"),"Rendimiento significativo",IF(AND(M3567&gt;#REF!,Cartera!O3567="Dólares americanos"),"Rendimiento significativo","Rendimiento no significativo"))</f>
        <v>#REF!</v>
      </c>
      <c r="O3567" s="5" t="s">
        <v>51</v>
      </c>
      <c r="P3567" s="13">
        <v>20000</v>
      </c>
      <c r="Q3567" s="12" t="e">
        <f>IF(O3567="Guaraníes",P3567,P3567*#REF!)</f>
        <v>#REF!</v>
      </c>
      <c r="R3567" s="13">
        <f>IF(O3567="Guaraníes",P3567/#REF!,P3567)</f>
        <v>20000</v>
      </c>
      <c r="S3567" s="5" t="s">
        <v>42</v>
      </c>
      <c r="AC3567" s="5" t="str">
        <f t="shared" si="169"/>
        <v>CDA</v>
      </c>
      <c r="AD3567" s="5" t="s">
        <v>43</v>
      </c>
      <c r="AE3567" s="5">
        <f t="shared" si="170"/>
        <v>3</v>
      </c>
      <c r="AF3567" s="5">
        <f t="shared" si="171"/>
        <v>2026</v>
      </c>
    </row>
    <row r="3568" s="5" customFormat="1" ht="13">
      <c r="A3568" s="5">
        <v>12303</v>
      </c>
      <c r="B3568" s="5" t="s">
        <v>32</v>
      </c>
      <c r="C3568" s="5" t="s">
        <v>730</v>
      </c>
      <c r="D3568" s="5" t="s">
        <v>20</v>
      </c>
      <c r="E3568" s="5" t="s">
        <v>34</v>
      </c>
      <c r="F3568" s="5" t="s">
        <v>68</v>
      </c>
      <c r="H3568" s="9" t="s">
        <v>37</v>
      </c>
      <c r="I3568" s="10">
        <v>45377</v>
      </c>
      <c r="J3568" s="10" t="s">
        <v>38</v>
      </c>
      <c r="L3568" s="5" t="s">
        <v>731</v>
      </c>
      <c r="M3568" s="11">
        <v>0</v>
      </c>
      <c r="N3568" s="5" t="e">
        <f>IF(AND(M3568&gt;#REF!,Cartera!O3568="Guaraníes"),"Rendimiento significativo",IF(AND(M3568&gt;#REF!,Cartera!O3568="Dólares americanos"),"Rendimiento significativo","Rendimiento no significativo"))</f>
        <v>#REF!</v>
      </c>
      <c r="O3568" s="5" t="s">
        <v>41</v>
      </c>
      <c r="P3568" s="12">
        <v>6499900000</v>
      </c>
      <c r="Q3568" s="12">
        <f>IF(O3568="Guaraníes",P3568,P3568*#REF!)</f>
        <v>6499900000</v>
      </c>
      <c r="R3568" s="12" t="e">
        <f>IF(O3568="Guaraníes",P3568/#REF!,P3568)</f>
        <v>#REF!</v>
      </c>
      <c r="S3568" s="5" t="s">
        <v>42</v>
      </c>
      <c r="AC3568" s="5" t="s">
        <v>731</v>
      </c>
      <c r="AD3568" s="5" t="s">
        <v>732</v>
      </c>
      <c r="AE3568" s="5">
        <f t="shared" si="170"/>
        <v>0</v>
      </c>
      <c r="AF3568" s="5">
        <f t="shared" si="171"/>
        <v>0</v>
      </c>
    </row>
    <row r="3569" s="5" customFormat="1" ht="13">
      <c r="A3569" s="5" t="s">
        <v>44</v>
      </c>
      <c r="B3569" s="5" t="s">
        <v>44</v>
      </c>
      <c r="C3569" s="5" t="s">
        <v>60</v>
      </c>
      <c r="D3569" s="5" t="s">
        <v>21</v>
      </c>
      <c r="E3569" s="5" t="s">
        <v>44</v>
      </c>
      <c r="F3569" s="5" t="s">
        <v>68</v>
      </c>
      <c r="H3569" s="9" t="s">
        <v>84</v>
      </c>
      <c r="I3569" s="10">
        <v>45393</v>
      </c>
      <c r="J3569" s="10">
        <v>45485</v>
      </c>
      <c r="K3569" s="5" t="s">
        <v>64</v>
      </c>
      <c r="L3569" s="5" t="s">
        <v>82</v>
      </c>
      <c r="M3569" s="11">
        <v>0.055</v>
      </c>
      <c r="N3569" s="5" t="e">
        <f>IF(AND(M3569&gt;#REF!,Cartera!O3569="Guaraníes"),"Rendimiento significativo",IF(AND(M3569&gt;#REF!,Cartera!O3569="Dólares americanos"),"Rendimiento significativo","Rendimiento no significativo"))</f>
        <v>#REF!</v>
      </c>
      <c r="O3569" s="5" t="s">
        <v>51</v>
      </c>
      <c r="P3569" s="13">
        <v>291.12</v>
      </c>
      <c r="Q3569" s="12" t="e">
        <f>IF(O3569="Guaraníes",P3569,P3569*#REF!)</f>
        <v>#REF!</v>
      </c>
      <c r="R3569" s="12">
        <f>IF(O3569="Guaraníes",P3569/#REF!,P3569)</f>
        <v>291.12</v>
      </c>
      <c r="S3569" s="5" t="s">
        <v>52</v>
      </c>
      <c r="AC3569" s="5" t="str">
        <f t="shared" si="169"/>
        <v>CDA</v>
      </c>
      <c r="AD3569" s="5" t="s">
        <v>43</v>
      </c>
      <c r="AE3569" s="5">
        <f t="shared" si="170"/>
        <v>7</v>
      </c>
      <c r="AF3569" s="5">
        <f t="shared" si="171"/>
        <v>2024</v>
      </c>
    </row>
    <row r="3570" s="5" customFormat="1" ht="13">
      <c r="A3570" s="5">
        <v>12316</v>
      </c>
      <c r="B3570" s="5" t="s">
        <v>78</v>
      </c>
      <c r="C3570" s="5" t="s">
        <v>183</v>
      </c>
      <c r="D3570" s="5" t="s">
        <v>21</v>
      </c>
      <c r="E3570" s="5" t="s">
        <v>34</v>
      </c>
      <c r="F3570" s="5" t="s">
        <v>184</v>
      </c>
      <c r="H3570" s="9">
        <v>6390</v>
      </c>
      <c r="I3570" s="10"/>
      <c r="J3570" s="10">
        <v>47798</v>
      </c>
      <c r="K3570" s="5" t="s">
        <v>124</v>
      </c>
      <c r="L3570" s="5" t="s">
        <v>82</v>
      </c>
      <c r="M3570" s="11">
        <v>0.079000000000000001</v>
      </c>
      <c r="N3570" s="5" t="e">
        <f>IF(AND(M3570&gt;#REF!,Cartera!O3570="Guaraníes"),"Rendimiento significativo",IF(AND(M3570&gt;#REF!,Cartera!O3570="Dólares americanos"),"Rendimiento significativo","Rendimiento no significativo"))</f>
        <v>#REF!</v>
      </c>
      <c r="O3570" s="5" t="s">
        <v>41</v>
      </c>
      <c r="P3570" s="12">
        <v>10064460</v>
      </c>
      <c r="Q3570" s="12">
        <f>IF(O3570="Guaraníes",P3570,P3570*#REF!)</f>
        <v>10064460</v>
      </c>
      <c r="R3570" s="12" t="e">
        <f>IF(O3570="Guaraníes",P3570/#REF!,P3570)</f>
        <v>#REF!</v>
      </c>
      <c r="S3570" s="5" t="s">
        <v>42</v>
      </c>
      <c r="V3570" s="5">
        <v>10064460</v>
      </c>
      <c r="W3570" s="5" t="s">
        <v>719</v>
      </c>
      <c r="AC3570" s="5" t="str">
        <f t="shared" si="169"/>
        <v>CDA</v>
      </c>
      <c r="AD3570" s="5" t="s">
        <v>43</v>
      </c>
      <c r="AE3570" s="5">
        <f t="shared" si="170"/>
        <v>11</v>
      </c>
      <c r="AF3570" s="5">
        <f t="shared" si="171"/>
        <v>2030</v>
      </c>
    </row>
    <row r="3571" s="5" customFormat="1" ht="13">
      <c r="A3571" s="5">
        <v>12316</v>
      </c>
      <c r="B3571" s="5" t="s">
        <v>78</v>
      </c>
      <c r="C3571" s="5" t="s">
        <v>183</v>
      </c>
      <c r="D3571" s="5" t="s">
        <v>21</v>
      </c>
      <c r="E3571" s="5" t="s">
        <v>34</v>
      </c>
      <c r="F3571" s="5" t="s">
        <v>184</v>
      </c>
      <c r="H3571" s="9">
        <v>6391</v>
      </c>
      <c r="I3571" s="10"/>
      <c r="J3571" s="10">
        <v>47798</v>
      </c>
      <c r="K3571" s="5" t="s">
        <v>124</v>
      </c>
      <c r="L3571" s="5" t="s">
        <v>82</v>
      </c>
      <c r="M3571" s="11">
        <v>0.079000000000000001</v>
      </c>
      <c r="N3571" s="5" t="e">
        <f>IF(AND(M3571&gt;#REF!,Cartera!O3571="Guaraníes"),"Rendimiento significativo",IF(AND(M3571&gt;#REF!,Cartera!O3571="Dólares americanos"),"Rendimiento significativo","Rendimiento no significativo"))</f>
        <v>#REF!</v>
      </c>
      <c r="O3571" s="5" t="s">
        <v>41</v>
      </c>
      <c r="P3571" s="12">
        <v>10064460</v>
      </c>
      <c r="Q3571" s="12">
        <f>IF(O3571="Guaraníes",P3571,P3571*#REF!)</f>
        <v>10064460</v>
      </c>
      <c r="R3571" s="12" t="e">
        <f>IF(O3571="Guaraníes",P3571/#REF!,P3571)</f>
        <v>#REF!</v>
      </c>
      <c r="S3571" s="5" t="s">
        <v>42</v>
      </c>
      <c r="V3571" s="5">
        <v>10064460</v>
      </c>
      <c r="W3571" s="5" t="s">
        <v>719</v>
      </c>
      <c r="AC3571" s="5" t="str">
        <f t="shared" si="169"/>
        <v>CDA</v>
      </c>
      <c r="AD3571" s="5" t="s">
        <v>43</v>
      </c>
      <c r="AE3571" s="5">
        <f t="shared" si="170"/>
        <v>11</v>
      </c>
      <c r="AF3571" s="5">
        <f t="shared" si="171"/>
        <v>2030</v>
      </c>
    </row>
    <row r="3572" s="5" customFormat="1" ht="13">
      <c r="A3572" s="5">
        <v>12316</v>
      </c>
      <c r="B3572" s="5" t="s">
        <v>78</v>
      </c>
      <c r="C3572" s="5" t="s">
        <v>183</v>
      </c>
      <c r="D3572" s="5" t="s">
        <v>21</v>
      </c>
      <c r="E3572" s="5" t="s">
        <v>34</v>
      </c>
      <c r="F3572" s="5" t="s">
        <v>184</v>
      </c>
      <c r="H3572" s="9">
        <v>6388</v>
      </c>
      <c r="I3572" s="10"/>
      <c r="J3572" s="10">
        <v>47798</v>
      </c>
      <c r="K3572" s="5" t="s">
        <v>124</v>
      </c>
      <c r="L3572" s="5" t="s">
        <v>82</v>
      </c>
      <c r="M3572" s="11">
        <v>0.079000000000000001</v>
      </c>
      <c r="N3572" s="5" t="e">
        <f>IF(AND(M3572&gt;#REF!,Cartera!O3572="Guaraníes"),"Rendimiento significativo",IF(AND(M3572&gt;#REF!,Cartera!O3572="Dólares americanos"),"Rendimiento significativo","Rendimiento no significativo"))</f>
        <v>#REF!</v>
      </c>
      <c r="O3572" s="5" t="s">
        <v>41</v>
      </c>
      <c r="P3572" s="12">
        <v>10064460</v>
      </c>
      <c r="Q3572" s="12">
        <f>IF(O3572="Guaraníes",P3572,P3572*#REF!)</f>
        <v>10064460</v>
      </c>
      <c r="R3572" s="12" t="e">
        <f>IF(O3572="Guaraníes",P3572/#REF!,P3572)</f>
        <v>#REF!</v>
      </c>
      <c r="S3572" s="5" t="s">
        <v>42</v>
      </c>
      <c r="AC3572" s="5" t="str">
        <f t="shared" si="169"/>
        <v>CDA</v>
      </c>
      <c r="AD3572" s="5" t="s">
        <v>43</v>
      </c>
      <c r="AE3572" s="5">
        <f t="shared" si="170"/>
        <v>11</v>
      </c>
      <c r="AF3572" s="5">
        <f t="shared" si="171"/>
        <v>2030</v>
      </c>
    </row>
    <row r="3573" s="5" customFormat="1" ht="13">
      <c r="A3573" s="5" t="s">
        <v>44</v>
      </c>
      <c r="B3573" s="5" t="s">
        <v>44</v>
      </c>
      <c r="C3573" s="5" t="s">
        <v>164</v>
      </c>
      <c r="D3573" s="5" t="s">
        <v>21</v>
      </c>
      <c r="E3573" s="5" t="s">
        <v>44</v>
      </c>
      <c r="F3573" s="5" t="s">
        <v>68</v>
      </c>
      <c r="G3573" s="5" t="s">
        <v>145</v>
      </c>
      <c r="H3573" s="9" t="s">
        <v>165</v>
      </c>
      <c r="I3573" s="10"/>
      <c r="J3573" s="10">
        <v>45625</v>
      </c>
      <c r="K3573" s="5" t="s">
        <v>124</v>
      </c>
      <c r="L3573" s="5" t="s">
        <v>58</v>
      </c>
      <c r="M3573" s="11">
        <v>0.10000000000000001</v>
      </c>
      <c r="N3573" s="5" t="e">
        <f>IF(AND(M3573&gt;#REF!,Cartera!O3573="Guaraníes"),"Rendimiento significativo",IF(AND(M3573&gt;#REF!,Cartera!O3573="Dólares americanos"),"Rendimiento significativo","Rendimiento no significativo"))</f>
        <v>#REF!</v>
      </c>
      <c r="O3573" s="5" t="s">
        <v>41</v>
      </c>
      <c r="P3573" s="12">
        <v>3178082.1916</v>
      </c>
      <c r="Q3573" s="12">
        <f>IF(O3573="Guaraníes",P3573,P3573*#REF!)</f>
        <v>3178082.1916</v>
      </c>
      <c r="R3573" s="12" t="e">
        <f>IF(O3573="Guaraníes",P3573/#REF!,P3573)</f>
        <v>#REF!</v>
      </c>
      <c r="S3573" s="5" t="s">
        <v>52</v>
      </c>
      <c r="T3573" s="5">
        <v>1057</v>
      </c>
      <c r="W3573" s="5" t="s">
        <v>65</v>
      </c>
      <c r="X3573" s="5">
        <v>0</v>
      </c>
      <c r="Y3573" s="5">
        <v>0</v>
      </c>
      <c r="Z3573" s="5">
        <v>7945.2054790000002</v>
      </c>
      <c r="AA3573" s="5">
        <v>400</v>
      </c>
      <c r="AB3573" s="5">
        <v>3178082.1916</v>
      </c>
      <c r="AC3573" s="5" t="str">
        <f t="shared" si="169"/>
        <v>Bonos</v>
      </c>
      <c r="AD3573" s="5" t="s">
        <v>43</v>
      </c>
      <c r="AE3573" s="5">
        <f t="shared" si="170"/>
        <v>11</v>
      </c>
      <c r="AF3573" s="5">
        <f t="shared" si="171"/>
        <v>2024</v>
      </c>
    </row>
    <row r="3574" s="5" customFormat="1" ht="13">
      <c r="A3574" s="5">
        <v>12315</v>
      </c>
      <c r="B3574" s="5" t="s">
        <v>73</v>
      </c>
      <c r="C3574" s="5" t="s">
        <v>74</v>
      </c>
      <c r="D3574" s="5" t="s">
        <v>21</v>
      </c>
      <c r="E3574" s="5" t="s">
        <v>34</v>
      </c>
      <c r="F3574" s="5" t="s">
        <v>68</v>
      </c>
      <c r="G3574" s="5" t="s">
        <v>75</v>
      </c>
      <c r="H3574" s="9" t="s">
        <v>76</v>
      </c>
      <c r="I3574" s="10"/>
      <c r="J3574" s="10">
        <v>47819</v>
      </c>
      <c r="K3574" s="5" t="s">
        <v>77</v>
      </c>
      <c r="L3574" s="5" t="s">
        <v>50</v>
      </c>
      <c r="M3574" s="11">
        <v>0.055</v>
      </c>
      <c r="N3574" s="5" t="e">
        <f>IF(AND(M3574&gt;#REF!,Cartera!O3574="Guaraníes"),"Rendimiento significativo",IF(AND(M3574&gt;#REF!,Cartera!O3574="Dólares americanos"),"Rendimiento significativo","Rendimiento no significativo"))</f>
        <v>#REF!</v>
      </c>
      <c r="O3574" s="5" t="s">
        <v>51</v>
      </c>
      <c r="P3574" s="13">
        <v>280.26999999999998</v>
      </c>
      <c r="Q3574" s="12" t="e">
        <f>IF(O3574="Guaraníes",P3574,P3574*#REF!)</f>
        <v>#REF!</v>
      </c>
      <c r="R3574" s="12">
        <f>IF(O3574="Guaraníes",P3574/#REF!,P3574)</f>
        <v>280.26999999999998</v>
      </c>
      <c r="S3574" s="5" t="s">
        <v>42</v>
      </c>
      <c r="T3574" s="5">
        <v>25</v>
      </c>
      <c r="U3574" s="5">
        <v>30000</v>
      </c>
      <c r="V3574" s="5">
        <v>197676545.47620004</v>
      </c>
      <c r="W3574" s="5" t="s">
        <v>65</v>
      </c>
      <c r="X3574" s="5">
        <v>100</v>
      </c>
      <c r="Y3574" s="5">
        <v>1000</v>
      </c>
      <c r="Z3574" s="5">
        <v>1009.3424659999999</v>
      </c>
      <c r="AA3574" s="5">
        <v>30</v>
      </c>
      <c r="AB3574" s="5">
        <v>30280.27</v>
      </c>
      <c r="AC3574" s="5" t="str">
        <f t="shared" si="169"/>
        <v>Bonos</v>
      </c>
      <c r="AD3574" s="5" t="s">
        <v>43</v>
      </c>
      <c r="AE3574" s="5">
        <f t="shared" si="170"/>
        <v>12</v>
      </c>
      <c r="AF3574" s="5">
        <f t="shared" si="171"/>
        <v>2030</v>
      </c>
    </row>
    <row r="3575" s="5" customFormat="1" ht="13">
      <c r="A3575" s="5">
        <v>12315</v>
      </c>
      <c r="B3575" s="5" t="s">
        <v>73</v>
      </c>
      <c r="C3575" s="5" t="s">
        <v>33</v>
      </c>
      <c r="D3575" s="5" t="s">
        <v>21</v>
      </c>
      <c r="E3575" s="5" t="s">
        <v>34</v>
      </c>
      <c r="F3575" s="5" t="s">
        <v>35</v>
      </c>
      <c r="G3575" s="5" t="s">
        <v>75</v>
      </c>
      <c r="H3575" s="9" t="s">
        <v>186</v>
      </c>
      <c r="I3575" s="10"/>
      <c r="J3575" s="10">
        <v>47821</v>
      </c>
      <c r="K3575" s="5" t="s">
        <v>39</v>
      </c>
      <c r="L3575" s="5" t="s">
        <v>50</v>
      </c>
      <c r="M3575" s="11">
        <v>0.044999999999999998</v>
      </c>
      <c r="N3575" s="5" t="e">
        <f>IF(AND(M3575&gt;#REF!,Cartera!O3575="Guaraníes"),"Rendimiento significativo",IF(AND(M3575&gt;#REF!,Cartera!O3575="Dólares americanos"),"Rendimiento significativo","Rendimiento no significativo"))</f>
        <v>#REF!</v>
      </c>
      <c r="O3575" s="5" t="s">
        <v>51</v>
      </c>
      <c r="P3575" s="13">
        <v>336.57533999999998</v>
      </c>
      <c r="Q3575" s="12" t="e">
        <f>IF(O3575="Guaraníes",P3575,P3575*#REF!)</f>
        <v>#REF!</v>
      </c>
      <c r="R3575" s="12">
        <f>IF(O3575="Guaraníes",P3575/#REF!,P3575)</f>
        <v>336.57533999999998</v>
      </c>
      <c r="S3575" s="5" t="s">
        <v>42</v>
      </c>
      <c r="T3575" s="5">
        <v>25</v>
      </c>
      <c r="W3575" s="5" t="s">
        <v>65</v>
      </c>
      <c r="X3575" s="5">
        <v>0</v>
      </c>
      <c r="Y3575" s="5">
        <v>0</v>
      </c>
      <c r="Z3575" s="5">
        <v>11.219177999999999</v>
      </c>
      <c r="AA3575" s="5">
        <v>30</v>
      </c>
      <c r="AB3575" s="5">
        <v>336.57533999999998</v>
      </c>
      <c r="AC3575" s="5" t="str">
        <f t="shared" ref="AC3575:AC3638" si="172">IF(ISNUMBER(SEARCH("Acciones",L3575)),"Acciones",IF(ISNUMBER(SEARCH("Bono",L3575)),"Bonos",IF(ISNUMBER(SEARCH("CDA",L3575)),"CDA",IF(ISNUMBER(SEARCH("Fondo",L3575)),"Fondo",0))))</f>
        <v>Bonos</v>
      </c>
      <c r="AD3575" s="5" t="s">
        <v>43</v>
      </c>
      <c r="AE3575" s="5">
        <f t="shared" si="170"/>
        <v>12</v>
      </c>
      <c r="AF3575" s="5">
        <f t="shared" si="171"/>
        <v>2030</v>
      </c>
    </row>
    <row r="3576" s="5" customFormat="1" ht="13">
      <c r="A3576" s="5">
        <v>12315</v>
      </c>
      <c r="B3576" s="5" t="s">
        <v>73</v>
      </c>
      <c r="C3576" s="5" t="s">
        <v>33</v>
      </c>
      <c r="D3576" s="5" t="s">
        <v>21</v>
      </c>
      <c r="E3576" s="5" t="s">
        <v>34</v>
      </c>
      <c r="F3576" s="5" t="s">
        <v>35</v>
      </c>
      <c r="G3576" s="5" t="s">
        <v>69</v>
      </c>
      <c r="H3576" s="9" t="s">
        <v>186</v>
      </c>
      <c r="I3576" s="10"/>
      <c r="J3576" s="10">
        <v>47821</v>
      </c>
      <c r="K3576" s="5" t="s">
        <v>39</v>
      </c>
      <c r="L3576" s="5" t="s">
        <v>50</v>
      </c>
      <c r="M3576" s="11">
        <v>0.044999999999999998</v>
      </c>
      <c r="N3576" s="5" t="e">
        <f>IF(AND(M3576&gt;#REF!,Cartera!O3576="Guaraníes"),"Rendimiento significativo",IF(AND(M3576&gt;#REF!,Cartera!O3576="Dólares americanos"),"Rendimiento significativo","Rendimiento no significativo"))</f>
        <v>#REF!</v>
      </c>
      <c r="O3576" s="5" t="s">
        <v>51</v>
      </c>
      <c r="P3576" s="13">
        <v>448.76711999999998</v>
      </c>
      <c r="Q3576" s="12" t="e">
        <f>IF(O3576="Guaraníes",P3576,P3576*#REF!)</f>
        <v>#REF!</v>
      </c>
      <c r="R3576" s="12">
        <f>IF(O3576="Guaraníes",P3576/#REF!,P3576)</f>
        <v>448.76711999999998</v>
      </c>
      <c r="S3576" s="5" t="s">
        <v>42</v>
      </c>
      <c r="T3576" s="5">
        <v>593</v>
      </c>
      <c r="W3576" s="5" t="s">
        <v>65</v>
      </c>
      <c r="X3576" s="5">
        <v>0</v>
      </c>
      <c r="Y3576" s="5">
        <v>0</v>
      </c>
      <c r="Z3576" s="5">
        <v>11.219177999999999</v>
      </c>
      <c r="AA3576" s="5">
        <v>40</v>
      </c>
      <c r="AB3576" s="5">
        <v>448.76711999999998</v>
      </c>
      <c r="AC3576" s="5" t="str">
        <f t="shared" si="172"/>
        <v>Bonos</v>
      </c>
      <c r="AD3576" s="5" t="s">
        <v>43</v>
      </c>
      <c r="AE3576" s="5">
        <f t="shared" si="170"/>
        <v>12</v>
      </c>
      <c r="AF3576" s="5">
        <f t="shared" si="171"/>
        <v>2030</v>
      </c>
    </row>
    <row r="3577" s="5" customFormat="1" ht="13">
      <c r="A3577" s="5">
        <v>12313</v>
      </c>
      <c r="B3577" s="5" t="s">
        <v>698</v>
      </c>
      <c r="C3577" s="5" t="s">
        <v>60</v>
      </c>
      <c r="D3577" s="5" t="s">
        <v>20</v>
      </c>
      <c r="E3577" s="5" t="s">
        <v>34</v>
      </c>
      <c r="F3577" s="5" t="s">
        <v>68</v>
      </c>
      <c r="H3577" s="9" t="s">
        <v>84</v>
      </c>
      <c r="I3577" s="10">
        <v>45393</v>
      </c>
      <c r="J3577" s="10">
        <v>46125</v>
      </c>
      <c r="K3577" s="5" t="s">
        <v>64</v>
      </c>
      <c r="L3577" s="5" t="s">
        <v>82</v>
      </c>
      <c r="M3577" s="11">
        <v>0.055</v>
      </c>
      <c r="N3577" s="5" t="e">
        <f>IF(AND(M3577&gt;#REF!,Cartera!O3577="Guaraníes"),"Rendimiento significativo",IF(AND(M3577&gt;#REF!,Cartera!O3577="Dólares americanos"),"Rendimiento significativo","Rendimiento no significativo"))</f>
        <v>#REF!</v>
      </c>
      <c r="O3577" s="5" t="s">
        <v>51</v>
      </c>
      <c r="P3577" s="13">
        <v>21000</v>
      </c>
      <c r="Q3577" s="12" t="e">
        <f>IF(O3577="Guaraníes",P3577,P3577*#REF!)</f>
        <v>#REF!</v>
      </c>
      <c r="R3577" s="12">
        <f>IF(O3577="Guaraníes",P3577/#REF!,P3577)</f>
        <v>21000</v>
      </c>
      <c r="S3577" s="5" t="s">
        <v>42</v>
      </c>
      <c r="AC3577" s="5" t="str">
        <f t="shared" si="172"/>
        <v>CDA</v>
      </c>
      <c r="AD3577" s="5" t="s">
        <v>43</v>
      </c>
      <c r="AE3577" s="5">
        <f t="shared" si="170"/>
        <v>4</v>
      </c>
      <c r="AF3577" s="5">
        <f t="shared" si="171"/>
        <v>2026</v>
      </c>
    </row>
    <row r="3578" s="5" customFormat="1" ht="13">
      <c r="A3578" s="5" t="s">
        <v>44</v>
      </c>
      <c r="B3578" s="5" t="s">
        <v>44</v>
      </c>
      <c r="C3578" s="5" t="s">
        <v>33</v>
      </c>
      <c r="D3578" s="5" t="s">
        <v>21</v>
      </c>
      <c r="E3578" s="5" t="s">
        <v>44</v>
      </c>
      <c r="F3578" s="5" t="s">
        <v>35</v>
      </c>
      <c r="G3578" s="5" t="s">
        <v>733</v>
      </c>
      <c r="H3578" s="9" t="s">
        <v>142</v>
      </c>
      <c r="I3578" s="10">
        <v>44956</v>
      </c>
      <c r="J3578" s="10">
        <v>45594</v>
      </c>
      <c r="K3578" s="5" t="s">
        <v>39</v>
      </c>
      <c r="L3578" s="5" t="s">
        <v>50</v>
      </c>
      <c r="M3578" s="11">
        <v>0.065000000000000002</v>
      </c>
      <c r="N3578" s="5" t="e">
        <f>IF(AND(M3578&gt;#REF!,Cartera!O3578="Guaraníes"),"Rendimiento significativo",IF(AND(M3578&gt;#REF!,Cartera!O3578="Dólares americanos"),"Rendimiento significativo","Rendimiento no significativo"))</f>
        <v>#REF!</v>
      </c>
      <c r="O3578" s="5" t="s">
        <v>51</v>
      </c>
      <c r="P3578" s="13">
        <v>1296.43832</v>
      </c>
      <c r="Q3578" s="12" t="e">
        <f>IF(O3578="Guaraníes",P3578,P3578*#REF!)</f>
        <v>#REF!</v>
      </c>
      <c r="R3578" s="12">
        <f>IF(O3578="Guaraníes",P3578/#REF!,P3578)</f>
        <v>1296.43832</v>
      </c>
      <c r="S3578" s="5" t="s">
        <v>52</v>
      </c>
      <c r="AC3578" s="5" t="str">
        <f t="shared" si="172"/>
        <v>Bonos</v>
      </c>
      <c r="AD3578" s="5" t="s">
        <v>43</v>
      </c>
      <c r="AE3578" s="5">
        <f t="shared" si="170"/>
        <v>10</v>
      </c>
      <c r="AF3578" s="5">
        <f t="shared" si="171"/>
        <v>2024</v>
      </c>
    </row>
    <row r="3579" s="5" customFormat="1" ht="13">
      <c r="A3579" s="5">
        <v>12316</v>
      </c>
      <c r="B3579" s="5" t="s">
        <v>78</v>
      </c>
      <c r="C3579" s="5" t="s">
        <v>160</v>
      </c>
      <c r="D3579" s="5" t="s">
        <v>21</v>
      </c>
      <c r="E3579" s="5" t="s">
        <v>34</v>
      </c>
      <c r="F3579" s="5" t="s">
        <v>68</v>
      </c>
      <c r="G3579" s="5" t="s">
        <v>91</v>
      </c>
      <c r="H3579" s="9" t="s">
        <v>161</v>
      </c>
      <c r="I3579" s="10">
        <v>44581</v>
      </c>
      <c r="J3579" s="10">
        <v>47826</v>
      </c>
      <c r="K3579" s="5" t="s">
        <v>162</v>
      </c>
      <c r="L3579" s="5" t="s">
        <v>58</v>
      </c>
      <c r="M3579" s="11">
        <v>0.086999999999999994</v>
      </c>
      <c r="N3579" s="5" t="e">
        <f>IF(AND(M3579&gt;#REF!,Cartera!O3579="Guaraníes"),"Rendimiento significativo",IF(AND(M3579&gt;#REF!,Cartera!O3579="Dólares americanos"),"Rendimiento significativo","Rendimiento no significativo"))</f>
        <v>#REF!</v>
      </c>
      <c r="O3579" s="5" t="s">
        <v>41</v>
      </c>
      <c r="P3579" s="12">
        <v>17352328.767200001</v>
      </c>
      <c r="Q3579" s="12">
        <f>IF(O3579="Guaraníes",P3579,P3579*#REF!)</f>
        <v>17352328.767200001</v>
      </c>
      <c r="R3579" s="12" t="e">
        <f>IF(O3579="Guaraníes",P3579/#REF!,P3579)</f>
        <v>#REF!</v>
      </c>
      <c r="S3579" s="5" t="s">
        <v>42</v>
      </c>
      <c r="AC3579" s="5" t="str">
        <f t="shared" si="172"/>
        <v>Bonos</v>
      </c>
      <c r="AD3579" s="5" t="s">
        <v>43</v>
      </c>
      <c r="AE3579" s="5">
        <f t="shared" si="170"/>
        <v>12</v>
      </c>
      <c r="AF3579" s="5">
        <f t="shared" si="171"/>
        <v>2030</v>
      </c>
    </row>
    <row r="3580" s="5" customFormat="1" ht="13">
      <c r="A3580" s="5">
        <v>12316</v>
      </c>
      <c r="B3580" s="5" t="s">
        <v>78</v>
      </c>
      <c r="C3580" s="5" t="s">
        <v>138</v>
      </c>
      <c r="D3580" s="5" t="s">
        <v>21</v>
      </c>
      <c r="E3580" s="5" t="s">
        <v>34</v>
      </c>
      <c r="F3580" s="5" t="s">
        <v>68</v>
      </c>
      <c r="G3580" s="5" t="s">
        <v>86</v>
      </c>
      <c r="H3580" s="9" t="s">
        <v>139</v>
      </c>
      <c r="I3580" s="10">
        <v>43948</v>
      </c>
      <c r="J3580" s="10">
        <v>47826</v>
      </c>
      <c r="K3580" s="5" t="s">
        <v>140</v>
      </c>
      <c r="L3580" s="5" t="s">
        <v>58</v>
      </c>
      <c r="M3580" s="11">
        <v>0.11</v>
      </c>
      <c r="N3580" s="5" t="e">
        <f>IF(AND(M3580&gt;#REF!,Cartera!O3580="Guaraníes"),"Rendimiento significativo",IF(AND(M3580&gt;#REF!,Cartera!O3580="Dólares americanos"),"Rendimiento significativo","Rendimiento no significativo"))</f>
        <v>#REF!</v>
      </c>
      <c r="O3580" s="5" t="s">
        <v>41</v>
      </c>
      <c r="P3580" s="12">
        <v>308787.91330000001</v>
      </c>
      <c r="Q3580" s="12">
        <f>IF(O3580="Guaraníes",P3580,P3580*#REF!)</f>
        <v>308787.91330000001</v>
      </c>
      <c r="R3580" s="12" t="e">
        <f>IF(O3580="Guaraníes",P3580/#REF!,P3580)</f>
        <v>#REF!</v>
      </c>
      <c r="S3580" s="5" t="s">
        <v>42</v>
      </c>
      <c r="AC3580" s="5" t="str">
        <f t="shared" si="172"/>
        <v>Bonos</v>
      </c>
      <c r="AD3580" s="5" t="s">
        <v>43</v>
      </c>
      <c r="AE3580" s="5">
        <f t="shared" si="170"/>
        <v>12</v>
      </c>
      <c r="AF3580" s="5">
        <f t="shared" si="171"/>
        <v>2030</v>
      </c>
    </row>
    <row r="3581" s="5" customFormat="1" ht="13">
      <c r="A3581" s="5">
        <v>12316</v>
      </c>
      <c r="B3581" s="5" t="s">
        <v>78</v>
      </c>
      <c r="C3581" s="5" t="s">
        <v>54</v>
      </c>
      <c r="D3581" s="5" t="s">
        <v>21</v>
      </c>
      <c r="E3581" s="5" t="s">
        <v>34</v>
      </c>
      <c r="F3581" s="5" t="s">
        <v>46</v>
      </c>
      <c r="G3581" s="5" t="s">
        <v>86</v>
      </c>
      <c r="H3581" s="9" t="s">
        <v>148</v>
      </c>
      <c r="I3581" s="10"/>
      <c r="J3581" s="10">
        <v>47833</v>
      </c>
      <c r="K3581" s="5" t="s">
        <v>57</v>
      </c>
      <c r="L3581" s="5" t="s">
        <v>58</v>
      </c>
      <c r="M3581" s="11">
        <v>0.097500000000000003</v>
      </c>
      <c r="N3581" s="5" t="e">
        <f>IF(AND(M3581&gt;#REF!,Cartera!O3581="Guaraníes"),"Rendimiento significativo",IF(AND(M3581&gt;#REF!,Cartera!O3581="Dólares americanos"),"Rendimiento significativo","Rendimiento no significativo"))</f>
        <v>#REF!</v>
      </c>
      <c r="O3581" s="5" t="s">
        <v>41</v>
      </c>
      <c r="P3581" s="12">
        <v>12154109.59</v>
      </c>
      <c r="Q3581" s="12">
        <f>IF(O3581="Guaraníes",P3581,P3581*#REF!)</f>
        <v>12154109.59</v>
      </c>
      <c r="R3581" s="12" t="e">
        <f>IF(O3581="Guaraníes",P3581/#REF!,P3581)</f>
        <v>#REF!</v>
      </c>
      <c r="S3581" s="5" t="s">
        <v>42</v>
      </c>
      <c r="T3581" s="5">
        <v>10834</v>
      </c>
      <c r="AC3581" s="5" t="str">
        <f t="shared" si="172"/>
        <v>Bonos</v>
      </c>
      <c r="AD3581" s="5" t="s">
        <v>43</v>
      </c>
      <c r="AE3581" s="5">
        <f t="shared" si="170"/>
        <v>12</v>
      </c>
      <c r="AF3581" s="5">
        <f t="shared" si="171"/>
        <v>2030</v>
      </c>
    </row>
    <row r="3582" s="5" customFormat="1" ht="13">
      <c r="A3582" s="5">
        <v>12306</v>
      </c>
      <c r="B3582" s="5" t="s">
        <v>373</v>
      </c>
      <c r="C3582" s="5" t="s">
        <v>116</v>
      </c>
      <c r="D3582" s="5" t="s">
        <v>20</v>
      </c>
      <c r="E3582" s="5" t="s">
        <v>34</v>
      </c>
      <c r="F3582" s="5" t="s">
        <v>68</v>
      </c>
      <c r="H3582" s="9" t="s">
        <v>209</v>
      </c>
      <c r="I3582" s="10">
        <v>45393</v>
      </c>
      <c r="J3582" s="10">
        <v>46125</v>
      </c>
      <c r="K3582" s="5" t="s">
        <v>118</v>
      </c>
      <c r="L3582" s="5" t="s">
        <v>82</v>
      </c>
      <c r="M3582" s="11">
        <v>0.087499999999999994</v>
      </c>
      <c r="N3582" s="5" t="e">
        <f>IF(AND(M3582&gt;#REF!,Cartera!O3582="Guaraníes"),"Rendimiento significativo",IF(AND(M3582&gt;#REF!,Cartera!O3582="Dólares americanos"),"Rendimiento significativo","Rendimiento no significativo"))</f>
        <v>#REF!</v>
      </c>
      <c r="O3582" s="5" t="s">
        <v>41</v>
      </c>
      <c r="P3582" s="12">
        <v>450000000</v>
      </c>
      <c r="Q3582" s="12">
        <f>IF(O3582="Guaraníes",P3582,P3582*#REF!)</f>
        <v>450000000</v>
      </c>
      <c r="R3582" s="12" t="e">
        <f>IF(O3582="Guaraníes",P3582/#REF!,P3582)</f>
        <v>#REF!</v>
      </c>
      <c r="S3582" s="5" t="s">
        <v>42</v>
      </c>
      <c r="AC3582" s="5" t="str">
        <f t="shared" si="172"/>
        <v>CDA</v>
      </c>
      <c r="AD3582" s="5" t="s">
        <v>43</v>
      </c>
      <c r="AE3582" s="5">
        <f t="shared" si="170"/>
        <v>4</v>
      </c>
      <c r="AF3582" s="5">
        <f t="shared" si="171"/>
        <v>2026</v>
      </c>
    </row>
    <row r="3583" s="5" customFormat="1" ht="13">
      <c r="A3583" s="5" t="s">
        <v>44</v>
      </c>
      <c r="B3583" s="5" t="s">
        <v>44</v>
      </c>
      <c r="C3583" s="5" t="s">
        <v>94</v>
      </c>
      <c r="D3583" s="5" t="s">
        <v>21</v>
      </c>
      <c r="E3583" s="5" t="s">
        <v>44</v>
      </c>
      <c r="F3583" s="5" t="s">
        <v>68</v>
      </c>
      <c r="H3583" s="9" t="s">
        <v>95</v>
      </c>
      <c r="I3583" s="10">
        <v>45404</v>
      </c>
      <c r="J3583" s="10">
        <v>45494</v>
      </c>
      <c r="K3583" s="5" t="s">
        <v>96</v>
      </c>
      <c r="L3583" s="5" t="s">
        <v>82</v>
      </c>
      <c r="M3583" s="11">
        <v>0.085000000000000006</v>
      </c>
      <c r="N3583" s="5" t="e">
        <f>IF(AND(M3583&gt;#REF!,Cartera!O3583="Guaraníes"),"Rendimiento significativo",IF(AND(M3583&gt;#REF!,Cartera!O3583="Dólares americanos"),"Rendimiento significativo","Rendimiento no significativo"))</f>
        <v>#REF!</v>
      </c>
      <c r="O3583" s="5" t="s">
        <v>41</v>
      </c>
      <c r="P3583" s="12">
        <v>4191781</v>
      </c>
      <c r="Q3583" s="12">
        <f>IF(O3583="Guaraníes",P3583,P3583*#REF!)</f>
        <v>4191781</v>
      </c>
      <c r="R3583" s="12" t="e">
        <f>IF(O3583="Guaraníes",P3583/#REF!,P3583)</f>
        <v>#REF!</v>
      </c>
      <c r="S3583" s="5" t="s">
        <v>52</v>
      </c>
      <c r="AC3583" s="5" t="str">
        <f t="shared" si="172"/>
        <v>CDA</v>
      </c>
      <c r="AD3583" s="5" t="s">
        <v>43</v>
      </c>
      <c r="AE3583" s="5">
        <f t="shared" si="170"/>
        <v>7</v>
      </c>
      <c r="AF3583" s="5">
        <f t="shared" si="171"/>
        <v>2024</v>
      </c>
    </row>
    <row r="3584" s="5" customFormat="1" ht="13">
      <c r="A3584" s="5" t="s">
        <v>44</v>
      </c>
      <c r="B3584" s="5" t="s">
        <v>44</v>
      </c>
      <c r="C3584" s="5" t="s">
        <v>183</v>
      </c>
      <c r="D3584" s="5" t="s">
        <v>21</v>
      </c>
      <c r="E3584" s="5" t="s">
        <v>44</v>
      </c>
      <c r="H3584" s="9" t="s">
        <v>211</v>
      </c>
      <c r="I3584" s="10">
        <v>45562</v>
      </c>
      <c r="J3584" s="10">
        <v>45652</v>
      </c>
      <c r="L3584" s="11" t="s">
        <v>82</v>
      </c>
      <c r="M3584" s="11">
        <v>0.026800000000000001</v>
      </c>
      <c r="N3584" s="11" t="e">
        <f>IF(AND(M3584&gt;#REF!,Cartera!O3584="Guaraníes"),"Rendimiento significativo",IF(AND(M3584&gt;#REF!,Cartera!O3584="Dólares americanos"),"Rendimiento significativo","Rendimiento no significativo"))</f>
        <v>#REF!</v>
      </c>
      <c r="O3584" s="5" t="s">
        <v>51</v>
      </c>
      <c r="P3584" s="13">
        <v>132.16</v>
      </c>
      <c r="Q3584" s="12" t="e">
        <f>IF(O3584="Guaraníes",P3584,P3584*#REF!)</f>
        <v>#REF!</v>
      </c>
      <c r="R3584" s="13">
        <v>132.16</v>
      </c>
      <c r="S3584" s="5" t="s">
        <v>52</v>
      </c>
      <c r="AC3584" s="5" t="str">
        <f t="shared" si="172"/>
        <v>CDA</v>
      </c>
      <c r="AD3584" s="5" t="s">
        <v>43</v>
      </c>
    </row>
    <row r="3585" s="5" customFormat="1" ht="13">
      <c r="A3585" s="5">
        <v>12316</v>
      </c>
      <c r="B3585" s="5" t="s">
        <v>78</v>
      </c>
      <c r="C3585" s="5" t="s">
        <v>138</v>
      </c>
      <c r="D3585" s="5" t="s">
        <v>21</v>
      </c>
      <c r="E3585" s="5" t="s">
        <v>34</v>
      </c>
      <c r="F3585" s="5" t="s">
        <v>68</v>
      </c>
      <c r="G3585" s="5" t="s">
        <v>86</v>
      </c>
      <c r="H3585" s="9" t="s">
        <v>193</v>
      </c>
      <c r="I3585" s="10">
        <v>44104</v>
      </c>
      <c r="J3585" s="10">
        <v>47834</v>
      </c>
      <c r="K3585" s="5" t="s">
        <v>140</v>
      </c>
      <c r="L3585" s="5" t="s">
        <v>58</v>
      </c>
      <c r="M3585" s="11">
        <v>0.10000000000000001</v>
      </c>
      <c r="N3585" s="5" t="e">
        <f>IF(AND(M3585&gt;#REF!,Cartera!O3585="Guaraníes"),"Rendimiento significativo",IF(AND(M3585&gt;#REF!,Cartera!O3585="Dólares americanos"),"Rendimiento significativo","Rendimiento no significativo"))</f>
        <v>#REF!</v>
      </c>
      <c r="O3585" s="5" t="s">
        <v>41</v>
      </c>
      <c r="P3585" s="12">
        <v>2493150.6849000002</v>
      </c>
      <c r="Q3585" s="12">
        <f>IF(O3585="Guaraníes",P3585,P3585*#REF!)</f>
        <v>2493150.6849000002</v>
      </c>
      <c r="R3585" s="12" t="e">
        <f>IF(O3585="Guaraníes",P3585/#REF!,P3585)</f>
        <v>#REF!</v>
      </c>
      <c r="S3585" s="5" t="s">
        <v>42</v>
      </c>
      <c r="AC3585" s="5" t="str">
        <f t="shared" si="172"/>
        <v>Bonos</v>
      </c>
      <c r="AD3585" s="5" t="s">
        <v>43</v>
      </c>
      <c r="AE3585" s="5">
        <f t="shared" si="170"/>
        <v>12</v>
      </c>
      <c r="AF3585" s="5">
        <f t="shared" si="171"/>
        <v>2030</v>
      </c>
    </row>
    <row r="3586" s="5" customFormat="1" ht="13">
      <c r="A3586" s="5">
        <v>12316</v>
      </c>
      <c r="B3586" s="5" t="s">
        <v>78</v>
      </c>
      <c r="C3586" s="5" t="s">
        <v>138</v>
      </c>
      <c r="D3586" s="5" t="s">
        <v>21</v>
      </c>
      <c r="E3586" s="5" t="s">
        <v>34</v>
      </c>
      <c r="F3586" s="5" t="s">
        <v>68</v>
      </c>
      <c r="G3586" s="5" t="s">
        <v>86</v>
      </c>
      <c r="H3586" s="9" t="s">
        <v>139</v>
      </c>
      <c r="I3586" s="10">
        <v>43948</v>
      </c>
      <c r="J3586" s="10">
        <v>47856</v>
      </c>
      <c r="K3586" s="5" t="s">
        <v>140</v>
      </c>
      <c r="L3586" s="5" t="s">
        <v>58</v>
      </c>
      <c r="M3586" s="11">
        <v>0.11</v>
      </c>
      <c r="N3586" s="5" t="e">
        <f>IF(AND(M3586&gt;#REF!,Cartera!O3586="Guaraníes"),"Rendimiento significativo",IF(AND(M3586&gt;#REF!,Cartera!O3586="Dólares americanos"),"Rendimiento significativo","Rendimiento no significativo"))</f>
        <v>#REF!</v>
      </c>
      <c r="O3586" s="5" t="s">
        <v>41</v>
      </c>
      <c r="P3586" s="12">
        <v>284357.36729999998</v>
      </c>
      <c r="Q3586" s="12">
        <f>IF(O3586="Guaraníes",P3586,P3586*#REF!)</f>
        <v>284357.36729999998</v>
      </c>
      <c r="R3586" s="12" t="e">
        <f>IF(O3586="Guaraníes",P3586/#REF!,P3586)</f>
        <v>#REF!</v>
      </c>
      <c r="S3586" s="5" t="s">
        <v>42</v>
      </c>
      <c r="AC3586" s="5" t="str">
        <f t="shared" si="172"/>
        <v>Bonos</v>
      </c>
      <c r="AD3586" s="5" t="s">
        <v>43</v>
      </c>
      <c r="AE3586" s="5">
        <f t="shared" si="170"/>
        <v>1</v>
      </c>
      <c r="AF3586" s="5">
        <f t="shared" si="171"/>
        <v>2031</v>
      </c>
    </row>
    <row r="3587" s="5" customFormat="1" ht="13">
      <c r="A3587" s="5">
        <v>12316</v>
      </c>
      <c r="B3587" s="5" t="s">
        <v>78</v>
      </c>
      <c r="C3587" s="5" t="s">
        <v>138</v>
      </c>
      <c r="D3587" s="5" t="s">
        <v>21</v>
      </c>
      <c r="E3587" s="5" t="s">
        <v>34</v>
      </c>
      <c r="F3587" s="5" t="s">
        <v>68</v>
      </c>
      <c r="G3587" s="5" t="s">
        <v>86</v>
      </c>
      <c r="H3587" s="9" t="s">
        <v>139</v>
      </c>
      <c r="I3587" s="10">
        <v>43948</v>
      </c>
      <c r="J3587" s="10">
        <v>47886</v>
      </c>
      <c r="K3587" s="5" t="s">
        <v>140</v>
      </c>
      <c r="L3587" s="5" t="s">
        <v>58</v>
      </c>
      <c r="M3587" s="11">
        <v>0.11</v>
      </c>
      <c r="N3587" s="5" t="e">
        <f>IF(AND(M3587&gt;#REF!,Cartera!O3587="Guaraníes"),"Rendimiento significativo",IF(AND(M3587&gt;#REF!,Cartera!O3587="Dólares americanos"),"Rendimiento significativo","Rendimiento no significativo"))</f>
        <v>#REF!</v>
      </c>
      <c r="O3587" s="5" t="s">
        <v>41</v>
      </c>
      <c r="P3587" s="12">
        <v>269755.0834</v>
      </c>
      <c r="Q3587" s="12">
        <f>IF(O3587="Guaraníes",P3587,P3587*#REF!)</f>
        <v>269755.0834</v>
      </c>
      <c r="R3587" s="12" t="e">
        <f>IF(O3587="Guaraníes",P3587/#REF!,P3587)</f>
        <v>#REF!</v>
      </c>
      <c r="S3587" s="5" t="s">
        <v>42</v>
      </c>
      <c r="AC3587" s="5" t="str">
        <f t="shared" si="172"/>
        <v>Bonos</v>
      </c>
      <c r="AD3587" s="5" t="s">
        <v>43</v>
      </c>
      <c r="AE3587" s="5">
        <f t="shared" si="170"/>
        <v>2</v>
      </c>
      <c r="AF3587" s="5">
        <f t="shared" si="171"/>
        <v>2031</v>
      </c>
    </row>
    <row r="3588" s="5" customFormat="1" ht="13">
      <c r="A3588" s="5">
        <v>12316</v>
      </c>
      <c r="B3588" s="5" t="s">
        <v>78</v>
      </c>
      <c r="C3588" s="5" t="s">
        <v>99</v>
      </c>
      <c r="D3588" s="5" t="s">
        <v>21</v>
      </c>
      <c r="E3588" s="5" t="s">
        <v>34</v>
      </c>
      <c r="F3588" s="5" t="s">
        <v>100</v>
      </c>
      <c r="G3588" s="5" t="s">
        <v>86</v>
      </c>
      <c r="H3588" s="9" t="s">
        <v>155</v>
      </c>
      <c r="I3588" s="10"/>
      <c r="J3588" s="10">
        <v>47910</v>
      </c>
      <c r="K3588" s="5" t="s">
        <v>102</v>
      </c>
      <c r="L3588" s="5" t="s">
        <v>102</v>
      </c>
      <c r="M3588" s="11">
        <v>0.081000000000000003</v>
      </c>
      <c r="N3588" s="5" t="e">
        <f>IF(AND(M3588&gt;#REF!,Cartera!O3588="Guaraníes"),"Rendimiento significativo",IF(AND(M3588&gt;#REF!,Cartera!O3588="Dólares americanos"),"Rendimiento significativo","Rendimiento no significativo"))</f>
        <v>#REF!</v>
      </c>
      <c r="O3588" s="5" t="s">
        <v>41</v>
      </c>
      <c r="P3588" s="12">
        <v>28000000</v>
      </c>
      <c r="Q3588" s="12">
        <f>IF(O3588="Guaraníes",P3588,P3588*#REF!)</f>
        <v>28000000</v>
      </c>
      <c r="R3588" s="12" t="e">
        <f>IF(O3588="Guaraníes",P3588/#REF!,P3588)</f>
        <v>#REF!</v>
      </c>
      <c r="S3588" s="5" t="s">
        <v>42</v>
      </c>
      <c r="T3588" s="5">
        <v>10834</v>
      </c>
      <c r="W3588" s="5" t="s">
        <v>65</v>
      </c>
      <c r="X3588" s="5">
        <v>0</v>
      </c>
      <c r="Y3588" s="5">
        <v>0</v>
      </c>
      <c r="Z3588" s="5">
        <v>40000</v>
      </c>
      <c r="AA3588" s="5">
        <v>700</v>
      </c>
      <c r="AB3588" s="5">
        <v>28000000</v>
      </c>
      <c r="AC3588" s="5" t="str">
        <f t="shared" si="172"/>
        <v>Bonos</v>
      </c>
      <c r="AD3588" s="5" t="s">
        <v>43</v>
      </c>
      <c r="AE3588" s="5">
        <f t="shared" si="170"/>
        <v>3</v>
      </c>
      <c r="AF3588" s="5">
        <f t="shared" si="171"/>
        <v>2031</v>
      </c>
    </row>
    <row r="3589" s="5" customFormat="1" ht="13">
      <c r="A3589" s="5">
        <v>12316</v>
      </c>
      <c r="B3589" s="5" t="s">
        <v>78</v>
      </c>
      <c r="C3589" s="5" t="s">
        <v>99</v>
      </c>
      <c r="D3589" s="5" t="s">
        <v>21</v>
      </c>
      <c r="E3589" s="5" t="s">
        <v>34</v>
      </c>
      <c r="F3589" s="5" t="s">
        <v>100</v>
      </c>
      <c r="G3589" s="5" t="s">
        <v>145</v>
      </c>
      <c r="H3589" s="9" t="s">
        <v>159</v>
      </c>
      <c r="I3589" s="10">
        <v>44657</v>
      </c>
      <c r="J3589" s="10">
        <v>47910</v>
      </c>
      <c r="K3589" s="5" t="s">
        <v>102</v>
      </c>
      <c r="L3589" s="5" t="s">
        <v>102</v>
      </c>
      <c r="M3589" s="11">
        <v>0.078</v>
      </c>
      <c r="N3589" s="5" t="e">
        <f>IF(AND(M3589&gt;#REF!,Cartera!O3589="Guaraníes"),"Rendimiento significativo",IF(AND(M3589&gt;#REF!,Cartera!O3589="Dólares americanos"),"Rendimiento significativo","Rendimiento no significativo"))</f>
        <v>#REF!</v>
      </c>
      <c r="O3589" s="5" t="s">
        <v>41</v>
      </c>
      <c r="P3589" s="12">
        <v>35100000</v>
      </c>
      <c r="Q3589" s="12">
        <f>IF(O3589="Guaraníes",P3589,P3589*#REF!)</f>
        <v>35100000</v>
      </c>
      <c r="R3589" s="12" t="e">
        <f>IF(O3589="Guaraníes",P3589/#REF!,P3589)</f>
        <v>#REF!</v>
      </c>
      <c r="S3589" s="5" t="s">
        <v>42</v>
      </c>
      <c r="AA3589" s="5">
        <v>900</v>
      </c>
      <c r="AC3589" s="5" t="str">
        <f t="shared" si="172"/>
        <v>Bonos</v>
      </c>
      <c r="AD3589" s="5" t="s">
        <v>43</v>
      </c>
      <c r="AE3589" s="5">
        <f t="shared" si="170"/>
        <v>3</v>
      </c>
      <c r="AF3589" s="5">
        <f t="shared" si="171"/>
        <v>2031</v>
      </c>
    </row>
    <row r="3590" s="5" customFormat="1" ht="13">
      <c r="A3590" s="5">
        <v>12316</v>
      </c>
      <c r="B3590" s="5" t="s">
        <v>78</v>
      </c>
      <c r="C3590" s="5" t="s">
        <v>99</v>
      </c>
      <c r="D3590" s="5" t="s">
        <v>21</v>
      </c>
      <c r="E3590" s="5" t="s">
        <v>34</v>
      </c>
      <c r="F3590" s="5" t="s">
        <v>100</v>
      </c>
      <c r="G3590" s="5" t="s">
        <v>75</v>
      </c>
      <c r="H3590" s="9" t="s">
        <v>159</v>
      </c>
      <c r="I3590" s="10"/>
      <c r="J3590" s="10">
        <v>47910</v>
      </c>
      <c r="K3590" s="5" t="s">
        <v>102</v>
      </c>
      <c r="L3590" s="5" t="s">
        <v>102</v>
      </c>
      <c r="M3590" s="11">
        <v>0.078</v>
      </c>
      <c r="N3590" s="5" t="e">
        <f>IF(AND(M3590&gt;#REF!,Cartera!O3590="Guaraníes"),"Rendimiento significativo",IF(AND(M3590&gt;#REF!,Cartera!O3590="Dólares americanos"),"Rendimiento significativo","Rendimiento no significativo"))</f>
        <v>#REF!</v>
      </c>
      <c r="O3590" s="5" t="s">
        <v>41</v>
      </c>
      <c r="P3590" s="12">
        <v>31200000</v>
      </c>
      <c r="Q3590" s="12">
        <f>IF(O3590="Guaraníes",P3590,P3590*#REF!)</f>
        <v>31200000</v>
      </c>
      <c r="R3590" s="12" t="e">
        <f>IF(O3590="Guaraníes",P3590/#REF!,P3590)</f>
        <v>#REF!</v>
      </c>
      <c r="S3590" s="5" t="s">
        <v>42</v>
      </c>
      <c r="AC3590" s="5" t="str">
        <f t="shared" si="172"/>
        <v>Bonos</v>
      </c>
      <c r="AD3590" s="5" t="s">
        <v>43</v>
      </c>
      <c r="AE3590" s="5">
        <f t="shared" si="170"/>
        <v>3</v>
      </c>
      <c r="AF3590" s="5">
        <f t="shared" si="171"/>
        <v>2031</v>
      </c>
    </row>
    <row r="3591" s="5" customFormat="1" ht="13">
      <c r="A3591" s="5">
        <v>12315</v>
      </c>
      <c r="B3591" s="5" t="s">
        <v>73</v>
      </c>
      <c r="C3591" s="5" t="s">
        <v>33</v>
      </c>
      <c r="D3591" s="5" t="s">
        <v>21</v>
      </c>
      <c r="E3591" s="5" t="s">
        <v>34</v>
      </c>
      <c r="F3591" s="5" t="s">
        <v>35</v>
      </c>
      <c r="G3591" s="5" t="s">
        <v>75</v>
      </c>
      <c r="H3591" s="9" t="s">
        <v>186</v>
      </c>
      <c r="I3591" s="10"/>
      <c r="J3591" s="10">
        <v>47912</v>
      </c>
      <c r="K3591" s="5" t="s">
        <v>39</v>
      </c>
      <c r="L3591" s="5" t="s">
        <v>50</v>
      </c>
      <c r="M3591" s="11">
        <v>0.044999999999999998</v>
      </c>
      <c r="N3591" s="5" t="e">
        <f>IF(AND(M3591&gt;#REF!,Cartera!O3591="Guaraníes"),"Rendimiento significativo",IF(AND(M3591&gt;#REF!,Cartera!O3591="Dólares americanos"),"Rendimiento significativo","Rendimiento no significativo"))</f>
        <v>#REF!</v>
      </c>
      <c r="O3591" s="5" t="s">
        <v>51</v>
      </c>
      <c r="P3591" s="13">
        <v>336.57533999999998</v>
      </c>
      <c r="Q3591" s="12" t="e">
        <f>IF(O3591="Guaraníes",P3591,P3591*#REF!)</f>
        <v>#REF!</v>
      </c>
      <c r="R3591" s="12">
        <f>IF(O3591="Guaraníes",P3591/#REF!,P3591)</f>
        <v>336.57533999999998</v>
      </c>
      <c r="S3591" s="5" t="s">
        <v>42</v>
      </c>
      <c r="T3591" s="5">
        <v>25</v>
      </c>
      <c r="W3591" s="5" t="s">
        <v>65</v>
      </c>
      <c r="X3591" s="5">
        <v>0</v>
      </c>
      <c r="Y3591" s="5">
        <v>0</v>
      </c>
      <c r="Z3591" s="5">
        <v>11.219177999999999</v>
      </c>
      <c r="AA3591" s="5">
        <v>30</v>
      </c>
      <c r="AB3591" s="5">
        <v>336.57533999999998</v>
      </c>
      <c r="AC3591" s="5" t="str">
        <f t="shared" si="172"/>
        <v>Bonos</v>
      </c>
      <c r="AD3591" s="5" t="s">
        <v>43</v>
      </c>
      <c r="AE3591" s="5">
        <f t="shared" si="170"/>
        <v>3</v>
      </c>
      <c r="AF3591" s="5">
        <f t="shared" si="171"/>
        <v>2031</v>
      </c>
    </row>
    <row r="3592" s="5" customFormat="1" ht="13">
      <c r="A3592" s="5">
        <v>12306</v>
      </c>
      <c r="B3592" s="5" t="s">
        <v>373</v>
      </c>
      <c r="C3592" s="5" t="s">
        <v>94</v>
      </c>
      <c r="D3592" s="5" t="s">
        <v>20</v>
      </c>
      <c r="E3592" s="5" t="s">
        <v>34</v>
      </c>
      <c r="F3592" s="5" t="s">
        <v>68</v>
      </c>
      <c r="H3592" s="9" t="s">
        <v>95</v>
      </c>
      <c r="I3592" s="10">
        <v>45404</v>
      </c>
      <c r="J3592" s="10">
        <v>46135</v>
      </c>
      <c r="K3592" s="5" t="s">
        <v>96</v>
      </c>
      <c r="L3592" s="5" t="s">
        <v>82</v>
      </c>
      <c r="M3592" s="11">
        <v>0.085000000000000006</v>
      </c>
      <c r="N3592" s="5" t="e">
        <f>IF(AND(M3592&gt;#REF!,Cartera!O3592="Guaraníes"),"Rendimiento significativo",IF(AND(M3592&gt;#REF!,Cartera!O3592="Dólares americanos"),"Rendimiento significativo","Rendimiento no significativo"))</f>
        <v>#REF!</v>
      </c>
      <c r="O3592" s="5" t="s">
        <v>41</v>
      </c>
      <c r="P3592" s="12">
        <v>200000000</v>
      </c>
      <c r="Q3592" s="12">
        <f>IF(O3592="Guaraníes",P3592,P3592*#REF!)</f>
        <v>200000000</v>
      </c>
      <c r="R3592" s="12" t="e">
        <f>IF(O3592="Guaraníes",P3592/#REF!,P3592)</f>
        <v>#REF!</v>
      </c>
      <c r="S3592" s="5" t="s">
        <v>42</v>
      </c>
      <c r="AC3592" s="5" t="str">
        <f t="shared" si="172"/>
        <v>CDA</v>
      </c>
      <c r="AD3592" s="5" t="s">
        <v>43</v>
      </c>
      <c r="AE3592" s="5">
        <f t="shared" si="170"/>
        <v>4</v>
      </c>
      <c r="AF3592" s="5">
        <f t="shared" si="171"/>
        <v>2026</v>
      </c>
    </row>
    <row r="3593" s="5" customFormat="1" ht="13">
      <c r="A3593" s="5">
        <v>12303</v>
      </c>
      <c r="B3593" s="5" t="s">
        <v>32</v>
      </c>
      <c r="C3593" s="5" t="s">
        <v>122</v>
      </c>
      <c r="D3593" s="5" t="s">
        <v>20</v>
      </c>
      <c r="E3593" s="5" t="s">
        <v>34</v>
      </c>
      <c r="F3593" s="5" t="s">
        <v>61</v>
      </c>
      <c r="G3593" s="5" t="s">
        <v>723</v>
      </c>
      <c r="H3593" s="9" t="s">
        <v>130</v>
      </c>
      <c r="I3593" s="10">
        <v>45407</v>
      </c>
      <c r="J3593" s="10" t="s">
        <v>38</v>
      </c>
      <c r="K3593" s="5" t="s">
        <v>124</v>
      </c>
      <c r="L3593" s="5" t="s">
        <v>40</v>
      </c>
      <c r="M3593" s="11">
        <v>0</v>
      </c>
      <c r="N3593" s="5" t="e">
        <f>IF(AND(M3593&gt;#REF!,Cartera!O3593="Guaraníes"),"Rendimiento significativo",IF(AND(M3593&gt;#REF!,Cartera!O3593="Dólares americanos"),"Rendimiento significativo","Rendimiento no significativo"))</f>
        <v>#REF!</v>
      </c>
      <c r="O3593" s="5" t="s">
        <v>41</v>
      </c>
      <c r="P3593" s="12">
        <v>14400000</v>
      </c>
      <c r="Q3593" s="12">
        <f>IF(O3593="Guaraníes",P3593,P3593*#REF!)</f>
        <v>14400000</v>
      </c>
      <c r="R3593" s="12" t="e">
        <f>IF(O3593="Guaraníes",P3593/#REF!,P3593)</f>
        <v>#REF!</v>
      </c>
      <c r="S3593" s="5" t="s">
        <v>42</v>
      </c>
      <c r="AC3593" s="5" t="str">
        <f t="shared" si="172"/>
        <v>Acciones</v>
      </c>
      <c r="AD3593" s="5" t="s">
        <v>43</v>
      </c>
      <c r="AE3593" s="5">
        <f t="shared" si="170"/>
        <v>0</v>
      </c>
      <c r="AF3593" s="5">
        <f t="shared" si="171"/>
        <v>0</v>
      </c>
    </row>
    <row r="3594" s="5" customFormat="1" ht="13">
      <c r="A3594" s="5">
        <v>12303</v>
      </c>
      <c r="B3594" s="5" t="s">
        <v>32</v>
      </c>
      <c r="C3594" s="5" t="s">
        <v>122</v>
      </c>
      <c r="D3594" s="5" t="s">
        <v>20</v>
      </c>
      <c r="E3594" s="5" t="s">
        <v>34</v>
      </c>
      <c r="F3594" s="5" t="s">
        <v>61</v>
      </c>
      <c r="G3594" s="5" t="s">
        <v>723</v>
      </c>
      <c r="H3594" s="9" t="s">
        <v>734</v>
      </c>
      <c r="I3594" s="10">
        <v>45407</v>
      </c>
      <c r="J3594" s="10" t="s">
        <v>38</v>
      </c>
      <c r="K3594" s="5" t="s">
        <v>124</v>
      </c>
      <c r="L3594" s="5" t="s">
        <v>40</v>
      </c>
      <c r="M3594" s="11">
        <v>0</v>
      </c>
      <c r="N3594" s="5" t="e">
        <f>IF(AND(M3594&gt;#REF!,Cartera!O3594="Guaraníes"),"Rendimiento significativo",IF(AND(M3594&gt;#REF!,Cartera!O3594="Dólares americanos"),"Rendimiento significativo","Rendimiento no significativo"))</f>
        <v>#REF!</v>
      </c>
      <c r="O3594" s="5" t="s">
        <v>41</v>
      </c>
      <c r="P3594" s="12">
        <v>21600000</v>
      </c>
      <c r="Q3594" s="12">
        <f>IF(O3594="Guaraníes",P3594,P3594*#REF!)</f>
        <v>21600000</v>
      </c>
      <c r="R3594" s="12" t="e">
        <f>IF(O3594="Guaraníes",P3594/#REF!,P3594)</f>
        <v>#REF!</v>
      </c>
      <c r="S3594" s="5" t="s">
        <v>42</v>
      </c>
      <c r="AC3594" s="5" t="str">
        <f t="shared" si="172"/>
        <v>Acciones</v>
      </c>
      <c r="AD3594" s="5" t="s">
        <v>43</v>
      </c>
      <c r="AE3594" s="5">
        <f t="shared" si="170"/>
        <v>0</v>
      </c>
      <c r="AF3594" s="5">
        <f t="shared" si="171"/>
        <v>0</v>
      </c>
    </row>
    <row r="3595" s="5" customFormat="1" ht="13">
      <c r="A3595" s="5" t="s">
        <v>44</v>
      </c>
      <c r="B3595" s="5" t="s">
        <v>44</v>
      </c>
      <c r="C3595" s="5" t="s">
        <v>143</v>
      </c>
      <c r="D3595" s="5" t="s">
        <v>21</v>
      </c>
      <c r="E3595" s="5" t="s">
        <v>44</v>
      </c>
      <c r="F3595" s="5" t="s">
        <v>144</v>
      </c>
      <c r="G3595" s="5" t="s">
        <v>145</v>
      </c>
      <c r="H3595" s="9" t="s">
        <v>146</v>
      </c>
      <c r="I3595" s="10"/>
      <c r="J3595" s="10">
        <v>45596</v>
      </c>
      <c r="K3595" s="5" t="s">
        <v>49</v>
      </c>
      <c r="L3595" s="5" t="s">
        <v>106</v>
      </c>
      <c r="M3595" s="11">
        <v>0.060999999999999999</v>
      </c>
      <c r="N3595" s="5" t="e">
        <f>IF(AND(M3595&gt;#REF!,Cartera!O3595="Guaraníes"),"Rendimiento significativo",IF(AND(M3595&gt;#REF!,Cartera!O3595="Dólares americanos"),"Rendimiento significativo","Rendimiento no significativo"))</f>
        <v>#REF!</v>
      </c>
      <c r="O3595" s="5" t="s">
        <v>51</v>
      </c>
      <c r="P3595" s="13">
        <v>207.23287999999999</v>
      </c>
      <c r="Q3595" s="12" t="e">
        <f>IF(O3595="Guaraníes",P3595,P3595*#REF!)</f>
        <v>#REF!</v>
      </c>
      <c r="R3595" s="12">
        <f>IF(O3595="Guaraníes",P3595/#REF!,P3595)</f>
        <v>207.23287999999999</v>
      </c>
      <c r="S3595" s="5" t="s">
        <v>52</v>
      </c>
      <c r="T3595" s="5">
        <v>1057</v>
      </c>
      <c r="W3595" s="5" t="s">
        <v>65</v>
      </c>
      <c r="X3595" s="5">
        <v>0</v>
      </c>
      <c r="Y3595" s="5">
        <v>0</v>
      </c>
      <c r="Z3595" s="5">
        <v>5.180822</v>
      </c>
      <c r="AA3595" s="5">
        <v>40</v>
      </c>
      <c r="AB3595" s="5">
        <v>207.23287999999999</v>
      </c>
      <c r="AC3595" s="5" t="str">
        <f t="shared" si="172"/>
        <v>Bonos</v>
      </c>
      <c r="AD3595" s="5" t="s">
        <v>43</v>
      </c>
      <c r="AE3595" s="5">
        <f t="shared" si="170"/>
        <v>10</v>
      </c>
      <c r="AF3595" s="5">
        <f t="shared" si="171"/>
        <v>2024</v>
      </c>
    </row>
    <row r="3596" s="5" customFormat="1" ht="13">
      <c r="A3596" s="5">
        <v>12314</v>
      </c>
      <c r="B3596" s="5" t="s">
        <v>735</v>
      </c>
      <c r="C3596" s="5" t="s">
        <v>727</v>
      </c>
      <c r="D3596" s="5" t="s">
        <v>20</v>
      </c>
      <c r="E3596" s="5" t="s">
        <v>34</v>
      </c>
      <c r="F3596" s="5" t="s">
        <v>728</v>
      </c>
      <c r="G3596" s="5" t="s">
        <v>104</v>
      </c>
      <c r="H3596" s="9" t="s">
        <v>151</v>
      </c>
      <c r="I3596" s="10" t="s">
        <v>152</v>
      </c>
      <c r="J3596" s="10" t="s">
        <v>152</v>
      </c>
      <c r="K3596" s="5" t="s">
        <v>153</v>
      </c>
      <c r="L3596" s="5" t="s">
        <v>151</v>
      </c>
      <c r="M3596" s="11">
        <v>0.042999999999999997</v>
      </c>
      <c r="N3596" s="5" t="e">
        <f>IF(AND(M3596&gt;#REF!,Cartera!O3596="Guaraníes"),"Rendimiento significativo",IF(AND(M3596&gt;#REF!,Cartera!O3596="Dólares americanos"),"Rendimiento significativo","Rendimiento no significativo"))</f>
        <v>#REF!</v>
      </c>
      <c r="O3596" s="5" t="s">
        <v>51</v>
      </c>
      <c r="P3596" s="13">
        <v>30888.330000000002</v>
      </c>
      <c r="Q3596" s="12" t="e">
        <f>IF(O3596="Guaraníes",P3596,P3596*#REF!)</f>
        <v>#REF!</v>
      </c>
      <c r="R3596" s="12">
        <f>IF(O3596="Guaraníes",P3596/#REF!,P3596)</f>
        <v>30888.330000000002</v>
      </c>
      <c r="S3596" s="5" t="s">
        <v>52</v>
      </c>
      <c r="AC3596" s="5" t="str">
        <f t="shared" si="172"/>
        <v>Fondo</v>
      </c>
      <c r="AD3596" s="5" t="s">
        <v>43</v>
      </c>
      <c r="AE3596" s="5">
        <f t="shared" si="170"/>
        <v>0</v>
      </c>
      <c r="AF3596" s="5">
        <f t="shared" si="171"/>
        <v>0</v>
      </c>
    </row>
    <row r="3597" s="5" customFormat="1" ht="13">
      <c r="A3597" s="5" t="s">
        <v>44</v>
      </c>
      <c r="B3597" s="5" t="s">
        <v>44</v>
      </c>
      <c r="C3597" s="5" t="s">
        <v>164</v>
      </c>
      <c r="D3597" s="5" t="s">
        <v>21</v>
      </c>
      <c r="E3597" s="5" t="s">
        <v>44</v>
      </c>
      <c r="F3597" s="5" t="s">
        <v>68</v>
      </c>
      <c r="G3597" s="5" t="s">
        <v>145</v>
      </c>
      <c r="H3597" s="9" t="s">
        <v>165</v>
      </c>
      <c r="I3597" s="10"/>
      <c r="J3597" s="10">
        <v>45596</v>
      </c>
      <c r="K3597" s="5" t="s">
        <v>124</v>
      </c>
      <c r="L3597" s="5" t="s">
        <v>58</v>
      </c>
      <c r="M3597" s="11">
        <v>0.10000000000000001</v>
      </c>
      <c r="N3597" s="5" t="e">
        <f>IF(AND(M3597&gt;#REF!,Cartera!O3597="Guaraníes"),"Rendimiento significativo",IF(AND(M3597&gt;#REF!,Cartera!O3597="Dólares americanos"),"Rendimiento significativo","Rendimiento no significativo"))</f>
        <v>#REF!</v>
      </c>
      <c r="O3597" s="5" t="s">
        <v>41</v>
      </c>
      <c r="P3597" s="12">
        <v>3397260.2740000002</v>
      </c>
      <c r="Q3597" s="12">
        <f>IF(O3597="Guaraníes",P3597,P3597*#REF!)</f>
        <v>3397260.2740000002</v>
      </c>
      <c r="R3597" s="12" t="e">
        <f>IF(O3597="Guaraníes",P3597/#REF!,P3597)</f>
        <v>#REF!</v>
      </c>
      <c r="S3597" s="5" t="s">
        <v>52</v>
      </c>
      <c r="T3597" s="5">
        <v>1057</v>
      </c>
      <c r="W3597" s="5" t="s">
        <v>65</v>
      </c>
      <c r="X3597" s="5">
        <v>0</v>
      </c>
      <c r="Y3597" s="5">
        <v>0</v>
      </c>
      <c r="Z3597" s="5">
        <v>8493.1506850000005</v>
      </c>
      <c r="AA3597" s="5">
        <v>400</v>
      </c>
      <c r="AB3597" s="5">
        <v>3397260.2740000002</v>
      </c>
      <c r="AC3597" s="5" t="str">
        <f t="shared" si="172"/>
        <v>Bonos</v>
      </c>
      <c r="AD3597" s="5" t="s">
        <v>43</v>
      </c>
      <c r="AE3597" s="5">
        <f t="shared" si="170"/>
        <v>10</v>
      </c>
      <c r="AF3597" s="5">
        <f t="shared" si="171"/>
        <v>2024</v>
      </c>
    </row>
    <row r="3598" s="5" customFormat="1" ht="13">
      <c r="A3598" s="5" t="s">
        <v>44</v>
      </c>
      <c r="B3598" s="5" t="s">
        <v>44</v>
      </c>
      <c r="C3598" s="5" t="s">
        <v>164</v>
      </c>
      <c r="D3598" s="5" t="s">
        <v>21</v>
      </c>
      <c r="E3598" s="5" t="s">
        <v>44</v>
      </c>
      <c r="F3598" s="5" t="s">
        <v>68</v>
      </c>
      <c r="G3598" s="5" t="s">
        <v>91</v>
      </c>
      <c r="H3598" s="9" t="s">
        <v>166</v>
      </c>
      <c r="I3598" s="10"/>
      <c r="J3598" s="10">
        <v>45596</v>
      </c>
      <c r="K3598" s="5" t="s">
        <v>124</v>
      </c>
      <c r="L3598" s="5" t="s">
        <v>58</v>
      </c>
      <c r="M3598" s="11">
        <v>0.092499999999999999</v>
      </c>
      <c r="N3598" s="5" t="e">
        <f>IF(AND(M3598&gt;#REF!,Cartera!O3598="Guaraníes"),"Rendimiento significativo",IF(AND(M3598&gt;#REF!,Cartera!O3598="Dólares americanos"),"Rendimiento significativo","Rendimiento no significativo"))</f>
        <v>#REF!</v>
      </c>
      <c r="O3598" s="5" t="s">
        <v>41</v>
      </c>
      <c r="P3598" s="12">
        <v>1178424.6576</v>
      </c>
      <c r="Q3598" s="12">
        <f>IF(O3598="Guaraníes",P3598,P3598*#REF!)</f>
        <v>1178424.6576</v>
      </c>
      <c r="R3598" s="12">
        <v>2000</v>
      </c>
      <c r="S3598" s="5" t="s">
        <v>52</v>
      </c>
      <c r="T3598" s="5">
        <v>3253</v>
      </c>
      <c r="W3598" s="5" t="s">
        <v>65</v>
      </c>
      <c r="X3598" s="5">
        <v>0</v>
      </c>
      <c r="Y3598" s="5">
        <v>0</v>
      </c>
      <c r="Z3598" s="5">
        <v>7856.1643839999997</v>
      </c>
      <c r="AA3598" s="5">
        <v>150</v>
      </c>
      <c r="AB3598" s="5">
        <v>1178424.6576</v>
      </c>
      <c r="AC3598" s="5" t="str">
        <f t="shared" si="172"/>
        <v>Bonos</v>
      </c>
      <c r="AD3598" s="5" t="s">
        <v>43</v>
      </c>
      <c r="AE3598" s="5">
        <f t="shared" si="170"/>
        <v>10</v>
      </c>
      <c r="AF3598" s="5">
        <f t="shared" si="171"/>
        <v>2024</v>
      </c>
    </row>
    <row r="3599" s="5" customFormat="1" ht="13">
      <c r="A3599" s="5">
        <v>12315</v>
      </c>
      <c r="B3599" s="5" t="s">
        <v>73</v>
      </c>
      <c r="C3599" s="5" t="s">
        <v>33</v>
      </c>
      <c r="D3599" s="5" t="s">
        <v>21</v>
      </c>
      <c r="E3599" s="5" t="s">
        <v>34</v>
      </c>
      <c r="F3599" s="5" t="s">
        <v>35</v>
      </c>
      <c r="G3599" s="5" t="s">
        <v>69</v>
      </c>
      <c r="H3599" s="9" t="s">
        <v>186</v>
      </c>
      <c r="I3599" s="10"/>
      <c r="J3599" s="10">
        <v>47912</v>
      </c>
      <c r="K3599" s="5" t="s">
        <v>39</v>
      </c>
      <c r="L3599" s="5" t="s">
        <v>50</v>
      </c>
      <c r="M3599" s="11">
        <v>0.044999999999999998</v>
      </c>
      <c r="N3599" s="5" t="e">
        <f>IF(AND(M3599&gt;#REF!,Cartera!O3599="Guaraníes"),"Rendimiento significativo",IF(AND(M3599&gt;#REF!,Cartera!O3599="Dólares americanos"),"Rendimiento significativo","Rendimiento no significativo"))</f>
        <v>#REF!</v>
      </c>
      <c r="O3599" s="5" t="s">
        <v>51</v>
      </c>
      <c r="P3599" s="13">
        <v>448.76711999999998</v>
      </c>
      <c r="Q3599" s="12" t="e">
        <f>IF(O3599="Guaraníes",P3599,P3599*#REF!)</f>
        <v>#REF!</v>
      </c>
      <c r="R3599" s="12">
        <f>IF(O3599="Guaraníes",P3599/#REF!,P3599)</f>
        <v>448.76711999999998</v>
      </c>
      <c r="S3599" s="5" t="s">
        <v>42</v>
      </c>
      <c r="T3599" s="5">
        <v>593</v>
      </c>
      <c r="W3599" s="5" t="s">
        <v>65</v>
      </c>
      <c r="X3599" s="5">
        <v>0</v>
      </c>
      <c r="Y3599" s="5">
        <v>0</v>
      </c>
      <c r="Z3599" s="5">
        <v>11.219177999999999</v>
      </c>
      <c r="AA3599" s="5">
        <v>40</v>
      </c>
      <c r="AB3599" s="5">
        <v>448.76711999999998</v>
      </c>
      <c r="AC3599" s="5" t="str">
        <f t="shared" si="172"/>
        <v>Bonos</v>
      </c>
      <c r="AD3599" s="5" t="s">
        <v>43</v>
      </c>
      <c r="AE3599" s="5">
        <f t="shared" si="170"/>
        <v>3</v>
      </c>
      <c r="AF3599" s="5">
        <f t="shared" si="171"/>
        <v>2031</v>
      </c>
    </row>
    <row r="3600" s="5" customFormat="1" ht="13">
      <c r="A3600" s="5">
        <v>12316</v>
      </c>
      <c r="B3600" s="5" t="s">
        <v>78</v>
      </c>
      <c r="C3600" s="5" t="s">
        <v>183</v>
      </c>
      <c r="D3600" s="5" t="s">
        <v>21</v>
      </c>
      <c r="E3600" s="5" t="s">
        <v>34</v>
      </c>
      <c r="F3600" s="5" t="s">
        <v>184</v>
      </c>
      <c r="H3600" s="9">
        <v>6217</v>
      </c>
      <c r="I3600" s="10"/>
      <c r="J3600" s="10">
        <v>47917</v>
      </c>
      <c r="K3600" s="5" t="s">
        <v>124</v>
      </c>
      <c r="L3600" s="5" t="s">
        <v>82</v>
      </c>
      <c r="M3600" s="11">
        <v>0.072499999999999995</v>
      </c>
      <c r="N3600" s="5" t="e">
        <f>IF(AND(M3600&gt;#REF!,Cartera!O3600="Guaraníes"),"Rendimiento significativo",IF(AND(M3600&gt;#REF!,Cartera!O3600="Dólares americanos"),"Rendimiento significativo","Rendimiento no significativo"))</f>
        <v>#REF!</v>
      </c>
      <c r="O3600" s="5" t="s">
        <v>41</v>
      </c>
      <c r="P3600" s="12">
        <v>17250940</v>
      </c>
      <c r="Q3600" s="12">
        <f>IF(O3600="Guaraníes",P3600,P3600*#REF!)</f>
        <v>17250940</v>
      </c>
      <c r="R3600" s="12" t="e">
        <f>IF(O3600="Guaraníes",P3600/#REF!,P3600)</f>
        <v>#REF!</v>
      </c>
      <c r="S3600" s="5" t="s">
        <v>42</v>
      </c>
      <c r="V3600" s="5">
        <v>17250940</v>
      </c>
      <c r="W3600" s="5" t="s">
        <v>320</v>
      </c>
      <c r="AC3600" s="5" t="str">
        <f t="shared" si="172"/>
        <v>CDA</v>
      </c>
      <c r="AD3600" s="5" t="s">
        <v>43</v>
      </c>
      <c r="AE3600" s="5">
        <f t="shared" si="170"/>
        <v>3</v>
      </c>
      <c r="AF3600" s="5">
        <f t="shared" si="171"/>
        <v>2031</v>
      </c>
    </row>
    <row r="3601" s="5" customFormat="1" ht="13">
      <c r="A3601" s="5">
        <v>12316</v>
      </c>
      <c r="B3601" s="5" t="s">
        <v>78</v>
      </c>
      <c r="C3601" s="5" t="s">
        <v>138</v>
      </c>
      <c r="D3601" s="5" t="s">
        <v>21</v>
      </c>
      <c r="E3601" s="5" t="s">
        <v>34</v>
      </c>
      <c r="F3601" s="5" t="s">
        <v>68</v>
      </c>
      <c r="G3601" s="5" t="s">
        <v>86</v>
      </c>
      <c r="H3601" s="9" t="s">
        <v>139</v>
      </c>
      <c r="I3601" s="10">
        <v>43948</v>
      </c>
      <c r="J3601" s="10">
        <v>47917</v>
      </c>
      <c r="K3601" s="5" t="s">
        <v>140</v>
      </c>
      <c r="L3601" s="5" t="s">
        <v>58</v>
      </c>
      <c r="M3601" s="11">
        <v>0.11</v>
      </c>
      <c r="N3601" s="5" t="e">
        <f>IF(AND(M3601&gt;#REF!,Cartera!O3601="Guaraníes"),"Rendimiento significativo",IF(AND(M3601&gt;#REF!,Cartera!O3601="Dólares americanos"),"Rendimiento significativo","Rendimiento no significativo"))</f>
        <v>#REF!</v>
      </c>
      <c r="O3601" s="5" t="s">
        <v>41</v>
      </c>
      <c r="P3601" s="12">
        <v>263519.57659999997</v>
      </c>
      <c r="Q3601" s="12">
        <f>IF(O3601="Guaraníes",P3601,P3601*#REF!)</f>
        <v>263519.57659999997</v>
      </c>
      <c r="R3601" s="12" t="e">
        <f>IF(O3601="Guaraníes",P3601/#REF!,P3601)</f>
        <v>#REF!</v>
      </c>
      <c r="S3601" s="5" t="s">
        <v>42</v>
      </c>
      <c r="AC3601" s="5" t="str">
        <f t="shared" si="172"/>
        <v>Bonos</v>
      </c>
      <c r="AD3601" s="5" t="s">
        <v>43</v>
      </c>
      <c r="AE3601" s="5">
        <f t="shared" si="170"/>
        <v>3</v>
      </c>
      <c r="AF3601" s="5">
        <f t="shared" si="171"/>
        <v>2031</v>
      </c>
    </row>
    <row r="3602" s="5" customFormat="1" ht="13">
      <c r="A3602" s="5">
        <v>12316</v>
      </c>
      <c r="B3602" s="5" t="s">
        <v>78</v>
      </c>
      <c r="C3602" s="5" t="s">
        <v>138</v>
      </c>
      <c r="D3602" s="5" t="s">
        <v>21</v>
      </c>
      <c r="E3602" s="5" t="s">
        <v>34</v>
      </c>
      <c r="F3602" s="5" t="s">
        <v>68</v>
      </c>
      <c r="G3602" s="5" t="s">
        <v>86</v>
      </c>
      <c r="H3602" s="9" t="s">
        <v>193</v>
      </c>
      <c r="I3602" s="10">
        <v>44104</v>
      </c>
      <c r="J3602" s="10">
        <v>47925</v>
      </c>
      <c r="K3602" s="5" t="s">
        <v>140</v>
      </c>
      <c r="L3602" s="5" t="s">
        <v>58</v>
      </c>
      <c r="M3602" s="11">
        <v>0.10000000000000001</v>
      </c>
      <c r="N3602" s="5" t="e">
        <f>IF(AND(M3602&gt;#REF!,Cartera!O3602="Guaraníes"),"Rendimiento significativo",IF(AND(M3602&gt;#REF!,Cartera!O3602="Dólares americanos"),"Rendimiento significativo","Rendimiento no significativo"))</f>
        <v>#REF!</v>
      </c>
      <c r="O3602" s="5" t="s">
        <v>41</v>
      </c>
      <c r="P3602" s="12">
        <v>2181506.8492999999</v>
      </c>
      <c r="Q3602" s="12">
        <f>IF(O3602="Guaraníes",P3602,P3602*#REF!)</f>
        <v>2181506.8492999999</v>
      </c>
      <c r="R3602" s="12" t="e">
        <f>IF(O3602="Guaraníes",P3602/#REF!,P3602)</f>
        <v>#REF!</v>
      </c>
      <c r="S3602" s="5" t="s">
        <v>42</v>
      </c>
      <c r="AC3602" s="5" t="str">
        <f t="shared" si="172"/>
        <v>Bonos</v>
      </c>
      <c r="AD3602" s="5" t="s">
        <v>43</v>
      </c>
      <c r="AE3602" s="5">
        <f t="shared" ref="AE3602:AE3665" si="173">IFERROR((MONTH(J3602)),0)</f>
        <v>3</v>
      </c>
      <c r="AF3602" s="5">
        <f t="shared" ref="AF3602:AF3665" si="174">IFERROR((YEAR(J3602)),0)</f>
        <v>2031</v>
      </c>
    </row>
    <row r="3603" s="5" customFormat="1" ht="13">
      <c r="A3603" s="5">
        <v>12315</v>
      </c>
      <c r="B3603" s="5" t="s">
        <v>73</v>
      </c>
      <c r="C3603" s="5" t="s">
        <v>212</v>
      </c>
      <c r="D3603" s="5" t="s">
        <v>21</v>
      </c>
      <c r="E3603" s="5" t="s">
        <v>34</v>
      </c>
      <c r="F3603" s="5" t="s">
        <v>68</v>
      </c>
      <c r="G3603" s="5" t="s">
        <v>86</v>
      </c>
      <c r="H3603" s="9" t="s">
        <v>213</v>
      </c>
      <c r="I3603" s="10">
        <v>44651</v>
      </c>
      <c r="J3603" s="10">
        <v>47927</v>
      </c>
      <c r="K3603" s="5" t="s">
        <v>81</v>
      </c>
      <c r="L3603" s="5" t="s">
        <v>58</v>
      </c>
      <c r="M3603" s="11">
        <v>0.053499999999999999</v>
      </c>
      <c r="N3603" s="5" t="e">
        <f>IF(AND(M3603&gt;#REF!,Cartera!O3603="Guaraníes"),"Rendimiento significativo",IF(AND(M3603&gt;#REF!,Cartera!O3603="Dólares americanos"),"Rendimiento significativo","Rendimiento no significativo"))</f>
        <v>#REF!</v>
      </c>
      <c r="O3603" s="5" t="s">
        <v>51</v>
      </c>
      <c r="P3603" s="13">
        <v>2667.6712000000002</v>
      </c>
      <c r="Q3603" s="12" t="e">
        <f>IF(O3603="Guaraníes",P3603,P3603*#REF!)</f>
        <v>#REF!</v>
      </c>
      <c r="R3603" s="12">
        <f>IF(O3603="Guaraníes",P3603/#REF!,P3603)</f>
        <v>2667.6712000000002</v>
      </c>
      <c r="S3603" s="5" t="s">
        <v>42</v>
      </c>
      <c r="V3603" s="5">
        <v>26.676711999999998</v>
      </c>
      <c r="AA3603" s="5">
        <v>100</v>
      </c>
      <c r="AC3603" s="5" t="str">
        <f t="shared" si="172"/>
        <v>Bonos</v>
      </c>
      <c r="AD3603" s="5" t="s">
        <v>43</v>
      </c>
      <c r="AE3603" s="5">
        <f t="shared" si="173"/>
        <v>3</v>
      </c>
      <c r="AF3603" s="5">
        <f t="shared" si="174"/>
        <v>2031</v>
      </c>
    </row>
    <row r="3604" s="5" customFormat="1" ht="13">
      <c r="A3604" s="5">
        <v>12316</v>
      </c>
      <c r="B3604" s="5" t="s">
        <v>78</v>
      </c>
      <c r="C3604" s="5" t="s">
        <v>138</v>
      </c>
      <c r="D3604" s="5" t="s">
        <v>21</v>
      </c>
      <c r="E3604" s="5" t="s">
        <v>34</v>
      </c>
      <c r="F3604" s="5" t="s">
        <v>68</v>
      </c>
      <c r="G3604" s="5" t="s">
        <v>86</v>
      </c>
      <c r="H3604" s="9" t="s">
        <v>139</v>
      </c>
      <c r="I3604" s="10">
        <v>43948</v>
      </c>
      <c r="J3604" s="10">
        <v>47947</v>
      </c>
      <c r="K3604" s="5" t="s">
        <v>140</v>
      </c>
      <c r="L3604" s="5" t="s">
        <v>58</v>
      </c>
      <c r="M3604" s="11">
        <v>0.11</v>
      </c>
      <c r="N3604" s="5" t="e">
        <f>IF(AND(M3604&gt;#REF!,Cartera!O3604="Guaraníes"),"Rendimiento significativo",IF(AND(M3604&gt;#REF!,Cartera!O3604="Dólares americanos"),"Rendimiento significativo","Rendimiento no significativo"))</f>
        <v>#REF!</v>
      </c>
      <c r="O3604" s="5" t="s">
        <v>41</v>
      </c>
      <c r="P3604" s="12">
        <v>240147.72570000001</v>
      </c>
      <c r="Q3604" s="12">
        <f>IF(O3604="Guaraníes",P3604,P3604*#REF!)</f>
        <v>240147.72570000001</v>
      </c>
      <c r="R3604" s="12" t="e">
        <f>IF(O3604="Guaraníes",P3604/#REF!,P3604)</f>
        <v>#REF!</v>
      </c>
      <c r="S3604" s="5" t="s">
        <v>42</v>
      </c>
      <c r="AC3604" s="5" t="str">
        <f t="shared" si="172"/>
        <v>Bonos</v>
      </c>
      <c r="AD3604" s="5" t="s">
        <v>43</v>
      </c>
      <c r="AE3604" s="5">
        <f t="shared" si="173"/>
        <v>4</v>
      </c>
      <c r="AF3604" s="5">
        <f t="shared" si="174"/>
        <v>2031</v>
      </c>
    </row>
    <row r="3605" s="5" customFormat="1" ht="13">
      <c r="A3605" s="5">
        <v>12316</v>
      </c>
      <c r="B3605" s="5" t="s">
        <v>78</v>
      </c>
      <c r="C3605" s="5" t="s">
        <v>183</v>
      </c>
      <c r="D3605" s="5" t="s">
        <v>21</v>
      </c>
      <c r="E3605" s="5" t="s">
        <v>34</v>
      </c>
      <c r="F3605" s="5" t="s">
        <v>184</v>
      </c>
      <c r="H3605" s="9">
        <v>6389</v>
      </c>
      <c r="I3605" s="10"/>
      <c r="J3605" s="10">
        <v>47977</v>
      </c>
      <c r="K3605" s="5" t="s">
        <v>124</v>
      </c>
      <c r="L3605" s="5" t="s">
        <v>82</v>
      </c>
      <c r="M3605" s="11">
        <v>0.079000000000000001</v>
      </c>
      <c r="N3605" s="5" t="e">
        <f>IF(AND(M3605&gt;#REF!,Cartera!O3605="Guaraníes"),"Rendimiento significativo",IF(AND(M3605&gt;#REF!,Cartera!O3605="Dólares americanos"),"Rendimiento significativo","Rendimiento no significativo"))</f>
        <v>#REF!</v>
      </c>
      <c r="O3605" s="5" t="s">
        <v>41</v>
      </c>
      <c r="P3605" s="12">
        <v>9685690</v>
      </c>
      <c r="Q3605" s="12">
        <f>IF(O3605="Guaraníes",P3605,P3605*#REF!)</f>
        <v>9685690</v>
      </c>
      <c r="R3605" s="12" t="e">
        <f>IF(O3605="Guaraníes",P3605/#REF!,P3605)</f>
        <v>#REF!</v>
      </c>
      <c r="S3605" s="5" t="s">
        <v>42</v>
      </c>
      <c r="V3605" s="5">
        <v>9685690</v>
      </c>
      <c r="W3605" s="5" t="s">
        <v>721</v>
      </c>
      <c r="AC3605" s="5" t="str">
        <f t="shared" si="172"/>
        <v>CDA</v>
      </c>
      <c r="AD3605" s="5" t="s">
        <v>43</v>
      </c>
      <c r="AE3605" s="5">
        <f t="shared" si="173"/>
        <v>5</v>
      </c>
      <c r="AF3605" s="5">
        <f t="shared" si="174"/>
        <v>2031</v>
      </c>
    </row>
    <row r="3606" s="5" customFormat="1" ht="13">
      <c r="A3606" s="5">
        <v>12313</v>
      </c>
      <c r="B3606" s="5" t="s">
        <v>698</v>
      </c>
      <c r="C3606" s="5" t="s">
        <v>111</v>
      </c>
      <c r="D3606" s="5" t="s">
        <v>20</v>
      </c>
      <c r="E3606" s="5" t="s">
        <v>34</v>
      </c>
      <c r="F3606" s="12" t="s">
        <v>68</v>
      </c>
      <c r="G3606" s="12"/>
      <c r="H3606" s="9"/>
      <c r="I3606" s="10">
        <v>45497</v>
      </c>
      <c r="J3606" s="10">
        <v>46227</v>
      </c>
      <c r="L3606" s="5" t="s">
        <v>82</v>
      </c>
      <c r="M3606" s="11">
        <v>0.058000000000000003</v>
      </c>
      <c r="N3606" s="5" t="e">
        <f>IF(AND(M3606&gt;#REF!,Cartera!O3606="Guaraníes"),"Rendimiento significativo",IF(AND(M3606&gt;#REF!,Cartera!O3606="Dólares americanos"),"Rendimiento significativo","Rendimiento no significativo"))</f>
        <v>#REF!</v>
      </c>
      <c r="O3606" s="5" t="s">
        <v>51</v>
      </c>
      <c r="P3606" s="27">
        <v>20000</v>
      </c>
      <c r="Q3606" s="12" t="e">
        <f>IF(O3606="Guaraníes",P3606,P3606*#REF!)</f>
        <v>#REF!</v>
      </c>
      <c r="R3606" s="13">
        <f>IF(O3606="Guaraníes",P3606/#REF!,P3606)</f>
        <v>20000</v>
      </c>
      <c r="S3606" s="5" t="s">
        <v>42</v>
      </c>
      <c r="AC3606" s="5" t="str">
        <f t="shared" si="172"/>
        <v>CDA</v>
      </c>
      <c r="AD3606" s="5" t="s">
        <v>43</v>
      </c>
      <c r="AE3606" s="5">
        <f t="shared" si="173"/>
        <v>7</v>
      </c>
      <c r="AF3606" s="5">
        <f t="shared" si="174"/>
        <v>2026</v>
      </c>
    </row>
    <row r="3607" s="5" customFormat="1" ht="13">
      <c r="A3607" s="5" t="s">
        <v>44</v>
      </c>
      <c r="B3607" s="5" t="s">
        <v>44</v>
      </c>
      <c r="C3607" s="5" t="s">
        <v>164</v>
      </c>
      <c r="D3607" s="5" t="s">
        <v>21</v>
      </c>
      <c r="E3607" s="5" t="s">
        <v>44</v>
      </c>
      <c r="F3607" s="5" t="s">
        <v>68</v>
      </c>
      <c r="G3607" s="5" t="s">
        <v>141</v>
      </c>
      <c r="H3607" s="9" t="s">
        <v>165</v>
      </c>
      <c r="I3607" s="10"/>
      <c r="J3607" s="10">
        <v>45596</v>
      </c>
      <c r="K3607" s="5" t="s">
        <v>124</v>
      </c>
      <c r="L3607" s="5" t="s">
        <v>58</v>
      </c>
      <c r="M3607" s="11">
        <v>0.10000000000000001</v>
      </c>
      <c r="N3607" s="5" t="e">
        <f>IF(AND(M3607&gt;#REF!,Cartera!O3607="Guaraníes"),"Rendimiento significativo",IF(AND(M3607&gt;#REF!,Cartera!O3607="Dólares americanos"),"Rendimiento significativo","Rendimiento no significativo"))</f>
        <v>#REF!</v>
      </c>
      <c r="O3607" s="5" t="s">
        <v>41</v>
      </c>
      <c r="P3607" s="12">
        <v>849315.06850000005</v>
      </c>
      <c r="Q3607" s="12">
        <f>IF(O3607="Guaraníes",P3607,P3607*#REF!)</f>
        <v>849315.06850000005</v>
      </c>
      <c r="R3607" s="12" t="e">
        <f>IF(O3607="Guaraníes",P3607/#REF!,P3607)</f>
        <v>#REF!</v>
      </c>
      <c r="S3607" s="5" t="s">
        <v>52</v>
      </c>
      <c r="T3607" s="5">
        <v>9243</v>
      </c>
      <c r="W3607" s="5" t="s">
        <v>65</v>
      </c>
      <c r="X3607" s="5">
        <v>0</v>
      </c>
      <c r="Y3607" s="5">
        <v>0</v>
      </c>
      <c r="Z3607" s="5">
        <v>8493.1506850000005</v>
      </c>
      <c r="AA3607" s="5">
        <v>100</v>
      </c>
      <c r="AB3607" s="5">
        <v>849315.06850000005</v>
      </c>
      <c r="AC3607" s="5" t="str">
        <f t="shared" si="172"/>
        <v>Bonos</v>
      </c>
      <c r="AD3607" s="5" t="s">
        <v>43</v>
      </c>
      <c r="AE3607" s="5">
        <f t="shared" si="173"/>
        <v>10</v>
      </c>
      <c r="AF3607" s="5">
        <f t="shared" si="174"/>
        <v>2024</v>
      </c>
    </row>
    <row r="3608" s="5" customFormat="1" ht="13">
      <c r="A3608" s="5">
        <v>12316</v>
      </c>
      <c r="B3608" s="5" t="s">
        <v>78</v>
      </c>
      <c r="C3608" s="5" t="s">
        <v>183</v>
      </c>
      <c r="D3608" s="5" t="s">
        <v>21</v>
      </c>
      <c r="E3608" s="5" t="s">
        <v>34</v>
      </c>
      <c r="F3608" s="5" t="s">
        <v>184</v>
      </c>
      <c r="H3608" s="9">
        <v>6390</v>
      </c>
      <c r="I3608" s="10"/>
      <c r="J3608" s="10">
        <v>47977</v>
      </c>
      <c r="K3608" s="5" t="s">
        <v>124</v>
      </c>
      <c r="L3608" s="5" t="s">
        <v>82</v>
      </c>
      <c r="M3608" s="11">
        <v>0.079000000000000001</v>
      </c>
      <c r="N3608" s="5" t="e">
        <f>IF(AND(M3608&gt;#REF!,Cartera!O3608="Guaraníes"),"Rendimiento significativo",IF(AND(M3608&gt;#REF!,Cartera!O3608="Dólares americanos"),"Rendimiento significativo","Rendimiento no significativo"))</f>
        <v>#REF!</v>
      </c>
      <c r="O3608" s="5" t="s">
        <v>41</v>
      </c>
      <c r="P3608" s="12">
        <v>9685690</v>
      </c>
      <c r="Q3608" s="12">
        <f>IF(O3608="Guaraníes",P3608,P3608*#REF!)</f>
        <v>9685690</v>
      </c>
      <c r="R3608" s="12" t="e">
        <f>IF(O3608="Guaraníes",P3608/#REF!,P3608)</f>
        <v>#REF!</v>
      </c>
      <c r="S3608" s="5" t="s">
        <v>42</v>
      </c>
      <c r="V3608" s="5">
        <v>9685690</v>
      </c>
      <c r="W3608" s="5" t="s">
        <v>721</v>
      </c>
      <c r="AC3608" s="5" t="str">
        <f t="shared" si="172"/>
        <v>CDA</v>
      </c>
      <c r="AD3608" s="5" t="s">
        <v>43</v>
      </c>
      <c r="AE3608" s="5">
        <f t="shared" si="173"/>
        <v>5</v>
      </c>
      <c r="AF3608" s="5">
        <f t="shared" si="174"/>
        <v>2031</v>
      </c>
    </row>
    <row r="3609" s="5" customFormat="1" ht="13">
      <c r="A3609" s="5">
        <v>12316</v>
      </c>
      <c r="B3609" s="5" t="s">
        <v>78</v>
      </c>
      <c r="C3609" s="5" t="s">
        <v>183</v>
      </c>
      <c r="D3609" s="5" t="s">
        <v>21</v>
      </c>
      <c r="E3609" s="5" t="s">
        <v>34</v>
      </c>
      <c r="F3609" s="5" t="s">
        <v>184</v>
      </c>
      <c r="H3609" s="9">
        <v>6391</v>
      </c>
      <c r="I3609" s="10"/>
      <c r="J3609" s="10">
        <v>47977</v>
      </c>
      <c r="K3609" s="5" t="s">
        <v>124</v>
      </c>
      <c r="L3609" s="5" t="s">
        <v>82</v>
      </c>
      <c r="M3609" s="11">
        <v>0.079000000000000001</v>
      </c>
      <c r="N3609" s="5" t="e">
        <f>IF(AND(M3609&gt;#REF!,Cartera!O3609="Guaraníes"),"Rendimiento significativo",IF(AND(M3609&gt;#REF!,Cartera!O3609="Dólares americanos"),"Rendimiento significativo","Rendimiento no significativo"))</f>
        <v>#REF!</v>
      </c>
      <c r="O3609" s="5" t="s">
        <v>41</v>
      </c>
      <c r="P3609" s="12">
        <v>9685690</v>
      </c>
      <c r="Q3609" s="12">
        <f>IF(O3609="Guaraníes",P3609,P3609*#REF!)</f>
        <v>9685690</v>
      </c>
      <c r="R3609" s="12" t="e">
        <f>IF(O3609="Guaraníes",P3609/#REF!,P3609)</f>
        <v>#REF!</v>
      </c>
      <c r="S3609" s="5" t="s">
        <v>42</v>
      </c>
      <c r="V3609" s="5">
        <v>9685690</v>
      </c>
      <c r="W3609" s="5" t="s">
        <v>721</v>
      </c>
      <c r="AC3609" s="5" t="str">
        <f t="shared" si="172"/>
        <v>CDA</v>
      </c>
      <c r="AD3609" s="5" t="s">
        <v>43</v>
      </c>
      <c r="AE3609" s="5">
        <f t="shared" si="173"/>
        <v>5</v>
      </c>
      <c r="AF3609" s="5">
        <f t="shared" si="174"/>
        <v>2031</v>
      </c>
    </row>
    <row r="3610" s="5" customFormat="1" ht="13">
      <c r="A3610" s="5">
        <v>12316</v>
      </c>
      <c r="B3610" s="5" t="s">
        <v>78</v>
      </c>
      <c r="C3610" s="5" t="s">
        <v>138</v>
      </c>
      <c r="D3610" s="5" t="s">
        <v>21</v>
      </c>
      <c r="E3610" s="5" t="s">
        <v>34</v>
      </c>
      <c r="F3610" s="5" t="s">
        <v>68</v>
      </c>
      <c r="G3610" s="5" t="s">
        <v>86</v>
      </c>
      <c r="H3610" s="9" t="s">
        <v>139</v>
      </c>
      <c r="I3610" s="10">
        <v>43948</v>
      </c>
      <c r="J3610" s="10">
        <v>47977</v>
      </c>
      <c r="K3610" s="5" t="s">
        <v>140</v>
      </c>
      <c r="L3610" s="5" t="s">
        <v>58</v>
      </c>
      <c r="M3610" s="11">
        <v>0.11</v>
      </c>
      <c r="N3610" s="5" t="e">
        <f>IF(AND(M3610&gt;#REF!,Cartera!O3610="Guaraníes"),"Rendimiento significativo",IF(AND(M3610&gt;#REF!,Cartera!O3610="Dólares americanos"),"Rendimiento significativo","Rendimiento no significativo"))</f>
        <v>#REF!</v>
      </c>
      <c r="O3610" s="5" t="s">
        <v>41</v>
      </c>
      <c r="P3610" s="12">
        <v>225140.18640000001</v>
      </c>
      <c r="Q3610" s="12">
        <f>IF(O3610="Guaraníes",P3610,P3610*#REF!)</f>
        <v>225140.18640000001</v>
      </c>
      <c r="R3610" s="12" t="e">
        <f>IF(O3610="Guaraníes",P3610/#REF!,P3610)</f>
        <v>#REF!</v>
      </c>
      <c r="S3610" s="5" t="s">
        <v>42</v>
      </c>
      <c r="AC3610" s="5" t="str">
        <f t="shared" si="172"/>
        <v>Bonos</v>
      </c>
      <c r="AD3610" s="5" t="s">
        <v>43</v>
      </c>
      <c r="AE3610" s="5">
        <f t="shared" si="173"/>
        <v>5</v>
      </c>
      <c r="AF3610" s="5">
        <f t="shared" si="174"/>
        <v>2031</v>
      </c>
    </row>
    <row r="3611" s="5" customFormat="1" ht="13">
      <c r="A3611" s="5">
        <v>12316</v>
      </c>
      <c r="B3611" s="5" t="s">
        <v>78</v>
      </c>
      <c r="C3611" s="5" t="s">
        <v>183</v>
      </c>
      <c r="D3611" s="5" t="s">
        <v>21</v>
      </c>
      <c r="E3611" s="5" t="s">
        <v>34</v>
      </c>
      <c r="F3611" s="5" t="s">
        <v>184</v>
      </c>
      <c r="H3611" s="9">
        <v>6388</v>
      </c>
      <c r="I3611" s="10"/>
      <c r="J3611" s="10">
        <v>47977</v>
      </c>
      <c r="K3611" s="5" t="s">
        <v>124</v>
      </c>
      <c r="L3611" s="5" t="s">
        <v>82</v>
      </c>
      <c r="M3611" s="11">
        <v>0.079000000000000001</v>
      </c>
      <c r="N3611" s="5" t="e">
        <f>IF(AND(M3611&gt;#REF!,Cartera!O3611="Guaraníes"),"Rendimiento significativo",IF(AND(M3611&gt;#REF!,Cartera!O3611="Dólares americanos"),"Rendimiento significativo","Rendimiento no significativo"))</f>
        <v>#REF!</v>
      </c>
      <c r="O3611" s="5" t="s">
        <v>41</v>
      </c>
      <c r="P3611" s="12">
        <v>9685690</v>
      </c>
      <c r="Q3611" s="12">
        <f>IF(O3611="Guaraníes",P3611,P3611*#REF!)</f>
        <v>9685690</v>
      </c>
      <c r="R3611" s="12" t="e">
        <f>IF(O3611="Guaraníes",P3611/#REF!,P3611)</f>
        <v>#REF!</v>
      </c>
      <c r="S3611" s="5" t="s">
        <v>42</v>
      </c>
      <c r="AC3611" s="5" t="str">
        <f t="shared" si="172"/>
        <v>CDA</v>
      </c>
      <c r="AD3611" s="5" t="s">
        <v>43</v>
      </c>
      <c r="AE3611" s="5">
        <f t="shared" si="173"/>
        <v>5</v>
      </c>
      <c r="AF3611" s="5">
        <f t="shared" si="174"/>
        <v>2031</v>
      </c>
    </row>
    <row r="3612" s="5" customFormat="1" ht="13">
      <c r="A3612" s="5">
        <v>12315</v>
      </c>
      <c r="B3612" s="5" t="s">
        <v>73</v>
      </c>
      <c r="C3612" s="5" t="s">
        <v>33</v>
      </c>
      <c r="D3612" s="5" t="s">
        <v>21</v>
      </c>
      <c r="E3612" s="5" t="s">
        <v>34</v>
      </c>
      <c r="F3612" s="5" t="s">
        <v>35</v>
      </c>
      <c r="G3612" s="5" t="s">
        <v>75</v>
      </c>
      <c r="H3612" s="9" t="s">
        <v>186</v>
      </c>
      <c r="I3612" s="10"/>
      <c r="J3612" s="10">
        <v>48003</v>
      </c>
      <c r="K3612" s="5" t="s">
        <v>39</v>
      </c>
      <c r="L3612" s="5" t="s">
        <v>50</v>
      </c>
      <c r="M3612" s="11">
        <v>0.044999999999999998</v>
      </c>
      <c r="N3612" s="5" t="e">
        <f>IF(AND(M3612&gt;#REF!,Cartera!O3612="Guaraníes"),"Rendimiento significativo",IF(AND(M3612&gt;#REF!,Cartera!O3612="Dólares americanos"),"Rendimiento significativo","Rendimiento no significativo"))</f>
        <v>#REF!</v>
      </c>
      <c r="O3612" s="5" t="s">
        <v>51</v>
      </c>
      <c r="P3612" s="13">
        <v>336.57533999999998</v>
      </c>
      <c r="Q3612" s="12" t="e">
        <f>IF(O3612="Guaraníes",P3612,P3612*#REF!)</f>
        <v>#REF!</v>
      </c>
      <c r="R3612" s="12">
        <f>IF(O3612="Guaraníes",P3612/#REF!,P3612)</f>
        <v>336.57533999999998</v>
      </c>
      <c r="S3612" s="5" t="s">
        <v>42</v>
      </c>
      <c r="T3612" s="5">
        <v>25</v>
      </c>
      <c r="W3612" s="5" t="s">
        <v>65</v>
      </c>
      <c r="X3612" s="5">
        <v>0</v>
      </c>
      <c r="Y3612" s="5">
        <v>0</v>
      </c>
      <c r="Z3612" s="5">
        <v>11.219177999999999</v>
      </c>
      <c r="AA3612" s="5">
        <v>30</v>
      </c>
      <c r="AB3612" s="5">
        <v>336.57533999999998</v>
      </c>
      <c r="AC3612" s="5" t="str">
        <f t="shared" si="172"/>
        <v>Bonos</v>
      </c>
      <c r="AD3612" s="5" t="s">
        <v>43</v>
      </c>
      <c r="AE3612" s="5">
        <f t="shared" si="173"/>
        <v>6</v>
      </c>
      <c r="AF3612" s="5">
        <f t="shared" si="174"/>
        <v>2031</v>
      </c>
    </row>
    <row r="3613" s="5" customFormat="1" ht="13">
      <c r="A3613" s="5">
        <v>12315</v>
      </c>
      <c r="B3613" s="5" t="s">
        <v>73</v>
      </c>
      <c r="C3613" s="5" t="s">
        <v>33</v>
      </c>
      <c r="D3613" s="5" t="s">
        <v>21</v>
      </c>
      <c r="E3613" s="5" t="s">
        <v>34</v>
      </c>
      <c r="F3613" s="5" t="s">
        <v>35</v>
      </c>
      <c r="G3613" s="5" t="s">
        <v>69</v>
      </c>
      <c r="H3613" s="9" t="s">
        <v>186</v>
      </c>
      <c r="I3613" s="10"/>
      <c r="J3613" s="10">
        <v>48003</v>
      </c>
      <c r="K3613" s="5" t="s">
        <v>39</v>
      </c>
      <c r="L3613" s="5" t="s">
        <v>50</v>
      </c>
      <c r="M3613" s="11">
        <v>0.044999999999999998</v>
      </c>
      <c r="N3613" s="5" t="e">
        <f>IF(AND(M3613&gt;#REF!,Cartera!O3613="Guaraníes"),"Rendimiento significativo",IF(AND(M3613&gt;#REF!,Cartera!O3613="Dólares americanos"),"Rendimiento significativo","Rendimiento no significativo"))</f>
        <v>#REF!</v>
      </c>
      <c r="O3613" s="5" t="s">
        <v>51</v>
      </c>
      <c r="P3613" s="13">
        <v>448.76711999999998</v>
      </c>
      <c r="Q3613" s="12" t="e">
        <f>IF(O3613="Guaraníes",P3613,P3613*#REF!)</f>
        <v>#REF!</v>
      </c>
      <c r="R3613" s="12">
        <f>IF(O3613="Guaraníes",P3613/#REF!,P3613)</f>
        <v>448.76711999999998</v>
      </c>
      <c r="S3613" s="5" t="s">
        <v>42</v>
      </c>
      <c r="T3613" s="5">
        <v>593</v>
      </c>
      <c r="W3613" s="5" t="s">
        <v>65</v>
      </c>
      <c r="X3613" s="5">
        <v>0</v>
      </c>
      <c r="Y3613" s="5">
        <v>0</v>
      </c>
      <c r="Z3613" s="5">
        <v>11.219177999999999</v>
      </c>
      <c r="AA3613" s="5">
        <v>40</v>
      </c>
      <c r="AB3613" s="5">
        <v>448.76711999999998</v>
      </c>
      <c r="AC3613" s="5" t="str">
        <f t="shared" si="172"/>
        <v>Bonos</v>
      </c>
      <c r="AD3613" s="5" t="s">
        <v>43</v>
      </c>
      <c r="AE3613" s="5">
        <f t="shared" si="173"/>
        <v>6</v>
      </c>
      <c r="AF3613" s="5">
        <f t="shared" si="174"/>
        <v>2031</v>
      </c>
    </row>
    <row r="3614" s="5" customFormat="1" ht="13">
      <c r="A3614" s="5">
        <v>12316</v>
      </c>
      <c r="B3614" s="5" t="s">
        <v>78</v>
      </c>
      <c r="C3614" s="5" t="s">
        <v>160</v>
      </c>
      <c r="D3614" s="5" t="s">
        <v>21</v>
      </c>
      <c r="E3614" s="5" t="s">
        <v>34</v>
      </c>
      <c r="F3614" s="5" t="s">
        <v>68</v>
      </c>
      <c r="G3614" s="5" t="s">
        <v>91</v>
      </c>
      <c r="H3614" s="9" t="s">
        <v>161</v>
      </c>
      <c r="I3614" s="10">
        <v>44581</v>
      </c>
      <c r="J3614" s="10">
        <v>48008</v>
      </c>
      <c r="K3614" s="5" t="s">
        <v>162</v>
      </c>
      <c r="L3614" s="5" t="s">
        <v>58</v>
      </c>
      <c r="M3614" s="11">
        <v>0.086999999999999994</v>
      </c>
      <c r="N3614" s="5" t="e">
        <f>IF(AND(M3614&gt;#REF!,Cartera!O3614="Guaraníes"),"Rendimiento significativo",IF(AND(M3614&gt;#REF!,Cartera!O3614="Dólares americanos"),"Rendimiento significativo","Rendimiento no significativo"))</f>
        <v>#REF!</v>
      </c>
      <c r="O3614" s="5" t="s">
        <v>41</v>
      </c>
      <c r="P3614" s="12">
        <v>17352328.767200001</v>
      </c>
      <c r="Q3614" s="12">
        <f>IF(O3614="Guaraníes",P3614,P3614*#REF!)</f>
        <v>17352328.767200001</v>
      </c>
      <c r="R3614" s="12" t="e">
        <f>IF(O3614="Guaraníes",P3614/#REF!,P3614)</f>
        <v>#REF!</v>
      </c>
      <c r="S3614" s="5" t="s">
        <v>42</v>
      </c>
      <c r="AC3614" s="5" t="str">
        <f t="shared" si="172"/>
        <v>Bonos</v>
      </c>
      <c r="AD3614" s="5" t="s">
        <v>43</v>
      </c>
      <c r="AE3614" s="5">
        <f t="shared" si="173"/>
        <v>6</v>
      </c>
      <c r="AF3614" s="5">
        <f t="shared" si="174"/>
        <v>2031</v>
      </c>
    </row>
    <row r="3615" s="5" customFormat="1" ht="13">
      <c r="A3615" s="5">
        <v>12306</v>
      </c>
      <c r="B3615" s="5" t="s">
        <v>373</v>
      </c>
      <c r="C3615" s="5" t="s">
        <v>111</v>
      </c>
      <c r="D3615" s="5" t="s">
        <v>20</v>
      </c>
      <c r="E3615" s="5" t="s">
        <v>34</v>
      </c>
      <c r="F3615" s="12" t="s">
        <v>68</v>
      </c>
      <c r="G3615" s="12"/>
      <c r="H3615" s="19"/>
      <c r="I3615" s="10">
        <v>45497</v>
      </c>
      <c r="J3615" s="10">
        <v>46227</v>
      </c>
      <c r="K3615" s="12"/>
      <c r="L3615" s="5" t="s">
        <v>82</v>
      </c>
      <c r="M3615" s="11">
        <v>0.073999999999999996</v>
      </c>
      <c r="N3615" s="5" t="e">
        <f>IF(AND(M3615&gt;#REF!,Cartera!O3615="Guaraníes"),"Rendimiento significativo",IF(AND(M3615&gt;#REF!,Cartera!O3615="Dólares americanos"),"Rendimiento significativo","Rendimiento no significativo"))</f>
        <v>#REF!</v>
      </c>
      <c r="O3615" s="5" t="s">
        <v>41</v>
      </c>
      <c r="P3615" s="15">
        <v>175000000</v>
      </c>
      <c r="Q3615" s="12">
        <f>IF(O3615="Guaraníes",P3615,P3615*#REF!)</f>
        <v>175000000</v>
      </c>
      <c r="R3615" s="13" t="e">
        <f>IF(O3615="Guaraníes",P3615/#REF!,P3615)</f>
        <v>#REF!</v>
      </c>
      <c r="S3615" s="5" t="s">
        <v>120</v>
      </c>
      <c r="AC3615" s="5" t="str">
        <f t="shared" si="172"/>
        <v>CDA</v>
      </c>
      <c r="AD3615" s="5" t="s">
        <v>43</v>
      </c>
      <c r="AE3615" s="5">
        <f t="shared" si="173"/>
        <v>7</v>
      </c>
      <c r="AF3615" s="5">
        <f t="shared" si="174"/>
        <v>2026</v>
      </c>
    </row>
    <row r="3616" s="5" customFormat="1" ht="13">
      <c r="A3616" s="5" t="s">
        <v>44</v>
      </c>
      <c r="B3616" s="5" t="s">
        <v>44</v>
      </c>
      <c r="C3616" s="5" t="s">
        <v>164</v>
      </c>
      <c r="D3616" s="5" t="s">
        <v>21</v>
      </c>
      <c r="E3616" s="5" t="s">
        <v>44</v>
      </c>
      <c r="F3616" s="5" t="s">
        <v>68</v>
      </c>
      <c r="G3616" s="5" t="s">
        <v>141</v>
      </c>
      <c r="H3616" s="9" t="s">
        <v>167</v>
      </c>
      <c r="I3616" s="10"/>
      <c r="J3616" s="10">
        <v>45596</v>
      </c>
      <c r="K3616" s="5" t="s">
        <v>124</v>
      </c>
      <c r="L3616" s="5" t="s">
        <v>58</v>
      </c>
      <c r="M3616" s="11">
        <v>0.092499999999999999</v>
      </c>
      <c r="N3616" s="5" t="e">
        <f>IF(AND(M3616&gt;#REF!,Cartera!O3616="Guaraníes"),"Rendimiento significativo",IF(AND(M3616&gt;#REF!,Cartera!O3616="Dólares americanos"),"Rendimiento significativo","Rendimiento no significativo"))</f>
        <v>#REF!</v>
      </c>
      <c r="O3616" s="5" t="s">
        <v>41</v>
      </c>
      <c r="P3616" s="12">
        <v>785616.43839999998</v>
      </c>
      <c r="Q3616" s="12">
        <f>IF(O3616="Guaraníes",P3616,P3616*#REF!)</f>
        <v>785616.43839999998</v>
      </c>
      <c r="R3616" s="12" t="e">
        <f>IF(O3616="Guaraníes",P3616/#REF!,P3616)</f>
        <v>#REF!</v>
      </c>
      <c r="S3616" s="5" t="s">
        <v>52</v>
      </c>
      <c r="T3616" s="5">
        <v>9243</v>
      </c>
      <c r="W3616" s="5" t="s">
        <v>65</v>
      </c>
      <c r="X3616" s="5">
        <v>0</v>
      </c>
      <c r="Y3616" s="5">
        <v>0</v>
      </c>
      <c r="Z3616" s="5">
        <v>7856.1643839999997</v>
      </c>
      <c r="AA3616" s="5">
        <v>100</v>
      </c>
      <c r="AB3616" s="5">
        <v>785616.43839999998</v>
      </c>
      <c r="AC3616" s="5" t="str">
        <f t="shared" si="172"/>
        <v>Bonos</v>
      </c>
      <c r="AD3616" s="5" t="s">
        <v>43</v>
      </c>
      <c r="AE3616" s="5">
        <f t="shared" si="173"/>
        <v>10</v>
      </c>
      <c r="AF3616" s="5">
        <f t="shared" si="174"/>
        <v>2024</v>
      </c>
    </row>
    <row r="3617" s="5" customFormat="1" ht="13">
      <c r="A3617" s="5">
        <v>12316</v>
      </c>
      <c r="B3617" s="5" t="s">
        <v>78</v>
      </c>
      <c r="C3617" s="5" t="s">
        <v>138</v>
      </c>
      <c r="D3617" s="5" t="s">
        <v>21</v>
      </c>
      <c r="E3617" s="5" t="s">
        <v>34</v>
      </c>
      <c r="F3617" s="5" t="s">
        <v>68</v>
      </c>
      <c r="G3617" s="5" t="s">
        <v>86</v>
      </c>
      <c r="H3617" s="9" t="s">
        <v>139</v>
      </c>
      <c r="I3617" s="10">
        <v>43948</v>
      </c>
      <c r="J3617" s="10">
        <v>48008</v>
      </c>
      <c r="K3617" s="5" t="s">
        <v>140</v>
      </c>
      <c r="L3617" s="5" t="s">
        <v>58</v>
      </c>
      <c r="M3617" s="11">
        <v>0.11</v>
      </c>
      <c r="N3617" s="5" t="e">
        <f>IF(AND(M3617&gt;#REF!,Cartera!O3617="Guaraníes"),"Rendimiento significativo",IF(AND(M3617&gt;#REF!,Cartera!O3617="Dólares americanos"),"Rendimiento significativo","Rendimiento no significativo"))</f>
        <v>#REF!</v>
      </c>
      <c r="O3617" s="5" t="s">
        <v>41</v>
      </c>
      <c r="P3617" s="12">
        <v>216994.9137</v>
      </c>
      <c r="Q3617" s="12">
        <f>IF(O3617="Guaraníes",P3617,P3617*#REF!)</f>
        <v>216994.9137</v>
      </c>
      <c r="R3617" s="12" t="e">
        <f>IF(O3617="Guaraníes",P3617/#REF!,P3617)</f>
        <v>#REF!</v>
      </c>
      <c r="S3617" s="5" t="s">
        <v>42</v>
      </c>
      <c r="AC3617" s="5" t="str">
        <f t="shared" si="172"/>
        <v>Bonos</v>
      </c>
      <c r="AD3617" s="5" t="s">
        <v>43</v>
      </c>
      <c r="AE3617" s="5">
        <f t="shared" si="173"/>
        <v>6</v>
      </c>
      <c r="AF3617" s="5">
        <f t="shared" si="174"/>
        <v>2031</v>
      </c>
    </row>
    <row r="3618" s="5" customFormat="1" ht="13">
      <c r="A3618" s="5">
        <v>12316</v>
      </c>
      <c r="B3618" s="5" t="s">
        <v>78</v>
      </c>
      <c r="C3618" s="5" t="s">
        <v>138</v>
      </c>
      <c r="D3618" s="5" t="s">
        <v>21</v>
      </c>
      <c r="E3618" s="5" t="s">
        <v>34</v>
      </c>
      <c r="F3618" s="5" t="s">
        <v>68</v>
      </c>
      <c r="G3618" s="5" t="s">
        <v>86</v>
      </c>
      <c r="H3618" s="9" t="s">
        <v>193</v>
      </c>
      <c r="I3618" s="10">
        <v>44104</v>
      </c>
      <c r="J3618" s="10">
        <v>48016</v>
      </c>
      <c r="K3618" s="5" t="s">
        <v>140</v>
      </c>
      <c r="L3618" s="5" t="s">
        <v>58</v>
      </c>
      <c r="M3618" s="11">
        <v>0.10000000000000001</v>
      </c>
      <c r="N3618" s="5" t="e">
        <f>IF(AND(M3618&gt;#REF!,Cartera!O3618="Guaraníes"),"Rendimiento significativo",IF(AND(M3618&gt;#REF!,Cartera!O3618="Dólares americanos"),"Rendimiento significativo","Rendimiento no significativo"))</f>
        <v>#REF!</v>
      </c>
      <c r="O3618" s="5" t="s">
        <v>41</v>
      </c>
      <c r="P3618" s="12">
        <v>1869863.0137</v>
      </c>
      <c r="Q3618" s="12">
        <f>IF(O3618="Guaraníes",P3618,P3618*#REF!)</f>
        <v>1869863.0137</v>
      </c>
      <c r="R3618" s="12" t="e">
        <f>IF(O3618="Guaraníes",P3618/#REF!,P3618)</f>
        <v>#REF!</v>
      </c>
      <c r="S3618" s="5" t="s">
        <v>42</v>
      </c>
      <c r="AC3618" s="5" t="str">
        <f t="shared" si="172"/>
        <v>Bonos</v>
      </c>
      <c r="AD3618" s="5" t="s">
        <v>43</v>
      </c>
      <c r="AE3618" s="5">
        <f t="shared" si="173"/>
        <v>6</v>
      </c>
      <c r="AF3618" s="5">
        <f t="shared" si="174"/>
        <v>2031</v>
      </c>
    </row>
    <row r="3619" s="5" customFormat="1" ht="13">
      <c r="A3619" s="5">
        <v>12316</v>
      </c>
      <c r="B3619" s="5" t="s">
        <v>78</v>
      </c>
      <c r="C3619" s="5" t="s">
        <v>138</v>
      </c>
      <c r="D3619" s="5" t="s">
        <v>21</v>
      </c>
      <c r="E3619" s="5" t="s">
        <v>34</v>
      </c>
      <c r="F3619" s="5" t="s">
        <v>68</v>
      </c>
      <c r="G3619" s="5" t="s">
        <v>86</v>
      </c>
      <c r="H3619" s="9" t="s">
        <v>139</v>
      </c>
      <c r="I3619" s="10">
        <v>43948</v>
      </c>
      <c r="J3619" s="10">
        <v>48038</v>
      </c>
      <c r="K3619" s="5" t="s">
        <v>140</v>
      </c>
      <c r="L3619" s="5" t="s">
        <v>58</v>
      </c>
      <c r="M3619" s="11">
        <v>0.11</v>
      </c>
      <c r="N3619" s="5" t="e">
        <f>IF(AND(M3619&gt;#REF!,Cartera!O3619="Guaraníes"),"Rendimiento significativo",IF(AND(M3619&gt;#REF!,Cartera!O3619="Dólares americanos"),"Rendimiento significativo","Rendimiento no significativo"))</f>
        <v>#REF!</v>
      </c>
      <c r="O3619" s="5" t="s">
        <v>41</v>
      </c>
      <c r="P3619" s="12">
        <v>194711.13949999999</v>
      </c>
      <c r="Q3619" s="12">
        <f>IF(O3619="Guaraníes",P3619,P3619*#REF!)</f>
        <v>194711.13949999999</v>
      </c>
      <c r="R3619" s="12" t="e">
        <f>IF(O3619="Guaraníes",P3619/#REF!,P3619)</f>
        <v>#REF!</v>
      </c>
      <c r="S3619" s="5" t="s">
        <v>42</v>
      </c>
      <c r="AC3619" s="5" t="str">
        <f t="shared" si="172"/>
        <v>Bonos</v>
      </c>
      <c r="AD3619" s="5" t="s">
        <v>43</v>
      </c>
      <c r="AE3619" s="5">
        <f t="shared" si="173"/>
        <v>7</v>
      </c>
      <c r="AF3619" s="5">
        <f t="shared" si="174"/>
        <v>2031</v>
      </c>
    </row>
    <row r="3620" s="5" customFormat="1" ht="13">
      <c r="A3620" s="5">
        <v>12316</v>
      </c>
      <c r="B3620" s="5" t="s">
        <v>78</v>
      </c>
      <c r="C3620" s="5" t="s">
        <v>138</v>
      </c>
      <c r="D3620" s="5" t="s">
        <v>21</v>
      </c>
      <c r="E3620" s="5" t="s">
        <v>34</v>
      </c>
      <c r="F3620" s="5" t="s">
        <v>68</v>
      </c>
      <c r="G3620" s="5" t="s">
        <v>86</v>
      </c>
      <c r="H3620" s="9" t="s">
        <v>139</v>
      </c>
      <c r="I3620" s="10">
        <v>43948</v>
      </c>
      <c r="J3620" s="10">
        <v>48068</v>
      </c>
      <c r="K3620" s="5" t="s">
        <v>140</v>
      </c>
      <c r="L3620" s="5" t="s">
        <v>58</v>
      </c>
      <c r="M3620" s="11">
        <v>0.11</v>
      </c>
      <c r="N3620" s="5" t="e">
        <f>IF(AND(M3620&gt;#REF!,Cartera!O3620="Guaraníes"),"Rendimiento significativo",IF(AND(M3620&gt;#REF!,Cartera!O3620="Dólares americanos"),"Rendimiento significativo","Rendimiento no significativo"))</f>
        <v>#REF!</v>
      </c>
      <c r="O3620" s="5" t="s">
        <v>41</v>
      </c>
      <c r="P3620" s="12">
        <v>179287.0987</v>
      </c>
      <c r="Q3620" s="12">
        <f>IF(O3620="Guaraníes",P3620,P3620*#REF!)</f>
        <v>179287.0987</v>
      </c>
      <c r="R3620" s="12" t="e">
        <f>IF(O3620="Guaraníes",P3620/#REF!,P3620)</f>
        <v>#REF!</v>
      </c>
      <c r="S3620" s="5" t="s">
        <v>42</v>
      </c>
      <c r="AC3620" s="5" t="str">
        <f t="shared" si="172"/>
        <v>Bonos</v>
      </c>
      <c r="AD3620" s="5" t="s">
        <v>43</v>
      </c>
      <c r="AE3620" s="5">
        <f t="shared" si="173"/>
        <v>8</v>
      </c>
      <c r="AF3620" s="5">
        <f t="shared" si="174"/>
        <v>2031</v>
      </c>
    </row>
    <row r="3621" s="5" customFormat="1" ht="13">
      <c r="A3621" s="5">
        <v>12316</v>
      </c>
      <c r="B3621" s="5" t="s">
        <v>78</v>
      </c>
      <c r="C3621" s="5" t="s">
        <v>99</v>
      </c>
      <c r="D3621" s="5" t="s">
        <v>21</v>
      </c>
      <c r="E3621" s="5" t="s">
        <v>34</v>
      </c>
      <c r="F3621" s="5" t="s">
        <v>100</v>
      </c>
      <c r="G3621" s="5" t="s">
        <v>86</v>
      </c>
      <c r="H3621" s="9" t="s">
        <v>155</v>
      </c>
      <c r="I3621" s="10"/>
      <c r="J3621" s="10">
        <v>48094</v>
      </c>
      <c r="K3621" s="5" t="s">
        <v>102</v>
      </c>
      <c r="L3621" s="5" t="s">
        <v>102</v>
      </c>
      <c r="M3621" s="11">
        <v>0.081000000000000003</v>
      </c>
      <c r="N3621" s="5" t="e">
        <f>IF(AND(M3621&gt;#REF!,Cartera!O3621="Guaraníes"),"Rendimiento significativo",IF(AND(M3621&gt;#REF!,Cartera!O3621="Dólares americanos"),"Rendimiento significativo","Rendimiento no significativo"))</f>
        <v>#REF!</v>
      </c>
      <c r="O3621" s="5" t="s">
        <v>41</v>
      </c>
      <c r="P3621" s="12">
        <v>28000000</v>
      </c>
      <c r="Q3621" s="12">
        <f>IF(O3621="Guaraníes",P3621,P3621*#REF!)</f>
        <v>28000000</v>
      </c>
      <c r="R3621" s="12" t="e">
        <f>IF(O3621="Guaraníes",P3621/#REF!,P3621)</f>
        <v>#REF!</v>
      </c>
      <c r="S3621" s="5" t="s">
        <v>42</v>
      </c>
      <c r="T3621" s="5">
        <v>10834</v>
      </c>
      <c r="W3621" s="5" t="s">
        <v>65</v>
      </c>
      <c r="X3621" s="5">
        <v>0</v>
      </c>
      <c r="Y3621" s="5">
        <v>0</v>
      </c>
      <c r="Z3621" s="5">
        <v>40000</v>
      </c>
      <c r="AA3621" s="5">
        <v>700</v>
      </c>
      <c r="AB3621" s="5">
        <v>28000000</v>
      </c>
      <c r="AC3621" s="5" t="str">
        <f t="shared" si="172"/>
        <v>Bonos</v>
      </c>
      <c r="AD3621" s="5" t="s">
        <v>43</v>
      </c>
      <c r="AE3621" s="5">
        <f t="shared" si="173"/>
        <v>9</v>
      </c>
      <c r="AF3621" s="5">
        <f t="shared" si="174"/>
        <v>2031</v>
      </c>
    </row>
    <row r="3622" s="5" customFormat="1" ht="13">
      <c r="A3622" s="5" t="s">
        <v>44</v>
      </c>
      <c r="B3622" s="5" t="s">
        <v>44</v>
      </c>
      <c r="C3622" s="5" t="s">
        <v>164</v>
      </c>
      <c r="D3622" s="5" t="s">
        <v>21</v>
      </c>
      <c r="E3622" s="5" t="s">
        <v>44</v>
      </c>
      <c r="F3622" s="5" t="s">
        <v>68</v>
      </c>
      <c r="G3622" s="5" t="s">
        <v>91</v>
      </c>
      <c r="H3622" s="9" t="s">
        <v>166</v>
      </c>
      <c r="I3622" s="10"/>
      <c r="J3622" s="10">
        <v>45625</v>
      </c>
      <c r="K3622" s="5" t="s">
        <v>124</v>
      </c>
      <c r="L3622" s="5" t="s">
        <v>58</v>
      </c>
      <c r="M3622" s="11">
        <v>0.092499999999999999</v>
      </c>
      <c r="N3622" s="5" t="e">
        <f>IF(AND(M3622&gt;#REF!,Cartera!O3622="Guaraníes"),"Rendimiento significativo",IF(AND(M3622&gt;#REF!,Cartera!O3622="Dólares americanos"),"Rendimiento significativo","Rendimiento no significativo"))</f>
        <v>#REF!</v>
      </c>
      <c r="O3622" s="5" t="s">
        <v>41</v>
      </c>
      <c r="P3622" s="12">
        <v>1102397.2601999999</v>
      </c>
      <c r="Q3622" s="12">
        <f>IF(O3622="Guaraníes",P3622,P3622*#REF!)</f>
        <v>1102397.2601999999</v>
      </c>
      <c r="R3622" s="12" t="e">
        <f>IF(O3622="Guaraníes",P3622/#REF!,P3622)</f>
        <v>#REF!</v>
      </c>
      <c r="S3622" s="5" t="s">
        <v>52</v>
      </c>
      <c r="T3622" s="5">
        <v>3253</v>
      </c>
      <c r="W3622" s="5" t="s">
        <v>65</v>
      </c>
      <c r="X3622" s="5">
        <v>0</v>
      </c>
      <c r="Y3622" s="5">
        <v>0</v>
      </c>
      <c r="Z3622" s="5">
        <v>7349.3150679999999</v>
      </c>
      <c r="AA3622" s="5">
        <v>150</v>
      </c>
      <c r="AB3622" s="5">
        <v>1102397.2601999999</v>
      </c>
      <c r="AC3622" s="5" t="str">
        <f t="shared" si="172"/>
        <v>Bonos</v>
      </c>
      <c r="AD3622" s="5" t="s">
        <v>43</v>
      </c>
      <c r="AE3622" s="5">
        <f t="shared" si="173"/>
        <v>11</v>
      </c>
      <c r="AF3622" s="5">
        <f t="shared" si="174"/>
        <v>2024</v>
      </c>
    </row>
    <row r="3623" s="5" customFormat="1" ht="13">
      <c r="A3623" s="5">
        <v>12306</v>
      </c>
      <c r="B3623" s="5" t="s">
        <v>373</v>
      </c>
      <c r="C3623" s="5" t="s">
        <v>79</v>
      </c>
      <c r="D3623" s="5" t="s">
        <v>20</v>
      </c>
      <c r="E3623" s="5" t="s">
        <v>34</v>
      </c>
      <c r="F3623" s="12" t="s">
        <v>68</v>
      </c>
      <c r="G3623" s="12"/>
      <c r="H3623" s="9" t="s">
        <v>119</v>
      </c>
      <c r="I3623" s="10">
        <v>45497</v>
      </c>
      <c r="J3623" s="10">
        <v>46048</v>
      </c>
      <c r="L3623" s="5" t="s">
        <v>82</v>
      </c>
      <c r="M3623" s="11">
        <v>0.083500000000000005</v>
      </c>
      <c r="N3623" s="5" t="e">
        <f>IF(AND(M3623&gt;#REF!,Cartera!O3623="Guaraníes"),"Rendimiento significativo",IF(AND(M3623&gt;#REF!,Cartera!O3623="Dólares americanos"),"Rendimiento significativo","Rendimiento no significativo"))</f>
        <v>#REF!</v>
      </c>
      <c r="O3623" s="5" t="s">
        <v>41</v>
      </c>
      <c r="P3623" s="13">
        <v>150000000</v>
      </c>
      <c r="Q3623" s="12">
        <f>IF(O3623="Guaraníes",P3623,P3623*#REF!)</f>
        <v>150000000</v>
      </c>
      <c r="R3623" s="13" t="e">
        <f>IF(O3623="Guaraníes",P3623/#REF!,P3623)</f>
        <v>#REF!</v>
      </c>
      <c r="S3623" s="5" t="s">
        <v>120</v>
      </c>
      <c r="AC3623" s="5" t="str">
        <f t="shared" si="172"/>
        <v>CDA</v>
      </c>
      <c r="AD3623" s="5" t="s">
        <v>43</v>
      </c>
      <c r="AE3623" s="5">
        <f t="shared" si="173"/>
        <v>1</v>
      </c>
      <c r="AF3623" s="5">
        <f t="shared" si="174"/>
        <v>2026</v>
      </c>
    </row>
    <row r="3624" s="5" customFormat="1" ht="13">
      <c r="A3624" s="5">
        <v>12315</v>
      </c>
      <c r="B3624" s="5" t="s">
        <v>73</v>
      </c>
      <c r="C3624" s="5" t="s">
        <v>33</v>
      </c>
      <c r="D3624" s="5" t="s">
        <v>21</v>
      </c>
      <c r="E3624" s="5" t="s">
        <v>34</v>
      </c>
      <c r="F3624" s="5" t="s">
        <v>35</v>
      </c>
      <c r="G3624" s="5" t="s">
        <v>75</v>
      </c>
      <c r="H3624" s="9" t="s">
        <v>186</v>
      </c>
      <c r="I3624" s="10"/>
      <c r="J3624" s="10">
        <v>48094</v>
      </c>
      <c r="K3624" s="5" t="s">
        <v>39</v>
      </c>
      <c r="L3624" s="5" t="s">
        <v>50</v>
      </c>
      <c r="M3624" s="11">
        <v>0.044999999999999998</v>
      </c>
      <c r="N3624" s="5" t="e">
        <f>IF(AND(M3624&gt;#REF!,Cartera!O3624="Guaraníes"),"Rendimiento significativo",IF(AND(M3624&gt;#REF!,Cartera!O3624="Dólares americanos"),"Rendimiento significativo","Rendimiento no significativo"))</f>
        <v>#REF!</v>
      </c>
      <c r="O3624" s="5" t="s">
        <v>51</v>
      </c>
      <c r="P3624" s="13">
        <v>336.57999999999998</v>
      </c>
      <c r="Q3624" s="12" t="e">
        <f>IF(O3624="Guaraníes",P3624,P3624*#REF!)</f>
        <v>#REF!</v>
      </c>
      <c r="R3624" s="12">
        <f>IF(O3624="Guaraníes",P3624/#REF!,P3624)</f>
        <v>336.57999999999998</v>
      </c>
      <c r="S3624" s="5" t="s">
        <v>42</v>
      </c>
      <c r="T3624" s="5">
        <v>25</v>
      </c>
      <c r="W3624" s="5" t="s">
        <v>65</v>
      </c>
      <c r="X3624" s="5">
        <v>100</v>
      </c>
      <c r="Y3624" s="5">
        <v>1000</v>
      </c>
      <c r="Z3624" s="5">
        <v>1011.2191780000001</v>
      </c>
      <c r="AA3624" s="5">
        <v>30</v>
      </c>
      <c r="AB3624" s="5">
        <v>30336.575339999999</v>
      </c>
      <c r="AC3624" s="5" t="str">
        <f t="shared" si="172"/>
        <v>Bonos</v>
      </c>
      <c r="AD3624" s="5" t="s">
        <v>43</v>
      </c>
      <c r="AE3624" s="5">
        <f t="shared" si="173"/>
        <v>9</v>
      </c>
      <c r="AF3624" s="5">
        <f t="shared" si="174"/>
        <v>2031</v>
      </c>
    </row>
    <row r="3625" s="5" customFormat="1" ht="13">
      <c r="A3625" s="5">
        <v>12315</v>
      </c>
      <c r="B3625" s="5" t="s">
        <v>73</v>
      </c>
      <c r="C3625" s="5" t="s">
        <v>33</v>
      </c>
      <c r="D3625" s="5" t="s">
        <v>21</v>
      </c>
      <c r="E3625" s="5" t="s">
        <v>34</v>
      </c>
      <c r="F3625" s="5" t="s">
        <v>35</v>
      </c>
      <c r="G3625" s="5" t="s">
        <v>69</v>
      </c>
      <c r="H3625" s="9" t="s">
        <v>186</v>
      </c>
      <c r="I3625" s="10"/>
      <c r="J3625" s="10">
        <v>48094</v>
      </c>
      <c r="K3625" s="5" t="s">
        <v>39</v>
      </c>
      <c r="L3625" s="5" t="s">
        <v>50</v>
      </c>
      <c r="M3625" s="11">
        <v>0.044999999999999998</v>
      </c>
      <c r="N3625" s="5" t="e">
        <f>IF(AND(M3625&gt;#REF!,Cartera!O3625="Guaraníes"),"Rendimiento significativo",IF(AND(M3625&gt;#REF!,Cartera!O3625="Dólares americanos"),"Rendimiento significativo","Rendimiento no significativo"))</f>
        <v>#REF!</v>
      </c>
      <c r="O3625" s="5" t="s">
        <v>51</v>
      </c>
      <c r="P3625" s="13">
        <v>448.76711999999998</v>
      </c>
      <c r="Q3625" s="12" t="e">
        <f>IF(O3625="Guaraníes",P3625,P3625*#REF!)</f>
        <v>#REF!</v>
      </c>
      <c r="R3625" s="12">
        <f>IF(O3625="Guaraníes",P3625/#REF!,P3625)</f>
        <v>448.76711999999998</v>
      </c>
      <c r="S3625" s="5" t="s">
        <v>42</v>
      </c>
      <c r="T3625" s="5">
        <v>593</v>
      </c>
      <c r="AC3625" s="5" t="str">
        <f t="shared" si="172"/>
        <v>Bonos</v>
      </c>
      <c r="AD3625" s="5" t="s">
        <v>43</v>
      </c>
      <c r="AE3625" s="5">
        <f t="shared" si="173"/>
        <v>9</v>
      </c>
      <c r="AF3625" s="5">
        <f t="shared" si="174"/>
        <v>2031</v>
      </c>
    </row>
    <row r="3626" s="5" customFormat="1" ht="13">
      <c r="A3626" s="5">
        <v>12316</v>
      </c>
      <c r="B3626" s="5" t="s">
        <v>78</v>
      </c>
      <c r="C3626" s="5" t="s">
        <v>138</v>
      </c>
      <c r="D3626" s="5" t="s">
        <v>21</v>
      </c>
      <c r="E3626" s="5" t="s">
        <v>34</v>
      </c>
      <c r="F3626" s="5" t="s">
        <v>68</v>
      </c>
      <c r="G3626" s="5" t="s">
        <v>86</v>
      </c>
      <c r="H3626" s="9" t="s">
        <v>139</v>
      </c>
      <c r="I3626" s="10">
        <v>43948</v>
      </c>
      <c r="J3626" s="10">
        <v>48099</v>
      </c>
      <c r="K3626" s="5" t="s">
        <v>140</v>
      </c>
      <c r="L3626" s="5" t="s">
        <v>58</v>
      </c>
      <c r="M3626" s="11">
        <v>0.11</v>
      </c>
      <c r="N3626" s="5" t="e">
        <f>IF(AND(M3626&gt;#REF!,Cartera!O3626="Guaraníes"),"Rendimiento significativo",IF(AND(M3626&gt;#REF!,Cartera!O3626="Dólares americanos"),"Rendimiento significativo","Rendimiento no significativo"))</f>
        <v>#REF!</v>
      </c>
      <c r="O3626" s="5" t="s">
        <v>41</v>
      </c>
      <c r="P3626" s="12">
        <v>169179.0594</v>
      </c>
      <c r="Q3626" s="12">
        <f>IF(O3626="Guaraníes",P3626,P3626*#REF!)</f>
        <v>169179.0594</v>
      </c>
      <c r="R3626" s="12" t="e">
        <f>IF(O3626="Guaraníes",P3626/#REF!,P3626)</f>
        <v>#REF!</v>
      </c>
      <c r="S3626" s="5" t="s">
        <v>42</v>
      </c>
      <c r="AC3626" s="5" t="str">
        <f t="shared" si="172"/>
        <v>Bonos</v>
      </c>
      <c r="AD3626" s="5" t="s">
        <v>43</v>
      </c>
      <c r="AE3626" s="5">
        <f t="shared" si="173"/>
        <v>9</v>
      </c>
      <c r="AF3626" s="5">
        <f t="shared" si="174"/>
        <v>2031</v>
      </c>
    </row>
    <row r="3627" s="5" customFormat="1" ht="13">
      <c r="A3627" s="5">
        <v>12316</v>
      </c>
      <c r="B3627" s="5" t="s">
        <v>78</v>
      </c>
      <c r="C3627" s="5" t="s">
        <v>138</v>
      </c>
      <c r="D3627" s="5" t="s">
        <v>21</v>
      </c>
      <c r="E3627" s="5" t="s">
        <v>34</v>
      </c>
      <c r="F3627" s="5" t="s">
        <v>68</v>
      </c>
      <c r="G3627" s="5" t="s">
        <v>86</v>
      </c>
      <c r="H3627" s="9" t="s">
        <v>193</v>
      </c>
      <c r="I3627" s="10">
        <v>44104</v>
      </c>
      <c r="J3627" s="10">
        <v>48107</v>
      </c>
      <c r="K3627" s="5" t="s">
        <v>140</v>
      </c>
      <c r="L3627" s="5" t="s">
        <v>58</v>
      </c>
      <c r="M3627" s="11">
        <v>0.10000000000000001</v>
      </c>
      <c r="N3627" s="5" t="e">
        <f>IF(AND(M3627&gt;#REF!,Cartera!O3627="Guaraníes"),"Rendimiento significativo",IF(AND(M3627&gt;#REF!,Cartera!O3627="Dólares americanos"),"Rendimiento significativo","Rendimiento no significativo"))</f>
        <v>#REF!</v>
      </c>
      <c r="O3627" s="5" t="s">
        <v>41</v>
      </c>
      <c r="P3627" s="12">
        <v>1558219.1780999999</v>
      </c>
      <c r="Q3627" s="12">
        <f>IF(O3627="Guaraníes",P3627,P3627*#REF!)</f>
        <v>1558219.1780999999</v>
      </c>
      <c r="R3627" s="12" t="e">
        <f>IF(O3627="Guaraníes",P3627/#REF!,P3627)</f>
        <v>#REF!</v>
      </c>
      <c r="S3627" s="5" t="s">
        <v>42</v>
      </c>
      <c r="AC3627" s="5" t="str">
        <f t="shared" si="172"/>
        <v>Bonos</v>
      </c>
      <c r="AD3627" s="5" t="s">
        <v>43</v>
      </c>
      <c r="AE3627" s="5">
        <f t="shared" si="173"/>
        <v>9</v>
      </c>
      <c r="AF3627" s="5">
        <f t="shared" si="174"/>
        <v>2031</v>
      </c>
    </row>
    <row r="3628" s="5" customFormat="1" ht="13">
      <c r="A3628" s="5">
        <v>12315</v>
      </c>
      <c r="B3628" s="5" t="s">
        <v>73</v>
      </c>
      <c r="C3628" s="5" t="s">
        <v>212</v>
      </c>
      <c r="D3628" s="5" t="s">
        <v>21</v>
      </c>
      <c r="E3628" s="5" t="s">
        <v>34</v>
      </c>
      <c r="F3628" s="5" t="s">
        <v>68</v>
      </c>
      <c r="G3628" s="5" t="s">
        <v>86</v>
      </c>
      <c r="H3628" s="9" t="s">
        <v>213</v>
      </c>
      <c r="I3628" s="10">
        <v>44651</v>
      </c>
      <c r="J3628" s="10">
        <v>48109</v>
      </c>
      <c r="K3628" s="5" t="s">
        <v>81</v>
      </c>
      <c r="L3628" s="5" t="s">
        <v>58</v>
      </c>
      <c r="M3628" s="11">
        <v>0.053499999999999999</v>
      </c>
      <c r="N3628" s="5" t="e">
        <f>IF(AND(M3628&gt;#REF!,Cartera!O3628="Guaraníes"),"Rendimiento significativo",IF(AND(M3628&gt;#REF!,Cartera!O3628="Dólares americanos"),"Rendimiento significativo","Rendimiento no significativo"))</f>
        <v>#REF!</v>
      </c>
      <c r="O3628" s="5" t="s">
        <v>51</v>
      </c>
      <c r="P3628" s="13">
        <v>2667.6712000000002</v>
      </c>
      <c r="Q3628" s="12" t="e">
        <f>IF(O3628="Guaraníes",P3628,P3628*#REF!)</f>
        <v>#REF!</v>
      </c>
      <c r="R3628" s="12">
        <f>IF(O3628="Guaraníes",P3628/#REF!,P3628)</f>
        <v>2667.6712000000002</v>
      </c>
      <c r="S3628" s="5" t="s">
        <v>42</v>
      </c>
      <c r="V3628" s="5">
        <v>26.676711999999998</v>
      </c>
      <c r="AA3628" s="5">
        <v>100</v>
      </c>
      <c r="AC3628" s="5" t="str">
        <f t="shared" si="172"/>
        <v>Bonos</v>
      </c>
      <c r="AD3628" s="5" t="s">
        <v>43</v>
      </c>
      <c r="AE3628" s="5">
        <f t="shared" si="173"/>
        <v>9</v>
      </c>
      <c r="AF3628" s="5">
        <f t="shared" si="174"/>
        <v>2031</v>
      </c>
    </row>
    <row r="3629" s="5" customFormat="1" ht="13">
      <c r="A3629" s="5">
        <v>12312</v>
      </c>
      <c r="B3629" s="5" t="s">
        <v>736</v>
      </c>
      <c r="C3629" s="5" t="s">
        <v>737</v>
      </c>
      <c r="D3629" s="5" t="s">
        <v>20</v>
      </c>
      <c r="E3629" s="5" t="s">
        <v>34</v>
      </c>
      <c r="F3629" s="5" t="s">
        <v>738</v>
      </c>
      <c r="G3629" s="5" t="s">
        <v>75</v>
      </c>
      <c r="H3629" s="9" t="s">
        <v>151</v>
      </c>
      <c r="I3629" s="10" t="s">
        <v>152</v>
      </c>
      <c r="J3629" s="10" t="s">
        <v>152</v>
      </c>
      <c r="L3629" s="5" t="s">
        <v>151</v>
      </c>
      <c r="M3629" s="11">
        <v>0.055599999999999997</v>
      </c>
      <c r="N3629" s="5" t="e">
        <f>IF(AND(M3629&gt;#REF!,Cartera!O3629="Guaraníes"),"Rendimiento significativo",IF(AND(M3629&gt;#REF!,Cartera!O3629="Dólares americanos"),"Rendimiento significativo","Rendimiento no significativo"))</f>
        <v>#REF!</v>
      </c>
      <c r="O3629" s="5" t="s">
        <v>41</v>
      </c>
      <c r="P3629" s="12">
        <v>567399122</v>
      </c>
      <c r="Q3629" s="12">
        <f>IF(O3629="Guaraníes",P3629,P3629*#REF!)</f>
        <v>567399122</v>
      </c>
      <c r="R3629" s="13" t="e">
        <f>IF(O3629="Guaraníes",P3629/#REF!,P3629)</f>
        <v>#REF!</v>
      </c>
      <c r="S3629" s="5" t="s">
        <v>120</v>
      </c>
      <c r="AC3629" s="5" t="str">
        <f t="shared" si="172"/>
        <v>Fondo</v>
      </c>
      <c r="AD3629" s="5" t="s">
        <v>43</v>
      </c>
      <c r="AE3629" s="5">
        <f t="shared" si="173"/>
        <v>0</v>
      </c>
      <c r="AF3629" s="5">
        <f t="shared" si="174"/>
        <v>0</v>
      </c>
    </row>
    <row r="3630" s="5" customFormat="1" ht="13">
      <c r="A3630" s="5">
        <v>12314</v>
      </c>
      <c r="B3630" s="5" t="s">
        <v>739</v>
      </c>
      <c r="C3630" s="5" t="s">
        <v>737</v>
      </c>
      <c r="D3630" s="5" t="s">
        <v>20</v>
      </c>
      <c r="E3630" s="5" t="s">
        <v>34</v>
      </c>
      <c r="F3630" s="5" t="s">
        <v>738</v>
      </c>
      <c r="G3630" s="5" t="s">
        <v>75</v>
      </c>
      <c r="H3630" s="9" t="s">
        <v>151</v>
      </c>
      <c r="I3630" s="10" t="s">
        <v>152</v>
      </c>
      <c r="J3630" s="10" t="s">
        <v>152</v>
      </c>
      <c r="L3630" s="5" t="s">
        <v>151</v>
      </c>
      <c r="M3630" s="11">
        <v>0.035200000000000002</v>
      </c>
      <c r="N3630" s="5" t="e">
        <f>IF(AND(M3630&gt;#REF!,Cartera!O3630="Guaraníes"),"Rendimiento significativo",IF(AND(M3630&gt;#REF!,Cartera!O3630="Dólares americanos"),"Rendimiento significativo","Rendimiento no significativo"))</f>
        <v>#REF!</v>
      </c>
      <c r="O3630" s="5" t="s">
        <v>51</v>
      </c>
      <c r="P3630" s="13">
        <v>150286.62</v>
      </c>
      <c r="Q3630" s="12" t="e">
        <f>IF(O3630="Guaraníes",P3630,P3630*#REF!)</f>
        <v>#REF!</v>
      </c>
      <c r="R3630" s="12">
        <f>IF(O3630="Guaraníes",P3630/#REF!,P3630)</f>
        <v>150286.62</v>
      </c>
      <c r="S3630" s="5" t="s">
        <v>120</v>
      </c>
      <c r="AC3630" s="5" t="str">
        <f t="shared" si="172"/>
        <v>Fondo</v>
      </c>
      <c r="AD3630" s="5" t="s">
        <v>43</v>
      </c>
      <c r="AE3630" s="5">
        <f t="shared" si="173"/>
        <v>0</v>
      </c>
      <c r="AF3630" s="5">
        <f t="shared" si="174"/>
        <v>0</v>
      </c>
    </row>
    <row r="3631" s="5" customFormat="1" ht="13">
      <c r="A3631" s="5" t="s">
        <v>44</v>
      </c>
      <c r="B3631" s="5" t="s">
        <v>44</v>
      </c>
      <c r="C3631" s="5" t="s">
        <v>79</v>
      </c>
      <c r="D3631" s="5" t="s">
        <v>21</v>
      </c>
      <c r="E3631" s="5" t="s">
        <v>44</v>
      </c>
      <c r="F3631" s="5" t="s">
        <v>68</v>
      </c>
      <c r="H3631" s="9" t="s">
        <v>80</v>
      </c>
      <c r="I3631" s="10">
        <v>45013</v>
      </c>
      <c r="J3631" s="10">
        <v>45565</v>
      </c>
      <c r="K3631" s="5" t="s">
        <v>81</v>
      </c>
      <c r="L3631" s="5" t="s">
        <v>82</v>
      </c>
      <c r="M3631" s="11">
        <v>0.098000000000000004</v>
      </c>
      <c r="N3631" s="5" t="e">
        <f>IF(AND(M3631&gt;#REF!,Cartera!O3631="Guaraníes"),"Rendimiento significativo",IF(AND(M3631&gt;#REF!,Cartera!O3631="Dólares americanos"),"Rendimiento significativo","Rendimiento no significativo"))</f>
        <v>#REF!</v>
      </c>
      <c r="O3631" s="5" t="s">
        <v>41</v>
      </c>
      <c r="P3631" s="12">
        <v>4310993</v>
      </c>
      <c r="Q3631" s="12">
        <f>IF(O3631="Guaraníes",P3631,P3631*#REF!)</f>
        <v>4310993</v>
      </c>
      <c r="R3631" s="12" t="e">
        <f>IF(O3631="Guaraníes",P3631/#REF!,P3631)</f>
        <v>#REF!</v>
      </c>
      <c r="S3631" s="5" t="s">
        <v>52</v>
      </c>
      <c r="AC3631" s="5" t="str">
        <f t="shared" si="172"/>
        <v>CDA</v>
      </c>
      <c r="AD3631" s="5" t="s">
        <v>43</v>
      </c>
      <c r="AE3631" s="5">
        <f t="shared" si="173"/>
        <v>9</v>
      </c>
      <c r="AF3631" s="5">
        <f t="shared" si="174"/>
        <v>2024</v>
      </c>
    </row>
    <row r="3632" s="5" customFormat="1" ht="13">
      <c r="A3632" s="5">
        <v>12313</v>
      </c>
      <c r="B3632" s="5" t="s">
        <v>698</v>
      </c>
      <c r="C3632" s="5" t="s">
        <v>79</v>
      </c>
      <c r="D3632" s="5" t="s">
        <v>20</v>
      </c>
      <c r="E3632" s="5" t="s">
        <v>34</v>
      </c>
      <c r="F3632" s="5" t="s">
        <v>68</v>
      </c>
      <c r="H3632" s="9" t="s">
        <v>121</v>
      </c>
      <c r="I3632" s="10">
        <v>45497</v>
      </c>
      <c r="J3632" s="10">
        <v>46048</v>
      </c>
      <c r="L3632" s="5" t="s">
        <v>82</v>
      </c>
      <c r="M3632" s="11">
        <v>0.042000000000000003</v>
      </c>
      <c r="N3632" s="5" t="e">
        <f>IF(AND(M3632&gt;#REF!,Cartera!O3632="Guaraníes"),"Rendimiento significativo",IF(AND(M3632&gt;#REF!,Cartera!O3632="Dólares americanos"),"Rendimiento significativo","Rendimiento no significativo"))</f>
        <v>#REF!</v>
      </c>
      <c r="O3632" s="5" t="s">
        <v>51</v>
      </c>
      <c r="P3632" s="13">
        <v>20000</v>
      </c>
      <c r="Q3632" s="12" t="e">
        <f>IF(O3632="Guaraníes",P3632,P3632*#REF!)</f>
        <v>#REF!</v>
      </c>
      <c r="R3632" s="13">
        <f>IF(O3632="Guaraníes",P3632/#REF!,P3632)</f>
        <v>20000</v>
      </c>
      <c r="S3632" s="5" t="s">
        <v>120</v>
      </c>
      <c r="AC3632" s="5" t="str">
        <f t="shared" si="172"/>
        <v>CDA</v>
      </c>
      <c r="AD3632" s="5" t="s">
        <v>43</v>
      </c>
      <c r="AE3632" s="5">
        <f t="shared" si="173"/>
        <v>1</v>
      </c>
      <c r="AF3632" s="5">
        <f t="shared" si="174"/>
        <v>2026</v>
      </c>
    </row>
    <row r="3633" s="5" customFormat="1" ht="13">
      <c r="A3633" s="5" t="s">
        <v>44</v>
      </c>
      <c r="B3633" s="5" t="s">
        <v>44</v>
      </c>
      <c r="C3633" s="5" t="s">
        <v>164</v>
      </c>
      <c r="D3633" s="5" t="s">
        <v>21</v>
      </c>
      <c r="E3633" s="5" t="s">
        <v>44</v>
      </c>
      <c r="F3633" s="5" t="s">
        <v>68</v>
      </c>
      <c r="G3633" s="5" t="s">
        <v>141</v>
      </c>
      <c r="H3633" s="9" t="s">
        <v>165</v>
      </c>
      <c r="I3633" s="10"/>
      <c r="J3633" s="10">
        <v>45625</v>
      </c>
      <c r="K3633" s="5" t="s">
        <v>124</v>
      </c>
      <c r="L3633" s="5" t="s">
        <v>58</v>
      </c>
      <c r="M3633" s="11">
        <v>0.10000000000000001</v>
      </c>
      <c r="N3633" s="5" t="e">
        <f>IF(AND(M3633&gt;#REF!,Cartera!O3633="Guaraníes"),"Rendimiento significativo",IF(AND(M3633&gt;#REF!,Cartera!O3633="Dólares americanos"),"Rendimiento significativo","Rendimiento no significativo"))</f>
        <v>#REF!</v>
      </c>
      <c r="O3633" s="5" t="s">
        <v>41</v>
      </c>
      <c r="P3633" s="12">
        <v>794520.54790000001</v>
      </c>
      <c r="Q3633" s="12">
        <f>IF(O3633="Guaraníes",P3633,P3633*#REF!)</f>
        <v>794520.54790000001</v>
      </c>
      <c r="R3633" s="12" t="e">
        <f>IF(O3633="Guaraníes",P3633/#REF!,P3633)</f>
        <v>#REF!</v>
      </c>
      <c r="S3633" s="5" t="s">
        <v>52</v>
      </c>
      <c r="T3633" s="5">
        <v>9243</v>
      </c>
      <c r="W3633" s="5" t="s">
        <v>65</v>
      </c>
      <c r="X3633" s="5">
        <v>0</v>
      </c>
      <c r="Y3633" s="5">
        <v>0</v>
      </c>
      <c r="Z3633" s="5">
        <v>7945.2054790000002</v>
      </c>
      <c r="AA3633" s="5">
        <v>100</v>
      </c>
      <c r="AB3633" s="5">
        <v>794520.54790000001</v>
      </c>
      <c r="AC3633" s="5" t="str">
        <f t="shared" si="172"/>
        <v>Bonos</v>
      </c>
      <c r="AD3633" s="5" t="s">
        <v>43</v>
      </c>
      <c r="AE3633" s="5">
        <f t="shared" si="173"/>
        <v>11</v>
      </c>
      <c r="AF3633" s="5">
        <f t="shared" si="174"/>
        <v>2024</v>
      </c>
    </row>
    <row r="3634" s="5" customFormat="1" ht="13">
      <c r="A3634" s="5">
        <v>12316</v>
      </c>
      <c r="B3634" s="5" t="s">
        <v>78</v>
      </c>
      <c r="C3634" s="5" t="s">
        <v>138</v>
      </c>
      <c r="D3634" s="5" t="s">
        <v>21</v>
      </c>
      <c r="E3634" s="5" t="s">
        <v>34</v>
      </c>
      <c r="F3634" s="5" t="s">
        <v>68</v>
      </c>
      <c r="G3634" s="5" t="s">
        <v>86</v>
      </c>
      <c r="H3634" s="9" t="s">
        <v>139</v>
      </c>
      <c r="I3634" s="10">
        <v>43948</v>
      </c>
      <c r="J3634" s="10">
        <v>48129</v>
      </c>
      <c r="K3634" s="5" t="s">
        <v>140</v>
      </c>
      <c r="L3634" s="5" t="s">
        <v>58</v>
      </c>
      <c r="M3634" s="11">
        <v>0.11</v>
      </c>
      <c r="N3634" s="5" t="e">
        <f>IF(AND(M3634&gt;#REF!,Cartera!O3634="Guaraníes"),"Rendimiento significativo",IF(AND(M3634&gt;#REF!,Cartera!O3634="Dólares americanos"),"Rendimiento significativo","Rendimiento no significativo"))</f>
        <v>#REF!</v>
      </c>
      <c r="O3634" s="5" t="s">
        <v>41</v>
      </c>
      <c r="P3634" s="12">
        <v>148013.55920000002</v>
      </c>
      <c r="Q3634" s="12">
        <f>IF(O3634="Guaraníes",P3634,P3634*#REF!)</f>
        <v>148013.55920000002</v>
      </c>
      <c r="R3634" s="12" t="e">
        <f>IF(O3634="Guaraníes",P3634/#REF!,P3634)</f>
        <v>#REF!</v>
      </c>
      <c r="S3634" s="5" t="s">
        <v>42</v>
      </c>
      <c r="AC3634" s="5" t="str">
        <f t="shared" si="172"/>
        <v>Bonos</v>
      </c>
      <c r="AD3634" s="5" t="s">
        <v>43</v>
      </c>
      <c r="AE3634" s="5">
        <f t="shared" si="173"/>
        <v>10</v>
      </c>
      <c r="AF3634" s="5">
        <f t="shared" si="174"/>
        <v>2031</v>
      </c>
    </row>
    <row r="3635" s="5" customFormat="1" ht="13">
      <c r="A3635" s="5">
        <v>12316</v>
      </c>
      <c r="B3635" s="5" t="s">
        <v>78</v>
      </c>
      <c r="C3635" s="5" t="s">
        <v>183</v>
      </c>
      <c r="D3635" s="5" t="s">
        <v>21</v>
      </c>
      <c r="E3635" s="5" t="s">
        <v>34</v>
      </c>
      <c r="F3635" s="5" t="s">
        <v>184</v>
      </c>
      <c r="H3635" s="9">
        <v>6389</v>
      </c>
      <c r="I3635" s="10"/>
      <c r="J3635" s="10">
        <v>48158</v>
      </c>
      <c r="K3635" s="5" t="s">
        <v>124</v>
      </c>
      <c r="L3635" s="5" t="s">
        <v>82</v>
      </c>
      <c r="M3635" s="11">
        <v>0.079000000000000001</v>
      </c>
      <c r="N3635" s="5" t="e">
        <f>IF(AND(M3635&gt;#REF!,Cartera!O3635="Guaraníes"),"Rendimiento significativo",IF(AND(M3635&gt;#REF!,Cartera!O3635="Dólares americanos"),"Rendimiento significativo","Rendimiento no significativo"))</f>
        <v>#REF!</v>
      </c>
      <c r="O3635" s="5" t="s">
        <v>41</v>
      </c>
      <c r="P3635" s="12">
        <v>9792410</v>
      </c>
      <c r="Q3635" s="12">
        <f>IF(O3635="Guaraníes",P3635,P3635*#REF!)</f>
        <v>9792410</v>
      </c>
      <c r="R3635" s="12" t="e">
        <f>IF(O3635="Guaraníes",P3635/#REF!,P3635)</f>
        <v>#REF!</v>
      </c>
      <c r="S3635" s="5" t="s">
        <v>42</v>
      </c>
      <c r="V3635" s="5">
        <v>9792410</v>
      </c>
      <c r="W3635" s="5" t="s">
        <v>320</v>
      </c>
      <c r="AC3635" s="5" t="str">
        <f t="shared" si="172"/>
        <v>CDA</v>
      </c>
      <c r="AD3635" s="5" t="s">
        <v>43</v>
      </c>
      <c r="AE3635" s="5">
        <f t="shared" si="173"/>
        <v>11</v>
      </c>
      <c r="AF3635" s="5">
        <f t="shared" si="174"/>
        <v>2031</v>
      </c>
    </row>
    <row r="3636" s="5" customFormat="1" ht="13">
      <c r="A3636" s="5">
        <v>12316</v>
      </c>
      <c r="B3636" s="5" t="s">
        <v>78</v>
      </c>
      <c r="C3636" s="5" t="s">
        <v>183</v>
      </c>
      <c r="D3636" s="5" t="s">
        <v>21</v>
      </c>
      <c r="E3636" s="5" t="s">
        <v>34</v>
      </c>
      <c r="F3636" s="5" t="s">
        <v>184</v>
      </c>
      <c r="H3636" s="9">
        <v>6390</v>
      </c>
      <c r="I3636" s="10"/>
      <c r="J3636" s="10">
        <v>48158</v>
      </c>
      <c r="K3636" s="5" t="s">
        <v>124</v>
      </c>
      <c r="L3636" s="5" t="s">
        <v>82</v>
      </c>
      <c r="M3636" s="11">
        <v>0.079000000000000001</v>
      </c>
      <c r="N3636" s="5" t="e">
        <f>IF(AND(M3636&gt;#REF!,Cartera!O3636="Guaraníes"),"Rendimiento significativo",IF(AND(M3636&gt;#REF!,Cartera!O3636="Dólares americanos"),"Rendimiento significativo","Rendimiento no significativo"))</f>
        <v>#REF!</v>
      </c>
      <c r="O3636" s="5" t="s">
        <v>41</v>
      </c>
      <c r="P3636" s="12">
        <v>9792410</v>
      </c>
      <c r="Q3636" s="12">
        <f>IF(O3636="Guaraníes",P3636,P3636*#REF!)</f>
        <v>9792410</v>
      </c>
      <c r="R3636" s="12" t="e">
        <f>IF(O3636="Guaraníes",P3636/#REF!,P3636)</f>
        <v>#REF!</v>
      </c>
      <c r="S3636" s="5" t="s">
        <v>42</v>
      </c>
      <c r="V3636" s="5">
        <v>9792410</v>
      </c>
      <c r="W3636" s="5" t="s">
        <v>320</v>
      </c>
      <c r="AC3636" s="5" t="str">
        <f t="shared" si="172"/>
        <v>CDA</v>
      </c>
      <c r="AD3636" s="5" t="s">
        <v>43</v>
      </c>
      <c r="AE3636" s="5">
        <f t="shared" si="173"/>
        <v>11</v>
      </c>
      <c r="AF3636" s="5">
        <f t="shared" si="174"/>
        <v>2031</v>
      </c>
    </row>
    <row r="3637" s="5" customFormat="1" ht="13">
      <c r="A3637" s="5">
        <v>12316</v>
      </c>
      <c r="B3637" s="5" t="s">
        <v>78</v>
      </c>
      <c r="C3637" s="5" t="s">
        <v>183</v>
      </c>
      <c r="D3637" s="5" t="s">
        <v>21</v>
      </c>
      <c r="E3637" s="5" t="s">
        <v>34</v>
      </c>
      <c r="F3637" s="5" t="s">
        <v>184</v>
      </c>
      <c r="H3637" s="9">
        <v>6391</v>
      </c>
      <c r="I3637" s="10"/>
      <c r="J3637" s="10">
        <v>48158</v>
      </c>
      <c r="K3637" s="5" t="s">
        <v>124</v>
      </c>
      <c r="L3637" s="5" t="s">
        <v>82</v>
      </c>
      <c r="M3637" s="11">
        <v>0.079000000000000001</v>
      </c>
      <c r="N3637" s="5" t="e">
        <f>IF(AND(M3637&gt;#REF!,Cartera!O3637="Guaraníes"),"Rendimiento significativo",IF(AND(M3637&gt;#REF!,Cartera!O3637="Dólares americanos"),"Rendimiento significativo","Rendimiento no significativo"))</f>
        <v>#REF!</v>
      </c>
      <c r="O3637" s="5" t="s">
        <v>41</v>
      </c>
      <c r="P3637" s="12">
        <v>9792410</v>
      </c>
      <c r="Q3637" s="12">
        <f>IF(O3637="Guaraníes",P3637,P3637*#REF!)</f>
        <v>9792410</v>
      </c>
      <c r="R3637" s="12" t="e">
        <f>IF(O3637="Guaraníes",P3637/#REF!,P3637)</f>
        <v>#REF!</v>
      </c>
      <c r="S3637" s="5" t="s">
        <v>42</v>
      </c>
      <c r="V3637" s="5">
        <v>9792410</v>
      </c>
      <c r="W3637" s="5" t="s">
        <v>320</v>
      </c>
      <c r="AC3637" s="5" t="str">
        <f t="shared" si="172"/>
        <v>CDA</v>
      </c>
      <c r="AD3637" s="5" t="s">
        <v>43</v>
      </c>
      <c r="AE3637" s="5">
        <f t="shared" si="173"/>
        <v>11</v>
      </c>
      <c r="AF3637" s="5">
        <f t="shared" si="174"/>
        <v>2031</v>
      </c>
    </row>
    <row r="3638" s="5" customFormat="1" ht="13">
      <c r="A3638" s="5">
        <v>12316</v>
      </c>
      <c r="B3638" s="5" t="s">
        <v>78</v>
      </c>
      <c r="C3638" s="5" t="s">
        <v>183</v>
      </c>
      <c r="D3638" s="5" t="s">
        <v>21</v>
      </c>
      <c r="E3638" s="5" t="s">
        <v>34</v>
      </c>
      <c r="F3638" s="5" t="s">
        <v>184</v>
      </c>
      <c r="H3638" s="9">
        <v>6388</v>
      </c>
      <c r="I3638" s="10"/>
      <c r="J3638" s="10">
        <v>48158</v>
      </c>
      <c r="K3638" s="5" t="s">
        <v>124</v>
      </c>
      <c r="L3638" s="5" t="s">
        <v>82</v>
      </c>
      <c r="M3638" s="11">
        <v>0.079000000000000001</v>
      </c>
      <c r="N3638" s="5" t="e">
        <f>IF(AND(M3638&gt;#REF!,Cartera!O3638="Guaraníes"),"Rendimiento significativo",IF(AND(M3638&gt;#REF!,Cartera!O3638="Dólares americanos"),"Rendimiento significativo","Rendimiento no significativo"))</f>
        <v>#REF!</v>
      </c>
      <c r="O3638" s="5" t="s">
        <v>41</v>
      </c>
      <c r="P3638" s="12">
        <v>9792410</v>
      </c>
      <c r="Q3638" s="12">
        <f>IF(O3638="Guaraníes",P3638,P3638*#REF!)</f>
        <v>9792410</v>
      </c>
      <c r="R3638" s="12" t="e">
        <f>IF(O3638="Guaraníes",P3638/#REF!,P3638)</f>
        <v>#REF!</v>
      </c>
      <c r="S3638" s="5" t="s">
        <v>42</v>
      </c>
      <c r="AC3638" s="5" t="str">
        <f t="shared" si="172"/>
        <v>CDA</v>
      </c>
      <c r="AD3638" s="5" t="s">
        <v>43</v>
      </c>
      <c r="AE3638" s="5">
        <f t="shared" si="173"/>
        <v>11</v>
      </c>
      <c r="AF3638" s="5">
        <f t="shared" si="174"/>
        <v>2031</v>
      </c>
    </row>
    <row r="3639" s="5" customFormat="1" ht="13">
      <c r="A3639" s="5">
        <v>12316</v>
      </c>
      <c r="B3639" s="5" t="s">
        <v>78</v>
      </c>
      <c r="C3639" s="5" t="s">
        <v>138</v>
      </c>
      <c r="D3639" s="5" t="s">
        <v>21</v>
      </c>
      <c r="E3639" s="5" t="s">
        <v>34</v>
      </c>
      <c r="F3639" s="5" t="s">
        <v>68</v>
      </c>
      <c r="G3639" s="5" t="s">
        <v>86</v>
      </c>
      <c r="H3639" s="9" t="s">
        <v>139</v>
      </c>
      <c r="I3639" s="10">
        <v>43948</v>
      </c>
      <c r="J3639" s="10">
        <v>48159</v>
      </c>
      <c r="K3639" s="5" t="s">
        <v>140</v>
      </c>
      <c r="L3639" s="5" t="s">
        <v>58</v>
      </c>
      <c r="M3639" s="11">
        <v>0.11</v>
      </c>
      <c r="N3639" s="5" t="e">
        <f>IF(AND(M3639&gt;#REF!,Cartera!O3639="Guaraníes"),"Rendimiento significativo",IF(AND(M3639&gt;#REF!,Cartera!O3639="Dólares americanos"),"Rendimiento significativo","Rendimiento no significativo"))</f>
        <v>#REF!</v>
      </c>
      <c r="O3639" s="5" t="s">
        <v>41</v>
      </c>
      <c r="P3639" s="12">
        <v>132161.45679999999</v>
      </c>
      <c r="Q3639" s="12">
        <f>IF(O3639="Guaraníes",P3639,P3639*#REF!)</f>
        <v>132161.45679999999</v>
      </c>
      <c r="R3639" s="12" t="e">
        <f>IF(O3639="Guaraníes",P3639/#REF!,P3639)</f>
        <v>#REF!</v>
      </c>
      <c r="S3639" s="5" t="s">
        <v>42</v>
      </c>
      <c r="AC3639" s="5" t="str">
        <f t="shared" ref="AC3639:AC3702" si="175">IF(ISNUMBER(SEARCH("Acciones",L3639)),"Acciones",IF(ISNUMBER(SEARCH("Bono",L3639)),"Bonos",IF(ISNUMBER(SEARCH("CDA",L3639)),"CDA",IF(ISNUMBER(SEARCH("Fondo",L3639)),"Fondo",0))))</f>
        <v>Bonos</v>
      </c>
      <c r="AD3639" s="5" t="s">
        <v>43</v>
      </c>
      <c r="AE3639" s="5">
        <f t="shared" si="173"/>
        <v>11</v>
      </c>
      <c r="AF3639" s="5">
        <f t="shared" si="174"/>
        <v>2031</v>
      </c>
    </row>
    <row r="3640" s="5" customFormat="1" ht="13">
      <c r="A3640" s="5">
        <v>12316</v>
      </c>
      <c r="B3640" s="5" t="s">
        <v>78</v>
      </c>
      <c r="C3640" s="5" t="s">
        <v>160</v>
      </c>
      <c r="D3640" s="5" t="s">
        <v>21</v>
      </c>
      <c r="E3640" s="5" t="s">
        <v>34</v>
      </c>
      <c r="F3640" s="5" t="s">
        <v>68</v>
      </c>
      <c r="G3640" s="5" t="s">
        <v>91</v>
      </c>
      <c r="H3640" s="9" t="s">
        <v>161</v>
      </c>
      <c r="I3640" s="10">
        <v>44581</v>
      </c>
      <c r="J3640" s="10">
        <v>48190</v>
      </c>
      <c r="K3640" s="5" t="s">
        <v>162</v>
      </c>
      <c r="L3640" s="5" t="s">
        <v>58</v>
      </c>
      <c r="M3640" s="11">
        <v>0.086999999999999994</v>
      </c>
      <c r="N3640" s="5" t="e">
        <f>IF(AND(M3640&gt;#REF!,Cartera!O3640="Guaraníes"),"Rendimiento significativo",IF(AND(M3640&gt;#REF!,Cartera!O3640="Dólares americanos"),"Rendimiento significativo","Rendimiento no significativo"))</f>
        <v>#REF!</v>
      </c>
      <c r="O3640" s="5" t="s">
        <v>41</v>
      </c>
      <c r="P3640" s="12">
        <v>17352328.767200001</v>
      </c>
      <c r="Q3640" s="12">
        <f>IF(O3640="Guaraníes",P3640,P3640*#REF!)</f>
        <v>17352328.767200001</v>
      </c>
      <c r="R3640" s="12" t="e">
        <f>IF(O3640="Guaraníes",P3640/#REF!,P3640)</f>
        <v>#REF!</v>
      </c>
      <c r="S3640" s="5" t="s">
        <v>42</v>
      </c>
      <c r="AC3640" s="5" t="str">
        <f t="shared" si="175"/>
        <v>Bonos</v>
      </c>
      <c r="AD3640" s="5" t="s">
        <v>43</v>
      </c>
      <c r="AE3640" s="5">
        <f t="shared" si="173"/>
        <v>12</v>
      </c>
      <c r="AF3640" s="5">
        <f t="shared" si="174"/>
        <v>2031</v>
      </c>
    </row>
    <row r="3641" s="5" customFormat="1" ht="13">
      <c r="A3641" s="5">
        <v>12313</v>
      </c>
      <c r="B3641" s="5" t="s">
        <v>698</v>
      </c>
      <c r="C3641" s="5" t="s">
        <v>60</v>
      </c>
      <c r="D3641" s="5" t="s">
        <v>20</v>
      </c>
      <c r="E3641" s="5" t="s">
        <v>34</v>
      </c>
      <c r="F3641" s="5" t="s">
        <v>68</v>
      </c>
      <c r="H3641" s="9"/>
      <c r="I3641" s="10">
        <v>45527</v>
      </c>
      <c r="J3641" s="10">
        <v>46258</v>
      </c>
      <c r="L3641" s="5" t="s">
        <v>82</v>
      </c>
      <c r="M3641" s="11">
        <v>0.057500000000000002</v>
      </c>
      <c r="N3641" s="5" t="e">
        <f>IF(AND(M3641&gt;#REF!,Cartera!O3641="Guaraníes"),"Rendimiento significativo",IF(AND(M3641&gt;#REF!,Cartera!O3641="Dólares americanos"),"Rendimiento significativo","Rendimiento no significativo"))</f>
        <v>#REF!</v>
      </c>
      <c r="O3641" s="5" t="s">
        <v>51</v>
      </c>
      <c r="P3641" s="13">
        <v>20000</v>
      </c>
      <c r="Q3641" s="12" t="e">
        <f>IF(O3641="Guaraníes",P3641,P3641*#REF!)</f>
        <v>#REF!</v>
      </c>
      <c r="R3641" s="13">
        <f>IF(O3641="Guaraníes",P3641/#REF!,P3641)</f>
        <v>20000</v>
      </c>
      <c r="S3641" s="5" t="s">
        <v>120</v>
      </c>
      <c r="AC3641" s="5" t="str">
        <f t="shared" si="175"/>
        <v>CDA</v>
      </c>
      <c r="AD3641" s="5" t="s">
        <v>43</v>
      </c>
      <c r="AE3641" s="5">
        <f t="shared" si="173"/>
        <v>8</v>
      </c>
      <c r="AF3641" s="5">
        <f t="shared" si="174"/>
        <v>2026</v>
      </c>
    </row>
    <row r="3642" s="5" customFormat="1" ht="13">
      <c r="A3642" s="5" t="s">
        <v>44</v>
      </c>
      <c r="B3642" s="5" t="s">
        <v>44</v>
      </c>
      <c r="C3642" s="5" t="s">
        <v>164</v>
      </c>
      <c r="D3642" s="5" t="s">
        <v>21</v>
      </c>
      <c r="E3642" s="5" t="s">
        <v>44</v>
      </c>
      <c r="F3642" s="5" t="s">
        <v>68</v>
      </c>
      <c r="G3642" s="5" t="s">
        <v>141</v>
      </c>
      <c r="H3642" s="9" t="s">
        <v>167</v>
      </c>
      <c r="I3642" s="10"/>
      <c r="J3642" s="10">
        <v>45625</v>
      </c>
      <c r="K3642" s="5" t="s">
        <v>124</v>
      </c>
      <c r="L3642" s="5" t="s">
        <v>58</v>
      </c>
      <c r="M3642" s="11">
        <v>0.092499999999999999</v>
      </c>
      <c r="N3642" s="5" t="e">
        <f>IF(AND(M3642&gt;#REF!,Cartera!O3642="Guaraníes"),"Rendimiento significativo",IF(AND(M3642&gt;#REF!,Cartera!O3642="Dólares americanos"),"Rendimiento significativo","Rendimiento no significativo"))</f>
        <v>#REF!</v>
      </c>
      <c r="O3642" s="5" t="s">
        <v>41</v>
      </c>
      <c r="P3642" s="12">
        <v>734931.50679999997</v>
      </c>
      <c r="Q3642" s="12">
        <f>IF(O3642="Guaraníes",P3642,P3642*#REF!)</f>
        <v>734931.50679999997</v>
      </c>
      <c r="R3642" s="12" t="e">
        <f>IF(O3642="Guaraníes",P3642/#REF!,P3642)</f>
        <v>#REF!</v>
      </c>
      <c r="S3642" s="5" t="s">
        <v>52</v>
      </c>
      <c r="T3642" s="5">
        <v>9243</v>
      </c>
      <c r="W3642" s="5" t="s">
        <v>65</v>
      </c>
      <c r="X3642" s="5">
        <v>0</v>
      </c>
      <c r="Y3642" s="5">
        <v>0</v>
      </c>
      <c r="Z3642" s="5">
        <v>7349.3150679999999</v>
      </c>
      <c r="AA3642" s="5">
        <v>100</v>
      </c>
      <c r="AB3642" s="5">
        <v>734931.50679999997</v>
      </c>
      <c r="AC3642" s="5" t="str">
        <f t="shared" si="175"/>
        <v>Bonos</v>
      </c>
      <c r="AD3642" s="5" t="s">
        <v>43</v>
      </c>
      <c r="AE3642" s="5">
        <f t="shared" si="173"/>
        <v>11</v>
      </c>
      <c r="AF3642" s="5">
        <f t="shared" si="174"/>
        <v>2024</v>
      </c>
    </row>
    <row r="3643" s="5" customFormat="1" ht="13">
      <c r="A3643" s="5">
        <v>12316</v>
      </c>
      <c r="B3643" s="5" t="s">
        <v>78</v>
      </c>
      <c r="C3643" s="5" t="s">
        <v>138</v>
      </c>
      <c r="D3643" s="5" t="s">
        <v>21</v>
      </c>
      <c r="E3643" s="5" t="s">
        <v>34</v>
      </c>
      <c r="F3643" s="5" t="s">
        <v>68</v>
      </c>
      <c r="G3643" s="5" t="s">
        <v>86</v>
      </c>
      <c r="H3643" s="9" t="s">
        <v>139</v>
      </c>
      <c r="I3643" s="10">
        <v>43948</v>
      </c>
      <c r="J3643" s="10">
        <v>48191</v>
      </c>
      <c r="K3643" s="5" t="s">
        <v>140</v>
      </c>
      <c r="L3643" s="5" t="s">
        <v>58</v>
      </c>
      <c r="M3643" s="11">
        <v>0.11</v>
      </c>
      <c r="N3643" s="5" t="e">
        <f>IF(AND(M3643&gt;#REF!,Cartera!O3643="Guaraníes"),"Rendimiento significativo",IF(AND(M3643&gt;#REF!,Cartera!O3643="Dólares americanos"),"Rendimiento significativo","Rendimiento no significativo"))</f>
        <v>#REF!</v>
      </c>
      <c r="O3643" s="5" t="s">
        <v>41</v>
      </c>
      <c r="P3643" s="12">
        <v>123908.31270000001</v>
      </c>
      <c r="Q3643" s="12">
        <f>IF(O3643="Guaraníes",P3643,P3643*#REF!)</f>
        <v>123908.31270000001</v>
      </c>
      <c r="R3643" s="12" t="e">
        <f>IF(O3643="Guaraníes",P3643/#REF!,P3643)</f>
        <v>#REF!</v>
      </c>
      <c r="S3643" s="5" t="s">
        <v>42</v>
      </c>
      <c r="AC3643" s="5" t="str">
        <f t="shared" si="175"/>
        <v>Bonos</v>
      </c>
      <c r="AD3643" s="5" t="s">
        <v>43</v>
      </c>
      <c r="AE3643" s="5">
        <f t="shared" si="173"/>
        <v>12</v>
      </c>
      <c r="AF3643" s="5">
        <f t="shared" si="174"/>
        <v>2031</v>
      </c>
    </row>
    <row r="3644" s="5" customFormat="1" ht="13">
      <c r="A3644" s="5">
        <v>12316</v>
      </c>
      <c r="B3644" s="5" t="s">
        <v>78</v>
      </c>
      <c r="C3644" s="5" t="s">
        <v>138</v>
      </c>
      <c r="D3644" s="5" t="s">
        <v>21</v>
      </c>
      <c r="E3644" s="5" t="s">
        <v>34</v>
      </c>
      <c r="F3644" s="5" t="s">
        <v>68</v>
      </c>
      <c r="G3644" s="5" t="s">
        <v>86</v>
      </c>
      <c r="H3644" s="9" t="s">
        <v>193</v>
      </c>
      <c r="I3644" s="10">
        <v>44104</v>
      </c>
      <c r="J3644" s="10">
        <v>48198</v>
      </c>
      <c r="K3644" s="5" t="s">
        <v>140</v>
      </c>
      <c r="L3644" s="5" t="s">
        <v>58</v>
      </c>
      <c r="M3644" s="11">
        <v>0.10000000000000001</v>
      </c>
      <c r="N3644" s="5" t="e">
        <f>IF(AND(M3644&gt;#REF!,Cartera!O3644="Guaraníes"),"Rendimiento significativo",IF(AND(M3644&gt;#REF!,Cartera!O3644="Dólares americanos"),"Rendimiento significativo","Rendimiento no significativo"))</f>
        <v>#REF!</v>
      </c>
      <c r="O3644" s="5" t="s">
        <v>41</v>
      </c>
      <c r="P3644" s="12">
        <v>1246575.3425</v>
      </c>
      <c r="Q3644" s="12">
        <f>IF(O3644="Guaraníes",P3644,P3644*#REF!)</f>
        <v>1246575.3425</v>
      </c>
      <c r="R3644" s="12" t="e">
        <f>IF(O3644="Guaraníes",P3644/#REF!,P3644)</f>
        <v>#REF!</v>
      </c>
      <c r="S3644" s="5" t="s">
        <v>42</v>
      </c>
      <c r="AC3644" s="5" t="str">
        <f t="shared" si="175"/>
        <v>Bonos</v>
      </c>
      <c r="AD3644" s="5" t="s">
        <v>43</v>
      </c>
      <c r="AE3644" s="5">
        <f t="shared" si="173"/>
        <v>12</v>
      </c>
      <c r="AF3644" s="5">
        <f t="shared" si="174"/>
        <v>2031</v>
      </c>
    </row>
    <row r="3645" s="5" customFormat="1" ht="13">
      <c r="A3645" s="5">
        <v>12316</v>
      </c>
      <c r="B3645" s="5" t="s">
        <v>78</v>
      </c>
      <c r="C3645" s="5" t="s">
        <v>138</v>
      </c>
      <c r="D3645" s="5" t="s">
        <v>21</v>
      </c>
      <c r="E3645" s="5" t="s">
        <v>34</v>
      </c>
      <c r="F3645" s="5" t="s">
        <v>68</v>
      </c>
      <c r="G3645" s="5" t="s">
        <v>86</v>
      </c>
      <c r="H3645" s="9" t="s">
        <v>139</v>
      </c>
      <c r="I3645" s="10">
        <v>43948</v>
      </c>
      <c r="J3645" s="10">
        <v>48222</v>
      </c>
      <c r="K3645" s="5" t="s">
        <v>140</v>
      </c>
      <c r="L3645" s="5" t="s">
        <v>58</v>
      </c>
      <c r="M3645" s="11">
        <v>0.11</v>
      </c>
      <c r="N3645" s="5" t="e">
        <f>IF(AND(M3645&gt;#REF!,Cartera!O3645="Guaraníes"),"Rendimiento significativo",IF(AND(M3645&gt;#REF!,Cartera!O3645="Dólares americanos"),"Rendimiento significativo","Rendimiento no significativo"))</f>
        <v>#REF!</v>
      </c>
      <c r="O3645" s="5" t="s">
        <v>41</v>
      </c>
      <c r="P3645" s="12">
        <v>103353.98620000001</v>
      </c>
      <c r="Q3645" s="12">
        <f>IF(O3645="Guaraníes",P3645,P3645*#REF!)</f>
        <v>103353.98620000001</v>
      </c>
      <c r="R3645" s="12" t="e">
        <f>IF(O3645="Guaraníes",P3645/#REF!,P3645)</f>
        <v>#REF!</v>
      </c>
      <c r="S3645" s="5" t="s">
        <v>42</v>
      </c>
      <c r="AC3645" s="5" t="str">
        <f t="shared" si="175"/>
        <v>Bonos</v>
      </c>
      <c r="AD3645" s="5" t="s">
        <v>43</v>
      </c>
      <c r="AE3645" s="5">
        <f t="shared" si="173"/>
        <v>1</v>
      </c>
      <c r="AF3645" s="5">
        <f t="shared" si="174"/>
        <v>2032</v>
      </c>
    </row>
    <row r="3646" s="5" customFormat="1" ht="13">
      <c r="A3646" s="5">
        <v>12316</v>
      </c>
      <c r="B3646" s="5" t="s">
        <v>78</v>
      </c>
      <c r="C3646" s="5" t="s">
        <v>138</v>
      </c>
      <c r="D3646" s="5" t="s">
        <v>21</v>
      </c>
      <c r="E3646" s="5" t="s">
        <v>34</v>
      </c>
      <c r="F3646" s="5" t="s">
        <v>68</v>
      </c>
      <c r="G3646" s="5" t="s">
        <v>86</v>
      </c>
      <c r="H3646" s="9" t="s">
        <v>139</v>
      </c>
      <c r="I3646" s="10">
        <v>43948</v>
      </c>
      <c r="J3646" s="10">
        <v>48253</v>
      </c>
      <c r="K3646" s="5" t="s">
        <v>140</v>
      </c>
      <c r="L3646" s="5" t="s">
        <v>58</v>
      </c>
      <c r="M3646" s="11">
        <v>0.11</v>
      </c>
      <c r="N3646" s="5" t="e">
        <f>IF(AND(M3646&gt;#REF!,Cartera!O3646="Guaraníes"),"Rendimiento significativo",IF(AND(M3646&gt;#REF!,Cartera!O3646="Dólares americanos"),"Rendimiento significativo","Rendimiento no significativo"))</f>
        <v>#REF!</v>
      </c>
      <c r="O3646" s="5" t="s">
        <v>41</v>
      </c>
      <c r="P3646" s="12">
        <v>86518.875</v>
      </c>
      <c r="Q3646" s="12">
        <f>IF(O3646="Guaraníes",P3646,P3646*#REF!)</f>
        <v>86518.875</v>
      </c>
      <c r="R3646" s="12" t="e">
        <f>IF(O3646="Guaraníes",P3646/#REF!,P3646)</f>
        <v>#REF!</v>
      </c>
      <c r="S3646" s="5" t="s">
        <v>42</v>
      </c>
      <c r="AC3646" s="5" t="str">
        <f t="shared" si="175"/>
        <v>Bonos</v>
      </c>
      <c r="AD3646" s="5" t="s">
        <v>43</v>
      </c>
      <c r="AE3646" s="5">
        <f t="shared" si="173"/>
        <v>2</v>
      </c>
      <c r="AF3646" s="5">
        <f t="shared" si="174"/>
        <v>2032</v>
      </c>
    </row>
    <row r="3647" s="5" customFormat="1" ht="13">
      <c r="A3647" s="5">
        <v>12316</v>
      </c>
      <c r="B3647" s="5" t="s">
        <v>78</v>
      </c>
      <c r="C3647" s="5" t="s">
        <v>99</v>
      </c>
      <c r="D3647" s="5" t="s">
        <v>21</v>
      </c>
      <c r="E3647" s="5" t="s">
        <v>34</v>
      </c>
      <c r="F3647" s="5" t="s">
        <v>100</v>
      </c>
      <c r="G3647" s="5" t="s">
        <v>86</v>
      </c>
      <c r="H3647" s="9" t="s">
        <v>155</v>
      </c>
      <c r="I3647" s="10"/>
      <c r="J3647" s="10">
        <v>48276</v>
      </c>
      <c r="K3647" s="5" t="s">
        <v>102</v>
      </c>
      <c r="L3647" s="5" t="s">
        <v>102</v>
      </c>
      <c r="M3647" s="11">
        <v>0.081000000000000003</v>
      </c>
      <c r="N3647" s="5" t="e">
        <f>IF(AND(M3647&gt;#REF!,Cartera!O3647="Guaraníes"),"Rendimiento significativo",IF(AND(M3647&gt;#REF!,Cartera!O3647="Dólares americanos"),"Rendimiento significativo","Rendimiento no significativo"))</f>
        <v>#REF!</v>
      </c>
      <c r="O3647" s="5" t="s">
        <v>41</v>
      </c>
      <c r="P3647" s="12">
        <v>28000000</v>
      </c>
      <c r="Q3647" s="12">
        <f>IF(O3647="Guaraníes",P3647,P3647*#REF!)</f>
        <v>28000000</v>
      </c>
      <c r="R3647" s="12" t="e">
        <f>IF(O3647="Guaraníes",P3647/#REF!,P3647)</f>
        <v>#REF!</v>
      </c>
      <c r="S3647" s="5" t="s">
        <v>42</v>
      </c>
      <c r="T3647" s="5">
        <v>10834</v>
      </c>
      <c r="W3647" s="5" t="s">
        <v>65</v>
      </c>
      <c r="X3647" s="5">
        <v>0</v>
      </c>
      <c r="Y3647" s="5">
        <v>0</v>
      </c>
      <c r="Z3647" s="5">
        <v>40000</v>
      </c>
      <c r="AA3647" s="5">
        <v>700</v>
      </c>
      <c r="AB3647" s="5">
        <v>28000000</v>
      </c>
      <c r="AC3647" s="5" t="str">
        <f t="shared" si="175"/>
        <v>Bonos</v>
      </c>
      <c r="AD3647" s="5" t="s">
        <v>43</v>
      </c>
      <c r="AE3647" s="5">
        <f t="shared" si="173"/>
        <v>3</v>
      </c>
      <c r="AF3647" s="5">
        <f t="shared" si="174"/>
        <v>2032</v>
      </c>
    </row>
    <row r="3648" s="5" customFormat="1" ht="13">
      <c r="A3648" s="5">
        <v>12316</v>
      </c>
      <c r="B3648" s="5" t="s">
        <v>78</v>
      </c>
      <c r="C3648" s="5" t="s">
        <v>138</v>
      </c>
      <c r="D3648" s="5" t="s">
        <v>21</v>
      </c>
      <c r="E3648" s="5" t="s">
        <v>34</v>
      </c>
      <c r="F3648" s="5" t="s">
        <v>68</v>
      </c>
      <c r="G3648" s="5" t="s">
        <v>86</v>
      </c>
      <c r="H3648" s="9" t="s">
        <v>139</v>
      </c>
      <c r="I3648" s="10">
        <v>43948</v>
      </c>
      <c r="J3648" s="10">
        <v>48284</v>
      </c>
      <c r="K3648" s="5" t="s">
        <v>140</v>
      </c>
      <c r="L3648" s="5" t="s">
        <v>58</v>
      </c>
      <c r="M3648" s="11">
        <v>0.11</v>
      </c>
      <c r="N3648" s="5" t="e">
        <f>IF(AND(M3648&gt;#REF!,Cartera!O3648="Guaraníes"),"Rendimiento significativo",IF(AND(M3648&gt;#REF!,Cartera!O3648="Dólares americanos"),"Rendimiento significativo","Rendimiento no significativo"))</f>
        <v>#REF!</v>
      </c>
      <c r="O3648" s="5" t="s">
        <v>41</v>
      </c>
      <c r="P3648" s="12">
        <v>69529.441299999991</v>
      </c>
      <c r="Q3648" s="12">
        <f>IF(O3648="Guaraníes",P3648,P3648*#REF!)</f>
        <v>69529.441299999991</v>
      </c>
      <c r="R3648" s="12" t="e">
        <f>IF(O3648="Guaraníes",P3648/#REF!,P3648)</f>
        <v>#REF!</v>
      </c>
      <c r="S3648" s="5" t="s">
        <v>42</v>
      </c>
      <c r="AC3648" s="5" t="str">
        <f t="shared" si="175"/>
        <v>Bonos</v>
      </c>
      <c r="AD3648" s="5" t="s">
        <v>43</v>
      </c>
      <c r="AE3648" s="5">
        <f t="shared" si="173"/>
        <v>3</v>
      </c>
      <c r="AF3648" s="5">
        <f t="shared" si="174"/>
        <v>2032</v>
      </c>
    </row>
    <row r="3649" s="5" customFormat="1" ht="13">
      <c r="A3649" s="5">
        <v>12316</v>
      </c>
      <c r="B3649" s="5" t="s">
        <v>78</v>
      </c>
      <c r="C3649" s="5" t="s">
        <v>138</v>
      </c>
      <c r="D3649" s="5" t="s">
        <v>21</v>
      </c>
      <c r="E3649" s="5" t="s">
        <v>34</v>
      </c>
      <c r="F3649" s="5" t="s">
        <v>68</v>
      </c>
      <c r="G3649" s="5" t="s">
        <v>86</v>
      </c>
      <c r="H3649" s="9" t="s">
        <v>193</v>
      </c>
      <c r="I3649" s="10">
        <v>44104</v>
      </c>
      <c r="J3649" s="10">
        <v>48289</v>
      </c>
      <c r="K3649" s="5" t="s">
        <v>140</v>
      </c>
      <c r="L3649" s="5" t="s">
        <v>58</v>
      </c>
      <c r="M3649" s="11">
        <v>0.10000000000000001</v>
      </c>
      <c r="N3649" s="5" t="e">
        <f>IF(AND(M3649&gt;#REF!,Cartera!O3649="Guaraníes"),"Rendimiento significativo",IF(AND(M3649&gt;#REF!,Cartera!O3649="Dólares americanos"),"Rendimiento significativo","Rendimiento no significativo"))</f>
        <v>#REF!</v>
      </c>
      <c r="O3649" s="5" t="s">
        <v>41</v>
      </c>
      <c r="P3649" s="12">
        <v>934931.50679999997</v>
      </c>
      <c r="Q3649" s="12">
        <f>IF(O3649="Guaraníes",P3649,P3649*#REF!)</f>
        <v>934931.50679999997</v>
      </c>
      <c r="R3649" s="12" t="e">
        <f>IF(O3649="Guaraníes",P3649/#REF!,P3649)</f>
        <v>#REF!</v>
      </c>
      <c r="S3649" s="5" t="s">
        <v>42</v>
      </c>
      <c r="AC3649" s="5" t="str">
        <f t="shared" si="175"/>
        <v>Bonos</v>
      </c>
      <c r="AD3649" s="5" t="s">
        <v>43</v>
      </c>
      <c r="AE3649" s="5">
        <f t="shared" si="173"/>
        <v>3</v>
      </c>
      <c r="AF3649" s="5">
        <f t="shared" si="174"/>
        <v>2032</v>
      </c>
    </row>
    <row r="3650" s="5" customFormat="1" ht="13">
      <c r="A3650" s="5">
        <v>12312</v>
      </c>
      <c r="B3650" s="5" t="s">
        <v>740</v>
      </c>
      <c r="C3650" s="5" t="s">
        <v>378</v>
      </c>
      <c r="D3650" s="5" t="s">
        <v>20</v>
      </c>
      <c r="E3650" s="5" t="s">
        <v>34</v>
      </c>
      <c r="F3650" s="5" t="s">
        <v>68</v>
      </c>
      <c r="G3650" s="5" t="s">
        <v>91</v>
      </c>
      <c r="H3650" s="9" t="s">
        <v>151</v>
      </c>
      <c r="I3650" s="10" t="s">
        <v>152</v>
      </c>
      <c r="J3650" s="10" t="s">
        <v>152</v>
      </c>
      <c r="L3650" s="5" t="s">
        <v>151</v>
      </c>
      <c r="M3650" s="11">
        <v>0.0574</v>
      </c>
      <c r="N3650" s="5" t="e">
        <f>IF(AND(M3650&gt;#REF!,Cartera!O3650="Guaraníes"),"Rendimiento significativo",IF(AND(M3650&gt;#REF!,Cartera!O3650="Dólares americanos"),"Rendimiento significativo","Rendimiento no significativo"))</f>
        <v>#REF!</v>
      </c>
      <c r="O3650" s="5" t="s">
        <v>41</v>
      </c>
      <c r="P3650" s="12">
        <v>254827477</v>
      </c>
      <c r="Q3650" s="12">
        <f>IF(O3650="Guaraníes",P3650,P3650*#REF!)</f>
        <v>254827477</v>
      </c>
      <c r="R3650" s="13" t="e">
        <f>IF(O3650="Guaraníes",P3650/#REF!,P3650)</f>
        <v>#REF!</v>
      </c>
      <c r="S3650" s="5" t="s">
        <v>120</v>
      </c>
      <c r="AC3650" s="5" t="str">
        <f t="shared" si="175"/>
        <v>Fondo</v>
      </c>
      <c r="AD3650" s="5" t="s">
        <v>43</v>
      </c>
      <c r="AE3650" s="5">
        <f t="shared" si="173"/>
        <v>0</v>
      </c>
      <c r="AF3650" s="5">
        <f t="shared" si="174"/>
        <v>0</v>
      </c>
    </row>
    <row r="3651" s="5" customFormat="1" ht="13">
      <c r="A3651" s="5">
        <v>12314</v>
      </c>
      <c r="B3651" s="5" t="s">
        <v>741</v>
      </c>
      <c r="C3651" s="5" t="s">
        <v>742</v>
      </c>
      <c r="D3651" s="5" t="s">
        <v>20</v>
      </c>
      <c r="E3651" s="5" t="s">
        <v>34</v>
      </c>
      <c r="F3651" s="5" t="s">
        <v>68</v>
      </c>
      <c r="G3651" s="5" t="s">
        <v>276</v>
      </c>
      <c r="H3651" s="9" t="s">
        <v>151</v>
      </c>
      <c r="I3651" s="10" t="s">
        <v>152</v>
      </c>
      <c r="J3651" s="10" t="s">
        <v>152</v>
      </c>
      <c r="L3651" s="5" t="s">
        <v>151</v>
      </c>
      <c r="M3651" s="11">
        <v>0.032899999999999999</v>
      </c>
      <c r="N3651" s="5" t="e">
        <f>IF(AND(M3651&gt;#REF!,Cartera!O3651="Guaraníes"),"Rendimiento significativo",IF(AND(M3651&gt;#REF!,Cartera!O3651="Dólares americanos"),"Rendimiento significativo","Rendimiento no significativo"))</f>
        <v>#REF!</v>
      </c>
      <c r="O3651" s="5" t="s">
        <v>51</v>
      </c>
      <c r="P3651" s="13">
        <v>20236.200000000001</v>
      </c>
      <c r="Q3651" s="12" t="e">
        <f>IF(O3651="Guaraníes",P3651,P3651*#REF!)</f>
        <v>#REF!</v>
      </c>
      <c r="R3651" s="12">
        <f>IF(O3651="Guaraníes",P3651/#REF!,P3651)</f>
        <v>20236.200000000001</v>
      </c>
      <c r="S3651" s="5" t="s">
        <v>120</v>
      </c>
      <c r="AC3651" s="5" t="str">
        <f t="shared" si="175"/>
        <v>Fondo</v>
      </c>
      <c r="AD3651" s="5" t="s">
        <v>43</v>
      </c>
      <c r="AE3651" s="5">
        <f t="shared" si="173"/>
        <v>0</v>
      </c>
      <c r="AF3651" s="5">
        <f t="shared" si="174"/>
        <v>0</v>
      </c>
    </row>
    <row r="3652" s="5" customFormat="1" ht="13">
      <c r="A3652" s="5">
        <v>12315</v>
      </c>
      <c r="B3652" s="5" t="s">
        <v>73</v>
      </c>
      <c r="C3652" s="5" t="s">
        <v>212</v>
      </c>
      <c r="D3652" s="5" t="s">
        <v>21</v>
      </c>
      <c r="E3652" s="5" t="s">
        <v>34</v>
      </c>
      <c r="F3652" s="5" t="s">
        <v>68</v>
      </c>
      <c r="G3652" s="5" t="s">
        <v>86</v>
      </c>
      <c r="H3652" s="9" t="s">
        <v>213</v>
      </c>
      <c r="I3652" s="10">
        <v>44651</v>
      </c>
      <c r="J3652" s="10">
        <v>48291</v>
      </c>
      <c r="K3652" s="5" t="s">
        <v>81</v>
      </c>
      <c r="L3652" s="5" t="s">
        <v>58</v>
      </c>
      <c r="M3652" s="11">
        <v>0.053499999999999999</v>
      </c>
      <c r="N3652" s="5" t="e">
        <f>IF(AND(M3652&gt;#REF!,Cartera!O3652="Guaraníes"),"Rendimiento significativo",IF(AND(M3652&gt;#REF!,Cartera!O3652="Dólares americanos"),"Rendimiento significativo","Rendimiento no significativo"))</f>
        <v>#REF!</v>
      </c>
      <c r="O3652" s="5" t="s">
        <v>51</v>
      </c>
      <c r="P3652" s="13">
        <v>2667.6711999999998</v>
      </c>
      <c r="Q3652" s="12" t="e">
        <f>IF(O3652="Guaraníes",P3652,P3652*#REF!)</f>
        <v>#REF!</v>
      </c>
      <c r="R3652" s="12">
        <f>IF(O3652="Guaraníes",P3652/#REF!,P3652)</f>
        <v>2667.6711999999998</v>
      </c>
      <c r="S3652" s="5" t="s">
        <v>42</v>
      </c>
      <c r="V3652" s="5">
        <v>26.676711999999998</v>
      </c>
      <c r="AA3652" s="5">
        <v>100</v>
      </c>
      <c r="AC3652" s="5" t="str">
        <f t="shared" si="175"/>
        <v>Bonos</v>
      </c>
      <c r="AD3652" s="5" t="s">
        <v>43</v>
      </c>
      <c r="AE3652" s="5">
        <f t="shared" si="173"/>
        <v>3</v>
      </c>
      <c r="AF3652" s="5">
        <f t="shared" si="174"/>
        <v>2032</v>
      </c>
    </row>
    <row r="3653" s="5" customFormat="1" ht="13">
      <c r="A3653" s="5">
        <v>12306</v>
      </c>
      <c r="B3653" s="5" t="s">
        <v>373</v>
      </c>
      <c r="C3653" s="5" t="s">
        <v>94</v>
      </c>
      <c r="D3653" s="5" t="s">
        <v>20</v>
      </c>
      <c r="E3653" s="5" t="s">
        <v>34</v>
      </c>
      <c r="F3653" s="5" t="s">
        <v>68</v>
      </c>
      <c r="H3653" s="9" t="s">
        <v>182</v>
      </c>
      <c r="I3653" s="10">
        <v>45530</v>
      </c>
      <c r="J3653" s="10">
        <v>46261</v>
      </c>
      <c r="L3653" s="11" t="s">
        <v>82</v>
      </c>
      <c r="M3653" s="11">
        <v>0.082500000000000004</v>
      </c>
      <c r="N3653" s="11" t="e">
        <f>IF(AND(M3653&gt;#REF!,Cartera!O3653="Guaraníes"),"Rendimiento significativo",IF(AND(M3653&gt;#REF!,Cartera!O3653="Dólares americanos"),"Rendimiento significativo","Rendimiento no significativo"))</f>
        <v>#REF!</v>
      </c>
      <c r="O3653" s="5" t="s">
        <v>41</v>
      </c>
      <c r="P3653" s="18">
        <v>200000000</v>
      </c>
      <c r="Q3653" s="12">
        <f>IF(O3653="Guaraníes",P3653,P3653*#REF!)</f>
        <v>200000000</v>
      </c>
      <c r="R3653" s="13" t="e">
        <f>IF(O3653="Guaraníes",P3653/#REF!,P3653)</f>
        <v>#REF!</v>
      </c>
      <c r="S3653" s="5" t="s">
        <v>120</v>
      </c>
      <c r="AC3653" s="5" t="str">
        <f t="shared" si="175"/>
        <v>CDA</v>
      </c>
      <c r="AD3653" s="5" t="s">
        <v>43</v>
      </c>
      <c r="AE3653" s="5">
        <f t="shared" si="173"/>
        <v>8</v>
      </c>
      <c r="AF3653" s="5">
        <f t="shared" si="174"/>
        <v>2026</v>
      </c>
    </row>
    <row r="3654" s="5" customFormat="1" ht="13">
      <c r="A3654" s="5">
        <v>12315</v>
      </c>
      <c r="B3654" s="5" t="s">
        <v>73</v>
      </c>
      <c r="C3654" s="5" t="s">
        <v>143</v>
      </c>
      <c r="D3654" s="5" t="s">
        <v>21</v>
      </c>
      <c r="E3654" s="5" t="s">
        <v>34</v>
      </c>
      <c r="G3654" s="5" t="s">
        <v>743</v>
      </c>
      <c r="H3654" s="9" t="s">
        <v>744</v>
      </c>
      <c r="I3654" s="10">
        <v>45608</v>
      </c>
      <c r="J3654" s="10">
        <v>45789</v>
      </c>
      <c r="L3654" s="11" t="s">
        <v>82</v>
      </c>
      <c r="M3654" s="11">
        <v>0.058000000000000003</v>
      </c>
      <c r="N3654" s="11" t="e">
        <f>IF(AND(M3654&gt;#REF!,Cartera!O3654="Guaraníes"),"Rendimiento significativo",IF(AND(M3654&gt;#REF!,Cartera!O3654="Dólares americanos"),"Rendimiento significativo","Rendimiento no significativo"))</f>
        <v>#REF!</v>
      </c>
      <c r="O3654" s="5" t="s">
        <v>51</v>
      </c>
      <c r="P3654" s="18">
        <v>431</v>
      </c>
      <c r="Q3654" s="12" t="e">
        <f>IF(O3654="Guaraníes",P3654,P3654*#REF!)</f>
        <v>#REF!</v>
      </c>
      <c r="R3654" s="13">
        <f>IF(O3654="Guaraníes",P3654/#REF!,P3654)</f>
        <v>431</v>
      </c>
      <c r="S3654" s="5" t="s">
        <v>120</v>
      </c>
      <c r="AC3654" s="5" t="str">
        <f t="shared" si="175"/>
        <v>CDA</v>
      </c>
      <c r="AD3654" s="5" t="s">
        <v>43</v>
      </c>
      <c r="AE3654" s="5">
        <f t="shared" si="173"/>
        <v>5</v>
      </c>
      <c r="AF3654" s="5">
        <f t="shared" si="174"/>
        <v>2025</v>
      </c>
    </row>
    <row r="3655" s="5" customFormat="1" ht="13">
      <c r="A3655" s="5">
        <v>12315</v>
      </c>
      <c r="B3655" s="5" t="s">
        <v>73</v>
      </c>
      <c r="C3655" s="5" t="s">
        <v>143</v>
      </c>
      <c r="D3655" s="5" t="s">
        <v>21</v>
      </c>
      <c r="E3655" s="5" t="s">
        <v>34</v>
      </c>
      <c r="G3655" s="5" t="s">
        <v>743</v>
      </c>
      <c r="H3655" s="9" t="s">
        <v>744</v>
      </c>
      <c r="I3655" s="10">
        <v>45608</v>
      </c>
      <c r="J3655" s="10">
        <v>45968</v>
      </c>
      <c r="L3655" s="11" t="s">
        <v>82</v>
      </c>
      <c r="M3655" s="11">
        <v>0.058000000000000003</v>
      </c>
      <c r="N3655" s="11" t="e">
        <f>IF(AND(M3655&gt;#REF!,Cartera!O3655="Guaraníes"),"Rendimiento significativo",IF(AND(M3655&gt;#REF!,Cartera!O3655="Dólares americanos"),"Rendimiento significativo","Rendimiento no significativo"))</f>
        <v>#REF!</v>
      </c>
      <c r="O3655" s="5" t="s">
        <v>51</v>
      </c>
      <c r="P3655" s="18">
        <v>427</v>
      </c>
      <c r="Q3655" s="12" t="e">
        <f>IF(O3655="Guaraníes",P3655,P3655*#REF!)</f>
        <v>#REF!</v>
      </c>
      <c r="R3655" s="13">
        <f>IF(O3655="Guaraníes",P3655/#REF!,P3655)</f>
        <v>427</v>
      </c>
      <c r="S3655" s="5" t="s">
        <v>120</v>
      </c>
      <c r="AC3655" s="5" t="str">
        <f t="shared" si="175"/>
        <v>CDA</v>
      </c>
      <c r="AD3655" s="5" t="s">
        <v>43</v>
      </c>
      <c r="AE3655" s="5">
        <f t="shared" si="173"/>
        <v>11</v>
      </c>
      <c r="AF3655" s="5">
        <f t="shared" si="174"/>
        <v>2025</v>
      </c>
    </row>
    <row r="3656" s="5" customFormat="1" ht="13">
      <c r="A3656" s="5">
        <v>12315</v>
      </c>
      <c r="B3656" s="5" t="s">
        <v>73</v>
      </c>
      <c r="C3656" s="5" t="s">
        <v>143</v>
      </c>
      <c r="D3656" s="5" t="s">
        <v>21</v>
      </c>
      <c r="E3656" s="5" t="s">
        <v>34</v>
      </c>
      <c r="G3656" s="5" t="s">
        <v>743</v>
      </c>
      <c r="H3656" s="9" t="s">
        <v>744</v>
      </c>
      <c r="I3656" s="10">
        <v>45608</v>
      </c>
      <c r="J3656" s="10">
        <v>46148</v>
      </c>
      <c r="L3656" s="11" t="s">
        <v>82</v>
      </c>
      <c r="M3656" s="11">
        <v>0.058000000000000003</v>
      </c>
      <c r="N3656" s="11" t="e">
        <f>IF(AND(M3656&gt;#REF!,Cartera!O3656="Guaraníes"),"Rendimiento significativo",IF(AND(M3656&gt;#REF!,Cartera!O3656="Dólares americanos"),"Rendimiento significativo","Rendimiento no significativo"))</f>
        <v>#REF!</v>
      </c>
      <c r="O3656" s="5" t="s">
        <v>51</v>
      </c>
      <c r="P3656" s="18">
        <v>429</v>
      </c>
      <c r="Q3656" s="12" t="e">
        <f>IF(O3656="Guaraníes",P3656,P3656*#REF!)</f>
        <v>#REF!</v>
      </c>
      <c r="R3656" s="13">
        <f>IF(O3656="Guaraníes",P3656/#REF!,P3656)</f>
        <v>429</v>
      </c>
      <c r="S3656" s="5" t="s">
        <v>120</v>
      </c>
      <c r="AC3656" s="5" t="str">
        <f t="shared" si="175"/>
        <v>CDA</v>
      </c>
      <c r="AD3656" s="5" t="s">
        <v>43</v>
      </c>
      <c r="AE3656" s="5">
        <f t="shared" si="173"/>
        <v>5</v>
      </c>
      <c r="AF3656" s="5">
        <f t="shared" si="174"/>
        <v>2026</v>
      </c>
    </row>
    <row r="3657" s="5" customFormat="1" ht="13">
      <c r="A3657" s="5">
        <v>12315</v>
      </c>
      <c r="B3657" s="5" t="s">
        <v>73</v>
      </c>
      <c r="C3657" s="5" t="s">
        <v>143</v>
      </c>
      <c r="D3657" s="5" t="s">
        <v>21</v>
      </c>
      <c r="E3657" s="5" t="s">
        <v>34</v>
      </c>
      <c r="G3657" s="5" t="s">
        <v>743</v>
      </c>
      <c r="H3657" s="9" t="s">
        <v>744</v>
      </c>
      <c r="I3657" s="10">
        <v>45608</v>
      </c>
      <c r="J3657" s="10">
        <v>46338</v>
      </c>
      <c r="L3657" s="11" t="s">
        <v>82</v>
      </c>
      <c r="M3657" s="11">
        <v>0.058000000000000003</v>
      </c>
      <c r="N3657" s="11" t="e">
        <f>IF(AND(M3657&gt;#REF!,Cartera!O3657="Guaraníes"),"Rendimiento significativo",IF(AND(M3657&gt;#REF!,Cartera!O3657="Dólares americanos"),"Rendimiento significativo","Rendimiento no significativo"))</f>
        <v>#REF!</v>
      </c>
      <c r="O3657" s="5" t="s">
        <v>51</v>
      </c>
      <c r="P3657" s="18">
        <v>453</v>
      </c>
      <c r="Q3657" s="12" t="e">
        <f>IF(O3657="Guaraníes",P3657,P3657*#REF!)</f>
        <v>#REF!</v>
      </c>
      <c r="R3657" s="13">
        <f>IF(O3657="Guaraníes",P3657/#REF!,P3657)</f>
        <v>453</v>
      </c>
      <c r="S3657" s="5" t="s">
        <v>120</v>
      </c>
      <c r="AC3657" s="5" t="str">
        <f t="shared" si="175"/>
        <v>CDA</v>
      </c>
      <c r="AD3657" s="5" t="s">
        <v>43</v>
      </c>
      <c r="AE3657" s="5">
        <f t="shared" si="173"/>
        <v>11</v>
      </c>
      <c r="AF3657" s="5">
        <f t="shared" si="174"/>
        <v>2026</v>
      </c>
    </row>
    <row r="3658" s="5" customFormat="1" ht="13">
      <c r="A3658" s="5">
        <v>12313</v>
      </c>
      <c r="B3658" s="5" t="s">
        <v>698</v>
      </c>
      <c r="C3658" s="5" t="s">
        <v>143</v>
      </c>
      <c r="D3658" s="5" t="s">
        <v>20</v>
      </c>
      <c r="E3658" s="5" t="s">
        <v>34</v>
      </c>
      <c r="G3658" s="5" t="s">
        <v>743</v>
      </c>
      <c r="H3658" s="9" t="s">
        <v>744</v>
      </c>
      <c r="I3658" s="10">
        <v>45608</v>
      </c>
      <c r="J3658" s="10">
        <v>46338</v>
      </c>
      <c r="L3658" s="11" t="s">
        <v>82</v>
      </c>
      <c r="M3658" s="11">
        <v>0.058000000000000003</v>
      </c>
      <c r="N3658" s="11" t="e">
        <f>IF(AND(M3658&gt;#REF!,Cartera!O3658="Guaraníes"),"Rendimiento significativo",IF(AND(M3658&gt;#REF!,Cartera!O3658="Dólares americanos"),"Rendimiento significativo","Rendimiento no significativo"))</f>
        <v>#REF!</v>
      </c>
      <c r="O3658" s="5" t="s">
        <v>51</v>
      </c>
      <c r="P3658" s="18">
        <v>15000</v>
      </c>
      <c r="Q3658" s="12" t="e">
        <f>IF(O3658="Guaraníes",P3658,P3658*#REF!)</f>
        <v>#REF!</v>
      </c>
      <c r="R3658" s="13">
        <f>IF(O3658="Guaraníes",P3658/#REF!,P3658)</f>
        <v>15000</v>
      </c>
      <c r="S3658" s="5" t="s">
        <v>42</v>
      </c>
      <c r="AC3658" s="5" t="str">
        <f t="shared" si="175"/>
        <v>CDA</v>
      </c>
      <c r="AD3658" s="5" t="s">
        <v>43</v>
      </c>
      <c r="AE3658" s="5">
        <f t="shared" si="173"/>
        <v>11</v>
      </c>
      <c r="AF3658" s="5">
        <f t="shared" si="174"/>
        <v>2026</v>
      </c>
    </row>
    <row r="3659" s="5" customFormat="1" ht="13">
      <c r="A3659" s="5" t="s">
        <v>44</v>
      </c>
      <c r="B3659" s="5" t="s">
        <v>44</v>
      </c>
      <c r="C3659" s="5" t="s">
        <v>164</v>
      </c>
      <c r="D3659" s="5" t="s">
        <v>21</v>
      </c>
      <c r="E3659" s="5" t="s">
        <v>44</v>
      </c>
      <c r="F3659" s="5" t="s">
        <v>68</v>
      </c>
      <c r="G3659" s="5" t="s">
        <v>141</v>
      </c>
      <c r="H3659" s="9" t="s">
        <v>167</v>
      </c>
      <c r="I3659" s="10"/>
      <c r="J3659" s="10">
        <v>45656</v>
      </c>
      <c r="K3659" s="5" t="s">
        <v>124</v>
      </c>
      <c r="L3659" s="5" t="s">
        <v>58</v>
      </c>
      <c r="M3659" s="11">
        <v>0.092499999999999999</v>
      </c>
      <c r="N3659" s="5" t="e">
        <f>IF(AND(M3659&gt;#REF!,Cartera!O3659="Guaraníes"),"Rendimiento significativo",IF(AND(M3659&gt;#REF!,Cartera!O3659="Dólares americanos"),"Rendimiento significativo","Rendimiento no significativo"))</f>
        <v>#REF!</v>
      </c>
      <c r="O3659" s="5" t="s">
        <v>41</v>
      </c>
      <c r="P3659" s="12">
        <v>785616.43839999998</v>
      </c>
      <c r="Q3659" s="12">
        <f>IF(O3659="Guaraníes",P3659,P3659*#REF!)</f>
        <v>785616.43839999998</v>
      </c>
      <c r="R3659" s="12" t="e">
        <f>IF(O3659="Guaraníes",P3659/#REF!,P3659)</f>
        <v>#REF!</v>
      </c>
      <c r="S3659" s="5" t="s">
        <v>52</v>
      </c>
      <c r="T3659" s="5">
        <v>9243</v>
      </c>
      <c r="W3659" s="5" t="s">
        <v>65</v>
      </c>
      <c r="X3659" s="5">
        <v>0</v>
      </c>
      <c r="Y3659" s="5">
        <v>0</v>
      </c>
      <c r="Z3659" s="5">
        <v>7856.1643839999997</v>
      </c>
      <c r="AA3659" s="5">
        <v>100</v>
      </c>
      <c r="AB3659" s="5">
        <v>785616.43839999998</v>
      </c>
      <c r="AC3659" s="5" t="str">
        <f t="shared" si="175"/>
        <v>Bonos</v>
      </c>
      <c r="AD3659" s="5" t="s">
        <v>43</v>
      </c>
      <c r="AE3659" s="5">
        <f t="shared" si="173"/>
        <v>12</v>
      </c>
      <c r="AF3659" s="5">
        <f t="shared" si="174"/>
        <v>2024</v>
      </c>
    </row>
    <row r="3660" s="5" customFormat="1" ht="13">
      <c r="A3660" s="5">
        <v>12316</v>
      </c>
      <c r="B3660" s="5" t="s">
        <v>78</v>
      </c>
      <c r="C3660" s="5" t="s">
        <v>138</v>
      </c>
      <c r="D3660" s="5" t="s">
        <v>21</v>
      </c>
      <c r="E3660" s="5" t="s">
        <v>34</v>
      </c>
      <c r="F3660" s="5" t="s">
        <v>68</v>
      </c>
      <c r="G3660" s="5" t="s">
        <v>86</v>
      </c>
      <c r="H3660" s="9" t="s">
        <v>139</v>
      </c>
      <c r="I3660" s="10">
        <v>43948</v>
      </c>
      <c r="J3660" s="10">
        <v>48316</v>
      </c>
      <c r="K3660" s="5" t="s">
        <v>140</v>
      </c>
      <c r="L3660" s="5" t="s">
        <v>58</v>
      </c>
      <c r="M3660" s="11">
        <v>0.11</v>
      </c>
      <c r="N3660" s="5" t="e">
        <f>IF(AND(M3660&gt;#REF!,Cartera!O3660="Guaraníes"),"Rendimiento significativo",IF(AND(M3660&gt;#REF!,Cartera!O3660="Dólares americanos"),"Rendimiento significativo","Rendimiento no significativo"))</f>
        <v>#REF!</v>
      </c>
      <c r="O3660" s="5" t="s">
        <v>41</v>
      </c>
      <c r="P3660" s="12">
        <v>54074.0867</v>
      </c>
      <c r="Q3660" s="12">
        <f>IF(O3660="Guaraníes",P3660,P3660*#REF!)</f>
        <v>54074.0867</v>
      </c>
      <c r="R3660" s="12" t="e">
        <f>IF(O3660="Guaraníes",P3660/#REF!,P3660)</f>
        <v>#REF!</v>
      </c>
      <c r="S3660" s="5" t="s">
        <v>42</v>
      </c>
      <c r="AC3660" s="5" t="str">
        <f t="shared" si="175"/>
        <v>Bonos</v>
      </c>
      <c r="AD3660" s="5" t="s">
        <v>43</v>
      </c>
      <c r="AE3660" s="5">
        <f t="shared" si="173"/>
        <v>4</v>
      </c>
      <c r="AF3660" s="5">
        <f t="shared" si="174"/>
        <v>2032</v>
      </c>
    </row>
    <row r="3661" s="5" customFormat="1" ht="13">
      <c r="A3661" s="5">
        <v>12316</v>
      </c>
      <c r="B3661" s="5" t="s">
        <v>78</v>
      </c>
      <c r="C3661" s="5" t="s">
        <v>138</v>
      </c>
      <c r="D3661" s="5" t="s">
        <v>21</v>
      </c>
      <c r="E3661" s="5" t="s">
        <v>34</v>
      </c>
      <c r="F3661" s="5" t="s">
        <v>68</v>
      </c>
      <c r="G3661" s="5" t="s">
        <v>86</v>
      </c>
      <c r="H3661" s="9" t="s">
        <v>139</v>
      </c>
      <c r="I3661" s="10">
        <v>43948</v>
      </c>
      <c r="J3661" s="10">
        <v>48346</v>
      </c>
      <c r="K3661" s="5" t="s">
        <v>140</v>
      </c>
      <c r="L3661" s="5" t="s">
        <v>58</v>
      </c>
      <c r="M3661" s="11">
        <v>0.11</v>
      </c>
      <c r="N3661" s="5" t="e">
        <f>IF(AND(M3661&gt;#REF!,Cartera!O3661="Guaraníes"),"Rendimiento significativo",IF(AND(M3661&gt;#REF!,Cartera!O3661="Dólares americanos"),"Rendimiento significativo","Rendimiento no significativo"))</f>
        <v>#REF!</v>
      </c>
      <c r="O3661" s="5" t="s">
        <v>41</v>
      </c>
      <c r="P3661" s="12">
        <v>33950.261699999995</v>
      </c>
      <c r="Q3661" s="12">
        <f>IF(O3661="Guaraníes",P3661,P3661*#REF!)</f>
        <v>33950.261699999995</v>
      </c>
      <c r="R3661" s="12" t="e">
        <f>IF(O3661="Guaraníes",P3661/#REF!,P3661)</f>
        <v>#REF!</v>
      </c>
      <c r="S3661" s="5" t="s">
        <v>42</v>
      </c>
      <c r="AC3661" s="5" t="str">
        <f t="shared" si="175"/>
        <v>Bonos</v>
      </c>
      <c r="AD3661" s="5" t="s">
        <v>43</v>
      </c>
      <c r="AE3661" s="5">
        <f t="shared" si="173"/>
        <v>5</v>
      </c>
      <c r="AF3661" s="5">
        <f t="shared" si="174"/>
        <v>2032</v>
      </c>
    </row>
    <row r="3662" s="5" customFormat="1" ht="13">
      <c r="A3662" s="5">
        <v>12316</v>
      </c>
      <c r="B3662" s="5" t="s">
        <v>78</v>
      </c>
      <c r="C3662" s="5" t="s">
        <v>138</v>
      </c>
      <c r="D3662" s="5" t="s">
        <v>21</v>
      </c>
      <c r="E3662" s="5" t="s">
        <v>34</v>
      </c>
      <c r="F3662" s="5" t="s">
        <v>68</v>
      </c>
      <c r="G3662" s="5" t="s">
        <v>86</v>
      </c>
      <c r="H3662" s="9" t="s">
        <v>139</v>
      </c>
      <c r="I3662" s="10">
        <v>43948</v>
      </c>
      <c r="J3662" s="10">
        <v>48376</v>
      </c>
      <c r="K3662" s="5" t="s">
        <v>140</v>
      </c>
      <c r="L3662" s="5" t="s">
        <v>58</v>
      </c>
      <c r="M3662" s="11">
        <v>0.11</v>
      </c>
      <c r="N3662" s="5" t="e">
        <f>IF(AND(M3662&gt;#REF!,Cartera!O3662="Guaraníes"),"Rendimiento significativo",IF(AND(M3662&gt;#REF!,Cartera!O3662="Dólares americanos"),"Rendimiento significativo","Rendimiento no significativo"))</f>
        <v>#REF!</v>
      </c>
      <c r="O3662" s="5" t="s">
        <v>41</v>
      </c>
      <c r="P3662" s="12">
        <v>17052.579099999999</v>
      </c>
      <c r="Q3662" s="12">
        <f>IF(O3662="Guaraníes",P3662,P3662*#REF!)</f>
        <v>17052.579099999999</v>
      </c>
      <c r="R3662" s="12" t="e">
        <f>IF(O3662="Guaraníes",P3662/#REF!,P3662)</f>
        <v>#REF!</v>
      </c>
      <c r="S3662" s="5" t="s">
        <v>42</v>
      </c>
      <c r="AC3662" s="5" t="str">
        <f t="shared" si="175"/>
        <v>Bonos</v>
      </c>
      <c r="AD3662" s="5" t="s">
        <v>43</v>
      </c>
      <c r="AE3662" s="5">
        <f t="shared" si="173"/>
        <v>6</v>
      </c>
      <c r="AF3662" s="5">
        <f t="shared" si="174"/>
        <v>2032</v>
      </c>
    </row>
    <row r="3663" s="5" customFormat="1" ht="13">
      <c r="A3663" s="5">
        <v>12316</v>
      </c>
      <c r="B3663" s="5" t="s">
        <v>78</v>
      </c>
      <c r="C3663" s="5" t="s">
        <v>138</v>
      </c>
      <c r="D3663" s="5" t="s">
        <v>21</v>
      </c>
      <c r="E3663" s="5" t="s">
        <v>34</v>
      </c>
      <c r="F3663" s="5" t="s">
        <v>68</v>
      </c>
      <c r="G3663" s="5" t="s">
        <v>86</v>
      </c>
      <c r="H3663" s="9" t="s">
        <v>193</v>
      </c>
      <c r="I3663" s="10">
        <v>44104</v>
      </c>
      <c r="J3663" s="10">
        <v>48380</v>
      </c>
      <c r="K3663" s="5" t="s">
        <v>140</v>
      </c>
      <c r="L3663" s="5" t="s">
        <v>58</v>
      </c>
      <c r="M3663" s="11">
        <v>0.10000000000000001</v>
      </c>
      <c r="N3663" s="5" t="e">
        <f>IF(AND(M3663&gt;#REF!,Cartera!O3663="Guaraníes"),"Rendimiento significativo",IF(AND(M3663&gt;#REF!,Cartera!O3663="Dólares americanos"),"Rendimiento significativo","Rendimiento no significativo"))</f>
        <v>#REF!</v>
      </c>
      <c r="O3663" s="5" t="s">
        <v>41</v>
      </c>
      <c r="P3663" s="12">
        <v>623287.67119999998</v>
      </c>
      <c r="Q3663" s="12">
        <f>IF(O3663="Guaraníes",P3663,P3663*#REF!)</f>
        <v>623287.67119999998</v>
      </c>
      <c r="R3663" s="12" t="e">
        <f>IF(O3663="Guaraníes",P3663/#REF!,P3663)</f>
        <v>#REF!</v>
      </c>
      <c r="S3663" s="5" t="s">
        <v>42</v>
      </c>
      <c r="AC3663" s="5" t="str">
        <f t="shared" si="175"/>
        <v>Bonos</v>
      </c>
      <c r="AD3663" s="5" t="s">
        <v>43</v>
      </c>
      <c r="AE3663" s="5">
        <f t="shared" si="173"/>
        <v>6</v>
      </c>
      <c r="AF3663" s="5">
        <f t="shared" si="174"/>
        <v>2032</v>
      </c>
    </row>
    <row r="3664" s="5" customFormat="1" ht="13">
      <c r="A3664" s="5">
        <v>12316</v>
      </c>
      <c r="B3664" s="5" t="s">
        <v>78</v>
      </c>
      <c r="C3664" s="5" t="s">
        <v>99</v>
      </c>
      <c r="D3664" s="5" t="s">
        <v>21</v>
      </c>
      <c r="E3664" s="5" t="s">
        <v>34</v>
      </c>
      <c r="F3664" s="5" t="s">
        <v>100</v>
      </c>
      <c r="G3664" s="5" t="s">
        <v>86</v>
      </c>
      <c r="H3664" s="9" t="s">
        <v>155</v>
      </c>
      <c r="I3664" s="10"/>
      <c r="J3664" s="10">
        <v>48460</v>
      </c>
      <c r="K3664" s="5" t="s">
        <v>102</v>
      </c>
      <c r="L3664" s="5" t="s">
        <v>102</v>
      </c>
      <c r="M3664" s="11">
        <v>0.081000000000000003</v>
      </c>
      <c r="N3664" s="5" t="e">
        <f>IF(AND(M3664&gt;#REF!,Cartera!O3664="Guaraníes"),"Rendimiento significativo",IF(AND(M3664&gt;#REF!,Cartera!O3664="Dólares americanos"),"Rendimiento significativo","Rendimiento no significativo"))</f>
        <v>#REF!</v>
      </c>
      <c r="O3664" s="5" t="s">
        <v>41</v>
      </c>
      <c r="P3664" s="12">
        <v>28000000</v>
      </c>
      <c r="Q3664" s="12">
        <f>IF(O3664="Guaraníes",P3664,P3664*#REF!)</f>
        <v>28000000</v>
      </c>
      <c r="R3664" s="12" t="e">
        <f>IF(O3664="Guaraníes",P3664/#REF!,P3664)</f>
        <v>#REF!</v>
      </c>
      <c r="S3664" s="5" t="s">
        <v>42</v>
      </c>
      <c r="T3664" s="5">
        <v>10834</v>
      </c>
      <c r="W3664" s="5" t="s">
        <v>65</v>
      </c>
      <c r="X3664" s="5">
        <v>0</v>
      </c>
      <c r="Y3664" s="5">
        <v>0</v>
      </c>
      <c r="Z3664" s="5">
        <v>40000</v>
      </c>
      <c r="AA3664" s="5">
        <v>700</v>
      </c>
      <c r="AB3664" s="5">
        <v>28000000</v>
      </c>
      <c r="AC3664" s="5" t="str">
        <f t="shared" si="175"/>
        <v>Bonos</v>
      </c>
      <c r="AD3664" s="5" t="s">
        <v>43</v>
      </c>
      <c r="AE3664" s="5">
        <f t="shared" si="173"/>
        <v>9</v>
      </c>
      <c r="AF3664" s="5">
        <f t="shared" si="174"/>
        <v>2032</v>
      </c>
    </row>
    <row r="3665" s="5" customFormat="1" ht="13">
      <c r="A3665" s="5">
        <v>12316</v>
      </c>
      <c r="B3665" s="5" t="s">
        <v>78</v>
      </c>
      <c r="C3665" s="5" t="s">
        <v>138</v>
      </c>
      <c r="D3665" s="5" t="s">
        <v>21</v>
      </c>
      <c r="E3665" s="5" t="s">
        <v>34</v>
      </c>
      <c r="F3665" s="5" t="s">
        <v>68</v>
      </c>
      <c r="G3665" s="5" t="s">
        <v>86</v>
      </c>
      <c r="H3665" s="9" t="s">
        <v>193</v>
      </c>
      <c r="I3665" s="10">
        <v>44104</v>
      </c>
      <c r="J3665" s="10">
        <v>48471</v>
      </c>
      <c r="K3665" s="5" t="s">
        <v>140</v>
      </c>
      <c r="L3665" s="5" t="s">
        <v>58</v>
      </c>
      <c r="M3665" s="11">
        <v>0.10000000000000001</v>
      </c>
      <c r="N3665" s="5" t="e">
        <f>IF(AND(M3665&gt;#REF!,Cartera!O3665="Guaraníes"),"Rendimiento significativo",IF(AND(M3665&gt;#REF!,Cartera!O3665="Dólares americanos"),"Rendimiento significativo","Rendimiento no significativo"))</f>
        <v>#REF!</v>
      </c>
      <c r="O3665" s="5" t="s">
        <v>41</v>
      </c>
      <c r="P3665" s="12">
        <v>311643.83559999999</v>
      </c>
      <c r="Q3665" s="12">
        <f>IF(O3665="Guaraníes",P3665,P3665*#REF!)</f>
        <v>311643.83559999999</v>
      </c>
      <c r="R3665" s="12" t="e">
        <f>IF(O3665="Guaraníes",P3665/#REF!,P3665)</f>
        <v>#REF!</v>
      </c>
      <c r="S3665" s="5" t="s">
        <v>42</v>
      </c>
      <c r="AC3665" s="5" t="str">
        <f t="shared" si="175"/>
        <v>Bonos</v>
      </c>
      <c r="AD3665" s="5" t="s">
        <v>43</v>
      </c>
      <c r="AE3665" s="5">
        <f t="shared" si="173"/>
        <v>9</v>
      </c>
      <c r="AF3665" s="5">
        <f t="shared" si="174"/>
        <v>2032</v>
      </c>
    </row>
    <row r="3666" s="5" customFormat="1" ht="13">
      <c r="A3666" s="5">
        <v>12316</v>
      </c>
      <c r="B3666" s="5" t="s">
        <v>78</v>
      </c>
      <c r="C3666" s="5" t="s">
        <v>99</v>
      </c>
      <c r="D3666" s="5" t="s">
        <v>21</v>
      </c>
      <c r="E3666" s="5" t="s">
        <v>34</v>
      </c>
      <c r="F3666" s="5" t="s">
        <v>100</v>
      </c>
      <c r="G3666" s="5" t="s">
        <v>86</v>
      </c>
      <c r="H3666" s="9" t="s">
        <v>155</v>
      </c>
      <c r="I3666" s="10"/>
      <c r="J3666" s="10">
        <v>48641</v>
      </c>
      <c r="K3666" s="5" t="s">
        <v>102</v>
      </c>
      <c r="L3666" s="5" t="s">
        <v>102</v>
      </c>
      <c r="M3666" s="11">
        <v>0.081000000000000003</v>
      </c>
      <c r="N3666" s="5" t="e">
        <f>IF(AND(M3666&gt;#REF!,Cartera!O3666="Guaraníes"),"Rendimiento significativo",IF(AND(M3666&gt;#REF!,Cartera!O3666="Dólares americanos"),"Rendimiento significativo","Rendimiento no significativo"))</f>
        <v>#REF!</v>
      </c>
      <c r="O3666" s="5" t="s">
        <v>41</v>
      </c>
      <c r="P3666" s="12">
        <v>28000000</v>
      </c>
      <c r="Q3666" s="12">
        <f>IF(O3666="Guaraníes",P3666,P3666*#REF!)</f>
        <v>28000000</v>
      </c>
      <c r="R3666" s="12" t="e">
        <f>IF(O3666="Guaraníes",P3666/#REF!,P3666)</f>
        <v>#REF!</v>
      </c>
      <c r="S3666" s="5" t="s">
        <v>42</v>
      </c>
      <c r="T3666" s="5">
        <v>10834</v>
      </c>
      <c r="W3666" s="5" t="s">
        <v>65</v>
      </c>
      <c r="X3666" s="5">
        <v>0</v>
      </c>
      <c r="Y3666" s="5">
        <v>0</v>
      </c>
      <c r="Z3666" s="5">
        <v>40000</v>
      </c>
      <c r="AA3666" s="5">
        <v>700</v>
      </c>
      <c r="AB3666" s="5">
        <v>28000000</v>
      </c>
      <c r="AC3666" s="5" t="str">
        <f t="shared" si="175"/>
        <v>Bonos</v>
      </c>
      <c r="AD3666" s="5" t="s">
        <v>43</v>
      </c>
      <c r="AE3666" s="5">
        <f t="shared" ref="AE3666:AE3713" si="176">IFERROR((MONTH(J3666)),0)</f>
        <v>3</v>
      </c>
      <c r="AF3666" s="5">
        <f t="shared" ref="AF3666:AF3713" si="177">IFERROR((YEAR(J3666)),0)</f>
        <v>2033</v>
      </c>
    </row>
    <row r="3667" s="5" customFormat="1" ht="13">
      <c r="A3667" s="5">
        <v>12306</v>
      </c>
      <c r="B3667" s="5" t="s">
        <v>373</v>
      </c>
      <c r="C3667" s="5" t="s">
        <v>183</v>
      </c>
      <c r="D3667" s="5" t="s">
        <v>20</v>
      </c>
      <c r="E3667" s="5" t="s">
        <v>34</v>
      </c>
      <c r="H3667" s="9" t="s">
        <v>210</v>
      </c>
      <c r="I3667" s="10">
        <v>45562</v>
      </c>
      <c r="J3667" s="10">
        <v>46282</v>
      </c>
      <c r="L3667" s="11" t="s">
        <v>82</v>
      </c>
      <c r="M3667" s="11">
        <v>0.053800000000000001</v>
      </c>
      <c r="N3667" s="11" t="e">
        <f>IF(AND(M3667&gt;#REF!,Cartera!O3667="Guaraníes"),"Rendimiento significativo",IF(AND(M3667&gt;#REF!,Cartera!O3667="Dólares americanos"),"Rendimiento significativo","Rendimiento no significativo"))</f>
        <v>#REF!</v>
      </c>
      <c r="O3667" s="5" t="s">
        <v>41</v>
      </c>
      <c r="P3667" s="13">
        <v>200000000</v>
      </c>
      <c r="Q3667" s="12">
        <f>IF(O3667="Guaraníes",P3667,P3667*#REF!)</f>
        <v>200000000</v>
      </c>
      <c r="R3667" s="13">
        <v>25674.270529788573</v>
      </c>
      <c r="S3667" s="5" t="s">
        <v>42</v>
      </c>
      <c r="AC3667" s="5" t="str">
        <f t="shared" si="175"/>
        <v>CDA</v>
      </c>
      <c r="AD3667" s="5" t="s">
        <v>43</v>
      </c>
      <c r="AE3667" s="5">
        <f t="shared" si="176"/>
        <v>9</v>
      </c>
      <c r="AF3667" s="5">
        <f t="shared" si="177"/>
        <v>2026</v>
      </c>
    </row>
    <row r="3668" s="5" customFormat="1" ht="13">
      <c r="A3668" s="5" t="s">
        <v>44</v>
      </c>
      <c r="B3668" s="5" t="s">
        <v>44</v>
      </c>
      <c r="C3668" s="5" t="s">
        <v>143</v>
      </c>
      <c r="D3668" s="5" t="s">
        <v>21</v>
      </c>
      <c r="E3668" s="5" t="s">
        <v>44</v>
      </c>
      <c r="F3668" s="5" t="s">
        <v>144</v>
      </c>
      <c r="G3668" s="5" t="s">
        <v>145</v>
      </c>
      <c r="H3668" s="9" t="s">
        <v>146</v>
      </c>
      <c r="I3668" s="10"/>
      <c r="J3668" s="10">
        <v>45656</v>
      </c>
      <c r="K3668" s="5" t="s">
        <v>49</v>
      </c>
      <c r="L3668" s="5" t="s">
        <v>106</v>
      </c>
      <c r="M3668" s="11">
        <v>0.060999999999999999</v>
      </c>
      <c r="N3668" s="5" t="e">
        <f>IF(AND(M3668&gt;#REF!,Cartera!O3668="Guaraníes"),"Rendimiento significativo",IF(AND(M3668&gt;#REF!,Cartera!O3668="Dólares americanos"),"Rendimiento significativo","Rendimiento no significativo"))</f>
        <v>#REF!</v>
      </c>
      <c r="O3668" s="5" t="s">
        <v>51</v>
      </c>
      <c r="P3668" s="13">
        <v>207.23287999999999</v>
      </c>
      <c r="Q3668" s="12" t="e">
        <f>IF(O3668="Guaraníes",P3668,P3668*#REF!)</f>
        <v>#REF!</v>
      </c>
      <c r="R3668" s="12">
        <f>IF(O3668="Guaraníes",P3668/#REF!,P3668)</f>
        <v>207.23287999999999</v>
      </c>
      <c r="S3668" s="5" t="s">
        <v>52</v>
      </c>
      <c r="T3668" s="5">
        <v>1057</v>
      </c>
      <c r="W3668" s="5" t="s">
        <v>65</v>
      </c>
      <c r="X3668" s="5">
        <v>0</v>
      </c>
      <c r="Y3668" s="5">
        <v>0</v>
      </c>
      <c r="Z3668" s="5">
        <v>5.180822</v>
      </c>
      <c r="AA3668" s="5">
        <v>40</v>
      </c>
      <c r="AB3668" s="5">
        <v>207.23287999999999</v>
      </c>
      <c r="AC3668" s="5" t="str">
        <f t="shared" si="175"/>
        <v>Bonos</v>
      </c>
      <c r="AD3668" s="5" t="s">
        <v>43</v>
      </c>
      <c r="AE3668" s="5">
        <f t="shared" si="176"/>
        <v>12</v>
      </c>
      <c r="AF3668" s="5">
        <f t="shared" si="177"/>
        <v>2024</v>
      </c>
    </row>
    <row r="3669" s="5" customFormat="1" ht="13">
      <c r="A3669" s="5">
        <v>12316</v>
      </c>
      <c r="B3669" s="5" t="s">
        <v>78</v>
      </c>
      <c r="C3669" s="5" t="s">
        <v>99</v>
      </c>
      <c r="D3669" s="5" t="s">
        <v>21</v>
      </c>
      <c r="E3669" s="5" t="s">
        <v>34</v>
      </c>
      <c r="F3669" s="5" t="s">
        <v>100</v>
      </c>
      <c r="G3669" s="5" t="s">
        <v>86</v>
      </c>
      <c r="H3669" s="9" t="s">
        <v>155</v>
      </c>
      <c r="I3669" s="10"/>
      <c r="J3669" s="10">
        <v>48825</v>
      </c>
      <c r="K3669" s="5" t="s">
        <v>102</v>
      </c>
      <c r="L3669" s="5" t="s">
        <v>102</v>
      </c>
      <c r="M3669" s="11">
        <v>0.081000000000000003</v>
      </c>
      <c r="N3669" s="5" t="e">
        <f>IF(AND(M3669&gt;#REF!,Cartera!O3669="Guaraníes"),"Rendimiento significativo",IF(AND(M3669&gt;#REF!,Cartera!O3669="Dólares americanos"),"Rendimiento significativo","Rendimiento no significativo"))</f>
        <v>#REF!</v>
      </c>
      <c r="O3669" s="5" t="s">
        <v>41</v>
      </c>
      <c r="P3669" s="12">
        <v>28000000</v>
      </c>
      <c r="Q3669" s="12">
        <f>IF(O3669="Guaraníes",P3669,P3669*#REF!)</f>
        <v>28000000</v>
      </c>
      <c r="R3669" s="12" t="e">
        <f>IF(O3669="Guaraníes",P3669/#REF!,P3669)</f>
        <v>#REF!</v>
      </c>
      <c r="S3669" s="5" t="s">
        <v>42</v>
      </c>
      <c r="T3669" s="5">
        <v>10834</v>
      </c>
      <c r="W3669" s="5" t="s">
        <v>65</v>
      </c>
      <c r="X3669" s="5">
        <v>0</v>
      </c>
      <c r="Y3669" s="5">
        <v>0</v>
      </c>
      <c r="Z3669" s="5">
        <v>40000</v>
      </c>
      <c r="AA3669" s="5">
        <v>700</v>
      </c>
      <c r="AB3669" s="5">
        <v>28000000</v>
      </c>
      <c r="AC3669" s="5" t="str">
        <f t="shared" si="175"/>
        <v>Bonos</v>
      </c>
      <c r="AD3669" s="5" t="s">
        <v>43</v>
      </c>
      <c r="AE3669" s="5">
        <f t="shared" si="176"/>
        <v>9</v>
      </c>
      <c r="AF3669" s="5">
        <f t="shared" si="177"/>
        <v>2033</v>
      </c>
    </row>
    <row r="3670" s="5" customFormat="1" ht="13">
      <c r="A3670" s="5">
        <v>12316</v>
      </c>
      <c r="B3670" s="5" t="s">
        <v>78</v>
      </c>
      <c r="C3670" s="5" t="s">
        <v>99</v>
      </c>
      <c r="D3670" s="5" t="s">
        <v>21</v>
      </c>
      <c r="E3670" s="5" t="s">
        <v>34</v>
      </c>
      <c r="F3670" s="5" t="s">
        <v>100</v>
      </c>
      <c r="G3670" s="5" t="s">
        <v>86</v>
      </c>
      <c r="H3670" s="9" t="s">
        <v>155</v>
      </c>
      <c r="I3670" s="10"/>
      <c r="J3670" s="10">
        <v>49006</v>
      </c>
      <c r="K3670" s="5" t="s">
        <v>102</v>
      </c>
      <c r="L3670" s="5" t="s">
        <v>102</v>
      </c>
      <c r="M3670" s="11">
        <v>0.081000000000000003</v>
      </c>
      <c r="N3670" s="5" t="e">
        <f>IF(AND(M3670&gt;#REF!,Cartera!O3670="Guaraníes"),"Rendimiento significativo",IF(AND(M3670&gt;#REF!,Cartera!O3670="Dólares americanos"),"Rendimiento significativo","Rendimiento no significativo"))</f>
        <v>#REF!</v>
      </c>
      <c r="O3670" s="5" t="s">
        <v>41</v>
      </c>
      <c r="P3670" s="12">
        <v>28000000</v>
      </c>
      <c r="Q3670" s="12">
        <f>IF(O3670="Guaraníes",P3670,P3670*#REF!)</f>
        <v>28000000</v>
      </c>
      <c r="R3670" s="12" t="e">
        <f>IF(O3670="Guaraníes",P3670/#REF!,P3670)</f>
        <v>#REF!</v>
      </c>
      <c r="S3670" s="5" t="s">
        <v>42</v>
      </c>
      <c r="T3670" s="5">
        <v>10834</v>
      </c>
      <c r="W3670" s="5" t="s">
        <v>65</v>
      </c>
      <c r="X3670" s="5">
        <v>0</v>
      </c>
      <c r="Y3670" s="5">
        <v>0</v>
      </c>
      <c r="Z3670" s="5">
        <v>40000</v>
      </c>
      <c r="AA3670" s="5">
        <v>700</v>
      </c>
      <c r="AB3670" s="5">
        <v>28000000</v>
      </c>
      <c r="AC3670" s="5" t="str">
        <f t="shared" si="175"/>
        <v>Bonos</v>
      </c>
      <c r="AD3670" s="5" t="s">
        <v>43</v>
      </c>
      <c r="AE3670" s="5">
        <f t="shared" si="176"/>
        <v>3</v>
      </c>
      <c r="AF3670" s="5">
        <f t="shared" si="177"/>
        <v>2034</v>
      </c>
    </row>
    <row r="3671" s="5" customFormat="1" ht="13">
      <c r="A3671" s="5">
        <v>12316</v>
      </c>
      <c r="B3671" s="5" t="s">
        <v>78</v>
      </c>
      <c r="C3671" s="5" t="s">
        <v>99</v>
      </c>
      <c r="D3671" s="5" t="s">
        <v>21</v>
      </c>
      <c r="E3671" s="5" t="s">
        <v>34</v>
      </c>
      <c r="F3671" s="5" t="s">
        <v>100</v>
      </c>
      <c r="G3671" s="5" t="s">
        <v>86</v>
      </c>
      <c r="H3671" s="9" t="s">
        <v>155</v>
      </c>
      <c r="I3671" s="10"/>
      <c r="J3671" s="10">
        <v>49190</v>
      </c>
      <c r="K3671" s="5" t="s">
        <v>102</v>
      </c>
      <c r="L3671" s="5" t="s">
        <v>102</v>
      </c>
      <c r="M3671" s="11">
        <v>0.081000000000000003</v>
      </c>
      <c r="N3671" s="5" t="e">
        <f>IF(AND(M3671&gt;#REF!,Cartera!O3671="Guaraníes"),"Rendimiento significativo",IF(AND(M3671&gt;#REF!,Cartera!O3671="Dólares americanos"),"Rendimiento significativo","Rendimiento no significativo"))</f>
        <v>#REF!</v>
      </c>
      <c r="O3671" s="5" t="s">
        <v>41</v>
      </c>
      <c r="P3671" s="12">
        <v>28000000</v>
      </c>
      <c r="Q3671" s="12">
        <f>IF(O3671="Guaraníes",P3671,P3671*#REF!)</f>
        <v>28000000</v>
      </c>
      <c r="R3671" s="12" t="e">
        <f>IF(O3671="Guaraníes",P3671/#REF!,P3671)</f>
        <v>#REF!</v>
      </c>
      <c r="S3671" s="5" t="s">
        <v>42</v>
      </c>
      <c r="T3671" s="5">
        <v>10834</v>
      </c>
      <c r="W3671" s="5" t="s">
        <v>65</v>
      </c>
      <c r="X3671" s="5">
        <v>0</v>
      </c>
      <c r="Y3671" s="5">
        <v>0</v>
      </c>
      <c r="Z3671" s="5">
        <v>40000</v>
      </c>
      <c r="AA3671" s="5">
        <v>700</v>
      </c>
      <c r="AB3671" s="5">
        <v>28000000</v>
      </c>
      <c r="AC3671" s="5" t="str">
        <f t="shared" si="175"/>
        <v>Bonos</v>
      </c>
      <c r="AD3671" s="5" t="s">
        <v>43</v>
      </c>
      <c r="AE3671" s="5">
        <f t="shared" si="176"/>
        <v>9</v>
      </c>
      <c r="AF3671" s="5">
        <f t="shared" si="177"/>
        <v>2034</v>
      </c>
    </row>
    <row r="3672" s="5" customFormat="1" ht="13">
      <c r="A3672" s="5">
        <v>12316</v>
      </c>
      <c r="B3672" s="5" t="s">
        <v>78</v>
      </c>
      <c r="C3672" s="5" t="s">
        <v>99</v>
      </c>
      <c r="D3672" s="5" t="s">
        <v>21</v>
      </c>
      <c r="E3672" s="5" t="s">
        <v>34</v>
      </c>
      <c r="F3672" s="5" t="s">
        <v>100</v>
      </c>
      <c r="G3672" s="5" t="s">
        <v>86</v>
      </c>
      <c r="H3672" s="9" t="s">
        <v>155</v>
      </c>
      <c r="I3672" s="10"/>
      <c r="J3672" s="10">
        <v>49371</v>
      </c>
      <c r="K3672" s="5" t="s">
        <v>102</v>
      </c>
      <c r="L3672" s="5" t="s">
        <v>102</v>
      </c>
      <c r="M3672" s="11">
        <v>0.081000000000000003</v>
      </c>
      <c r="N3672" s="5" t="e">
        <f>IF(AND(M3672&gt;#REF!,Cartera!O3672="Guaraníes"),"Rendimiento significativo",IF(AND(M3672&gt;#REF!,Cartera!O3672="Dólares americanos"),"Rendimiento significativo","Rendimiento no significativo"))</f>
        <v>#REF!</v>
      </c>
      <c r="O3672" s="5" t="s">
        <v>41</v>
      </c>
      <c r="P3672" s="12">
        <v>28000000</v>
      </c>
      <c r="Q3672" s="12">
        <f>IF(O3672="Guaraníes",P3672,P3672*#REF!)</f>
        <v>28000000</v>
      </c>
      <c r="R3672" s="12" t="e">
        <f>IF(O3672="Guaraníes",P3672/#REF!,P3672)</f>
        <v>#REF!</v>
      </c>
      <c r="S3672" s="5" t="s">
        <v>42</v>
      </c>
      <c r="T3672" s="5">
        <v>10834</v>
      </c>
      <c r="W3672" s="5" t="s">
        <v>65</v>
      </c>
      <c r="X3672" s="5">
        <v>0</v>
      </c>
      <c r="Y3672" s="5">
        <v>0</v>
      </c>
      <c r="Z3672" s="5">
        <v>40000</v>
      </c>
      <c r="AA3672" s="5">
        <v>700</v>
      </c>
      <c r="AB3672" s="5">
        <v>28000000</v>
      </c>
      <c r="AC3672" s="5" t="str">
        <f t="shared" si="175"/>
        <v>Bonos</v>
      </c>
      <c r="AD3672" s="5" t="s">
        <v>43</v>
      </c>
      <c r="AE3672" s="5">
        <f t="shared" si="176"/>
        <v>3</v>
      </c>
      <c r="AF3672" s="5">
        <f t="shared" si="177"/>
        <v>2035</v>
      </c>
    </row>
    <row r="3673" s="5" customFormat="1" ht="13">
      <c r="A3673" s="5">
        <v>12316</v>
      </c>
      <c r="B3673" s="5" t="s">
        <v>78</v>
      </c>
      <c r="C3673" s="5" t="s">
        <v>99</v>
      </c>
      <c r="D3673" s="5" t="s">
        <v>21</v>
      </c>
      <c r="E3673" s="5" t="s">
        <v>34</v>
      </c>
      <c r="F3673" s="5" t="s">
        <v>100</v>
      </c>
      <c r="G3673" s="5" t="s">
        <v>86</v>
      </c>
      <c r="H3673" s="9" t="s">
        <v>155</v>
      </c>
      <c r="I3673" s="10"/>
      <c r="J3673" s="10">
        <v>49555</v>
      </c>
      <c r="K3673" s="5" t="s">
        <v>102</v>
      </c>
      <c r="L3673" s="5" t="s">
        <v>102</v>
      </c>
      <c r="M3673" s="11">
        <v>0.081000000000000003</v>
      </c>
      <c r="N3673" s="5" t="e">
        <f>IF(AND(M3673&gt;#REF!,Cartera!O3673="Guaraníes"),"Rendimiento significativo",IF(AND(M3673&gt;#REF!,Cartera!O3673="Dólares americanos"),"Rendimiento significativo","Rendimiento no significativo"))</f>
        <v>#REF!</v>
      </c>
      <c r="O3673" s="5" t="s">
        <v>41</v>
      </c>
      <c r="P3673" s="12">
        <v>28000000</v>
      </c>
      <c r="Q3673" s="12">
        <f>IF(O3673="Guaraníes",P3673,P3673*#REF!)</f>
        <v>28000000</v>
      </c>
      <c r="R3673" s="12" t="e">
        <f>IF(O3673="Guaraníes",P3673/#REF!,P3673)</f>
        <v>#REF!</v>
      </c>
      <c r="S3673" s="5" t="s">
        <v>42</v>
      </c>
      <c r="T3673" s="5">
        <v>10834</v>
      </c>
      <c r="W3673" s="5" t="s">
        <v>65</v>
      </c>
      <c r="X3673" s="5">
        <v>0</v>
      </c>
      <c r="Y3673" s="5">
        <v>0</v>
      </c>
      <c r="Z3673" s="5">
        <v>40000</v>
      </c>
      <c r="AA3673" s="5">
        <v>700</v>
      </c>
      <c r="AB3673" s="5">
        <v>28000000</v>
      </c>
      <c r="AC3673" s="5" t="str">
        <f t="shared" si="175"/>
        <v>Bonos</v>
      </c>
      <c r="AD3673" s="5" t="s">
        <v>43</v>
      </c>
      <c r="AE3673" s="5">
        <f t="shared" si="176"/>
        <v>9</v>
      </c>
      <c r="AF3673" s="5">
        <f t="shared" si="177"/>
        <v>2035</v>
      </c>
    </row>
    <row r="3674" s="5" customFormat="1" ht="13">
      <c r="A3674" s="5">
        <v>12316</v>
      </c>
      <c r="B3674" s="5" t="s">
        <v>78</v>
      </c>
      <c r="C3674" s="5" t="s">
        <v>99</v>
      </c>
      <c r="D3674" s="5" t="s">
        <v>21</v>
      </c>
      <c r="E3674" s="5" t="s">
        <v>34</v>
      </c>
      <c r="F3674" s="5" t="s">
        <v>100</v>
      </c>
      <c r="G3674" s="5" t="s">
        <v>86</v>
      </c>
      <c r="H3674" s="9" t="s">
        <v>155</v>
      </c>
      <c r="I3674" s="10">
        <v>44399</v>
      </c>
      <c r="J3674" s="10">
        <v>49737</v>
      </c>
      <c r="K3674" s="5" t="s">
        <v>102</v>
      </c>
      <c r="L3674" s="5" t="s">
        <v>102</v>
      </c>
      <c r="M3674" s="11">
        <v>0.081000000000000003</v>
      </c>
      <c r="N3674" s="5" t="e">
        <f>IF(AND(M3674&gt;#REF!,Cartera!O3674="Guaraníes"),"Rendimiento significativo",IF(AND(M3674&gt;#REF!,Cartera!O3674="Dólares americanos"),"Rendimiento significativo","Rendimiento no significativo"))</f>
        <v>#REF!</v>
      </c>
      <c r="O3674" s="5" t="s">
        <v>41</v>
      </c>
      <c r="P3674" s="12">
        <v>28000000</v>
      </c>
      <c r="Q3674" s="12">
        <f>IF(O3674="Guaraníes",P3674,P3674*#REF!)</f>
        <v>28000000</v>
      </c>
      <c r="R3674" s="12" t="e">
        <f>IF(O3674="Guaraníes",P3674/#REF!,P3674)</f>
        <v>#REF!</v>
      </c>
      <c r="S3674" s="5" t="s">
        <v>42</v>
      </c>
      <c r="T3674" s="5">
        <v>10834</v>
      </c>
      <c r="AC3674" s="5" t="str">
        <f t="shared" si="175"/>
        <v>Bonos</v>
      </c>
      <c r="AD3674" s="5" t="s">
        <v>43</v>
      </c>
      <c r="AE3674" s="5">
        <f t="shared" si="176"/>
        <v>3</v>
      </c>
      <c r="AF3674" s="5">
        <f t="shared" si="177"/>
        <v>2036</v>
      </c>
    </row>
    <row r="3675" s="5" customFormat="1" ht="13">
      <c r="A3675" s="5">
        <v>12315</v>
      </c>
      <c r="B3675" s="5" t="s">
        <v>73</v>
      </c>
      <c r="C3675" s="5" t="s">
        <v>111</v>
      </c>
      <c r="D3675" s="5" t="s">
        <v>21</v>
      </c>
      <c r="E3675" s="5" t="s">
        <v>34</v>
      </c>
      <c r="F3675" s="5" t="s">
        <v>68</v>
      </c>
      <c r="G3675" s="12"/>
      <c r="H3675" s="9"/>
      <c r="I3675" s="10">
        <v>45497</v>
      </c>
      <c r="J3675" s="20">
        <v>46127</v>
      </c>
      <c r="L3675" s="5" t="s">
        <v>82</v>
      </c>
      <c r="M3675" s="11">
        <v>0.058000000000000003</v>
      </c>
      <c r="N3675" s="5" t="e">
        <f>IF(AND(M3675&gt;#REF!,Cartera!O3675="Guaraníes"),"Rendimiento significativo",IF(AND(M3675&gt;#REF!,Cartera!O3675="Dólares americanos"),"Rendimiento significativo","Rendimiento no significativo"))</f>
        <v>#REF!</v>
      </c>
      <c r="O3675" s="5" t="s">
        <v>51</v>
      </c>
      <c r="P3675" s="18">
        <v>286.02999999999997</v>
      </c>
      <c r="Q3675" s="12" t="e">
        <f>IF(O3675="Guaraníes",P3675,P3675*#REF!)</f>
        <v>#REF!</v>
      </c>
      <c r="R3675" s="12">
        <f>IF(O3675="Guaraníes",P3675/#REF!,P3675)</f>
        <v>286.02999999999997</v>
      </c>
      <c r="S3675" s="5" t="s">
        <v>42</v>
      </c>
      <c r="AC3675" s="5" t="str">
        <f t="shared" si="175"/>
        <v>CDA</v>
      </c>
      <c r="AD3675" s="5" t="s">
        <v>43</v>
      </c>
      <c r="AE3675" s="5">
        <f t="shared" si="176"/>
        <v>4</v>
      </c>
      <c r="AF3675" s="5">
        <f t="shared" si="177"/>
        <v>2026</v>
      </c>
    </row>
    <row r="3676" s="5" customFormat="1" ht="13">
      <c r="A3676" s="5">
        <v>12313</v>
      </c>
      <c r="B3676" s="5" t="s">
        <v>698</v>
      </c>
      <c r="C3676" s="5" t="s">
        <v>183</v>
      </c>
      <c r="D3676" s="5" t="s">
        <v>20</v>
      </c>
      <c r="E3676" s="5" t="s">
        <v>34</v>
      </c>
      <c r="H3676" s="9" t="s">
        <v>211</v>
      </c>
      <c r="I3676" s="10">
        <v>45562</v>
      </c>
      <c r="J3676" s="10">
        <v>46282</v>
      </c>
      <c r="L3676" s="11" t="s">
        <v>82</v>
      </c>
      <c r="M3676" s="11">
        <v>0.026800000000000001</v>
      </c>
      <c r="N3676" s="11" t="e">
        <f>IF(AND(M3676&gt;#REF!,Cartera!O3676="Guaraníes"),"Rendimiento significativo",IF(AND(M3676&gt;#REF!,Cartera!O3676="Dólares americanos"),"Rendimiento significativo","Rendimiento no significativo"))</f>
        <v>#REF!</v>
      </c>
      <c r="O3676" s="5" t="s">
        <v>51</v>
      </c>
      <c r="P3676" s="13">
        <v>20000</v>
      </c>
      <c r="Q3676" s="12" t="e">
        <f>IF(O3676="Guaraníes",P3676,P3676*#REF!)</f>
        <v>#REF!</v>
      </c>
      <c r="R3676" s="12">
        <f>IF(O3676="Guaraníes",P3676/#REF!,P3676)</f>
        <v>20000</v>
      </c>
      <c r="S3676" s="5" t="s">
        <v>42</v>
      </c>
      <c r="AC3676" s="5" t="str">
        <f t="shared" si="175"/>
        <v>CDA</v>
      </c>
      <c r="AD3676" s="5" t="s">
        <v>43</v>
      </c>
      <c r="AE3676" s="5">
        <f t="shared" si="176"/>
        <v>9</v>
      </c>
      <c r="AF3676" s="5">
        <f t="shared" si="177"/>
        <v>2026</v>
      </c>
    </row>
    <row r="3677" s="5" customFormat="1" ht="13">
      <c r="A3677" s="5">
        <v>12301</v>
      </c>
      <c r="B3677" s="5" t="s">
        <v>107</v>
      </c>
      <c r="C3677" s="5" t="s">
        <v>745</v>
      </c>
      <c r="D3677" s="5" t="s">
        <v>20</v>
      </c>
      <c r="E3677" s="5" t="s">
        <v>34</v>
      </c>
      <c r="F3677" s="5" t="s">
        <v>68</v>
      </c>
      <c r="G3677" s="12" t="s">
        <v>75</v>
      </c>
      <c r="H3677" s="9" t="s">
        <v>746</v>
      </c>
      <c r="I3677" s="10">
        <v>45630</v>
      </c>
      <c r="J3677" s="20">
        <v>45817</v>
      </c>
      <c r="K3677" s="5" t="s">
        <v>747</v>
      </c>
      <c r="L3677" s="5" t="s">
        <v>58</v>
      </c>
      <c r="M3677" s="11">
        <v>0.065000000000000002</v>
      </c>
      <c r="N3677" s="5" t="e">
        <f>IF(AND(M3677&gt;#REF!,Cartera!O3677="Guaraníes"),"Rendimiento significativo",IF(AND(M3677&gt;#REF!,Cartera!O3677="Dólares americanos"),"Rendimiento significativo","Rendimiento no significativo"))</f>
        <v>#REF!</v>
      </c>
      <c r="O3677" s="5" t="s">
        <v>41</v>
      </c>
      <c r="P3677" s="18">
        <v>312500000</v>
      </c>
      <c r="Q3677" s="12">
        <f>IF(O3677="Guaraníes",P3677,P3677*#REF!)</f>
        <v>312500000</v>
      </c>
      <c r="R3677" s="12" t="e">
        <f>IF(O3677="Guaraníes",P3677/#REF!,P3677)</f>
        <v>#REF!</v>
      </c>
      <c r="S3677" s="5" t="s">
        <v>42</v>
      </c>
      <c r="T3677" s="5">
        <v>25</v>
      </c>
      <c r="X3677" s="29">
        <v>0.125</v>
      </c>
      <c r="Y3677" s="5" t="s">
        <v>748</v>
      </c>
      <c r="AC3677" s="5" t="str">
        <f t="shared" si="175"/>
        <v>Bonos</v>
      </c>
      <c r="AD3677" s="5" t="s">
        <v>43</v>
      </c>
      <c r="AE3677" s="5">
        <f t="shared" si="176"/>
        <v>6</v>
      </c>
      <c r="AF3677" s="5">
        <f t="shared" si="177"/>
        <v>2025</v>
      </c>
    </row>
    <row r="3678" s="5" customFormat="1" ht="13">
      <c r="A3678" s="5">
        <v>12301</v>
      </c>
      <c r="B3678" s="5" t="s">
        <v>107</v>
      </c>
      <c r="C3678" s="5" t="s">
        <v>745</v>
      </c>
      <c r="D3678" s="5" t="s">
        <v>20</v>
      </c>
      <c r="E3678" s="5" t="s">
        <v>34</v>
      </c>
      <c r="F3678" s="5" t="s">
        <v>68</v>
      </c>
      <c r="G3678" s="12" t="s">
        <v>75</v>
      </c>
      <c r="H3678" s="9" t="s">
        <v>746</v>
      </c>
      <c r="I3678" s="10">
        <v>45630</v>
      </c>
      <c r="J3678" s="20">
        <v>46000</v>
      </c>
      <c r="K3678" s="5" t="s">
        <v>747</v>
      </c>
      <c r="L3678" s="5" t="s">
        <v>58</v>
      </c>
      <c r="M3678" s="11">
        <v>0.065000000000000002</v>
      </c>
      <c r="N3678" s="5" t="e">
        <f>IF(AND(M3678&gt;#REF!,Cartera!O3678="Guaraníes"),"Rendimiento significativo",IF(AND(M3678&gt;#REF!,Cartera!O3678="Dólares americanos"),"Rendimiento significativo","Rendimiento no significativo"))</f>
        <v>#REF!</v>
      </c>
      <c r="O3678" s="5" t="s">
        <v>41</v>
      </c>
      <c r="P3678" s="18">
        <v>312500000</v>
      </c>
      <c r="Q3678" s="12">
        <f>IF(O3678="Guaraníes",P3678,P3678*#REF!)</f>
        <v>312500000</v>
      </c>
      <c r="R3678" s="12" t="e">
        <f>IF(O3678="Guaraníes",P3678/#REF!,P3678)</f>
        <v>#REF!</v>
      </c>
      <c r="S3678" s="5" t="s">
        <v>42</v>
      </c>
      <c r="T3678" s="5">
        <v>25</v>
      </c>
      <c r="X3678" s="29">
        <v>0.125</v>
      </c>
      <c r="Y3678" s="5" t="s">
        <v>748</v>
      </c>
      <c r="AC3678" s="5" t="str">
        <f t="shared" si="175"/>
        <v>Bonos</v>
      </c>
      <c r="AD3678" s="5" t="s">
        <v>43</v>
      </c>
      <c r="AE3678" s="5">
        <f t="shared" si="176"/>
        <v>12</v>
      </c>
      <c r="AF3678" s="5">
        <f t="shared" si="177"/>
        <v>2025</v>
      </c>
    </row>
    <row r="3679" s="5" customFormat="1" ht="13">
      <c r="A3679" s="5">
        <v>12301</v>
      </c>
      <c r="B3679" s="5" t="s">
        <v>107</v>
      </c>
      <c r="C3679" s="5" t="s">
        <v>745</v>
      </c>
      <c r="D3679" s="5" t="s">
        <v>20</v>
      </c>
      <c r="E3679" s="5" t="s">
        <v>34</v>
      </c>
      <c r="F3679" s="5" t="s">
        <v>68</v>
      </c>
      <c r="G3679" s="12" t="s">
        <v>75</v>
      </c>
      <c r="H3679" s="9" t="s">
        <v>746</v>
      </c>
      <c r="I3679" s="10">
        <v>45630</v>
      </c>
      <c r="J3679" s="20">
        <v>46181</v>
      </c>
      <c r="K3679" s="5" t="s">
        <v>747</v>
      </c>
      <c r="L3679" s="5" t="s">
        <v>58</v>
      </c>
      <c r="M3679" s="11">
        <v>0.065000000000000002</v>
      </c>
      <c r="N3679" s="5" t="e">
        <f>IF(AND(M3679&gt;#REF!,Cartera!O3679="Guaraníes"),"Rendimiento significativo",IF(AND(M3679&gt;#REF!,Cartera!O3679="Dólares americanos"),"Rendimiento significativo","Rendimiento no significativo"))</f>
        <v>#REF!</v>
      </c>
      <c r="O3679" s="5" t="s">
        <v>41</v>
      </c>
      <c r="P3679" s="18">
        <v>312500000</v>
      </c>
      <c r="Q3679" s="12">
        <f>IF(O3679="Guaraníes",P3679,P3679*#REF!)</f>
        <v>312500000</v>
      </c>
      <c r="R3679" s="12" t="e">
        <f>IF(O3679="Guaraníes",P3679/#REF!,P3679)</f>
        <v>#REF!</v>
      </c>
      <c r="S3679" s="5" t="s">
        <v>42</v>
      </c>
      <c r="T3679" s="5">
        <v>25</v>
      </c>
      <c r="X3679" s="29">
        <v>0.125</v>
      </c>
      <c r="Y3679" s="5" t="s">
        <v>748</v>
      </c>
      <c r="AC3679" s="5" t="str">
        <f t="shared" si="175"/>
        <v>Bonos</v>
      </c>
      <c r="AD3679" s="5" t="s">
        <v>43</v>
      </c>
      <c r="AE3679" s="5">
        <f t="shared" si="176"/>
        <v>6</v>
      </c>
      <c r="AF3679" s="5">
        <f t="shared" si="177"/>
        <v>2026</v>
      </c>
    </row>
    <row r="3680" s="5" customFormat="1" ht="13">
      <c r="A3680" s="5">
        <v>12301</v>
      </c>
      <c r="B3680" s="5" t="s">
        <v>107</v>
      </c>
      <c r="C3680" s="5" t="s">
        <v>745</v>
      </c>
      <c r="D3680" s="5" t="s">
        <v>20</v>
      </c>
      <c r="E3680" s="5" t="s">
        <v>34</v>
      </c>
      <c r="F3680" s="5" t="s">
        <v>68</v>
      </c>
      <c r="G3680" s="12" t="s">
        <v>75</v>
      </c>
      <c r="H3680" s="9" t="s">
        <v>746</v>
      </c>
      <c r="I3680" s="10">
        <v>45630</v>
      </c>
      <c r="J3680" s="20">
        <v>46365</v>
      </c>
      <c r="K3680" s="5" t="s">
        <v>747</v>
      </c>
      <c r="L3680" s="5" t="s">
        <v>58</v>
      </c>
      <c r="M3680" s="11">
        <v>0.065000000000000002</v>
      </c>
      <c r="N3680" s="5" t="e">
        <f>IF(AND(M3680&gt;#REF!,Cartera!O3680="Guaraníes"),"Rendimiento significativo",IF(AND(M3680&gt;#REF!,Cartera!O3680="Dólares americanos"),"Rendimiento significativo","Rendimiento no significativo"))</f>
        <v>#REF!</v>
      </c>
      <c r="O3680" s="5" t="s">
        <v>41</v>
      </c>
      <c r="P3680" s="18">
        <v>312500000</v>
      </c>
      <c r="Q3680" s="12">
        <f>IF(O3680="Guaraníes",P3680,P3680*#REF!)</f>
        <v>312500000</v>
      </c>
      <c r="R3680" s="12" t="e">
        <f>IF(O3680="Guaraníes",P3680/#REF!,P3680)</f>
        <v>#REF!</v>
      </c>
      <c r="S3680" s="5" t="s">
        <v>42</v>
      </c>
      <c r="T3680" s="5">
        <v>25</v>
      </c>
      <c r="X3680" s="29">
        <v>0.125</v>
      </c>
      <c r="Y3680" s="5" t="s">
        <v>748</v>
      </c>
      <c r="AC3680" s="5" t="str">
        <f t="shared" si="175"/>
        <v>Bonos</v>
      </c>
      <c r="AD3680" s="5" t="s">
        <v>43</v>
      </c>
      <c r="AE3680" s="5">
        <f t="shared" si="176"/>
        <v>12</v>
      </c>
      <c r="AF3680" s="5">
        <f t="shared" si="177"/>
        <v>2026</v>
      </c>
    </row>
    <row r="3681" s="5" customFormat="1" ht="13">
      <c r="A3681" s="5">
        <v>12301</v>
      </c>
      <c r="B3681" s="5" t="s">
        <v>107</v>
      </c>
      <c r="C3681" s="5" t="s">
        <v>745</v>
      </c>
      <c r="D3681" s="5" t="s">
        <v>20</v>
      </c>
      <c r="E3681" s="5" t="s">
        <v>34</v>
      </c>
      <c r="F3681" s="5" t="s">
        <v>68</v>
      </c>
      <c r="G3681" s="12" t="s">
        <v>75</v>
      </c>
      <c r="H3681" s="9" t="s">
        <v>746</v>
      </c>
      <c r="I3681" s="10">
        <v>45630</v>
      </c>
      <c r="J3681" s="20">
        <v>46546</v>
      </c>
      <c r="K3681" s="5" t="s">
        <v>747</v>
      </c>
      <c r="L3681" s="5" t="s">
        <v>58</v>
      </c>
      <c r="M3681" s="11">
        <v>0.065000000000000002</v>
      </c>
      <c r="N3681" s="5" t="e">
        <f>IF(AND(M3681&gt;#REF!,Cartera!O3681="Guaraníes"),"Rendimiento significativo",IF(AND(M3681&gt;#REF!,Cartera!O3681="Dólares americanos"),"Rendimiento significativo","Rendimiento no significativo"))</f>
        <v>#REF!</v>
      </c>
      <c r="O3681" s="5" t="s">
        <v>41</v>
      </c>
      <c r="P3681" s="18">
        <v>312500000</v>
      </c>
      <c r="Q3681" s="12">
        <f>IF(O3681="Guaraníes",P3681,P3681*#REF!)</f>
        <v>312500000</v>
      </c>
      <c r="R3681" s="12" t="e">
        <f>IF(O3681="Guaraníes",P3681/#REF!,P3681)</f>
        <v>#REF!</v>
      </c>
      <c r="S3681" s="5" t="s">
        <v>42</v>
      </c>
      <c r="T3681" s="5">
        <v>25</v>
      </c>
      <c r="X3681" s="29">
        <v>0.125</v>
      </c>
      <c r="Y3681" s="5" t="s">
        <v>748</v>
      </c>
      <c r="AC3681" s="5" t="str">
        <f t="shared" si="175"/>
        <v>Bonos</v>
      </c>
      <c r="AD3681" s="5" t="s">
        <v>43</v>
      </c>
      <c r="AE3681" s="5">
        <f t="shared" si="176"/>
        <v>6</v>
      </c>
      <c r="AF3681" s="5">
        <f t="shared" si="177"/>
        <v>2027</v>
      </c>
    </row>
    <row r="3682" s="5" customFormat="1" ht="13">
      <c r="A3682" s="5">
        <v>12301</v>
      </c>
      <c r="B3682" s="5" t="s">
        <v>107</v>
      </c>
      <c r="C3682" s="5" t="s">
        <v>745</v>
      </c>
      <c r="D3682" s="5" t="s">
        <v>20</v>
      </c>
      <c r="E3682" s="5" t="s">
        <v>34</v>
      </c>
      <c r="F3682" s="5" t="s">
        <v>68</v>
      </c>
      <c r="G3682" s="12" t="s">
        <v>75</v>
      </c>
      <c r="H3682" s="9" t="s">
        <v>746</v>
      </c>
      <c r="I3682" s="10">
        <v>45630</v>
      </c>
      <c r="J3682" s="20">
        <v>46730</v>
      </c>
      <c r="K3682" s="5" t="s">
        <v>747</v>
      </c>
      <c r="L3682" s="5" t="s">
        <v>58</v>
      </c>
      <c r="M3682" s="11">
        <v>0.065000000000000002</v>
      </c>
      <c r="N3682" s="5" t="e">
        <f>IF(AND(M3682&gt;#REF!,Cartera!O3682="Guaraníes"),"Rendimiento significativo",IF(AND(M3682&gt;#REF!,Cartera!O3682="Dólares americanos"),"Rendimiento significativo","Rendimiento no significativo"))</f>
        <v>#REF!</v>
      </c>
      <c r="O3682" s="5" t="s">
        <v>41</v>
      </c>
      <c r="P3682" s="18">
        <v>312500000</v>
      </c>
      <c r="Q3682" s="12">
        <f>IF(O3682="Guaraníes",P3682,P3682*#REF!)</f>
        <v>312500000</v>
      </c>
      <c r="R3682" s="12" t="e">
        <f>IF(O3682="Guaraníes",P3682/#REF!,P3682)</f>
        <v>#REF!</v>
      </c>
      <c r="S3682" s="5" t="s">
        <v>42</v>
      </c>
      <c r="T3682" s="5">
        <v>25</v>
      </c>
      <c r="X3682" s="29">
        <v>0.125</v>
      </c>
      <c r="Y3682" s="5" t="s">
        <v>748</v>
      </c>
      <c r="AC3682" s="5" t="str">
        <f t="shared" si="175"/>
        <v>Bonos</v>
      </c>
      <c r="AD3682" s="5" t="s">
        <v>43</v>
      </c>
      <c r="AE3682" s="5">
        <f t="shared" si="176"/>
        <v>12</v>
      </c>
      <c r="AF3682" s="5">
        <f t="shared" si="177"/>
        <v>2027</v>
      </c>
    </row>
    <row r="3683" s="5" customFormat="1" ht="13">
      <c r="A3683" s="5">
        <v>12301</v>
      </c>
      <c r="B3683" s="5" t="s">
        <v>107</v>
      </c>
      <c r="C3683" s="5" t="s">
        <v>745</v>
      </c>
      <c r="D3683" s="5" t="s">
        <v>20</v>
      </c>
      <c r="E3683" s="5" t="s">
        <v>34</v>
      </c>
      <c r="F3683" s="5" t="s">
        <v>68</v>
      </c>
      <c r="G3683" s="12" t="s">
        <v>75</v>
      </c>
      <c r="H3683" s="9" t="s">
        <v>746</v>
      </c>
      <c r="I3683" s="10">
        <v>45630</v>
      </c>
      <c r="J3683" s="20">
        <v>46912</v>
      </c>
      <c r="K3683" s="5" t="s">
        <v>747</v>
      </c>
      <c r="L3683" s="5" t="s">
        <v>58</v>
      </c>
      <c r="M3683" s="11">
        <v>0.065000000000000002</v>
      </c>
      <c r="N3683" s="5" t="e">
        <f>IF(AND(M3683&gt;#REF!,Cartera!O3683="Guaraníes"),"Rendimiento significativo",IF(AND(M3683&gt;#REF!,Cartera!O3683="Dólares americanos"),"Rendimiento significativo","Rendimiento no significativo"))</f>
        <v>#REF!</v>
      </c>
      <c r="O3683" s="5" t="s">
        <v>41</v>
      </c>
      <c r="P3683" s="18">
        <v>312500000</v>
      </c>
      <c r="Q3683" s="12">
        <f>IF(O3683="Guaraníes",P3683,P3683*#REF!)</f>
        <v>312500000</v>
      </c>
      <c r="R3683" s="12" t="e">
        <f>IF(O3683="Guaraníes",P3683/#REF!,P3683)</f>
        <v>#REF!</v>
      </c>
      <c r="S3683" s="5" t="s">
        <v>42</v>
      </c>
      <c r="T3683" s="5">
        <v>25</v>
      </c>
      <c r="X3683" s="29">
        <v>0.125</v>
      </c>
      <c r="Y3683" s="5" t="s">
        <v>748</v>
      </c>
      <c r="AC3683" s="5" t="str">
        <f t="shared" si="175"/>
        <v>Bonos</v>
      </c>
      <c r="AD3683" s="5" t="s">
        <v>43</v>
      </c>
      <c r="AE3683" s="5">
        <f t="shared" si="176"/>
        <v>6</v>
      </c>
      <c r="AF3683" s="5">
        <f t="shared" si="177"/>
        <v>2028</v>
      </c>
    </row>
    <row r="3684" s="5" customFormat="1" ht="13">
      <c r="A3684" s="5">
        <v>12301</v>
      </c>
      <c r="B3684" s="5" t="s">
        <v>107</v>
      </c>
      <c r="C3684" s="5" t="s">
        <v>745</v>
      </c>
      <c r="D3684" s="5" t="s">
        <v>20</v>
      </c>
      <c r="E3684" s="5" t="s">
        <v>34</v>
      </c>
      <c r="F3684" s="5" t="s">
        <v>68</v>
      </c>
      <c r="G3684" s="12" t="s">
        <v>75</v>
      </c>
      <c r="H3684" s="9" t="s">
        <v>746</v>
      </c>
      <c r="I3684" s="10">
        <v>45630</v>
      </c>
      <c r="J3684" s="20">
        <v>47098</v>
      </c>
      <c r="K3684" s="5" t="s">
        <v>747</v>
      </c>
      <c r="L3684" s="5" t="s">
        <v>58</v>
      </c>
      <c r="M3684" s="11">
        <v>0.065000000000000002</v>
      </c>
      <c r="N3684" s="5" t="e">
        <f>IF(AND(M3684&gt;#REF!,Cartera!O3684="Guaraníes"),"Rendimiento significativo",IF(AND(M3684&gt;#REF!,Cartera!O3684="Dólares americanos"),"Rendimiento significativo","Rendimiento no significativo"))</f>
        <v>#REF!</v>
      </c>
      <c r="O3684" s="5" t="s">
        <v>41</v>
      </c>
      <c r="P3684" s="18">
        <v>312500000</v>
      </c>
      <c r="Q3684" s="12">
        <f>IF(O3684="Guaraníes",P3684,P3684*#REF!)</f>
        <v>312500000</v>
      </c>
      <c r="R3684" s="12" t="e">
        <f>IF(O3684="Guaraníes",P3684/#REF!,P3684)</f>
        <v>#REF!</v>
      </c>
      <c r="S3684" s="5" t="s">
        <v>42</v>
      </c>
      <c r="T3684" s="5">
        <v>25</v>
      </c>
      <c r="X3684" s="29">
        <v>0.125</v>
      </c>
      <c r="Y3684" s="5" t="s">
        <v>748</v>
      </c>
      <c r="AC3684" s="5" t="str">
        <f t="shared" si="175"/>
        <v>Bonos</v>
      </c>
      <c r="AD3684" s="5" t="s">
        <v>43</v>
      </c>
      <c r="AE3684" s="5">
        <f t="shared" si="176"/>
        <v>12</v>
      </c>
      <c r="AF3684" s="5">
        <f t="shared" si="177"/>
        <v>2028</v>
      </c>
    </row>
    <row r="3685" s="5" customFormat="1" ht="13">
      <c r="A3685" s="5">
        <v>12316</v>
      </c>
      <c r="B3685" s="5" t="s">
        <v>78</v>
      </c>
      <c r="C3685" s="5" t="s">
        <v>745</v>
      </c>
      <c r="D3685" s="5" t="s">
        <v>21</v>
      </c>
      <c r="E3685" s="5" t="s">
        <v>34</v>
      </c>
      <c r="F3685" s="5" t="s">
        <v>68</v>
      </c>
      <c r="G3685" s="12" t="s">
        <v>75</v>
      </c>
      <c r="H3685" s="9" t="s">
        <v>746</v>
      </c>
      <c r="I3685" s="10">
        <v>45630</v>
      </c>
      <c r="J3685" s="20">
        <v>45817</v>
      </c>
      <c r="K3685" s="5" t="s">
        <v>747</v>
      </c>
      <c r="L3685" s="5" t="s">
        <v>58</v>
      </c>
      <c r="M3685" s="11">
        <v>0.065000000000000002</v>
      </c>
      <c r="N3685" s="5" t="e">
        <f>IF(AND(M3685&gt;#REF!,Cartera!O3685="Guaraníes"),"Rendimiento significativo",IF(AND(M3685&gt;#REF!,Cartera!O3685="Dólares americanos"),"Rendimiento significativo","Rendimiento no significativo"))</f>
        <v>#REF!</v>
      </c>
      <c r="O3685" s="5" t="s">
        <v>41</v>
      </c>
      <c r="P3685" s="18">
        <v>83253424.657499999</v>
      </c>
      <c r="Q3685" s="12">
        <f>IF(O3685="Guaraníes",P3685,P3685*#REF!)</f>
        <v>83253424.657499999</v>
      </c>
      <c r="R3685" s="12" t="e">
        <f>IF(O3685="Guaraníes",P3685/#REF!,P3685)</f>
        <v>#REF!</v>
      </c>
      <c r="S3685" s="5" t="s">
        <v>42</v>
      </c>
      <c r="T3685" s="5">
        <v>25</v>
      </c>
      <c r="X3685" s="29">
        <v>0.125</v>
      </c>
      <c r="Y3685" s="5" t="s">
        <v>748</v>
      </c>
      <c r="AC3685" s="5" t="str">
        <f t="shared" si="175"/>
        <v>Bonos</v>
      </c>
      <c r="AD3685" s="5" t="s">
        <v>43</v>
      </c>
      <c r="AE3685" s="5">
        <f t="shared" si="176"/>
        <v>6</v>
      </c>
      <c r="AF3685" s="5">
        <f t="shared" si="177"/>
        <v>2025</v>
      </c>
    </row>
    <row r="3686" s="5" customFormat="1" ht="13">
      <c r="A3686" s="5">
        <v>12316</v>
      </c>
      <c r="B3686" s="5" t="s">
        <v>78</v>
      </c>
      <c r="C3686" s="5" t="s">
        <v>745</v>
      </c>
      <c r="D3686" s="5" t="s">
        <v>21</v>
      </c>
      <c r="E3686" s="5" t="s">
        <v>34</v>
      </c>
      <c r="F3686" s="5" t="s">
        <v>68</v>
      </c>
      <c r="G3686" s="12" t="s">
        <v>75</v>
      </c>
      <c r="H3686" s="9" t="s">
        <v>746</v>
      </c>
      <c r="I3686" s="10">
        <v>45630</v>
      </c>
      <c r="J3686" s="20">
        <v>46000</v>
      </c>
      <c r="K3686" s="5" t="s">
        <v>747</v>
      </c>
      <c r="L3686" s="5" t="s">
        <v>58</v>
      </c>
      <c r="M3686" s="11">
        <v>0.065000000000000002</v>
      </c>
      <c r="N3686" s="5" t="e">
        <f>IF(AND(M3686&gt;#REF!,Cartera!O3686="Guaraníes"),"Rendimiento significativo",IF(AND(M3686&gt;#REF!,Cartera!O3686="Dólares americanos"),"Rendimiento significativo","Rendimiento no significativo"))</f>
        <v>#REF!</v>
      </c>
      <c r="O3686" s="5" t="s">
        <v>41</v>
      </c>
      <c r="P3686" s="18">
        <v>71288527.397500008</v>
      </c>
      <c r="Q3686" s="12">
        <f>IF(O3686="Guaraníes",P3686,P3686*#REF!)</f>
        <v>71288527.397500008</v>
      </c>
      <c r="R3686" s="12" t="e">
        <f>IF(O3686="Guaraníes",P3686/#REF!,P3686)</f>
        <v>#REF!</v>
      </c>
      <c r="S3686" s="5" t="s">
        <v>42</v>
      </c>
      <c r="T3686" s="5">
        <v>25</v>
      </c>
      <c r="X3686" s="29">
        <v>0.125</v>
      </c>
      <c r="Y3686" s="5" t="s">
        <v>748</v>
      </c>
      <c r="AC3686" s="5" t="str">
        <f t="shared" si="175"/>
        <v>Bonos</v>
      </c>
      <c r="AD3686" s="5" t="s">
        <v>43</v>
      </c>
      <c r="AE3686" s="5">
        <f t="shared" si="176"/>
        <v>12</v>
      </c>
      <c r="AF3686" s="5">
        <f t="shared" si="177"/>
        <v>2025</v>
      </c>
    </row>
    <row r="3687" s="5" customFormat="1" ht="13">
      <c r="A3687" s="5">
        <v>12316</v>
      </c>
      <c r="B3687" s="5" t="s">
        <v>78</v>
      </c>
      <c r="C3687" s="5" t="s">
        <v>745</v>
      </c>
      <c r="D3687" s="5" t="s">
        <v>21</v>
      </c>
      <c r="E3687" s="5" t="s">
        <v>34</v>
      </c>
      <c r="F3687" s="5" t="s">
        <v>68</v>
      </c>
      <c r="G3687" s="12" t="s">
        <v>75</v>
      </c>
      <c r="H3687" s="9" t="s">
        <v>746</v>
      </c>
      <c r="I3687" s="10">
        <v>45630</v>
      </c>
      <c r="J3687" s="20">
        <v>46181</v>
      </c>
      <c r="K3687" s="5" t="s">
        <v>747</v>
      </c>
      <c r="L3687" s="5" t="s">
        <v>58</v>
      </c>
      <c r="M3687" s="11">
        <v>0.065000000000000002</v>
      </c>
      <c r="N3687" s="5" t="e">
        <f>IF(AND(M3687&gt;#REF!,Cartera!O3687="Guaraníes"),"Rendimiento significativo",IF(AND(M3687&gt;#REF!,Cartera!O3687="Dólares americanos"),"Rendimiento significativo","Rendimiento no significativo"))</f>
        <v>#REF!</v>
      </c>
      <c r="O3687" s="5" t="s">
        <v>41</v>
      </c>
      <c r="P3687" s="18">
        <v>60436643.835000001</v>
      </c>
      <c r="Q3687" s="12">
        <f>IF(O3687="Guaraníes",P3687,P3687*#REF!)</f>
        <v>60436643.835000001</v>
      </c>
      <c r="R3687" s="12" t="e">
        <f>IF(O3687="Guaraníes",P3687/#REF!,P3687)</f>
        <v>#REF!</v>
      </c>
      <c r="S3687" s="5" t="s">
        <v>42</v>
      </c>
      <c r="T3687" s="5">
        <v>25</v>
      </c>
      <c r="X3687" s="29">
        <v>0.125</v>
      </c>
      <c r="Y3687" s="5" t="s">
        <v>748</v>
      </c>
      <c r="AC3687" s="5" t="str">
        <f t="shared" si="175"/>
        <v>Bonos</v>
      </c>
      <c r="AD3687" s="5" t="s">
        <v>43</v>
      </c>
      <c r="AE3687" s="5">
        <f t="shared" si="176"/>
        <v>6</v>
      </c>
      <c r="AF3687" s="5">
        <f t="shared" si="177"/>
        <v>2026</v>
      </c>
    </row>
    <row r="3688" s="5" customFormat="1" ht="13">
      <c r="A3688" s="5">
        <v>12316</v>
      </c>
      <c r="B3688" s="5" t="s">
        <v>78</v>
      </c>
      <c r="C3688" s="5" t="s">
        <v>745</v>
      </c>
      <c r="D3688" s="5" t="s">
        <v>21</v>
      </c>
      <c r="E3688" s="5" t="s">
        <v>34</v>
      </c>
      <c r="F3688" s="5" t="s">
        <v>68</v>
      </c>
      <c r="G3688" s="12" t="s">
        <v>75</v>
      </c>
      <c r="H3688" s="9" t="s">
        <v>746</v>
      </c>
      <c r="I3688" s="10">
        <v>45630</v>
      </c>
      <c r="J3688" s="20">
        <v>46365</v>
      </c>
      <c r="K3688" s="5" t="s">
        <v>747</v>
      </c>
      <c r="L3688" s="5" t="s">
        <v>58</v>
      </c>
      <c r="M3688" s="11">
        <v>0.065000000000000002</v>
      </c>
      <c r="N3688" s="5" t="e">
        <f>IF(AND(M3688&gt;#REF!,Cartera!O3688="Guaraníes"),"Rendimiento significativo",IF(AND(M3688&gt;#REF!,Cartera!O3688="Dólares americanos"),"Rendimiento significativo","Rendimiento no significativo"))</f>
        <v>#REF!</v>
      </c>
      <c r="O3688" s="5" t="s">
        <v>41</v>
      </c>
      <c r="P3688" s="18">
        <v>51198630.137500003</v>
      </c>
      <c r="Q3688" s="12">
        <f>IF(O3688="Guaraníes",P3688,P3688*#REF!)</f>
        <v>51198630.137500003</v>
      </c>
      <c r="R3688" s="12" t="e">
        <f>IF(O3688="Guaraníes",P3688/#REF!,P3688)</f>
        <v>#REF!</v>
      </c>
      <c r="S3688" s="5" t="s">
        <v>42</v>
      </c>
      <c r="T3688" s="5">
        <v>25</v>
      </c>
      <c r="X3688" s="29">
        <v>0.125</v>
      </c>
      <c r="Y3688" s="5" t="s">
        <v>748</v>
      </c>
      <c r="AC3688" s="5" t="str">
        <f t="shared" si="175"/>
        <v>Bonos</v>
      </c>
      <c r="AD3688" s="5" t="s">
        <v>43</v>
      </c>
      <c r="AE3688" s="5">
        <f t="shared" si="176"/>
        <v>12</v>
      </c>
      <c r="AF3688" s="5">
        <f t="shared" si="177"/>
        <v>2026</v>
      </c>
    </row>
    <row r="3689" s="5" customFormat="1" ht="13">
      <c r="A3689" s="5">
        <v>12316</v>
      </c>
      <c r="B3689" s="5" t="s">
        <v>78</v>
      </c>
      <c r="C3689" s="5" t="s">
        <v>745</v>
      </c>
      <c r="D3689" s="5" t="s">
        <v>21</v>
      </c>
      <c r="E3689" s="5" t="s">
        <v>34</v>
      </c>
      <c r="F3689" s="5" t="s">
        <v>68</v>
      </c>
      <c r="G3689" s="12" t="s">
        <v>75</v>
      </c>
      <c r="H3689" s="9" t="s">
        <v>746</v>
      </c>
      <c r="I3689" s="10">
        <v>45630</v>
      </c>
      <c r="J3689" s="20">
        <v>46546</v>
      </c>
      <c r="K3689" s="5" t="s">
        <v>747</v>
      </c>
      <c r="L3689" s="5" t="s">
        <v>58</v>
      </c>
      <c r="M3689" s="11">
        <v>0.065000000000000002</v>
      </c>
      <c r="N3689" s="5" t="e">
        <f>IF(AND(M3689&gt;#REF!,Cartera!O3689="Guaraníes"),"Rendimiento significativo",IF(AND(M3689&gt;#REF!,Cartera!O3689="Dólares americanos"),"Rendimiento significativo","Rendimiento no significativo"))</f>
        <v>#REF!</v>
      </c>
      <c r="O3689" s="5" t="s">
        <v>41</v>
      </c>
      <c r="P3689" s="18">
        <v>40291095.890000001</v>
      </c>
      <c r="Q3689" s="12">
        <f>IF(O3689="Guaraníes",P3689,P3689*#REF!)</f>
        <v>40291095.890000001</v>
      </c>
      <c r="R3689" s="12" t="e">
        <f>IF(O3689="Guaraníes",P3689/#REF!,P3689)</f>
        <v>#REF!</v>
      </c>
      <c r="S3689" s="5" t="s">
        <v>42</v>
      </c>
      <c r="T3689" s="5">
        <v>25</v>
      </c>
      <c r="X3689" s="29">
        <v>0.125</v>
      </c>
      <c r="Y3689" s="5" t="s">
        <v>748</v>
      </c>
      <c r="AC3689" s="5" t="str">
        <f t="shared" si="175"/>
        <v>Bonos</v>
      </c>
      <c r="AD3689" s="5" t="s">
        <v>43</v>
      </c>
      <c r="AE3689" s="5">
        <f t="shared" si="176"/>
        <v>6</v>
      </c>
      <c r="AF3689" s="5">
        <f t="shared" si="177"/>
        <v>2027</v>
      </c>
    </row>
    <row r="3690" s="5" customFormat="1" ht="13">
      <c r="A3690" s="5">
        <v>12316</v>
      </c>
      <c r="B3690" s="5" t="s">
        <v>78</v>
      </c>
      <c r="C3690" s="5" t="s">
        <v>745</v>
      </c>
      <c r="D3690" s="5" t="s">
        <v>21</v>
      </c>
      <c r="E3690" s="5" t="s">
        <v>34</v>
      </c>
      <c r="F3690" s="5" t="s">
        <v>68</v>
      </c>
      <c r="G3690" s="12" t="s">
        <v>75</v>
      </c>
      <c r="H3690" s="9" t="s">
        <v>746</v>
      </c>
      <c r="I3690" s="10">
        <v>45630</v>
      </c>
      <c r="J3690" s="20">
        <v>46730</v>
      </c>
      <c r="K3690" s="5" t="s">
        <v>747</v>
      </c>
      <c r="L3690" s="5" t="s">
        <v>58</v>
      </c>
      <c r="M3690" s="11">
        <v>0.065000000000000002</v>
      </c>
      <c r="N3690" s="5" t="e">
        <f>IF(AND(M3690&gt;#REF!,Cartera!O3690="Guaraníes"),"Rendimiento significativo",IF(AND(M3690&gt;#REF!,Cartera!O3690="Dólares americanos"),"Rendimiento significativo","Rendimiento no significativo"))</f>
        <v>#REF!</v>
      </c>
      <c r="O3690" s="5" t="s">
        <v>41</v>
      </c>
      <c r="P3690" s="18">
        <v>30719178.0825</v>
      </c>
      <c r="Q3690" s="12">
        <f>IF(O3690="Guaraníes",P3690,P3690*#REF!)</f>
        <v>30719178.0825</v>
      </c>
      <c r="R3690" s="12" t="e">
        <f>IF(O3690="Guaraníes",P3690/#REF!,P3690)</f>
        <v>#REF!</v>
      </c>
      <c r="S3690" s="5" t="s">
        <v>42</v>
      </c>
      <c r="T3690" s="5">
        <v>25</v>
      </c>
      <c r="X3690" s="29">
        <v>0.125</v>
      </c>
      <c r="Y3690" s="5" t="s">
        <v>748</v>
      </c>
      <c r="AC3690" s="5" t="str">
        <f t="shared" si="175"/>
        <v>Bonos</v>
      </c>
      <c r="AD3690" s="5" t="s">
        <v>43</v>
      </c>
      <c r="AE3690" s="5">
        <f t="shared" si="176"/>
        <v>12</v>
      </c>
      <c r="AF3690" s="5">
        <f t="shared" si="177"/>
        <v>2027</v>
      </c>
    </row>
    <row r="3691" s="5" customFormat="1" ht="13">
      <c r="A3691" s="5">
        <v>12316</v>
      </c>
      <c r="B3691" s="5" t="s">
        <v>78</v>
      </c>
      <c r="C3691" s="5" t="s">
        <v>745</v>
      </c>
      <c r="D3691" s="5" t="s">
        <v>21</v>
      </c>
      <c r="E3691" s="5" t="s">
        <v>34</v>
      </c>
      <c r="F3691" s="5" t="s">
        <v>68</v>
      </c>
      <c r="G3691" s="12" t="s">
        <v>75</v>
      </c>
      <c r="H3691" s="9" t="s">
        <v>746</v>
      </c>
      <c r="I3691" s="10">
        <v>45630</v>
      </c>
      <c r="J3691" s="20">
        <v>46912</v>
      </c>
      <c r="K3691" s="5" t="s">
        <v>747</v>
      </c>
      <c r="L3691" s="5" t="s">
        <v>58</v>
      </c>
      <c r="M3691" s="11">
        <v>0.065000000000000002</v>
      </c>
      <c r="N3691" s="5" t="e">
        <f>IF(AND(M3691&gt;#REF!,Cartera!O3691="Guaraníes"),"Rendimiento significativo",IF(AND(M3691&gt;#REF!,Cartera!O3691="Dólares americanos"),"Rendimiento significativo","Rendimiento no significativo"))</f>
        <v>#REF!</v>
      </c>
      <c r="O3691" s="5" t="s">
        <v>41</v>
      </c>
      <c r="P3691" s="18">
        <v>20256849.314999998</v>
      </c>
      <c r="Q3691" s="12">
        <f>IF(O3691="Guaraníes",P3691,P3691*#REF!)</f>
        <v>20256849.314999998</v>
      </c>
      <c r="R3691" s="12" t="e">
        <f>IF(O3691="Guaraníes",P3691/#REF!,P3691)</f>
        <v>#REF!</v>
      </c>
      <c r="S3691" s="5" t="s">
        <v>42</v>
      </c>
      <c r="T3691" s="5">
        <v>25</v>
      </c>
      <c r="X3691" s="29">
        <v>0.125</v>
      </c>
      <c r="Y3691" s="5" t="s">
        <v>748</v>
      </c>
      <c r="AC3691" s="5" t="str">
        <f t="shared" si="175"/>
        <v>Bonos</v>
      </c>
      <c r="AD3691" s="5" t="s">
        <v>43</v>
      </c>
      <c r="AE3691" s="5">
        <f t="shared" si="176"/>
        <v>6</v>
      </c>
      <c r="AF3691" s="5">
        <f t="shared" si="177"/>
        <v>2028</v>
      </c>
    </row>
    <row r="3692" s="5" customFormat="1" ht="13">
      <c r="A3692" s="5">
        <v>12316</v>
      </c>
      <c r="B3692" s="5" t="s">
        <v>78</v>
      </c>
      <c r="C3692" s="5" t="s">
        <v>745</v>
      </c>
      <c r="D3692" s="5" t="s">
        <v>21</v>
      </c>
      <c r="E3692" s="5" t="s">
        <v>34</v>
      </c>
      <c r="F3692" s="5" t="s">
        <v>68</v>
      </c>
      <c r="G3692" s="12" t="s">
        <v>75</v>
      </c>
      <c r="H3692" s="9" t="s">
        <v>746</v>
      </c>
      <c r="I3692" s="10">
        <v>45630</v>
      </c>
      <c r="J3692" s="20">
        <v>47098</v>
      </c>
      <c r="K3692" s="5" t="s">
        <v>747</v>
      </c>
      <c r="L3692" s="5" t="s">
        <v>58</v>
      </c>
      <c r="M3692" s="11">
        <v>0.065000000000000002</v>
      </c>
      <c r="N3692" s="5" t="e">
        <f>IF(AND(M3692&gt;#REF!,Cartera!O3692="Guaraníes"),"Rendimiento significativo",IF(AND(M3692&gt;#REF!,Cartera!O3692="Dólares americanos"),"Rendimiento significativo","Rendimiento no significativo"))</f>
        <v>#REF!</v>
      </c>
      <c r="O3692" s="5" t="s">
        <v>41</v>
      </c>
      <c r="P3692" s="18">
        <v>10351027.397499999</v>
      </c>
      <c r="Q3692" s="12">
        <f>IF(O3692="Guaraníes",P3692,P3692*#REF!)</f>
        <v>10351027.397499999</v>
      </c>
      <c r="R3692" s="12" t="e">
        <f>IF(O3692="Guaraníes",P3692/#REF!,P3692)</f>
        <v>#REF!</v>
      </c>
      <c r="S3692" s="5" t="s">
        <v>42</v>
      </c>
      <c r="T3692" s="5">
        <v>25</v>
      </c>
      <c r="X3692" s="29">
        <v>0.125</v>
      </c>
      <c r="Y3692" s="5" t="s">
        <v>748</v>
      </c>
      <c r="AC3692" s="5" t="str">
        <f t="shared" si="175"/>
        <v>Bonos</v>
      </c>
      <c r="AD3692" s="5" t="s">
        <v>43</v>
      </c>
      <c r="AE3692" s="5">
        <f t="shared" si="176"/>
        <v>12</v>
      </c>
      <c r="AF3692" s="5">
        <f t="shared" si="177"/>
        <v>2028</v>
      </c>
    </row>
    <row r="3693" s="5" customFormat="1" ht="13">
      <c r="A3693" s="5">
        <v>12315</v>
      </c>
      <c r="B3693" s="5" t="s">
        <v>73</v>
      </c>
      <c r="C3693" s="5" t="s">
        <v>67</v>
      </c>
      <c r="D3693" s="5" t="s">
        <v>21</v>
      </c>
      <c r="E3693" s="5" t="s">
        <v>749</v>
      </c>
      <c r="F3693" s="5" t="s">
        <v>68</v>
      </c>
      <c r="G3693" s="5" t="s">
        <v>69</v>
      </c>
      <c r="H3693" s="9" t="s">
        <v>70</v>
      </c>
      <c r="I3693" s="10">
        <v>45580</v>
      </c>
      <c r="J3693" s="10">
        <v>45672</v>
      </c>
      <c r="K3693" s="5" t="s">
        <v>538</v>
      </c>
      <c r="L3693" s="5" t="s">
        <v>58</v>
      </c>
      <c r="M3693" s="11">
        <v>0.080000000000000002</v>
      </c>
      <c r="N3693" s="5" t="e">
        <f>IF(AND(M3693&gt;#REF!,Cartera!O3693="Guaraníes"),"Rendimiento significativo",IF(AND(M3693&gt;#REF!,Cartera!O3693="Dólares americanos"),"Rendimiento significativo","Rendimiento no significativo"))</f>
        <v>#REF!</v>
      </c>
      <c r="O3693" s="5" t="s">
        <v>51</v>
      </c>
      <c r="P3693" s="13">
        <v>10.59</v>
      </c>
      <c r="Q3693" s="12" t="e">
        <f>IF(O3693="Guaraníes",P3693,P3693*#REF!)</f>
        <v>#REF!</v>
      </c>
      <c r="R3693" s="12">
        <f>IF(O3693="Guaraníes",P3693/#REF!,P3693)</f>
        <v>10.59</v>
      </c>
      <c r="S3693" s="5" t="s">
        <v>42</v>
      </c>
      <c r="AC3693" s="5" t="str">
        <f t="shared" si="175"/>
        <v>Bonos</v>
      </c>
      <c r="AD3693" s="5" t="s">
        <v>43</v>
      </c>
      <c r="AE3693" s="5">
        <f t="shared" si="176"/>
        <v>1</v>
      </c>
      <c r="AF3693" s="5">
        <f t="shared" si="177"/>
        <v>2025</v>
      </c>
      <c r="AG3693" s="28" t="s">
        <v>539</v>
      </c>
    </row>
    <row r="3694" s="5" customFormat="1" ht="13">
      <c r="A3694" s="5">
        <v>12315</v>
      </c>
      <c r="B3694" s="5" t="s">
        <v>73</v>
      </c>
      <c r="C3694" s="5" t="s">
        <v>67</v>
      </c>
      <c r="D3694" s="5" t="s">
        <v>21</v>
      </c>
      <c r="E3694" s="5" t="s">
        <v>749</v>
      </c>
      <c r="F3694" s="5" t="s">
        <v>68</v>
      </c>
      <c r="G3694" s="5" t="s">
        <v>69</v>
      </c>
      <c r="H3694" s="9" t="s">
        <v>70</v>
      </c>
      <c r="I3694" s="10">
        <v>45580</v>
      </c>
      <c r="J3694" s="10">
        <v>45703</v>
      </c>
      <c r="K3694" s="5" t="s">
        <v>538</v>
      </c>
      <c r="L3694" s="5" t="s">
        <v>58</v>
      </c>
      <c r="M3694" s="11">
        <v>0.080000000000000002</v>
      </c>
      <c r="N3694" s="5" t="e">
        <f>IF(AND(M3694&gt;#REF!,Cartera!O3694="Guaraníes"),"Rendimiento significativo",IF(AND(M3694&gt;#REF!,Cartera!O3694="Dólares americanos"),"Rendimiento significativo","Rendimiento no significativo"))</f>
        <v>#REF!</v>
      </c>
      <c r="O3694" s="5" t="s">
        <v>51</v>
      </c>
      <c r="P3694" s="13">
        <v>11.32</v>
      </c>
      <c r="Q3694" s="12" t="e">
        <f>IF(O3694="Guaraníes",P3694,P3694*#REF!)</f>
        <v>#REF!</v>
      </c>
      <c r="R3694" s="12">
        <f>IF(O3694="Guaraníes",P3694/#REF!,P3694)</f>
        <v>11.32</v>
      </c>
      <c r="S3694" s="5" t="s">
        <v>42</v>
      </c>
      <c r="AC3694" s="5" t="str">
        <f t="shared" si="175"/>
        <v>Bonos</v>
      </c>
      <c r="AD3694" s="5" t="s">
        <v>43</v>
      </c>
      <c r="AE3694" s="5">
        <f t="shared" si="176"/>
        <v>2</v>
      </c>
      <c r="AF3694" s="5">
        <f t="shared" si="177"/>
        <v>2025</v>
      </c>
      <c r="AG3694" s="28" t="s">
        <v>539</v>
      </c>
    </row>
    <row r="3695" s="5" customFormat="1" ht="13">
      <c r="A3695" s="5">
        <v>12315</v>
      </c>
      <c r="B3695" s="5" t="s">
        <v>73</v>
      </c>
      <c r="C3695" s="5" t="s">
        <v>67</v>
      </c>
      <c r="D3695" s="5" t="s">
        <v>21</v>
      </c>
      <c r="E3695" s="5" t="s">
        <v>749</v>
      </c>
      <c r="F3695" s="5" t="s">
        <v>68</v>
      </c>
      <c r="G3695" s="5" t="s">
        <v>69</v>
      </c>
      <c r="H3695" s="9" t="s">
        <v>70</v>
      </c>
      <c r="I3695" s="10">
        <v>45580</v>
      </c>
      <c r="J3695" s="10">
        <v>45734</v>
      </c>
      <c r="K3695" s="5" t="s">
        <v>538</v>
      </c>
      <c r="L3695" s="5" t="s">
        <v>58</v>
      </c>
      <c r="M3695" s="11">
        <v>0.080000000000000002</v>
      </c>
      <c r="N3695" s="5" t="e">
        <f>IF(AND(M3695&gt;#REF!,Cartera!O3695="Guaraníes"),"Rendimiento significativo",IF(AND(M3695&gt;#REF!,Cartera!O3695="Dólares americanos"),"Rendimiento significativo","Rendimiento no significativo"))</f>
        <v>#REF!</v>
      </c>
      <c r="O3695" s="5" t="s">
        <v>51</v>
      </c>
      <c r="P3695" s="13">
        <v>11.32</v>
      </c>
      <c r="Q3695" s="12" t="e">
        <f>IF(O3695="Guaraníes",P3695,P3695*#REF!)</f>
        <v>#REF!</v>
      </c>
      <c r="R3695" s="12">
        <f>IF(O3695="Guaraníes",P3695/#REF!,P3695)</f>
        <v>11.32</v>
      </c>
      <c r="S3695" s="5" t="s">
        <v>42</v>
      </c>
      <c r="AC3695" s="5" t="str">
        <f t="shared" si="175"/>
        <v>Bonos</v>
      </c>
      <c r="AD3695" s="5" t="s">
        <v>43</v>
      </c>
      <c r="AE3695" s="5">
        <f t="shared" si="176"/>
        <v>3</v>
      </c>
      <c r="AF3695" s="5">
        <f t="shared" si="177"/>
        <v>2025</v>
      </c>
      <c r="AG3695" s="28" t="s">
        <v>539</v>
      </c>
    </row>
    <row r="3696" s="5" customFormat="1" ht="13">
      <c r="A3696" s="5">
        <v>12315</v>
      </c>
      <c r="B3696" s="5" t="s">
        <v>73</v>
      </c>
      <c r="C3696" s="5" t="s">
        <v>67</v>
      </c>
      <c r="D3696" s="5" t="s">
        <v>21</v>
      </c>
      <c r="E3696" s="5" t="s">
        <v>749</v>
      </c>
      <c r="F3696" s="5" t="s">
        <v>68</v>
      </c>
      <c r="G3696" s="5" t="s">
        <v>69</v>
      </c>
      <c r="H3696" s="9" t="s">
        <v>70</v>
      </c>
      <c r="I3696" s="10">
        <v>45580</v>
      </c>
      <c r="J3696" s="10">
        <v>45765</v>
      </c>
      <c r="K3696" s="5" t="s">
        <v>538</v>
      </c>
      <c r="L3696" s="5" t="s">
        <v>58</v>
      </c>
      <c r="M3696" s="11">
        <v>0.080000000000000002</v>
      </c>
      <c r="N3696" s="5" t="e">
        <f>IF(AND(M3696&gt;#REF!,Cartera!O3696="Guaraníes"),"Rendimiento significativo",IF(AND(M3696&gt;#REF!,Cartera!O3696="Dólares americanos"),"Rendimiento significativo","Rendimiento no significativo"))</f>
        <v>#REF!</v>
      </c>
      <c r="O3696" s="5" t="s">
        <v>51</v>
      </c>
      <c r="P3696" s="13">
        <v>11.32</v>
      </c>
      <c r="Q3696" s="12" t="e">
        <f>IF(O3696="Guaraníes",P3696,P3696*#REF!)</f>
        <v>#REF!</v>
      </c>
      <c r="R3696" s="12">
        <f>IF(O3696="Guaraníes",P3696/#REF!,P3696)</f>
        <v>11.32</v>
      </c>
      <c r="S3696" s="5" t="s">
        <v>42</v>
      </c>
      <c r="AC3696" s="5" t="str">
        <f t="shared" si="175"/>
        <v>Bonos</v>
      </c>
      <c r="AD3696" s="5" t="s">
        <v>43</v>
      </c>
      <c r="AE3696" s="5">
        <f t="shared" si="176"/>
        <v>4</v>
      </c>
      <c r="AF3696" s="5">
        <f t="shared" si="177"/>
        <v>2025</v>
      </c>
      <c r="AG3696" s="28" t="s">
        <v>539</v>
      </c>
    </row>
    <row r="3697" s="5" customFormat="1" ht="13">
      <c r="A3697" s="5">
        <v>12315</v>
      </c>
      <c r="B3697" s="5" t="s">
        <v>73</v>
      </c>
      <c r="C3697" s="5" t="s">
        <v>67</v>
      </c>
      <c r="D3697" s="5" t="s">
        <v>21</v>
      </c>
      <c r="E3697" s="5" t="s">
        <v>749</v>
      </c>
      <c r="F3697" s="5" t="s">
        <v>68</v>
      </c>
      <c r="G3697" s="5" t="s">
        <v>69</v>
      </c>
      <c r="H3697" s="9" t="s">
        <v>70</v>
      </c>
      <c r="I3697" s="10">
        <v>45580</v>
      </c>
      <c r="J3697" s="10">
        <v>45797</v>
      </c>
      <c r="K3697" s="5" t="s">
        <v>538</v>
      </c>
      <c r="L3697" s="5" t="s">
        <v>58</v>
      </c>
      <c r="M3697" s="11">
        <v>0.080000000000000002</v>
      </c>
      <c r="N3697" s="5" t="e">
        <f>IF(AND(M3697&gt;#REF!,Cartera!O3697="Guaraníes"),"Rendimiento significativo",IF(AND(M3697&gt;#REF!,Cartera!O3697="Dólares americanos"),"Rendimiento significativo","Rendimiento no significativo"))</f>
        <v>#REF!</v>
      </c>
      <c r="O3697" s="5" t="s">
        <v>51</v>
      </c>
      <c r="P3697" s="13">
        <v>11.68</v>
      </c>
      <c r="Q3697" s="12" t="e">
        <f>IF(O3697="Guaraníes",P3697,P3697*#REF!)</f>
        <v>#REF!</v>
      </c>
      <c r="R3697" s="12">
        <f>IF(O3697="Guaraníes",P3697/#REF!,P3697)</f>
        <v>11.68</v>
      </c>
      <c r="S3697" s="5" t="s">
        <v>42</v>
      </c>
      <c r="AC3697" s="5" t="str">
        <f t="shared" si="175"/>
        <v>Bonos</v>
      </c>
      <c r="AD3697" s="5" t="s">
        <v>43</v>
      </c>
      <c r="AE3697" s="5">
        <f t="shared" si="176"/>
        <v>5</v>
      </c>
      <c r="AF3697" s="5">
        <f t="shared" si="177"/>
        <v>2025</v>
      </c>
      <c r="AG3697" s="28" t="s">
        <v>539</v>
      </c>
    </row>
    <row r="3698" s="5" customFormat="1" ht="13">
      <c r="A3698" s="5">
        <v>12315</v>
      </c>
      <c r="B3698" s="5" t="s">
        <v>73</v>
      </c>
      <c r="C3698" s="5" t="s">
        <v>67</v>
      </c>
      <c r="D3698" s="5" t="s">
        <v>21</v>
      </c>
      <c r="E3698" s="5" t="s">
        <v>749</v>
      </c>
      <c r="F3698" s="5" t="s">
        <v>68</v>
      </c>
      <c r="G3698" s="5" t="s">
        <v>69</v>
      </c>
      <c r="H3698" s="9" t="s">
        <v>70</v>
      </c>
      <c r="I3698" s="10">
        <v>45580</v>
      </c>
      <c r="J3698" s="10">
        <v>45828</v>
      </c>
      <c r="K3698" s="5" t="s">
        <v>538</v>
      </c>
      <c r="L3698" s="5" t="s">
        <v>58</v>
      </c>
      <c r="M3698" s="11">
        <v>0.080000000000000002</v>
      </c>
      <c r="N3698" s="5" t="e">
        <f>IF(AND(M3698&gt;#REF!,Cartera!O3698="Guaraníes"),"Rendimiento significativo",IF(AND(M3698&gt;#REF!,Cartera!O3698="Dólares americanos"),"Rendimiento significativo","Rendimiento no significativo"))</f>
        <v>#REF!</v>
      </c>
      <c r="O3698" s="5" t="s">
        <v>51</v>
      </c>
      <c r="P3698" s="13">
        <v>11.32</v>
      </c>
      <c r="Q3698" s="12" t="e">
        <f>IF(O3698="Guaraníes",P3698,P3698*#REF!)</f>
        <v>#REF!</v>
      </c>
      <c r="R3698" s="12">
        <f>IF(O3698="Guaraníes",P3698/#REF!,P3698)</f>
        <v>11.32</v>
      </c>
      <c r="S3698" s="5" t="s">
        <v>42</v>
      </c>
      <c r="AC3698" s="5" t="str">
        <f t="shared" si="175"/>
        <v>Bonos</v>
      </c>
      <c r="AD3698" s="5" t="s">
        <v>43</v>
      </c>
      <c r="AE3698" s="5">
        <f t="shared" si="176"/>
        <v>6</v>
      </c>
      <c r="AF3698" s="5">
        <f t="shared" si="177"/>
        <v>2025</v>
      </c>
      <c r="AG3698" s="28" t="s">
        <v>539</v>
      </c>
    </row>
    <row r="3699" s="5" customFormat="1" ht="13">
      <c r="A3699" s="5">
        <v>12315</v>
      </c>
      <c r="B3699" s="5" t="s">
        <v>73</v>
      </c>
      <c r="C3699" s="5" t="s">
        <v>67</v>
      </c>
      <c r="D3699" s="5" t="s">
        <v>21</v>
      </c>
      <c r="E3699" s="5" t="s">
        <v>749</v>
      </c>
      <c r="F3699" s="5" t="s">
        <v>68</v>
      </c>
      <c r="G3699" s="5" t="s">
        <v>69</v>
      </c>
      <c r="H3699" s="9" t="s">
        <v>70</v>
      </c>
      <c r="I3699" s="10">
        <v>45580</v>
      </c>
      <c r="J3699" s="10">
        <v>45857</v>
      </c>
      <c r="K3699" s="5" t="s">
        <v>538</v>
      </c>
      <c r="L3699" s="5" t="s">
        <v>58</v>
      </c>
      <c r="M3699" s="11">
        <v>0.080000000000000002</v>
      </c>
      <c r="N3699" s="5" t="e">
        <f>IF(AND(M3699&gt;#REF!,Cartera!O3699="Guaraníes"),"Rendimiento significativo",IF(AND(M3699&gt;#REF!,Cartera!O3699="Dólares americanos"),"Rendimiento significativo","Rendimiento no significativo"))</f>
        <v>#REF!</v>
      </c>
      <c r="O3699" s="5" t="s">
        <v>51</v>
      </c>
      <c r="P3699" s="13">
        <v>10.59</v>
      </c>
      <c r="Q3699" s="12" t="e">
        <f>IF(O3699="Guaraníes",P3699,P3699*#REF!)</f>
        <v>#REF!</v>
      </c>
      <c r="R3699" s="12">
        <f>IF(O3699="Guaraníes",P3699/#REF!,P3699)</f>
        <v>10.59</v>
      </c>
      <c r="S3699" s="5" t="s">
        <v>42</v>
      </c>
      <c r="AC3699" s="5" t="str">
        <f t="shared" si="175"/>
        <v>Bonos</v>
      </c>
      <c r="AD3699" s="5" t="s">
        <v>43</v>
      </c>
      <c r="AE3699" s="5">
        <f t="shared" si="176"/>
        <v>7</v>
      </c>
      <c r="AF3699" s="5">
        <f t="shared" si="177"/>
        <v>2025</v>
      </c>
      <c r="AG3699" s="28" t="s">
        <v>539</v>
      </c>
    </row>
    <row r="3700" s="5" customFormat="1" ht="13">
      <c r="A3700" s="5">
        <v>12315</v>
      </c>
      <c r="B3700" s="5" t="s">
        <v>73</v>
      </c>
      <c r="C3700" s="5" t="s">
        <v>67</v>
      </c>
      <c r="D3700" s="5" t="s">
        <v>21</v>
      </c>
      <c r="E3700" s="5" t="s">
        <v>749</v>
      </c>
      <c r="F3700" s="5" t="s">
        <v>68</v>
      </c>
      <c r="G3700" s="5" t="s">
        <v>69</v>
      </c>
      <c r="H3700" s="9" t="s">
        <v>70</v>
      </c>
      <c r="I3700" s="10">
        <v>45580</v>
      </c>
      <c r="J3700" s="10">
        <v>45885</v>
      </c>
      <c r="K3700" s="5" t="s">
        <v>538</v>
      </c>
      <c r="L3700" s="5" t="s">
        <v>58</v>
      </c>
      <c r="M3700" s="11">
        <v>0.080000000000000002</v>
      </c>
      <c r="N3700" s="5" t="e">
        <f>IF(AND(M3700&gt;#REF!,Cartera!O3700="Guaraníes"),"Rendimiento significativo",IF(AND(M3700&gt;#REF!,Cartera!O3700="Dólares americanos"),"Rendimiento significativo","Rendimiento no significativo"))</f>
        <v>#REF!</v>
      </c>
      <c r="O3700" s="5" t="s">
        <v>51</v>
      </c>
      <c r="P3700" s="13">
        <v>10.220000000000001</v>
      </c>
      <c r="Q3700" s="12" t="e">
        <f>IF(O3700="Guaraníes",P3700,P3700*#REF!)</f>
        <v>#REF!</v>
      </c>
      <c r="R3700" s="12">
        <f>IF(O3700="Guaraníes",P3700/#REF!,P3700)</f>
        <v>10.220000000000001</v>
      </c>
      <c r="S3700" s="5" t="s">
        <v>42</v>
      </c>
      <c r="AC3700" s="5" t="str">
        <f t="shared" si="175"/>
        <v>Bonos</v>
      </c>
      <c r="AD3700" s="5" t="s">
        <v>43</v>
      </c>
      <c r="AE3700" s="5">
        <f t="shared" si="176"/>
        <v>8</v>
      </c>
      <c r="AF3700" s="5">
        <f t="shared" si="177"/>
        <v>2025</v>
      </c>
      <c r="AG3700" s="28" t="s">
        <v>539</v>
      </c>
    </row>
    <row r="3701" s="5" customFormat="1" ht="13">
      <c r="A3701" s="5">
        <v>12315</v>
      </c>
      <c r="B3701" s="5" t="s">
        <v>73</v>
      </c>
      <c r="C3701" s="5" t="s">
        <v>67</v>
      </c>
      <c r="D3701" s="5" t="s">
        <v>21</v>
      </c>
      <c r="E3701" s="5" t="s">
        <v>749</v>
      </c>
      <c r="F3701" s="5" t="s">
        <v>68</v>
      </c>
      <c r="G3701" s="5" t="s">
        <v>69</v>
      </c>
      <c r="H3701" s="9" t="s">
        <v>70</v>
      </c>
      <c r="I3701" s="10">
        <v>45580</v>
      </c>
      <c r="J3701" s="10">
        <v>45916</v>
      </c>
      <c r="K3701" s="5" t="s">
        <v>538</v>
      </c>
      <c r="L3701" s="5" t="s">
        <v>58</v>
      </c>
      <c r="M3701" s="11">
        <v>0.080000000000000002</v>
      </c>
      <c r="N3701" s="5" t="e">
        <f>IF(AND(M3701&gt;#REF!,Cartera!O3701="Guaraníes"),"Rendimiento significativo",IF(AND(M3701&gt;#REF!,Cartera!O3701="Dólares americanos"),"Rendimiento significativo","Rendimiento no significativo"))</f>
        <v>#REF!</v>
      </c>
      <c r="O3701" s="5" t="s">
        <v>51</v>
      </c>
      <c r="P3701" s="13">
        <v>11.32</v>
      </c>
      <c r="Q3701" s="12" t="e">
        <f>IF(O3701="Guaraníes",P3701,P3701*#REF!)</f>
        <v>#REF!</v>
      </c>
      <c r="R3701" s="12">
        <f>IF(O3701="Guaraníes",P3701/#REF!,P3701)</f>
        <v>11.32</v>
      </c>
      <c r="S3701" s="5" t="s">
        <v>42</v>
      </c>
      <c r="AC3701" s="5" t="str">
        <f t="shared" si="175"/>
        <v>Bonos</v>
      </c>
      <c r="AD3701" s="5" t="s">
        <v>43</v>
      </c>
      <c r="AE3701" s="5">
        <f t="shared" si="176"/>
        <v>9</v>
      </c>
      <c r="AF3701" s="5">
        <f t="shared" si="177"/>
        <v>2025</v>
      </c>
      <c r="AG3701" s="28" t="s">
        <v>539</v>
      </c>
    </row>
    <row r="3702" s="5" customFormat="1" ht="13">
      <c r="A3702" s="5">
        <v>12315</v>
      </c>
      <c r="B3702" s="5" t="s">
        <v>73</v>
      </c>
      <c r="C3702" s="5" t="s">
        <v>67</v>
      </c>
      <c r="D3702" s="5" t="s">
        <v>21</v>
      </c>
      <c r="E3702" s="5" t="s">
        <v>749</v>
      </c>
      <c r="F3702" s="5" t="s">
        <v>68</v>
      </c>
      <c r="G3702" s="5" t="s">
        <v>69</v>
      </c>
      <c r="H3702" s="9" t="s">
        <v>70</v>
      </c>
      <c r="I3702" s="10">
        <v>45580</v>
      </c>
      <c r="J3702" s="10">
        <v>45947</v>
      </c>
      <c r="K3702" s="5" t="s">
        <v>538</v>
      </c>
      <c r="L3702" s="5" t="s">
        <v>58</v>
      </c>
      <c r="M3702" s="11">
        <v>0.080000000000000002</v>
      </c>
      <c r="N3702" s="5" t="e">
        <f>IF(AND(M3702&gt;#REF!,Cartera!O3702="Guaraníes"),"Rendimiento significativo",IF(AND(M3702&gt;#REF!,Cartera!O3702="Dólares americanos"),"Rendimiento significativo","Rendimiento no significativo"))</f>
        <v>#REF!</v>
      </c>
      <c r="O3702" s="5" t="s">
        <v>51</v>
      </c>
      <c r="P3702" s="13">
        <v>11.32</v>
      </c>
      <c r="Q3702" s="12" t="e">
        <f>IF(O3702="Guaraníes",P3702,P3702*#REF!)</f>
        <v>#REF!</v>
      </c>
      <c r="R3702" s="12">
        <f>IF(O3702="Guaraníes",P3702/#REF!,P3702)</f>
        <v>11.32</v>
      </c>
      <c r="S3702" s="5" t="s">
        <v>42</v>
      </c>
      <c r="AC3702" s="5" t="str">
        <f t="shared" si="175"/>
        <v>Bonos</v>
      </c>
      <c r="AD3702" s="5" t="s">
        <v>43</v>
      </c>
      <c r="AE3702" s="5">
        <f t="shared" si="176"/>
        <v>10</v>
      </c>
      <c r="AF3702" s="5">
        <f t="shared" si="177"/>
        <v>2025</v>
      </c>
      <c r="AG3702" s="28" t="s">
        <v>539</v>
      </c>
    </row>
    <row r="3703" s="5" customFormat="1" ht="13">
      <c r="A3703" s="5">
        <v>12315</v>
      </c>
      <c r="B3703" s="5" t="s">
        <v>73</v>
      </c>
      <c r="C3703" s="5" t="s">
        <v>67</v>
      </c>
      <c r="D3703" s="5" t="s">
        <v>21</v>
      </c>
      <c r="E3703" s="5" t="s">
        <v>749</v>
      </c>
      <c r="F3703" s="5" t="s">
        <v>68</v>
      </c>
      <c r="G3703" s="5" t="s">
        <v>69</v>
      </c>
      <c r="H3703" s="9" t="s">
        <v>70</v>
      </c>
      <c r="I3703" s="10">
        <v>45580</v>
      </c>
      <c r="J3703" s="10">
        <v>45979</v>
      </c>
      <c r="K3703" s="5" t="s">
        <v>538</v>
      </c>
      <c r="L3703" s="5" t="s">
        <v>58</v>
      </c>
      <c r="M3703" s="11">
        <v>0.080000000000000002</v>
      </c>
      <c r="N3703" s="5" t="e">
        <f>IF(AND(M3703&gt;#REF!,Cartera!O3703="Guaraníes"),"Rendimiento significativo",IF(AND(M3703&gt;#REF!,Cartera!O3703="Dólares americanos"),"Rendimiento significativo","Rendimiento no significativo"))</f>
        <v>#REF!</v>
      </c>
      <c r="O3703" s="5" t="s">
        <v>51</v>
      </c>
      <c r="P3703" s="13">
        <v>11.68</v>
      </c>
      <c r="Q3703" s="12" t="e">
        <f>IF(O3703="Guaraníes",P3703,P3703*#REF!)</f>
        <v>#REF!</v>
      </c>
      <c r="R3703" s="12">
        <f>IF(O3703="Guaraníes",P3703/#REF!,P3703)</f>
        <v>11.68</v>
      </c>
      <c r="S3703" s="5" t="s">
        <v>42</v>
      </c>
      <c r="AC3703" s="5" t="str">
        <f t="shared" ref="AC3703:AC3713" si="178">IF(ISNUMBER(SEARCH("Acciones",L3703)),"Acciones",IF(ISNUMBER(SEARCH("Bono",L3703)),"Bonos",IF(ISNUMBER(SEARCH("CDA",L3703)),"CDA",IF(ISNUMBER(SEARCH("Fondo",L3703)),"Fondo",0))))</f>
        <v>Bonos</v>
      </c>
      <c r="AD3703" s="5" t="s">
        <v>43</v>
      </c>
      <c r="AE3703" s="5">
        <f t="shared" si="176"/>
        <v>11</v>
      </c>
      <c r="AF3703" s="5">
        <f t="shared" si="177"/>
        <v>2025</v>
      </c>
      <c r="AG3703" s="28" t="s">
        <v>539</v>
      </c>
    </row>
    <row r="3704" s="5" customFormat="1" ht="13">
      <c r="A3704" s="5">
        <v>12315</v>
      </c>
      <c r="B3704" s="5" t="s">
        <v>73</v>
      </c>
      <c r="C3704" s="5" t="s">
        <v>67</v>
      </c>
      <c r="D3704" s="5" t="s">
        <v>21</v>
      </c>
      <c r="E3704" s="5" t="s">
        <v>749</v>
      </c>
      <c r="F3704" s="5" t="s">
        <v>68</v>
      </c>
      <c r="G3704" s="5" t="s">
        <v>69</v>
      </c>
      <c r="H3704" s="9" t="s">
        <v>70</v>
      </c>
      <c r="I3704" s="10">
        <v>45580</v>
      </c>
      <c r="J3704" s="10">
        <v>46011</v>
      </c>
      <c r="K3704" s="5" t="s">
        <v>538</v>
      </c>
      <c r="L3704" s="5" t="s">
        <v>58</v>
      </c>
      <c r="M3704" s="11">
        <v>0.080000000000000002</v>
      </c>
      <c r="N3704" s="5" t="e">
        <f>IF(AND(M3704&gt;#REF!,Cartera!O3704="Guaraníes"),"Rendimiento significativo",IF(AND(M3704&gt;#REF!,Cartera!O3704="Dólares americanos"),"Rendimiento significativo","Rendimiento no significativo"))</f>
        <v>#REF!</v>
      </c>
      <c r="O3704" s="5" t="s">
        <v>51</v>
      </c>
      <c r="P3704" s="13">
        <v>11.68</v>
      </c>
      <c r="Q3704" s="12" t="e">
        <f>IF(O3704="Guaraníes",P3704,P3704*#REF!)</f>
        <v>#REF!</v>
      </c>
      <c r="R3704" s="12">
        <f>IF(O3704="Guaraníes",P3704/#REF!,P3704)</f>
        <v>11.68</v>
      </c>
      <c r="S3704" s="5" t="s">
        <v>42</v>
      </c>
      <c r="AC3704" s="5" t="str">
        <f t="shared" si="178"/>
        <v>Bonos</v>
      </c>
      <c r="AD3704" s="5" t="s">
        <v>43</v>
      </c>
      <c r="AE3704" s="5">
        <f t="shared" si="176"/>
        <v>12</v>
      </c>
      <c r="AF3704" s="5">
        <f t="shared" si="177"/>
        <v>2025</v>
      </c>
      <c r="AG3704" s="28" t="s">
        <v>539</v>
      </c>
    </row>
    <row r="3705" s="5" customFormat="1" ht="13">
      <c r="A3705" s="5">
        <v>12315</v>
      </c>
      <c r="B3705" s="5" t="s">
        <v>73</v>
      </c>
      <c r="C3705" s="5" t="s">
        <v>67</v>
      </c>
      <c r="D3705" s="5" t="s">
        <v>21</v>
      </c>
      <c r="E3705" s="5" t="s">
        <v>749</v>
      </c>
      <c r="F3705" s="5" t="s">
        <v>68</v>
      </c>
      <c r="G3705" s="5" t="s">
        <v>69</v>
      </c>
      <c r="H3705" s="9" t="s">
        <v>70</v>
      </c>
      <c r="I3705" s="10">
        <v>45580</v>
      </c>
      <c r="J3705" s="10">
        <v>46039</v>
      </c>
      <c r="K3705" s="5" t="s">
        <v>538</v>
      </c>
      <c r="L3705" s="5" t="s">
        <v>58</v>
      </c>
      <c r="M3705" s="11">
        <v>0.080000000000000002</v>
      </c>
      <c r="N3705" s="5" t="e">
        <f>IF(AND(M3705&gt;#REF!,Cartera!O3705="Guaraníes"),"Rendimiento significativo",IF(AND(M3705&gt;#REF!,Cartera!O3705="Dólares americanos"),"Rendimiento significativo","Rendimiento no significativo"))</f>
        <v>#REF!</v>
      </c>
      <c r="O3705" s="5" t="s">
        <v>51</v>
      </c>
      <c r="P3705" s="13">
        <v>8.1799999999999997</v>
      </c>
      <c r="Q3705" s="12" t="e">
        <f>IF(O3705="Guaraníes",P3705,P3705*#REF!)</f>
        <v>#REF!</v>
      </c>
      <c r="R3705" s="12">
        <f>IF(O3705="Guaraníes",P3705/#REF!,P3705)</f>
        <v>8.1799999999999997</v>
      </c>
      <c r="S3705" s="5" t="s">
        <v>42</v>
      </c>
      <c r="AC3705" s="5" t="str">
        <f t="shared" si="178"/>
        <v>Bonos</v>
      </c>
      <c r="AD3705" s="5" t="s">
        <v>43</v>
      </c>
      <c r="AE3705" s="5">
        <f t="shared" si="176"/>
        <v>1</v>
      </c>
      <c r="AF3705" s="5">
        <f t="shared" si="177"/>
        <v>2026</v>
      </c>
      <c r="AG3705" s="28" t="s">
        <v>539</v>
      </c>
    </row>
    <row r="3706" s="5" customFormat="1" ht="13">
      <c r="A3706" s="5">
        <v>12315</v>
      </c>
      <c r="B3706" s="5" t="s">
        <v>73</v>
      </c>
      <c r="C3706" s="5" t="s">
        <v>67</v>
      </c>
      <c r="D3706" s="5" t="s">
        <v>21</v>
      </c>
      <c r="E3706" s="5" t="s">
        <v>749</v>
      </c>
      <c r="F3706" s="5" t="s">
        <v>68</v>
      </c>
      <c r="G3706" s="5" t="s">
        <v>69</v>
      </c>
      <c r="H3706" s="9" t="s">
        <v>70</v>
      </c>
      <c r="I3706" s="10">
        <v>45580</v>
      </c>
      <c r="J3706" s="10">
        <v>46071</v>
      </c>
      <c r="K3706" s="5" t="s">
        <v>538</v>
      </c>
      <c r="L3706" s="5" t="s">
        <v>58</v>
      </c>
      <c r="M3706" s="11">
        <v>0.080000000000000002</v>
      </c>
      <c r="N3706" s="5" t="e">
        <f>IF(AND(M3706&gt;#REF!,Cartera!O3706="Guaraníes"),"Rendimiento significativo",IF(AND(M3706&gt;#REF!,Cartera!O3706="Dólares americanos"),"Rendimiento significativo","Rendimiento no significativo"))</f>
        <v>#REF!</v>
      </c>
      <c r="O3706" s="5" t="s">
        <v>51</v>
      </c>
      <c r="P3706" s="13">
        <v>7.0099999999999998</v>
      </c>
      <c r="Q3706" s="12" t="e">
        <f>IF(O3706="Guaraníes",P3706,P3706*#REF!)</f>
        <v>#REF!</v>
      </c>
      <c r="R3706" s="12">
        <f>IF(O3706="Guaraníes",P3706/#REF!,P3706)</f>
        <v>7.0099999999999998</v>
      </c>
      <c r="S3706" s="5" t="s">
        <v>42</v>
      </c>
      <c r="AC3706" s="5" t="str">
        <f t="shared" si="178"/>
        <v>Bonos</v>
      </c>
      <c r="AD3706" s="5" t="s">
        <v>43</v>
      </c>
      <c r="AE3706" s="5">
        <f t="shared" si="176"/>
        <v>2</v>
      </c>
      <c r="AF3706" s="5">
        <f t="shared" si="177"/>
        <v>2026</v>
      </c>
      <c r="AG3706" s="28" t="s">
        <v>539</v>
      </c>
    </row>
    <row r="3707" s="5" customFormat="1" ht="13">
      <c r="A3707" s="5">
        <v>12315</v>
      </c>
      <c r="B3707" s="5" t="s">
        <v>73</v>
      </c>
      <c r="C3707" s="5" t="s">
        <v>67</v>
      </c>
      <c r="D3707" s="5" t="s">
        <v>21</v>
      </c>
      <c r="E3707" s="5" t="s">
        <v>749</v>
      </c>
      <c r="F3707" s="5" t="s">
        <v>68</v>
      </c>
      <c r="G3707" s="5" t="s">
        <v>69</v>
      </c>
      <c r="H3707" s="9" t="s">
        <v>70</v>
      </c>
      <c r="I3707" s="10">
        <v>45580</v>
      </c>
      <c r="J3707" s="10">
        <v>46101</v>
      </c>
      <c r="K3707" s="5" t="s">
        <v>538</v>
      </c>
      <c r="L3707" s="5" t="s">
        <v>58</v>
      </c>
      <c r="M3707" s="11">
        <v>0.080000000000000002</v>
      </c>
      <c r="N3707" s="5" t="e">
        <f>IF(AND(M3707&gt;#REF!,Cartera!O3707="Guaraníes"),"Rendimiento significativo",IF(AND(M3707&gt;#REF!,Cartera!O3707="Dólares americanos"),"Rendimiento significativo","Rendimiento no significativo"))</f>
        <v>#REF!</v>
      </c>
      <c r="O3707" s="5" t="s">
        <v>51</v>
      </c>
      <c r="P3707" s="13">
        <v>4.3799999999999999</v>
      </c>
      <c r="Q3707" s="12" t="e">
        <f>IF(O3707="Guaraníes",P3707,P3707*#REF!)</f>
        <v>#REF!</v>
      </c>
      <c r="R3707" s="12">
        <f>IF(O3707="Guaraníes",P3707/#REF!,P3707)</f>
        <v>4.3799999999999999</v>
      </c>
      <c r="S3707" s="5" t="s">
        <v>42</v>
      </c>
      <c r="AC3707" s="5" t="str">
        <f t="shared" si="178"/>
        <v>Bonos</v>
      </c>
      <c r="AD3707" s="5" t="s">
        <v>43</v>
      </c>
      <c r="AE3707" s="5">
        <f t="shared" si="176"/>
        <v>3</v>
      </c>
      <c r="AF3707" s="5">
        <f t="shared" si="177"/>
        <v>2026</v>
      </c>
      <c r="AG3707" s="28" t="s">
        <v>539</v>
      </c>
    </row>
    <row r="3708" s="5" customFormat="1" ht="13">
      <c r="A3708" s="5">
        <v>12315</v>
      </c>
      <c r="B3708" s="5" t="s">
        <v>73</v>
      </c>
      <c r="C3708" s="5" t="s">
        <v>67</v>
      </c>
      <c r="D3708" s="5" t="s">
        <v>21</v>
      </c>
      <c r="E3708" s="5" t="s">
        <v>749</v>
      </c>
      <c r="F3708" s="5" t="s">
        <v>68</v>
      </c>
      <c r="G3708" s="5" t="s">
        <v>69</v>
      </c>
      <c r="H3708" s="9" t="s">
        <v>70</v>
      </c>
      <c r="I3708" s="10">
        <v>45580</v>
      </c>
      <c r="J3708" s="10">
        <v>46130</v>
      </c>
      <c r="K3708" s="5" t="s">
        <v>538</v>
      </c>
      <c r="L3708" s="5" t="s">
        <v>58</v>
      </c>
      <c r="M3708" s="11">
        <v>0.080000000000000002</v>
      </c>
      <c r="N3708" s="5" t="e">
        <f>IF(AND(M3708&gt;#REF!,Cartera!O3708="Guaraníes"),"Rendimiento significativo",IF(AND(M3708&gt;#REF!,Cartera!O3708="Dólares americanos"),"Rendimiento significativo","Rendimiento no significativo"))</f>
        <v>#REF!</v>
      </c>
      <c r="O3708" s="5" t="s">
        <v>51</v>
      </c>
      <c r="P3708" s="13">
        <v>2.1099999999999999</v>
      </c>
      <c r="Q3708" s="12" t="e">
        <f>IF(O3708="Guaraníes",P3708,P3708*#REF!)</f>
        <v>#REF!</v>
      </c>
      <c r="R3708" s="12">
        <f>IF(O3708="Guaraníes",P3708/#REF!,P3708)</f>
        <v>2.1099999999999999</v>
      </c>
      <c r="S3708" s="5" t="s">
        <v>42</v>
      </c>
      <c r="AC3708" s="5" t="str">
        <f t="shared" si="178"/>
        <v>Bonos</v>
      </c>
      <c r="AD3708" s="5" t="s">
        <v>43</v>
      </c>
      <c r="AE3708" s="5">
        <f t="shared" si="176"/>
        <v>4</v>
      </c>
      <c r="AF3708" s="5">
        <f t="shared" si="177"/>
        <v>2026</v>
      </c>
      <c r="AG3708" s="28" t="s">
        <v>539</v>
      </c>
    </row>
    <row r="3709" s="5" customFormat="1" ht="13">
      <c r="A3709" s="5">
        <v>12302</v>
      </c>
      <c r="B3709" s="5" t="s">
        <v>98</v>
      </c>
      <c r="C3709" s="5" t="s">
        <v>67</v>
      </c>
      <c r="D3709" s="5" t="s">
        <v>20</v>
      </c>
      <c r="E3709" s="5" t="s">
        <v>749</v>
      </c>
      <c r="F3709" s="5" t="s">
        <v>68</v>
      </c>
      <c r="G3709" s="5" t="s">
        <v>69</v>
      </c>
      <c r="H3709" s="9" t="s">
        <v>70</v>
      </c>
      <c r="I3709" s="10">
        <v>45580</v>
      </c>
      <c r="J3709" s="10">
        <v>46011</v>
      </c>
      <c r="K3709" s="5" t="s">
        <v>538</v>
      </c>
      <c r="L3709" s="5" t="s">
        <v>58</v>
      </c>
      <c r="M3709" s="11">
        <v>0.080000000000000002</v>
      </c>
      <c r="N3709" s="5" t="e">
        <f>IF(AND(M3709&gt;#REF!,Cartera!O3709="Guaraníes"),"Rendimiento significativo",IF(AND(M3709&gt;#REF!,Cartera!O3709="Dólares americanos"),"Rendimiento significativo","Rendimiento no significativo"))</f>
        <v>#REF!</v>
      </c>
      <c r="O3709" s="5" t="s">
        <v>51</v>
      </c>
      <c r="P3709" s="13">
        <v>333.32999999999998</v>
      </c>
      <c r="Q3709" s="12" t="e">
        <f>IF(O3709="Guaraníes",P3709,P3709*#REF!)</f>
        <v>#REF!</v>
      </c>
      <c r="R3709" s="12">
        <f>IF(O3709="Guaraníes",P3709/#REF!,P3709)</f>
        <v>333.32999999999998</v>
      </c>
      <c r="S3709" s="5" t="s">
        <v>42</v>
      </c>
      <c r="AC3709" s="5" t="str">
        <f t="shared" si="178"/>
        <v>Bonos</v>
      </c>
      <c r="AD3709" s="5" t="s">
        <v>43</v>
      </c>
      <c r="AE3709" s="5">
        <f t="shared" si="176"/>
        <v>12</v>
      </c>
      <c r="AF3709" s="5">
        <f t="shared" si="177"/>
        <v>2025</v>
      </c>
      <c r="AG3709" s="28" t="s">
        <v>539</v>
      </c>
    </row>
    <row r="3710" s="5" customFormat="1" ht="13">
      <c r="A3710" s="5">
        <v>12302</v>
      </c>
      <c r="B3710" s="5" t="s">
        <v>98</v>
      </c>
      <c r="C3710" s="5" t="s">
        <v>67</v>
      </c>
      <c r="D3710" s="5" t="s">
        <v>20</v>
      </c>
      <c r="E3710" s="5" t="s">
        <v>749</v>
      </c>
      <c r="F3710" s="5" t="s">
        <v>68</v>
      </c>
      <c r="G3710" s="5" t="s">
        <v>69</v>
      </c>
      <c r="H3710" s="9" t="s">
        <v>70</v>
      </c>
      <c r="I3710" s="10">
        <v>45580</v>
      </c>
      <c r="J3710" s="10">
        <v>46039</v>
      </c>
      <c r="K3710" s="5" t="s">
        <v>538</v>
      </c>
      <c r="L3710" s="5" t="s">
        <v>58</v>
      </c>
      <c r="M3710" s="11">
        <v>0.080000000000000002</v>
      </c>
      <c r="N3710" s="5" t="e">
        <f>IF(AND(M3710&gt;#REF!,Cartera!O3710="Guaraníes"),"Rendimiento significativo",IF(AND(M3710&gt;#REF!,Cartera!O3710="Dólares americanos"),"Rendimiento significativo","Rendimiento no significativo"))</f>
        <v>#REF!</v>
      </c>
      <c r="O3710" s="5" t="s">
        <v>51</v>
      </c>
      <c r="P3710" s="13">
        <v>333.32999999999998</v>
      </c>
      <c r="Q3710" s="12" t="e">
        <f>IF(O3710="Guaraníes",P3710,P3710*#REF!)</f>
        <v>#REF!</v>
      </c>
      <c r="R3710" s="12">
        <f>IF(O3710="Guaraníes",P3710/#REF!,P3710)</f>
        <v>333.32999999999998</v>
      </c>
      <c r="S3710" s="5" t="s">
        <v>42</v>
      </c>
      <c r="AC3710" s="5" t="str">
        <f t="shared" si="178"/>
        <v>Bonos</v>
      </c>
      <c r="AD3710" s="5" t="s">
        <v>43</v>
      </c>
      <c r="AE3710" s="5">
        <f t="shared" si="176"/>
        <v>1</v>
      </c>
      <c r="AF3710" s="5">
        <f t="shared" si="177"/>
        <v>2026</v>
      </c>
      <c r="AG3710" s="28" t="s">
        <v>539</v>
      </c>
    </row>
    <row r="3711" s="5" customFormat="1" ht="13">
      <c r="A3711" s="5">
        <v>12302</v>
      </c>
      <c r="B3711" s="5" t="s">
        <v>98</v>
      </c>
      <c r="C3711" s="5" t="s">
        <v>67</v>
      </c>
      <c r="D3711" s="5" t="s">
        <v>20</v>
      </c>
      <c r="E3711" s="5" t="s">
        <v>749</v>
      </c>
      <c r="F3711" s="5" t="s">
        <v>68</v>
      </c>
      <c r="G3711" s="5" t="s">
        <v>69</v>
      </c>
      <c r="H3711" s="9" t="s">
        <v>70</v>
      </c>
      <c r="I3711" s="10">
        <v>45580</v>
      </c>
      <c r="J3711" s="10">
        <v>46071</v>
      </c>
      <c r="K3711" s="5" t="s">
        <v>538</v>
      </c>
      <c r="L3711" s="5" t="s">
        <v>58</v>
      </c>
      <c r="M3711" s="11">
        <v>0.080000000000000002</v>
      </c>
      <c r="N3711" s="5" t="e">
        <f>IF(AND(M3711&gt;#REF!,Cartera!O3711="Guaraníes"),"Rendimiento significativo",IF(AND(M3711&gt;#REF!,Cartera!O3711="Dólares americanos"),"Rendimiento significativo","Rendimiento no significativo"))</f>
        <v>#REF!</v>
      </c>
      <c r="O3711" s="5" t="s">
        <v>51</v>
      </c>
      <c r="P3711" s="13">
        <v>333.32999999999998</v>
      </c>
      <c r="Q3711" s="12" t="e">
        <f>IF(O3711="Guaraníes",P3711,P3711*#REF!)</f>
        <v>#REF!</v>
      </c>
      <c r="R3711" s="12">
        <f>IF(O3711="Guaraníes",P3711/#REF!,P3711)</f>
        <v>333.32999999999998</v>
      </c>
      <c r="S3711" s="5" t="s">
        <v>42</v>
      </c>
      <c r="AC3711" s="5" t="str">
        <f t="shared" si="178"/>
        <v>Bonos</v>
      </c>
      <c r="AD3711" s="5" t="s">
        <v>43</v>
      </c>
      <c r="AE3711" s="5">
        <f t="shared" si="176"/>
        <v>2</v>
      </c>
      <c r="AF3711" s="5">
        <f t="shared" si="177"/>
        <v>2026</v>
      </c>
      <c r="AG3711" s="28" t="s">
        <v>539</v>
      </c>
    </row>
    <row r="3712" s="5" customFormat="1" ht="13">
      <c r="A3712" s="5">
        <v>12302</v>
      </c>
      <c r="B3712" s="5" t="s">
        <v>98</v>
      </c>
      <c r="C3712" s="5" t="s">
        <v>67</v>
      </c>
      <c r="D3712" s="5" t="s">
        <v>20</v>
      </c>
      <c r="E3712" s="5" t="s">
        <v>749</v>
      </c>
      <c r="F3712" s="5" t="s">
        <v>68</v>
      </c>
      <c r="G3712" s="5" t="s">
        <v>69</v>
      </c>
      <c r="H3712" s="9" t="s">
        <v>70</v>
      </c>
      <c r="I3712" s="10">
        <v>45580</v>
      </c>
      <c r="J3712" s="10">
        <v>46101</v>
      </c>
      <c r="K3712" s="5" t="s">
        <v>538</v>
      </c>
      <c r="L3712" s="5" t="s">
        <v>58</v>
      </c>
      <c r="M3712" s="11">
        <v>0.080000000000000002</v>
      </c>
      <c r="N3712" s="5" t="e">
        <f>IF(AND(M3712&gt;#REF!,Cartera!O3712="Guaraníes"),"Rendimiento significativo",IF(AND(M3712&gt;#REF!,Cartera!O3712="Dólares americanos"),"Rendimiento significativo","Rendimiento no significativo"))</f>
        <v>#REF!</v>
      </c>
      <c r="O3712" s="5" t="s">
        <v>51</v>
      </c>
      <c r="P3712" s="13">
        <v>333.32999999999998</v>
      </c>
      <c r="Q3712" s="12" t="e">
        <f>IF(O3712="Guaraníes",P3712,P3712*#REF!)</f>
        <v>#REF!</v>
      </c>
      <c r="R3712" s="12">
        <f>IF(O3712="Guaraníes",P3712/#REF!,P3712)</f>
        <v>333.32999999999998</v>
      </c>
      <c r="S3712" s="5" t="s">
        <v>42</v>
      </c>
      <c r="AC3712" s="5" t="str">
        <f t="shared" si="178"/>
        <v>Bonos</v>
      </c>
      <c r="AD3712" s="5" t="s">
        <v>43</v>
      </c>
      <c r="AE3712" s="5">
        <f t="shared" si="176"/>
        <v>3</v>
      </c>
      <c r="AF3712" s="5">
        <f t="shared" si="177"/>
        <v>2026</v>
      </c>
      <c r="AG3712" s="28" t="s">
        <v>539</v>
      </c>
    </row>
    <row r="3713" s="5" customFormat="1" ht="13">
      <c r="A3713" s="5">
        <v>12302</v>
      </c>
      <c r="B3713" s="5" t="s">
        <v>98</v>
      </c>
      <c r="C3713" s="5" t="s">
        <v>67</v>
      </c>
      <c r="D3713" s="5" t="s">
        <v>20</v>
      </c>
      <c r="E3713" s="5" t="s">
        <v>749</v>
      </c>
      <c r="F3713" s="5" t="s">
        <v>68</v>
      </c>
      <c r="G3713" s="5" t="s">
        <v>69</v>
      </c>
      <c r="H3713" s="9" t="s">
        <v>70</v>
      </c>
      <c r="I3713" s="10">
        <v>45580</v>
      </c>
      <c r="J3713" s="10">
        <v>46130</v>
      </c>
      <c r="K3713" s="5" t="s">
        <v>538</v>
      </c>
      <c r="L3713" s="5" t="s">
        <v>58</v>
      </c>
      <c r="M3713" s="11">
        <v>0.080000000000000002</v>
      </c>
      <c r="N3713" s="5" t="e">
        <f>IF(AND(M3713&gt;#REF!,Cartera!O3713="Guaraníes"),"Rendimiento significativo",IF(AND(M3713&gt;#REF!,Cartera!O3713="Dólares americanos"),"Rendimiento significativo","Rendimiento no significativo"))</f>
        <v>#REF!</v>
      </c>
      <c r="O3713" s="5" t="s">
        <v>51</v>
      </c>
      <c r="P3713" s="13">
        <v>333.32999999999998</v>
      </c>
      <c r="Q3713" s="12" t="e">
        <f>IF(O3713="Guaraníes",P3713,P3713*#REF!)</f>
        <v>#REF!</v>
      </c>
      <c r="R3713" s="12">
        <f>IF(O3713="Guaraníes",P3713/#REF!,P3713)</f>
        <v>333.32999999999998</v>
      </c>
      <c r="S3713" s="5" t="s">
        <v>42</v>
      </c>
      <c r="AC3713" s="5" t="str">
        <f t="shared" si="178"/>
        <v>Bonos</v>
      </c>
      <c r="AD3713" s="5" t="s">
        <v>43</v>
      </c>
      <c r="AE3713" s="5">
        <f t="shared" si="176"/>
        <v>4</v>
      </c>
      <c r="AF3713" s="5">
        <f t="shared" si="177"/>
        <v>2026</v>
      </c>
      <c r="AG3713" s="28" t="s">
        <v>539</v>
      </c>
    </row>
    <row r="3714" s="5" customFormat="1" ht="13">
      <c r="H3714" s="9"/>
      <c r="I3714" s="10"/>
      <c r="J3714" s="10"/>
      <c r="M3714" s="11"/>
      <c r="P3714" s="13"/>
      <c r="Q3714" s="5"/>
      <c r="R3714" s="5"/>
    </row>
    <row r="3715" s="5" customFormat="1" ht="13">
      <c r="H3715" s="9"/>
      <c r="I3715" s="10"/>
      <c r="J3715" s="10"/>
      <c r="M3715" s="11"/>
      <c r="P3715" s="13"/>
      <c r="Q3715" s="5"/>
      <c r="R3715" s="5"/>
    </row>
    <row r="3716" s="5" customFormat="1" ht="13">
      <c r="H3716" s="9"/>
      <c r="I3716" s="10"/>
      <c r="J3716" s="10"/>
      <c r="M3716" s="11"/>
      <c r="P3716" s="13"/>
      <c r="Q3716" s="5"/>
      <c r="R3716" s="5"/>
    </row>
    <row r="3717" s="5" customFormat="1" ht="13">
      <c r="H3717" s="9"/>
      <c r="I3717" s="10"/>
      <c r="J3717" s="10"/>
      <c r="M3717" s="11"/>
      <c r="P3717" s="13"/>
      <c r="Q3717" s="5"/>
      <c r="R3717" s="5"/>
    </row>
    <row r="3718" s="5" customFormat="1" ht="13">
      <c r="H3718" s="9"/>
      <c r="I3718" s="10"/>
      <c r="J3718" s="10"/>
      <c r="M3718" s="11"/>
      <c r="P3718" s="13"/>
    </row>
    <row r="3719" s="5" customFormat="1" ht="13">
      <c r="H3719" s="9"/>
      <c r="I3719" s="10"/>
      <c r="J3719" s="10"/>
      <c r="M3719" s="11"/>
      <c r="P3719" s="13"/>
    </row>
    <row r="3720" s="5" customFormat="1" ht="13">
      <c r="H3720" s="9"/>
      <c r="I3720" s="10"/>
      <c r="J3720" s="10"/>
      <c r="M3720" s="11"/>
      <c r="P3720" s="13"/>
    </row>
    <row r="3721" s="5" customFormat="1" ht="13">
      <c r="H3721" s="9"/>
      <c r="I3721" s="10"/>
      <c r="J3721" s="10"/>
      <c r="M3721" s="11"/>
      <c r="P3721" s="13"/>
    </row>
    <row r="3722" s="5" customFormat="1" ht="13">
      <c r="H3722" s="9"/>
      <c r="I3722" s="10"/>
      <c r="J3722" s="10"/>
      <c r="M3722" s="11"/>
      <c r="P3722" s="13"/>
    </row>
    <row r="3723" s="5" customFormat="1" ht="13">
      <c r="H3723" s="9"/>
      <c r="I3723" s="10"/>
      <c r="J3723" s="10"/>
      <c r="M3723" s="11"/>
      <c r="P3723" s="13"/>
    </row>
    <row r="3724" s="5" customFormat="1" ht="13">
      <c r="H3724" s="9"/>
      <c r="I3724" s="10"/>
      <c r="J3724" s="10"/>
      <c r="M3724" s="11"/>
      <c r="P3724" s="13"/>
    </row>
    <row r="3725" s="5" customFormat="1" ht="13">
      <c r="H3725" s="9"/>
      <c r="I3725" s="10"/>
      <c r="J3725" s="10"/>
      <c r="M3725" s="11"/>
      <c r="P3725" s="13"/>
    </row>
    <row r="3726" s="5" customFormat="1" ht="13">
      <c r="H3726" s="9"/>
      <c r="I3726" s="10"/>
      <c r="J3726" s="10"/>
      <c r="M3726" s="11"/>
      <c r="P3726" s="13"/>
    </row>
    <row r="3727" s="5" customFormat="1" ht="13">
      <c r="H3727" s="9"/>
      <c r="I3727" s="10"/>
      <c r="J3727" s="10"/>
      <c r="M3727" s="11"/>
      <c r="P3727" s="13"/>
    </row>
    <row r="3728" s="5" customFormat="1" ht="13">
      <c r="H3728" s="9"/>
      <c r="I3728" s="10"/>
      <c r="J3728" s="10"/>
      <c r="M3728" s="11"/>
      <c r="P3728" s="13"/>
    </row>
    <row r="3729" s="5" customFormat="1" ht="13">
      <c r="H3729" s="9"/>
      <c r="I3729" s="10"/>
      <c r="J3729" s="10"/>
      <c r="M3729" s="11"/>
      <c r="P3729" s="13"/>
    </row>
    <row r="3730" s="5" customFormat="1" ht="13">
      <c r="H3730" s="9"/>
      <c r="I3730" s="10"/>
      <c r="J3730" s="10"/>
      <c r="M3730" s="11"/>
      <c r="P3730" s="13"/>
    </row>
    <row r="3731" s="5" customFormat="1" ht="13">
      <c r="H3731" s="9"/>
      <c r="I3731" s="10"/>
      <c r="J3731" s="10"/>
      <c r="M3731" s="11"/>
      <c r="P3731" s="13"/>
    </row>
    <row r="3732" s="5" customFormat="1" ht="13">
      <c r="H3732" s="9"/>
      <c r="I3732" s="10"/>
      <c r="J3732" s="10"/>
      <c r="M3732" s="11"/>
      <c r="P3732" s="13"/>
    </row>
    <row r="3733" s="5" customFormat="1" ht="13">
      <c r="H3733" s="9"/>
      <c r="I3733" s="10"/>
      <c r="J3733" s="10"/>
      <c r="M3733" s="11"/>
      <c r="P3733" s="13"/>
    </row>
    <row r="3734" s="5" customFormat="1" ht="13">
      <c r="H3734" s="9"/>
      <c r="I3734" s="10"/>
      <c r="J3734" s="10"/>
      <c r="M3734" s="11"/>
      <c r="P3734" s="13"/>
    </row>
    <row r="3735" s="5" customFormat="1" ht="13">
      <c r="H3735" s="9"/>
      <c r="I3735" s="10"/>
      <c r="J3735" s="10"/>
      <c r="M3735" s="11"/>
      <c r="P3735" s="13"/>
    </row>
    <row r="3736" s="5" customFormat="1" ht="13">
      <c r="H3736" s="9"/>
      <c r="I3736" s="10"/>
      <c r="J3736" s="10"/>
      <c r="M3736" s="11"/>
      <c r="P3736" s="13"/>
    </row>
    <row r="3737" s="5" customFormat="1" ht="13">
      <c r="H3737" s="9"/>
      <c r="I3737" s="10"/>
      <c r="J3737" s="10"/>
      <c r="M3737" s="11"/>
      <c r="P3737" s="13"/>
    </row>
    <row r="3738" s="5" customFormat="1" ht="13">
      <c r="H3738" s="9"/>
      <c r="I3738" s="10"/>
      <c r="J3738" s="10"/>
      <c r="M3738" s="11"/>
      <c r="P3738" s="13"/>
    </row>
    <row r="3739" s="5" customFormat="1" ht="13">
      <c r="H3739" s="9"/>
      <c r="I3739" s="10"/>
      <c r="J3739" s="10"/>
      <c r="M3739" s="11"/>
      <c r="P3739" s="13"/>
    </row>
    <row r="3740" s="5" customFormat="1" ht="13">
      <c r="H3740" s="9"/>
      <c r="I3740" s="10"/>
      <c r="J3740" s="10"/>
      <c r="M3740" s="11"/>
      <c r="P3740" s="13"/>
    </row>
    <row r="3741" s="5" customFormat="1" ht="13">
      <c r="H3741" s="9"/>
      <c r="I3741" s="10"/>
      <c r="J3741" s="10"/>
      <c r="M3741" s="11"/>
      <c r="P3741" s="13"/>
    </row>
    <row r="3742" s="5" customFormat="1" ht="13">
      <c r="H3742" s="9"/>
      <c r="I3742" s="10"/>
      <c r="J3742" s="10"/>
      <c r="M3742" s="11"/>
      <c r="P3742" s="13"/>
    </row>
    <row r="3743" s="5" customFormat="1" ht="13">
      <c r="H3743" s="9"/>
      <c r="I3743" s="10"/>
      <c r="J3743" s="10"/>
      <c r="M3743" s="11"/>
      <c r="P3743" s="13"/>
    </row>
    <row r="3744" s="5" customFormat="1" ht="13">
      <c r="H3744" s="9"/>
      <c r="I3744" s="10"/>
      <c r="J3744" s="10"/>
      <c r="M3744" s="11"/>
      <c r="P3744" s="13"/>
    </row>
    <row r="3745" s="5" customFormat="1" ht="13">
      <c r="H3745" s="9"/>
      <c r="I3745" s="10"/>
      <c r="J3745" s="10"/>
      <c r="M3745" s="11"/>
      <c r="P3745" s="13"/>
    </row>
    <row r="3746" s="5" customFormat="1" ht="13">
      <c r="H3746" s="9"/>
      <c r="I3746" s="10"/>
      <c r="J3746" s="10"/>
      <c r="M3746" s="11"/>
      <c r="P3746" s="13"/>
    </row>
    <row r="3747" s="5" customFormat="1" ht="13">
      <c r="H3747" s="9"/>
      <c r="I3747" s="10"/>
      <c r="J3747" s="10"/>
      <c r="M3747" s="11"/>
      <c r="P3747" s="13"/>
    </row>
    <row r="3748" s="5" customFormat="1" ht="13">
      <c r="H3748" s="9"/>
      <c r="I3748" s="10"/>
      <c r="J3748" s="10"/>
      <c r="M3748" s="11"/>
      <c r="P3748" s="13"/>
    </row>
    <row r="3749" s="5" customFormat="1" ht="13">
      <c r="H3749" s="9"/>
      <c r="I3749" s="10"/>
      <c r="J3749" s="10"/>
      <c r="M3749" s="11"/>
      <c r="P3749" s="13"/>
    </row>
    <row r="3750" s="5" customFormat="1" ht="13">
      <c r="H3750" s="9"/>
      <c r="I3750" s="10"/>
      <c r="J3750" s="10"/>
      <c r="M3750" s="11"/>
      <c r="P3750" s="13"/>
    </row>
    <row r="3751" s="5" customFormat="1" ht="13">
      <c r="H3751" s="9"/>
      <c r="I3751" s="10"/>
      <c r="J3751" s="10"/>
      <c r="M3751" s="11"/>
      <c r="P3751" s="13"/>
    </row>
    <row r="3752" s="5" customFormat="1" ht="13">
      <c r="H3752" s="9"/>
      <c r="I3752" s="10"/>
      <c r="J3752" s="10"/>
      <c r="M3752" s="11"/>
      <c r="P3752" s="13"/>
    </row>
    <row r="3753" s="5" customFormat="1" ht="13">
      <c r="H3753" s="9"/>
      <c r="I3753" s="10"/>
      <c r="J3753" s="10"/>
      <c r="M3753" s="11"/>
      <c r="P3753" s="13"/>
    </row>
    <row r="3754" s="5" customFormat="1" ht="13">
      <c r="H3754" s="9"/>
      <c r="I3754" s="10"/>
      <c r="J3754" s="10"/>
      <c r="M3754" s="11"/>
      <c r="P3754" s="13"/>
    </row>
    <row r="3755" s="5" customFormat="1" ht="13">
      <c r="H3755" s="9"/>
      <c r="I3755" s="10"/>
      <c r="J3755" s="10"/>
      <c r="M3755" s="11"/>
      <c r="P3755" s="13"/>
    </row>
    <row r="3756" s="5" customFormat="1" ht="13">
      <c r="H3756" s="9"/>
      <c r="I3756" s="10"/>
      <c r="J3756" s="10"/>
      <c r="M3756" s="11"/>
      <c r="P3756" s="13"/>
    </row>
    <row r="3757" s="5" customFormat="1" ht="13">
      <c r="H3757" s="9"/>
      <c r="I3757" s="10"/>
      <c r="J3757" s="10"/>
      <c r="M3757" s="11"/>
      <c r="P3757" s="13"/>
    </row>
    <row r="3758" s="5" customFormat="1" ht="13">
      <c r="H3758" s="9"/>
      <c r="I3758" s="10"/>
      <c r="J3758" s="10"/>
      <c r="M3758" s="11"/>
      <c r="P3758" s="13"/>
    </row>
    <row r="3759" s="5" customFormat="1" ht="13">
      <c r="H3759" s="9"/>
      <c r="I3759" s="10"/>
      <c r="J3759" s="10"/>
      <c r="M3759" s="11"/>
      <c r="P3759" s="13"/>
    </row>
    <row r="3760" s="5" customFormat="1" ht="13">
      <c r="H3760" s="9"/>
      <c r="I3760" s="10"/>
      <c r="J3760" s="10"/>
      <c r="M3760" s="11"/>
      <c r="P3760" s="13"/>
    </row>
    <row r="3761" s="5" customFormat="1" ht="13">
      <c r="H3761" s="9"/>
      <c r="I3761" s="10"/>
      <c r="J3761" s="10"/>
      <c r="M3761" s="11"/>
      <c r="P3761" s="13"/>
    </row>
    <row r="3762" s="5" customFormat="1" ht="13">
      <c r="H3762" s="9"/>
      <c r="I3762" s="10"/>
      <c r="J3762" s="10"/>
      <c r="M3762" s="11"/>
      <c r="P3762" s="13"/>
    </row>
    <row r="3763" s="5" customFormat="1" ht="13">
      <c r="H3763" s="9"/>
      <c r="I3763" s="10"/>
      <c r="J3763" s="10"/>
      <c r="M3763" s="11"/>
      <c r="P3763" s="13"/>
    </row>
    <row r="3764" s="5" customFormat="1" ht="13">
      <c r="H3764" s="9"/>
      <c r="I3764" s="10"/>
      <c r="J3764" s="10"/>
      <c r="M3764" s="11"/>
      <c r="P3764" s="13"/>
    </row>
    <row r="3765" s="5" customFormat="1" ht="13">
      <c r="H3765" s="9"/>
      <c r="I3765" s="10"/>
      <c r="J3765" s="10"/>
      <c r="M3765" s="11"/>
      <c r="P3765" s="13"/>
    </row>
    <row r="3766" s="5" customFormat="1" ht="13">
      <c r="H3766" s="9"/>
      <c r="I3766" s="10"/>
      <c r="J3766" s="10"/>
      <c r="M3766" s="11"/>
      <c r="P3766" s="13"/>
    </row>
    <row r="3767" s="5" customFormat="1" ht="13">
      <c r="H3767" s="9"/>
      <c r="I3767" s="10"/>
      <c r="J3767" s="10"/>
      <c r="M3767" s="11"/>
      <c r="P3767" s="13"/>
    </row>
    <row r="3768" s="5" customFormat="1" ht="13">
      <c r="H3768" s="9"/>
      <c r="I3768" s="10"/>
      <c r="J3768" s="10"/>
      <c r="M3768" s="11"/>
      <c r="P3768" s="13"/>
    </row>
    <row r="3769" s="5" customFormat="1" ht="13">
      <c r="H3769" s="9"/>
      <c r="I3769" s="10"/>
      <c r="J3769" s="10"/>
      <c r="M3769" s="11"/>
      <c r="P3769" s="13"/>
    </row>
    <row r="3770" s="5" customFormat="1" ht="13">
      <c r="H3770" s="9"/>
      <c r="I3770" s="10"/>
      <c r="J3770" s="10"/>
      <c r="M3770" s="11"/>
      <c r="P3770" s="13"/>
    </row>
    <row r="3771" s="5" customFormat="1" ht="13">
      <c r="H3771" s="9"/>
      <c r="I3771" s="10"/>
      <c r="J3771" s="10"/>
      <c r="M3771" s="11"/>
      <c r="P3771" s="13"/>
    </row>
    <row r="3772" s="5" customFormat="1" ht="13">
      <c r="H3772" s="9"/>
      <c r="I3772" s="10"/>
      <c r="J3772" s="10"/>
      <c r="M3772" s="11"/>
      <c r="P3772" s="13"/>
    </row>
    <row r="3773" s="5" customFormat="1" ht="13">
      <c r="H3773" s="9"/>
      <c r="I3773" s="10"/>
      <c r="J3773" s="10"/>
      <c r="M3773" s="11"/>
      <c r="P3773" s="13"/>
    </row>
    <row r="3774" s="5" customFormat="1" ht="13">
      <c r="H3774" s="9"/>
      <c r="I3774" s="10"/>
      <c r="J3774" s="10"/>
      <c r="M3774" s="11"/>
      <c r="P3774" s="13"/>
    </row>
    <row r="3775" s="5" customFormat="1" ht="13">
      <c r="H3775" s="9"/>
      <c r="I3775" s="10"/>
      <c r="J3775" s="10"/>
      <c r="M3775" s="11"/>
      <c r="P3775" s="13"/>
    </row>
    <row r="3776" s="5" customFormat="1" ht="13">
      <c r="H3776" s="9"/>
      <c r="I3776" s="10"/>
      <c r="J3776" s="10"/>
      <c r="M3776" s="11"/>
      <c r="P3776" s="13"/>
    </row>
    <row r="3777" s="5" customFormat="1" ht="13">
      <c r="H3777" s="9"/>
      <c r="I3777" s="10"/>
      <c r="J3777" s="10"/>
      <c r="M3777" s="11"/>
      <c r="P3777" s="13"/>
    </row>
    <row r="3778" s="5" customFormat="1" ht="13">
      <c r="H3778" s="9"/>
      <c r="I3778" s="10"/>
      <c r="J3778" s="10"/>
      <c r="M3778" s="11"/>
      <c r="P3778" s="13"/>
    </row>
    <row r="3779" s="5" customFormat="1" ht="13">
      <c r="H3779" s="9"/>
      <c r="I3779" s="10"/>
      <c r="J3779" s="10"/>
      <c r="M3779" s="11"/>
      <c r="P3779" s="13"/>
    </row>
    <row r="3780" s="5" customFormat="1" ht="13">
      <c r="H3780" s="9"/>
      <c r="I3780" s="10"/>
      <c r="J3780" s="10"/>
      <c r="M3780" s="11"/>
      <c r="P3780" s="13"/>
    </row>
    <row r="3781" s="5" customFormat="1" ht="13">
      <c r="H3781" s="9"/>
      <c r="I3781" s="10"/>
      <c r="J3781" s="10"/>
      <c r="M3781" s="11"/>
      <c r="P3781" s="13"/>
    </row>
    <row r="3782" s="5" customFormat="1" ht="13">
      <c r="H3782" s="9"/>
      <c r="I3782" s="10"/>
      <c r="J3782" s="10"/>
      <c r="M3782" s="11"/>
      <c r="P3782" s="13"/>
    </row>
    <row r="3783" s="5" customFormat="1" ht="13">
      <c r="H3783" s="9"/>
      <c r="I3783" s="10"/>
      <c r="J3783" s="10"/>
      <c r="M3783" s="11"/>
      <c r="P3783" s="13"/>
    </row>
    <row r="3784" s="5" customFormat="1" ht="13">
      <c r="H3784" s="9"/>
      <c r="I3784" s="10"/>
      <c r="J3784" s="10"/>
      <c r="M3784" s="11"/>
      <c r="P3784" s="13"/>
    </row>
    <row r="3785" s="5" customFormat="1" ht="13">
      <c r="H3785" s="9"/>
      <c r="I3785" s="10"/>
      <c r="J3785" s="10"/>
      <c r="M3785" s="11"/>
      <c r="P3785" s="13"/>
    </row>
    <row r="3786" s="5" customFormat="1" ht="13">
      <c r="H3786" s="9"/>
      <c r="I3786" s="10"/>
      <c r="J3786" s="10"/>
      <c r="M3786" s="11"/>
      <c r="P3786" s="13"/>
    </row>
    <row r="3787" s="5" customFormat="1" ht="13">
      <c r="H3787" s="9"/>
      <c r="I3787" s="10"/>
      <c r="J3787" s="10"/>
      <c r="M3787" s="11"/>
      <c r="P3787" s="13"/>
    </row>
    <row r="3788" s="5" customFormat="1" ht="13">
      <c r="H3788" s="9"/>
      <c r="I3788" s="10"/>
      <c r="J3788" s="10"/>
      <c r="M3788" s="11"/>
      <c r="P3788" s="13"/>
    </row>
    <row r="3789" s="5" customFormat="1" ht="13">
      <c r="H3789" s="9"/>
      <c r="I3789" s="10"/>
      <c r="J3789" s="10"/>
      <c r="M3789" s="11"/>
      <c r="P3789" s="13"/>
    </row>
    <row r="3790" s="5" customFormat="1" ht="13">
      <c r="H3790" s="9"/>
      <c r="I3790" s="10"/>
      <c r="J3790" s="10"/>
      <c r="M3790" s="11"/>
      <c r="P3790" s="13"/>
    </row>
    <row r="3791" s="5" customFormat="1" ht="13">
      <c r="H3791" s="9"/>
      <c r="I3791" s="10"/>
      <c r="J3791" s="10"/>
      <c r="M3791" s="11"/>
      <c r="P3791" s="13"/>
    </row>
    <row r="3792" s="5" customFormat="1" ht="13">
      <c r="H3792" s="9"/>
      <c r="I3792" s="10"/>
      <c r="J3792" s="10"/>
      <c r="M3792" s="11"/>
      <c r="P3792" s="13"/>
    </row>
    <row r="3793" s="5" customFormat="1" ht="13">
      <c r="H3793" s="9"/>
      <c r="I3793" s="10"/>
      <c r="J3793" s="10"/>
      <c r="M3793" s="11"/>
      <c r="P3793" s="13"/>
    </row>
    <row r="3794" s="5" customFormat="1" ht="13">
      <c r="H3794" s="9"/>
      <c r="I3794" s="10"/>
      <c r="J3794" s="10"/>
      <c r="M3794" s="11"/>
      <c r="P3794" s="13"/>
    </row>
    <row r="3795" s="5" customFormat="1" ht="13">
      <c r="H3795" s="9"/>
      <c r="I3795" s="10"/>
      <c r="J3795" s="10"/>
      <c r="M3795" s="11"/>
      <c r="P3795" s="13"/>
    </row>
    <row r="3796" s="5" customFormat="1" ht="13">
      <c r="H3796" s="9"/>
      <c r="I3796" s="10"/>
      <c r="J3796" s="10"/>
      <c r="M3796" s="11"/>
      <c r="P3796" s="13"/>
    </row>
    <row r="3797" s="5" customFormat="1" ht="13">
      <c r="H3797" s="9"/>
      <c r="I3797" s="10"/>
      <c r="J3797" s="10"/>
      <c r="M3797" s="11"/>
      <c r="P3797" s="13"/>
    </row>
    <row r="3798" s="5" customFormat="1" ht="13">
      <c r="H3798" s="9"/>
      <c r="I3798" s="10"/>
      <c r="J3798" s="10"/>
      <c r="M3798" s="11"/>
      <c r="P3798" s="13"/>
    </row>
    <row r="3799" s="5" customFormat="1" ht="13">
      <c r="H3799" s="9"/>
      <c r="I3799" s="10"/>
      <c r="J3799" s="10"/>
      <c r="M3799" s="11"/>
      <c r="P3799" s="13"/>
    </row>
    <row r="3800" s="5" customFormat="1" ht="13">
      <c r="H3800" s="9"/>
      <c r="I3800" s="10"/>
      <c r="J3800" s="10"/>
      <c r="M3800" s="11"/>
      <c r="P3800" s="13"/>
    </row>
    <row r="3801" s="5" customFormat="1" ht="13">
      <c r="H3801" s="9"/>
      <c r="I3801" s="10"/>
      <c r="J3801" s="10"/>
      <c r="M3801" s="11"/>
      <c r="P3801" s="13"/>
    </row>
    <row r="3802" s="5" customFormat="1" ht="13">
      <c r="H3802" s="9"/>
      <c r="I3802" s="10"/>
      <c r="J3802" s="10"/>
      <c r="M3802" s="11"/>
      <c r="P3802" s="13"/>
    </row>
    <row r="3803" s="5" customFormat="1" ht="13">
      <c r="H3803" s="9"/>
      <c r="I3803" s="10"/>
      <c r="J3803" s="10"/>
      <c r="M3803" s="11"/>
      <c r="P3803" s="13"/>
    </row>
    <row r="3804" s="5" customFormat="1" ht="13">
      <c r="H3804" s="9"/>
      <c r="I3804" s="10"/>
      <c r="J3804" s="10"/>
      <c r="M3804" s="11"/>
      <c r="P3804" s="13"/>
    </row>
    <row r="3805" s="5" customFormat="1" ht="13">
      <c r="H3805" s="9"/>
      <c r="I3805" s="10"/>
      <c r="J3805" s="10"/>
      <c r="M3805" s="11"/>
      <c r="P3805" s="13"/>
    </row>
    <row r="3806" s="5" customFormat="1" ht="13">
      <c r="H3806" s="9"/>
      <c r="I3806" s="10"/>
      <c r="J3806" s="10"/>
      <c r="M3806" s="11"/>
      <c r="P3806" s="13"/>
    </row>
    <row r="3807" s="5" customFormat="1" ht="13">
      <c r="H3807" s="9"/>
      <c r="I3807" s="10"/>
      <c r="J3807" s="10"/>
      <c r="M3807" s="11"/>
      <c r="P3807" s="13"/>
    </row>
    <row r="3808" s="5" customFormat="1" ht="13">
      <c r="H3808" s="9"/>
      <c r="I3808" s="10"/>
      <c r="J3808" s="10"/>
      <c r="M3808" s="11"/>
      <c r="P3808" s="13"/>
    </row>
    <row r="3809" s="5" customFormat="1" ht="13">
      <c r="H3809" s="9"/>
      <c r="I3809" s="10"/>
      <c r="J3809" s="10"/>
      <c r="M3809" s="11"/>
      <c r="P3809" s="13"/>
    </row>
    <row r="3810" s="5" customFormat="1" ht="13">
      <c r="H3810" s="9"/>
      <c r="I3810" s="10"/>
      <c r="J3810" s="10"/>
      <c r="M3810" s="11"/>
      <c r="P3810" s="13"/>
    </row>
    <row r="3811" s="5" customFormat="1" ht="13">
      <c r="H3811" s="9"/>
      <c r="I3811" s="10"/>
      <c r="J3811" s="10"/>
      <c r="M3811" s="11"/>
      <c r="P3811" s="13"/>
    </row>
    <row r="3812" s="5" customFormat="1" ht="13">
      <c r="H3812" s="9"/>
      <c r="I3812" s="10"/>
      <c r="J3812" s="10"/>
      <c r="M3812" s="11"/>
      <c r="P3812" s="13"/>
    </row>
    <row r="3813" s="5" customFormat="1" ht="13">
      <c r="H3813" s="9"/>
      <c r="I3813" s="10"/>
      <c r="J3813" s="10"/>
      <c r="M3813" s="11"/>
      <c r="P3813" s="13"/>
    </row>
    <row r="3814" s="5" customFormat="1" ht="13">
      <c r="H3814" s="9"/>
      <c r="I3814" s="10"/>
      <c r="J3814" s="10"/>
      <c r="M3814" s="11"/>
      <c r="P3814" s="13"/>
    </row>
    <row r="3815" s="5" customFormat="1" ht="13">
      <c r="H3815" s="9"/>
      <c r="I3815" s="10"/>
      <c r="J3815" s="10"/>
      <c r="M3815" s="11"/>
      <c r="P3815" s="13"/>
    </row>
    <row r="3816" s="5" customFormat="1" ht="13">
      <c r="H3816" s="9"/>
      <c r="I3816" s="10"/>
      <c r="J3816" s="10"/>
      <c r="M3816" s="11"/>
      <c r="P3816" s="13"/>
    </row>
    <row r="3817" s="5" customFormat="1" ht="13">
      <c r="H3817" s="9"/>
      <c r="I3817" s="10"/>
      <c r="J3817" s="10"/>
      <c r="M3817" s="11"/>
      <c r="P3817" s="13"/>
    </row>
    <row r="3818" s="5" customFormat="1" ht="13">
      <c r="H3818" s="9"/>
      <c r="I3818" s="10"/>
      <c r="J3818" s="10"/>
      <c r="M3818" s="11"/>
      <c r="P3818" s="13"/>
    </row>
    <row r="3819" s="5" customFormat="1" ht="13">
      <c r="H3819" s="9"/>
      <c r="I3819" s="10"/>
      <c r="J3819" s="10"/>
      <c r="M3819" s="11"/>
      <c r="P3819" s="13"/>
    </row>
    <row r="3820" s="5" customFormat="1" ht="13">
      <c r="H3820" s="9"/>
      <c r="I3820" s="10"/>
      <c r="J3820" s="10"/>
      <c r="M3820" s="11"/>
      <c r="P3820" s="13"/>
    </row>
    <row r="3821" s="5" customFormat="1" ht="13">
      <c r="H3821" s="9"/>
      <c r="I3821" s="10"/>
      <c r="J3821" s="10"/>
      <c r="M3821" s="11"/>
      <c r="P3821" s="13"/>
    </row>
    <row r="3822" s="5" customFormat="1" ht="13">
      <c r="H3822" s="9"/>
      <c r="I3822" s="10"/>
      <c r="J3822" s="10"/>
      <c r="M3822" s="11"/>
      <c r="P3822" s="13"/>
    </row>
    <row r="3823" s="5" customFormat="1" ht="13">
      <c r="H3823" s="9"/>
      <c r="I3823" s="10"/>
      <c r="J3823" s="10"/>
      <c r="M3823" s="11"/>
      <c r="P3823" s="13"/>
    </row>
    <row r="3824" s="5" customFormat="1" ht="13">
      <c r="H3824" s="9"/>
      <c r="I3824" s="10"/>
      <c r="J3824" s="10"/>
      <c r="M3824" s="11"/>
      <c r="P3824" s="13"/>
    </row>
    <row r="3825" s="5" customFormat="1" ht="13">
      <c r="H3825" s="9"/>
      <c r="I3825" s="10"/>
      <c r="J3825" s="10"/>
      <c r="M3825" s="11"/>
      <c r="P3825" s="13"/>
    </row>
    <row r="3826" s="5" customFormat="1" ht="13">
      <c r="H3826" s="9"/>
      <c r="I3826" s="10"/>
      <c r="J3826" s="10"/>
      <c r="M3826" s="11"/>
      <c r="P3826" s="13"/>
    </row>
    <row r="3827" s="5" customFormat="1" ht="13">
      <c r="H3827" s="9"/>
      <c r="I3827" s="10"/>
      <c r="J3827" s="10"/>
      <c r="M3827" s="11"/>
      <c r="P3827" s="13"/>
    </row>
    <row r="3828" s="5" customFormat="1" ht="13">
      <c r="H3828" s="9"/>
      <c r="I3828" s="10"/>
      <c r="J3828" s="10"/>
      <c r="M3828" s="11"/>
      <c r="P3828" s="13"/>
    </row>
    <row r="3829" s="5" customFormat="1" ht="13">
      <c r="H3829" s="9"/>
      <c r="I3829" s="10"/>
      <c r="J3829" s="10"/>
      <c r="M3829" s="11"/>
      <c r="P3829" s="13"/>
    </row>
    <row r="3830" s="5" customFormat="1" ht="13">
      <c r="H3830" s="9"/>
      <c r="I3830" s="10"/>
      <c r="J3830" s="10"/>
      <c r="M3830" s="11"/>
      <c r="P3830" s="13"/>
    </row>
    <row r="3831" s="5" customFormat="1" ht="13">
      <c r="H3831" s="9"/>
      <c r="I3831" s="10"/>
      <c r="J3831" s="10"/>
      <c r="M3831" s="11"/>
      <c r="P3831" s="13"/>
    </row>
    <row r="3832" s="5" customFormat="1" ht="13">
      <c r="H3832" s="9"/>
      <c r="I3832" s="10"/>
      <c r="J3832" s="10"/>
      <c r="M3832" s="11"/>
      <c r="P3832" s="13"/>
    </row>
    <row r="3833" s="5" customFormat="1" ht="13">
      <c r="H3833" s="9"/>
      <c r="I3833" s="10"/>
      <c r="J3833" s="10"/>
      <c r="M3833" s="11"/>
      <c r="P3833" s="13"/>
    </row>
    <row r="3834" s="5" customFormat="1" ht="13">
      <c r="H3834" s="9"/>
      <c r="I3834" s="10"/>
      <c r="J3834" s="10"/>
      <c r="M3834" s="11"/>
      <c r="P3834" s="13"/>
    </row>
    <row r="3835" s="5" customFormat="1" ht="13">
      <c r="H3835" s="9"/>
      <c r="I3835" s="10"/>
      <c r="J3835" s="10"/>
      <c r="M3835" s="11"/>
      <c r="P3835" s="13"/>
    </row>
    <row r="3836" s="5" customFormat="1" ht="13">
      <c r="H3836" s="9"/>
      <c r="I3836" s="10"/>
      <c r="J3836" s="10"/>
      <c r="M3836" s="11"/>
      <c r="P3836" s="13"/>
    </row>
    <row r="3837" s="5" customFormat="1" ht="13">
      <c r="H3837" s="9"/>
      <c r="I3837" s="10"/>
      <c r="J3837" s="10"/>
      <c r="M3837" s="11"/>
      <c r="P3837" s="13"/>
    </row>
    <row r="3838" s="5" customFormat="1" ht="13">
      <c r="H3838" s="9"/>
      <c r="I3838" s="10"/>
      <c r="J3838" s="10"/>
      <c r="M3838" s="11"/>
      <c r="P3838" s="13"/>
    </row>
    <row r="3839" s="5" customFormat="1" ht="13">
      <c r="H3839" s="9"/>
      <c r="I3839" s="10"/>
      <c r="J3839" s="10"/>
      <c r="M3839" s="11"/>
      <c r="P3839" s="13"/>
    </row>
    <row r="3840" s="5" customFormat="1" ht="13">
      <c r="H3840" s="9"/>
      <c r="I3840" s="10"/>
      <c r="J3840" s="10"/>
      <c r="M3840" s="11"/>
      <c r="P3840" s="13"/>
    </row>
    <row r="3841" s="5" customFormat="1" ht="13">
      <c r="H3841" s="9"/>
      <c r="I3841" s="10"/>
      <c r="J3841" s="10"/>
      <c r="M3841" s="11"/>
      <c r="P3841" s="13"/>
    </row>
    <row r="3842" s="5" customFormat="1" ht="13">
      <c r="H3842" s="9"/>
      <c r="I3842" s="10"/>
      <c r="J3842" s="10"/>
      <c r="M3842" s="11"/>
      <c r="P3842" s="13"/>
    </row>
    <row r="3843" s="5" customFormat="1" ht="13">
      <c r="H3843" s="9"/>
      <c r="I3843" s="10"/>
      <c r="J3843" s="10"/>
      <c r="M3843" s="11"/>
      <c r="P3843" s="13"/>
    </row>
    <row r="3844" s="5" customFormat="1" ht="13">
      <c r="H3844" s="9"/>
      <c r="I3844" s="10"/>
      <c r="J3844" s="10"/>
      <c r="M3844" s="11"/>
      <c r="P3844" s="13"/>
    </row>
    <row r="3845" s="5" customFormat="1" ht="13">
      <c r="H3845" s="9"/>
      <c r="I3845" s="10"/>
      <c r="J3845" s="10"/>
      <c r="M3845" s="11"/>
      <c r="P3845" s="13"/>
    </row>
    <row r="3846" s="5" customFormat="1" ht="13">
      <c r="H3846" s="9"/>
      <c r="I3846" s="10"/>
      <c r="J3846" s="10"/>
      <c r="M3846" s="11"/>
      <c r="P3846" s="13"/>
    </row>
    <row r="3847" s="5" customFormat="1" ht="13">
      <c r="H3847" s="9"/>
      <c r="I3847" s="10"/>
      <c r="J3847" s="10"/>
      <c r="M3847" s="11"/>
      <c r="P3847" s="13"/>
    </row>
    <row r="3848" s="5" customFormat="1" ht="13">
      <c r="H3848" s="9"/>
      <c r="I3848" s="10"/>
      <c r="J3848" s="10"/>
      <c r="M3848" s="11"/>
      <c r="P3848" s="13"/>
    </row>
    <row r="3849" s="5" customFormat="1" ht="13">
      <c r="H3849" s="9"/>
      <c r="I3849" s="10"/>
      <c r="J3849" s="10"/>
      <c r="M3849" s="11"/>
      <c r="P3849" s="13"/>
    </row>
    <row r="3850" s="5" customFormat="1" ht="13">
      <c r="H3850" s="9"/>
      <c r="I3850" s="10"/>
      <c r="J3850" s="10"/>
      <c r="M3850" s="11"/>
      <c r="P3850" s="13"/>
    </row>
    <row r="3851" s="5" customFormat="1" ht="13">
      <c r="H3851" s="9"/>
      <c r="I3851" s="10"/>
      <c r="J3851" s="10"/>
      <c r="M3851" s="11"/>
      <c r="P3851" s="13"/>
    </row>
    <row r="3852" s="5" customFormat="1" ht="13">
      <c r="H3852" s="9"/>
      <c r="I3852" s="10"/>
      <c r="J3852" s="10"/>
      <c r="M3852" s="11"/>
      <c r="P3852" s="13"/>
    </row>
    <row r="3853" s="5" customFormat="1" ht="13">
      <c r="H3853" s="9"/>
      <c r="I3853" s="10"/>
      <c r="J3853" s="10"/>
      <c r="M3853" s="11"/>
      <c r="P3853" s="13"/>
    </row>
    <row r="3854" s="5" customFormat="1" ht="13">
      <c r="H3854" s="9"/>
      <c r="I3854" s="10"/>
      <c r="J3854" s="10"/>
      <c r="M3854" s="11"/>
      <c r="P3854" s="13"/>
    </row>
    <row r="3855" s="5" customFormat="1" ht="13">
      <c r="H3855" s="9"/>
      <c r="I3855" s="10"/>
      <c r="J3855" s="10"/>
      <c r="M3855" s="11"/>
      <c r="P3855" s="13"/>
    </row>
    <row r="3856" s="5" customFormat="1" ht="13">
      <c r="H3856" s="9"/>
      <c r="I3856" s="10"/>
      <c r="J3856" s="10"/>
      <c r="M3856" s="11"/>
      <c r="P3856" s="13"/>
    </row>
    <row r="3857" s="5" customFormat="1" ht="13">
      <c r="H3857" s="9"/>
      <c r="I3857" s="10"/>
      <c r="J3857" s="10"/>
      <c r="M3857" s="11"/>
      <c r="P3857" s="13"/>
    </row>
    <row r="3858" s="5" customFormat="1" ht="13">
      <c r="H3858" s="9"/>
      <c r="I3858" s="10"/>
      <c r="J3858" s="10"/>
      <c r="M3858" s="11"/>
      <c r="P3858" s="13"/>
    </row>
    <row r="3859" s="5" customFormat="1" ht="13">
      <c r="H3859" s="9"/>
      <c r="I3859" s="10"/>
      <c r="J3859" s="10"/>
      <c r="M3859" s="11"/>
      <c r="P3859" s="13"/>
    </row>
    <row r="3860" s="5" customFormat="1" ht="13">
      <c r="H3860" s="9"/>
      <c r="I3860" s="10"/>
      <c r="J3860" s="10"/>
      <c r="M3860" s="11"/>
      <c r="P3860" s="13"/>
    </row>
    <row r="3861" s="5" customFormat="1" ht="13">
      <c r="H3861" s="9"/>
      <c r="I3861" s="10"/>
      <c r="J3861" s="10"/>
      <c r="M3861" s="11"/>
      <c r="P3861" s="13"/>
    </row>
    <row r="3862" s="5" customFormat="1" ht="13">
      <c r="H3862" s="9"/>
      <c r="I3862" s="10"/>
      <c r="J3862" s="10"/>
      <c r="M3862" s="11"/>
      <c r="P3862" s="13"/>
    </row>
    <row r="3863" s="5" customFormat="1" ht="13">
      <c r="H3863" s="9"/>
      <c r="I3863" s="10"/>
      <c r="J3863" s="10"/>
      <c r="M3863" s="11"/>
      <c r="P3863" s="13"/>
    </row>
    <row r="3864" s="5" customFormat="1" ht="13">
      <c r="H3864" s="9"/>
      <c r="I3864" s="10"/>
      <c r="J3864" s="10"/>
      <c r="M3864" s="11"/>
      <c r="P3864" s="13"/>
    </row>
    <row r="3865" s="5" customFormat="1" ht="13">
      <c r="H3865" s="9"/>
      <c r="I3865" s="10"/>
      <c r="J3865" s="10"/>
      <c r="M3865" s="11"/>
      <c r="P3865" s="13"/>
    </row>
    <row r="3866" s="5" customFormat="1" ht="13">
      <c r="H3866" s="9"/>
      <c r="I3866" s="10"/>
      <c r="J3866" s="10"/>
      <c r="M3866" s="11"/>
      <c r="P3866" s="13"/>
    </row>
    <row r="3867" s="5" customFormat="1" ht="13">
      <c r="H3867" s="9"/>
      <c r="I3867" s="10"/>
      <c r="J3867" s="10"/>
      <c r="M3867" s="11"/>
      <c r="P3867" s="13"/>
    </row>
    <row r="3868" s="5" customFormat="1" ht="13">
      <c r="H3868" s="9"/>
      <c r="I3868" s="10"/>
      <c r="J3868" s="10"/>
      <c r="M3868" s="11"/>
      <c r="P3868" s="13"/>
    </row>
    <row r="3869" s="5" customFormat="1" ht="13">
      <c r="H3869" s="9"/>
      <c r="I3869" s="10"/>
      <c r="J3869" s="10"/>
      <c r="M3869" s="11"/>
      <c r="P3869" s="13"/>
    </row>
    <row r="3870" s="5" customFormat="1" ht="13">
      <c r="H3870" s="9"/>
      <c r="I3870" s="10"/>
      <c r="J3870" s="10"/>
      <c r="M3870" s="11"/>
      <c r="P3870" s="13"/>
    </row>
    <row r="3871" s="5" customFormat="1" ht="13">
      <c r="H3871" s="9"/>
      <c r="I3871" s="10"/>
      <c r="J3871" s="10"/>
      <c r="M3871" s="11"/>
      <c r="P3871" s="13"/>
    </row>
    <row r="3872" s="5" customFormat="1" ht="13">
      <c r="H3872" s="9"/>
      <c r="I3872" s="10"/>
      <c r="J3872" s="10"/>
      <c r="M3872" s="11"/>
      <c r="P3872" s="13"/>
    </row>
    <row r="3873" s="5" customFormat="1" ht="13">
      <c r="H3873" s="9"/>
      <c r="I3873" s="10"/>
      <c r="J3873" s="10"/>
      <c r="M3873" s="11"/>
      <c r="P3873" s="13"/>
    </row>
    <row r="3874" s="5" customFormat="1" ht="13">
      <c r="H3874" s="9"/>
      <c r="I3874" s="10"/>
      <c r="J3874" s="10"/>
      <c r="M3874" s="11"/>
      <c r="P3874" s="13"/>
    </row>
    <row r="3875" s="5" customFormat="1" ht="13">
      <c r="H3875" s="9"/>
      <c r="I3875" s="10"/>
      <c r="J3875" s="10"/>
      <c r="M3875" s="11"/>
      <c r="P3875" s="13"/>
    </row>
    <row r="3876" s="5" customFormat="1" ht="13">
      <c r="H3876" s="9"/>
      <c r="I3876" s="10"/>
      <c r="J3876" s="10"/>
      <c r="M3876" s="11"/>
      <c r="P3876" s="13"/>
    </row>
    <row r="3877" s="5" customFormat="1" ht="13">
      <c r="H3877" s="9"/>
      <c r="I3877" s="10"/>
      <c r="J3877" s="10"/>
      <c r="M3877" s="11"/>
      <c r="P3877" s="13"/>
    </row>
    <row r="3878" s="5" customFormat="1" ht="13">
      <c r="H3878" s="9"/>
      <c r="I3878" s="10"/>
      <c r="J3878" s="10"/>
      <c r="M3878" s="11"/>
      <c r="P3878" s="13"/>
    </row>
    <row r="3879" s="5" customFormat="1" ht="13">
      <c r="H3879" s="9"/>
      <c r="I3879" s="10"/>
      <c r="J3879" s="10"/>
      <c r="M3879" s="11"/>
      <c r="P3879" s="13"/>
    </row>
    <row r="3880" s="5" customFormat="1" ht="13">
      <c r="H3880" s="9"/>
      <c r="I3880" s="10"/>
      <c r="J3880" s="10"/>
      <c r="M3880" s="11"/>
      <c r="P3880" s="13"/>
    </row>
    <row r="3881" s="5" customFormat="1" ht="13">
      <c r="H3881" s="9"/>
      <c r="I3881" s="10"/>
      <c r="J3881" s="10"/>
      <c r="M3881" s="11"/>
      <c r="P3881" s="13"/>
    </row>
    <row r="3882" s="5" customFormat="1" ht="13">
      <c r="H3882" s="9"/>
      <c r="I3882" s="10"/>
      <c r="J3882" s="10"/>
      <c r="M3882" s="11"/>
      <c r="P3882" s="13"/>
    </row>
    <row r="3883" s="5" customFormat="1" ht="13">
      <c r="H3883" s="9"/>
      <c r="I3883" s="10"/>
      <c r="J3883" s="10"/>
      <c r="M3883" s="11"/>
      <c r="P3883" s="13"/>
    </row>
    <row r="3884" s="5" customFormat="1" ht="13">
      <c r="H3884" s="9"/>
      <c r="I3884" s="10"/>
      <c r="J3884" s="10"/>
      <c r="M3884" s="11"/>
      <c r="P3884" s="13"/>
    </row>
    <row r="3885" s="5" customFormat="1" ht="13">
      <c r="H3885" s="9"/>
      <c r="I3885" s="10"/>
      <c r="J3885" s="10"/>
      <c r="M3885" s="11"/>
      <c r="P3885" s="13"/>
    </row>
    <row r="3886" s="5" customFormat="1" ht="13">
      <c r="H3886" s="9"/>
      <c r="I3886" s="10"/>
      <c r="J3886" s="10"/>
      <c r="M3886" s="11"/>
      <c r="P3886" s="13"/>
    </row>
    <row r="3887" s="5" customFormat="1" ht="13">
      <c r="H3887" s="9"/>
      <c r="I3887" s="10"/>
      <c r="J3887" s="10"/>
      <c r="M3887" s="11"/>
      <c r="P3887" s="13"/>
    </row>
    <row r="3888" s="5" customFormat="1" ht="13">
      <c r="H3888" s="9"/>
      <c r="I3888" s="10"/>
      <c r="J3888" s="10"/>
      <c r="M3888" s="11"/>
      <c r="P3888" s="13"/>
    </row>
    <row r="3889" s="5" customFormat="1" ht="13">
      <c r="H3889" s="9"/>
      <c r="I3889" s="10"/>
      <c r="J3889" s="10"/>
      <c r="M3889" s="11"/>
      <c r="P3889" s="13"/>
    </row>
    <row r="3890" s="5" customFormat="1" ht="13">
      <c r="H3890" s="9"/>
      <c r="I3890" s="10"/>
      <c r="J3890" s="10"/>
      <c r="M3890" s="11"/>
      <c r="P3890" s="13"/>
    </row>
    <row r="3891" s="5" customFormat="1" ht="13">
      <c r="H3891" s="9"/>
      <c r="I3891" s="10"/>
      <c r="J3891" s="10"/>
      <c r="M3891" s="11"/>
      <c r="P3891" s="13"/>
    </row>
    <row r="3892" s="5" customFormat="1" ht="13">
      <c r="H3892" s="9"/>
      <c r="I3892" s="10"/>
      <c r="J3892" s="10"/>
      <c r="M3892" s="11"/>
      <c r="P3892" s="13"/>
    </row>
    <row r="3893" s="5" customFormat="1" ht="13">
      <c r="H3893" s="9"/>
      <c r="I3893" s="10"/>
      <c r="J3893" s="10"/>
      <c r="M3893" s="11"/>
      <c r="P3893" s="13"/>
    </row>
    <row r="3894" s="5" customFormat="1" ht="13">
      <c r="H3894" s="9"/>
      <c r="I3894" s="10"/>
      <c r="J3894" s="10"/>
      <c r="M3894" s="11"/>
      <c r="P3894" s="13"/>
    </row>
    <row r="3895" s="5" customFormat="1" ht="13">
      <c r="H3895" s="9"/>
      <c r="I3895" s="10"/>
      <c r="J3895" s="10"/>
      <c r="M3895" s="11"/>
      <c r="P3895" s="13"/>
    </row>
    <row r="3896" s="5" customFormat="1" ht="13">
      <c r="H3896" s="9"/>
      <c r="I3896" s="10"/>
      <c r="J3896" s="10"/>
      <c r="M3896" s="11"/>
      <c r="P3896" s="13"/>
    </row>
    <row r="3897" s="5" customFormat="1" ht="13">
      <c r="H3897" s="9"/>
      <c r="I3897" s="10"/>
      <c r="J3897" s="10"/>
      <c r="M3897" s="11"/>
      <c r="P3897" s="13"/>
    </row>
    <row r="3898" s="5" customFormat="1" ht="13">
      <c r="H3898" s="9"/>
      <c r="I3898" s="10"/>
      <c r="J3898" s="10"/>
      <c r="M3898" s="11"/>
      <c r="P3898" s="13"/>
    </row>
    <row r="3899" s="5" customFormat="1" ht="13">
      <c r="H3899" s="9"/>
      <c r="I3899" s="10"/>
      <c r="J3899" s="10"/>
      <c r="M3899" s="11"/>
      <c r="P3899" s="13"/>
    </row>
    <row r="3900" s="5" customFormat="1" ht="13">
      <c r="H3900" s="9"/>
      <c r="I3900" s="10"/>
      <c r="J3900" s="10"/>
      <c r="M3900" s="11"/>
      <c r="P3900" s="13"/>
    </row>
    <row r="3901" s="5" customFormat="1" ht="13">
      <c r="H3901" s="9"/>
      <c r="I3901" s="10"/>
      <c r="J3901" s="10"/>
      <c r="M3901" s="11"/>
      <c r="P3901" s="13"/>
    </row>
    <row r="3902" s="5" customFormat="1" ht="13">
      <c r="H3902" s="9"/>
      <c r="I3902" s="10"/>
      <c r="J3902" s="10"/>
      <c r="M3902" s="11"/>
      <c r="P3902" s="13"/>
    </row>
    <row r="3903" s="5" customFormat="1" ht="13">
      <c r="H3903" s="9"/>
      <c r="I3903" s="10"/>
      <c r="J3903" s="10"/>
      <c r="M3903" s="11"/>
      <c r="P3903" s="13"/>
    </row>
    <row r="3904" s="5" customFormat="1" ht="13">
      <c r="H3904" s="9"/>
      <c r="I3904" s="10"/>
      <c r="J3904" s="10"/>
      <c r="M3904" s="11"/>
      <c r="P3904" s="13"/>
    </row>
    <row r="3905" s="5" customFormat="1" ht="13">
      <c r="H3905" s="9"/>
      <c r="I3905" s="10"/>
      <c r="J3905" s="10"/>
      <c r="M3905" s="11"/>
      <c r="P3905" s="13"/>
    </row>
    <row r="3906" s="5" customFormat="1" ht="13">
      <c r="H3906" s="9"/>
      <c r="I3906" s="10"/>
      <c r="J3906" s="10"/>
      <c r="M3906" s="11"/>
      <c r="P3906" s="13"/>
    </row>
    <row r="3907" s="5" customFormat="1" ht="13">
      <c r="H3907" s="9"/>
      <c r="I3907" s="10"/>
      <c r="J3907" s="10"/>
      <c r="M3907" s="11"/>
      <c r="P3907" s="13"/>
    </row>
    <row r="3908" s="5" customFormat="1" ht="13">
      <c r="H3908" s="9"/>
      <c r="I3908" s="10"/>
      <c r="J3908" s="10"/>
      <c r="M3908" s="11"/>
      <c r="P3908" s="13"/>
    </row>
    <row r="3909" s="5" customFormat="1" ht="13">
      <c r="H3909" s="9"/>
      <c r="I3909" s="10"/>
      <c r="J3909" s="10"/>
      <c r="M3909" s="11"/>
      <c r="P3909" s="13"/>
    </row>
    <row r="3910" s="5" customFormat="1" ht="13">
      <c r="H3910" s="9"/>
      <c r="I3910" s="10"/>
      <c r="J3910" s="10"/>
      <c r="M3910" s="11"/>
      <c r="P3910" s="13"/>
    </row>
    <row r="3911" s="5" customFormat="1" ht="13">
      <c r="H3911" s="9"/>
      <c r="I3911" s="10"/>
      <c r="J3911" s="10"/>
      <c r="M3911" s="11"/>
      <c r="P3911" s="13"/>
    </row>
    <row r="3912" s="5" customFormat="1" ht="13">
      <c r="H3912" s="9"/>
      <c r="I3912" s="10"/>
      <c r="J3912" s="10"/>
      <c r="M3912" s="11"/>
      <c r="P3912" s="13"/>
    </row>
    <row r="3913" s="5" customFormat="1" ht="13">
      <c r="H3913" s="9"/>
      <c r="I3913" s="10"/>
      <c r="J3913" s="10"/>
      <c r="M3913" s="11"/>
      <c r="P3913" s="13"/>
    </row>
    <row r="3914" s="5" customFormat="1" ht="13">
      <c r="H3914" s="9"/>
      <c r="I3914" s="10"/>
      <c r="J3914" s="10"/>
      <c r="M3914" s="11"/>
      <c r="P3914" s="13"/>
    </row>
    <row r="3915" s="5" customFormat="1" ht="13">
      <c r="H3915" s="9"/>
      <c r="I3915" s="10"/>
      <c r="J3915" s="10"/>
      <c r="M3915" s="11"/>
      <c r="P3915" s="13"/>
    </row>
    <row r="3916" s="5" customFormat="1" ht="13">
      <c r="H3916" s="9"/>
      <c r="I3916" s="10"/>
      <c r="J3916" s="10"/>
      <c r="M3916" s="11"/>
      <c r="P3916" s="13"/>
    </row>
    <row r="3917" s="5" customFormat="1" ht="13">
      <c r="H3917" s="9"/>
      <c r="I3917" s="10"/>
      <c r="J3917" s="10"/>
      <c r="M3917" s="11"/>
      <c r="P3917" s="13"/>
    </row>
    <row r="3918" s="5" customFormat="1" ht="13">
      <c r="H3918" s="9"/>
      <c r="I3918" s="10"/>
      <c r="J3918" s="10"/>
      <c r="M3918" s="11"/>
      <c r="P3918" s="13"/>
    </row>
    <row r="3919" s="5" customFormat="1" ht="13">
      <c r="H3919" s="9"/>
      <c r="I3919" s="10"/>
      <c r="J3919" s="10"/>
      <c r="M3919" s="11"/>
      <c r="P3919" s="13"/>
    </row>
    <row r="3920" s="5" customFormat="1" ht="13">
      <c r="H3920" s="9"/>
      <c r="I3920" s="10"/>
      <c r="J3920" s="10"/>
      <c r="M3920" s="11"/>
      <c r="P3920" s="13"/>
    </row>
    <row r="3921" s="5" customFormat="1" ht="13">
      <c r="H3921" s="9"/>
      <c r="I3921" s="10"/>
      <c r="J3921" s="10"/>
      <c r="M3921" s="11"/>
      <c r="P3921" s="13"/>
    </row>
    <row r="3922" s="5" customFormat="1" ht="13">
      <c r="H3922" s="9"/>
      <c r="I3922" s="10"/>
      <c r="J3922" s="10"/>
      <c r="M3922" s="11"/>
      <c r="P3922" s="13"/>
    </row>
    <row r="3923" s="5" customFormat="1" ht="13">
      <c r="H3923" s="9"/>
      <c r="I3923" s="10"/>
      <c r="J3923" s="10"/>
      <c r="M3923" s="11"/>
      <c r="P3923" s="13"/>
    </row>
    <row r="3924" s="5" customFormat="1" ht="13">
      <c r="H3924" s="9"/>
      <c r="I3924" s="10"/>
      <c r="J3924" s="10"/>
      <c r="M3924" s="11"/>
      <c r="P3924" s="13"/>
    </row>
    <row r="3925" s="5" customFormat="1" ht="13">
      <c r="H3925" s="9"/>
      <c r="I3925" s="10"/>
      <c r="J3925" s="10"/>
      <c r="M3925" s="11"/>
      <c r="P3925" s="13"/>
    </row>
    <row r="3926" s="5" customFormat="1" ht="13">
      <c r="H3926" s="9"/>
      <c r="I3926" s="10"/>
      <c r="J3926" s="10"/>
      <c r="M3926" s="11"/>
      <c r="P3926" s="13"/>
    </row>
    <row r="3927" s="5" customFormat="1" ht="13">
      <c r="H3927" s="9"/>
      <c r="I3927" s="10"/>
      <c r="J3927" s="10"/>
      <c r="M3927" s="11"/>
      <c r="P3927" s="13"/>
    </row>
    <row r="3928" s="5" customFormat="1" ht="13">
      <c r="H3928" s="9"/>
      <c r="I3928" s="10"/>
      <c r="J3928" s="10"/>
      <c r="M3928" s="11"/>
      <c r="P3928" s="13"/>
    </row>
    <row r="3929" s="5" customFormat="1" ht="13">
      <c r="H3929" s="9"/>
      <c r="I3929" s="10"/>
      <c r="J3929" s="10"/>
      <c r="M3929" s="11"/>
      <c r="P3929" s="13"/>
    </row>
    <row r="3930" s="5" customFormat="1" ht="13">
      <c r="H3930" s="9"/>
      <c r="I3930" s="10"/>
      <c r="J3930" s="10"/>
      <c r="M3930" s="11"/>
      <c r="P3930" s="13"/>
    </row>
    <row r="3931" s="5" customFormat="1" ht="13">
      <c r="H3931" s="9"/>
      <c r="I3931" s="10"/>
      <c r="J3931" s="10"/>
      <c r="M3931" s="11"/>
      <c r="P3931" s="13"/>
    </row>
    <row r="3932" s="5" customFormat="1" ht="13">
      <c r="H3932" s="9"/>
      <c r="I3932" s="10"/>
      <c r="J3932" s="10"/>
      <c r="M3932" s="11"/>
      <c r="P3932" s="13"/>
    </row>
    <row r="3933" s="5" customFormat="1" ht="13">
      <c r="H3933" s="9"/>
      <c r="I3933" s="10"/>
      <c r="J3933" s="10"/>
      <c r="M3933" s="11"/>
      <c r="P3933" s="13"/>
    </row>
    <row r="3934" s="5" customFormat="1" ht="13">
      <c r="H3934" s="9"/>
      <c r="I3934" s="10"/>
      <c r="J3934" s="10"/>
      <c r="M3934" s="11"/>
      <c r="P3934" s="13"/>
    </row>
    <row r="3935" s="5" customFormat="1" ht="13">
      <c r="H3935" s="9"/>
      <c r="I3935" s="10"/>
      <c r="J3935" s="10"/>
      <c r="M3935" s="11"/>
      <c r="P3935" s="13"/>
    </row>
    <row r="3936" s="5" customFormat="1" ht="13">
      <c r="H3936" s="9"/>
      <c r="I3936" s="10"/>
      <c r="J3936" s="10"/>
      <c r="M3936" s="11"/>
      <c r="P3936" s="13"/>
    </row>
    <row r="3937" s="5" customFormat="1" ht="13">
      <c r="H3937" s="9"/>
      <c r="I3937" s="10"/>
      <c r="J3937" s="10"/>
      <c r="M3937" s="11"/>
      <c r="P3937" s="13"/>
    </row>
    <row r="3938" s="5" customFormat="1" ht="13">
      <c r="H3938" s="9"/>
      <c r="I3938" s="10"/>
      <c r="J3938" s="10"/>
      <c r="M3938" s="11"/>
      <c r="P3938" s="13"/>
    </row>
    <row r="3939" s="5" customFormat="1" ht="13">
      <c r="H3939" s="9"/>
      <c r="I3939" s="10"/>
      <c r="J3939" s="10"/>
      <c r="M3939" s="11"/>
      <c r="P3939" s="13"/>
    </row>
    <row r="3940" s="5" customFormat="1" ht="13">
      <c r="H3940" s="9"/>
      <c r="I3940" s="10"/>
      <c r="J3940" s="10"/>
      <c r="M3940" s="11"/>
      <c r="P3940" s="13"/>
    </row>
    <row r="3941" s="5" customFormat="1" ht="13">
      <c r="H3941" s="9"/>
      <c r="I3941" s="10"/>
      <c r="J3941" s="10"/>
      <c r="M3941" s="11"/>
      <c r="P3941" s="13"/>
    </row>
    <row r="3942" s="5" customFormat="1" ht="13">
      <c r="H3942" s="9"/>
      <c r="I3942" s="10"/>
      <c r="J3942" s="10"/>
      <c r="M3942" s="11"/>
      <c r="P3942" s="13"/>
    </row>
    <row r="3943" s="5" customFormat="1" ht="13">
      <c r="H3943" s="9"/>
      <c r="I3943" s="10"/>
      <c r="J3943" s="10"/>
      <c r="M3943" s="11"/>
      <c r="P3943" s="13"/>
    </row>
    <row r="3944" s="5" customFormat="1" ht="13">
      <c r="H3944" s="9"/>
      <c r="I3944" s="10"/>
      <c r="J3944" s="10"/>
      <c r="M3944" s="11"/>
      <c r="P3944" s="13"/>
    </row>
    <row r="3945" s="5" customFormat="1" ht="13">
      <c r="H3945" s="9"/>
      <c r="I3945" s="10"/>
      <c r="J3945" s="10"/>
      <c r="M3945" s="11"/>
      <c r="P3945" s="13"/>
    </row>
    <row r="3946" s="5" customFormat="1" ht="13">
      <c r="H3946" s="9"/>
      <c r="I3946" s="10"/>
      <c r="J3946" s="10"/>
      <c r="M3946" s="11"/>
      <c r="P3946" s="13"/>
    </row>
    <row r="3947" s="5" customFormat="1" ht="13">
      <c r="H3947" s="9"/>
      <c r="I3947" s="10"/>
      <c r="J3947" s="10"/>
      <c r="M3947" s="11"/>
      <c r="P3947" s="13"/>
    </row>
    <row r="3948" s="5" customFormat="1" ht="13">
      <c r="H3948" s="9"/>
      <c r="I3948" s="10"/>
      <c r="J3948" s="10"/>
      <c r="M3948" s="11"/>
      <c r="P3948" s="13"/>
    </row>
    <row r="3949" s="5" customFormat="1" ht="13">
      <c r="H3949" s="9"/>
      <c r="I3949" s="10"/>
      <c r="J3949" s="10"/>
      <c r="M3949" s="11"/>
      <c r="P3949" s="13"/>
    </row>
    <row r="3950" s="5" customFormat="1" ht="13">
      <c r="H3950" s="9"/>
      <c r="I3950" s="10"/>
      <c r="J3950" s="10"/>
      <c r="M3950" s="11"/>
      <c r="P3950" s="13"/>
    </row>
    <row r="3951" s="5" customFormat="1" ht="13">
      <c r="H3951" s="9"/>
      <c r="I3951" s="10"/>
      <c r="J3951" s="10"/>
      <c r="M3951" s="11"/>
      <c r="P3951" s="13"/>
    </row>
    <row r="3952" s="5" customFormat="1" ht="13">
      <c r="H3952" s="9"/>
      <c r="I3952" s="10"/>
      <c r="J3952" s="10"/>
      <c r="M3952" s="11"/>
      <c r="P3952" s="13"/>
    </row>
    <row r="3953" s="5" customFormat="1" ht="13">
      <c r="H3953" s="9"/>
      <c r="I3953" s="10"/>
      <c r="J3953" s="10"/>
      <c r="M3953" s="11"/>
      <c r="P3953" s="13"/>
    </row>
    <row r="3954" s="5" customFormat="1" ht="13">
      <c r="H3954" s="9"/>
      <c r="I3954" s="10"/>
      <c r="J3954" s="10"/>
      <c r="M3954" s="11"/>
      <c r="P3954" s="13"/>
    </row>
    <row r="3955" s="5" customFormat="1" ht="13">
      <c r="H3955" s="9"/>
      <c r="I3955" s="10"/>
      <c r="J3955" s="10"/>
      <c r="M3955" s="11"/>
      <c r="P3955" s="13"/>
    </row>
    <row r="3956" s="5" customFormat="1" ht="13">
      <c r="H3956" s="9"/>
      <c r="I3956" s="10"/>
      <c r="J3956" s="10"/>
      <c r="M3956" s="11"/>
      <c r="P3956" s="13"/>
    </row>
    <row r="3957" s="5" customFormat="1" ht="13">
      <c r="H3957" s="9"/>
      <c r="I3957" s="10"/>
      <c r="J3957" s="10"/>
      <c r="M3957" s="11"/>
      <c r="P3957" s="13"/>
    </row>
    <row r="3958" s="5" customFormat="1" ht="13">
      <c r="H3958" s="9"/>
      <c r="I3958" s="10"/>
      <c r="J3958" s="10"/>
      <c r="M3958" s="11"/>
      <c r="P3958" s="13"/>
    </row>
    <row r="3959" s="5" customFormat="1" ht="13">
      <c r="H3959" s="9"/>
      <c r="I3959" s="10"/>
      <c r="J3959" s="10"/>
      <c r="M3959" s="11"/>
      <c r="P3959" s="13"/>
    </row>
    <row r="3960" s="5" customFormat="1" ht="13">
      <c r="H3960" s="9"/>
      <c r="I3960" s="10"/>
      <c r="J3960" s="10"/>
      <c r="M3960" s="11"/>
      <c r="P3960" s="13"/>
    </row>
    <row r="3961" s="5" customFormat="1" ht="13">
      <c r="H3961" s="9"/>
      <c r="I3961" s="10"/>
      <c r="J3961" s="10"/>
      <c r="M3961" s="11"/>
      <c r="P3961" s="13"/>
    </row>
    <row r="3962" s="5" customFormat="1" ht="13">
      <c r="H3962" s="9"/>
      <c r="I3962" s="10"/>
      <c r="J3962" s="10"/>
      <c r="M3962" s="11"/>
      <c r="P3962" s="13"/>
    </row>
    <row r="3963" s="5" customFormat="1" ht="13">
      <c r="H3963" s="9"/>
      <c r="I3963" s="10"/>
      <c r="J3963" s="10"/>
      <c r="M3963" s="11"/>
      <c r="P3963" s="13"/>
    </row>
    <row r="3964" s="5" customFormat="1" ht="13">
      <c r="H3964" s="9"/>
      <c r="I3964" s="10"/>
      <c r="J3964" s="10"/>
      <c r="M3964" s="11"/>
      <c r="P3964" s="13"/>
    </row>
    <row r="3965" s="5" customFormat="1" ht="13">
      <c r="H3965" s="9"/>
      <c r="I3965" s="10"/>
      <c r="J3965" s="10"/>
      <c r="M3965" s="11"/>
      <c r="P3965" s="13"/>
    </row>
    <row r="3966" s="5" customFormat="1" ht="13">
      <c r="H3966" s="9"/>
      <c r="I3966" s="10"/>
      <c r="J3966" s="10"/>
      <c r="M3966" s="11"/>
      <c r="P3966" s="13"/>
    </row>
    <row r="3967" s="5" customFormat="1" ht="13">
      <c r="H3967" s="9"/>
      <c r="I3967" s="10"/>
      <c r="J3967" s="10"/>
      <c r="M3967" s="11"/>
      <c r="P3967" s="13"/>
    </row>
    <row r="3968" s="5" customFormat="1" ht="13">
      <c r="H3968" s="9"/>
      <c r="I3968" s="10"/>
      <c r="J3968" s="10"/>
      <c r="M3968" s="11"/>
      <c r="P3968" s="13"/>
    </row>
    <row r="3969" s="5" customFormat="1" ht="13">
      <c r="H3969" s="9"/>
      <c r="I3969" s="10"/>
      <c r="J3969" s="10"/>
      <c r="M3969" s="11"/>
      <c r="P3969" s="13"/>
    </row>
    <row r="3970" s="5" customFormat="1" ht="13">
      <c r="H3970" s="9"/>
      <c r="I3970" s="10"/>
      <c r="J3970" s="10"/>
      <c r="M3970" s="11"/>
      <c r="P3970" s="13"/>
    </row>
  </sheetData>
  <sortState ref="A31:XEU3904">
    <sortCondition ref="J31:J3921"/>
  </sortState>
  <conditionalFormatting sqref="M2">
    <cfRule type="colorScale" priority="67">
      <colorScale>
        <cfvo type="percent" val="&quot;0+Cartera!$B$21&quot;"/>
        <cfvo type="percent" val="100"/>
        <color indexed="31"/>
        <color rgb="FFFFEF9C"/>
      </colorScale>
    </cfRule>
  </conditionalFormatting>
  <conditionalFormatting sqref="M247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70">
    <cfRule type="colorScale" priority="45">
      <colorScale>
        <cfvo type="percent" val="$C$21"/>
        <cfvo type="percent" val="100"/>
        <color indexed="31"/>
        <color indexed="24"/>
      </colorScale>
    </cfRule>
  </conditionalFormatting>
  <conditionalFormatting sqref="M207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76">
    <cfRule type="colorScale" priority="42">
      <colorScale>
        <cfvo type="percent" val="$C$21"/>
        <cfvo type="percent" val="100"/>
        <color indexed="31"/>
        <color indexed="24"/>
      </colorScale>
    </cfRule>
  </conditionalFormatting>
  <conditionalFormatting sqref="M149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98">
    <cfRule type="colorScale" priority="39">
      <colorScale>
        <cfvo type="percent" val="$C$21"/>
        <cfvo type="percent" val="100"/>
        <color indexed="31"/>
        <color indexed="24"/>
      </colorScale>
    </cfRule>
  </conditionalFormatting>
  <conditionalFormatting sqref="M294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940">
    <cfRule type="colorScale" priority="33">
      <colorScale>
        <cfvo type="percent" val="$C$21"/>
        <cfvo type="percent" val="100"/>
        <color indexed="31"/>
        <color indexed="24"/>
      </colorScale>
    </cfRule>
  </conditionalFormatting>
  <conditionalFormatting sqref="M25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16">
    <cfRule type="colorScale" priority="24">
      <colorScale>
        <cfvo type="percent" val="$C$21"/>
        <cfvo type="percent" val="100"/>
        <color indexed="31"/>
        <color indexed="24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DD00EB-0054-492E-AD94-00E5001B00C6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M2865:M2903</xm:sqref>
        </x14:conditionalFormatting>
        <x14:conditionalFormatting xmlns:xm="http://schemas.microsoft.com/office/excel/2006/main">
          <x14:cfRule type="expression" priority="59" id="{00250026-00D4-48F0-85D4-006600A800EE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M1048246:M1048576</xm:sqref>
        </x14:conditionalFormatting>
        <x14:conditionalFormatting xmlns:xm="http://schemas.microsoft.com/office/excel/2006/main">
          <x14:cfRule type="expression" priority="44" id="{000500E1-00CE-4E13-B119-00D00055007A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M2077:M2080 L2470 M2904:M2939</xm:sqref>
        </x14:conditionalFormatting>
        <x14:conditionalFormatting xmlns:xm="http://schemas.microsoft.com/office/excel/2006/main">
          <x14:cfRule type="expression" priority="41" id="{002C00D1-006B-4666-B1EE-007A00B6000F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L2076</xm:sqref>
        </x14:conditionalFormatting>
        <x14:conditionalFormatting xmlns:xm="http://schemas.microsoft.com/office/excel/2006/main">
          <x14:cfRule type="expression" priority="38" id="{00FA0091-00A7-4F0B-A669-00BC00B70086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L1498</xm:sqref>
        </x14:conditionalFormatting>
        <x14:conditionalFormatting xmlns:xm="http://schemas.microsoft.com/office/excel/2006/main">
          <x14:cfRule type="expression" priority="32" id="{00460064-0048-4CCC-8844-002200F8004F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L2940</xm:sqref>
        </x14:conditionalFormatting>
        <x14:conditionalFormatting xmlns:xm="http://schemas.microsoft.com/office/excel/2006/main">
          <x14:cfRule type="expression" priority="26" id="{001200B6-00D9-4703-BB44-00F80034009D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L42 M2082:M2469 M2471:M2515</xm:sqref>
        </x14:conditionalFormatting>
        <x14:conditionalFormatting xmlns:xm="http://schemas.microsoft.com/office/excel/2006/main">
          <x14:cfRule type="expression" priority="23" id="{00220022-00EA-4D9C-A3CB-00190030008F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L2516</xm:sqref>
        </x14:conditionalFormatting>
        <x14:conditionalFormatting xmlns:xm="http://schemas.microsoft.com/office/excel/2006/main">
          <x14:cfRule type="expression" priority="20" id="{00D400A7-0068-4785-BD61-00D700DE00A1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L3541</xm:sqref>
        </x14:conditionalFormatting>
        <x14:conditionalFormatting xmlns:xm="http://schemas.microsoft.com/office/excel/2006/main">
          <x14:cfRule type="expression" priority="18" id="{00AF0072-0077-4511-B0A5-001300C90060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N2470</xm:sqref>
        </x14:conditionalFormatting>
        <x14:conditionalFormatting xmlns:xm="http://schemas.microsoft.com/office/excel/2006/main">
          <x14:cfRule type="expression" priority="17" id="{00D300C1-0016-4E43-A197-0060006A00AC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N2076</xm:sqref>
        </x14:conditionalFormatting>
        <x14:conditionalFormatting xmlns:xm="http://schemas.microsoft.com/office/excel/2006/main">
          <x14:cfRule type="expression" priority="16" id="{00660005-00EA-4FC4-8ED8-00C800DA0047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N1498</xm:sqref>
        </x14:conditionalFormatting>
        <x14:conditionalFormatting xmlns:xm="http://schemas.microsoft.com/office/excel/2006/main">
          <x14:cfRule type="expression" priority="14" id="{00A50021-00BA-4B45-A133-001300DC00C8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N2940</xm:sqref>
        </x14:conditionalFormatting>
        <x14:conditionalFormatting xmlns:xm="http://schemas.microsoft.com/office/excel/2006/main">
          <x14:cfRule type="expression" priority="13" id="{00580043-0044-46AC-B6A0-00D200340083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N42</xm:sqref>
        </x14:conditionalFormatting>
        <x14:conditionalFormatting xmlns:xm="http://schemas.microsoft.com/office/excel/2006/main">
          <x14:cfRule type="expression" priority="12" id="{000100C5-00C8-4EBA-A315-000700A300AF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N2516</xm:sqref>
        </x14:conditionalFormatting>
        <x14:conditionalFormatting xmlns:xm="http://schemas.microsoft.com/office/excel/2006/main">
          <x14:cfRule type="expression" priority="11" id="{004100CC-00E9-4D78-A8AE-00E4008E00A2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N3541</xm:sqref>
        </x14:conditionalFormatting>
        <x14:conditionalFormatting xmlns:xm="http://schemas.microsoft.com/office/excel/2006/main">
          <x14:cfRule type="expression" priority="10" id="{001C00B0-00B0-4799-AB25-008E00DF00C6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M2517:M2864</xm:sqref>
        </x14:conditionalFormatting>
        <x14:conditionalFormatting xmlns:xm="http://schemas.microsoft.com/office/excel/2006/main">
          <x14:cfRule type="expression" priority="9" id="{007600E8-00F4-46C7-AD2C-00B1008200E4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M1499:M2075</xm:sqref>
        </x14:conditionalFormatting>
        <x14:conditionalFormatting xmlns:xm="http://schemas.microsoft.com/office/excel/2006/main">
          <x14:cfRule type="expression" priority="5" id="{00590053-002E-41B7-8080-006800EF0098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M3596</xm:sqref>
        </x14:conditionalFormatting>
        <x14:conditionalFormatting xmlns:xm="http://schemas.microsoft.com/office/excel/2006/main">
          <x14:cfRule type="expression" priority="4" id="{00E60075-008C-4F20-9F1A-00C0003700BC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M3651:M3658</xm:sqref>
        </x14:conditionalFormatting>
        <x14:conditionalFormatting xmlns:xm="http://schemas.microsoft.com/office/excel/2006/main">
          <x14:cfRule type="expression" priority="3" id="{00980022-00A2-42B4-A486-00F10004006C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M3630</xm:sqref>
        </x14:conditionalFormatting>
        <x14:conditionalFormatting xmlns:xm="http://schemas.microsoft.com/office/excel/2006/main">
          <x14:cfRule type="expression" priority="2" id="{005F0061-0011-4CC7-945C-002900D30024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M2941:M3580</xm:sqref>
        </x14:conditionalFormatting>
        <x14:conditionalFormatting xmlns:xm="http://schemas.microsoft.com/office/excel/2006/main">
          <x14:cfRule type="expression" priority="1" id="{00B40012-0004-42F8-9AA3-00B100CA0001}">
            <xm:f>"$L$6&gt;0.06"</xm:f>
            <x14:dxf>
              <fill>
                <patternFill patternType="solid">
                  <fgColor indexed="31"/>
                  <bgColor indexed="31"/>
                </patternFill>
              </fill>
            </x14:dxf>
          </x14:cfRule>
          <xm:sqref>M2:M1497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fd97fa9-4265-4b00-a0c6-66ac4adb9a36">
      <Terms xmlns="http://schemas.microsoft.com/office/infopath/2007/PartnerControls"/>
    </lcf76f155ced4ddcb4097134ff3c332f>
    <_ip_UnifiedCompliancePolicyProperties xmlns="http://schemas.microsoft.com/sharepoint/v3" xsi:nil="true"/>
    <TaxCatchAll xmlns="b1db4573-f224-421f-9ec2-7174908a85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F56C807E49B542AB0C3690E5C2BF03" ma:contentTypeVersion="16" ma:contentTypeDescription="Crear nuevo documento." ma:contentTypeScope="" ma:versionID="48c7ec04b47a86cb1b64c4915e0007c3">
  <xsd:schema xmlns:xsd="http://www.w3.org/2001/XMLSchema" xmlns:xs="http://www.w3.org/2001/XMLSchema" xmlns:p="http://schemas.microsoft.com/office/2006/metadata/properties" xmlns:ns1="http://schemas.microsoft.com/sharepoint/v3" xmlns:ns2="0fd97fa9-4265-4b00-a0c6-66ac4adb9a36" xmlns:ns3="b1db4573-f224-421f-9ec2-7174908a857c" targetNamespace="http://schemas.microsoft.com/office/2006/metadata/properties" ma:root="true" ma:fieldsID="3fe05029a082f8d3b565a82fd177711c" ns1:_="" ns2:_="" ns3:_="">
    <xsd:import namespace="http://schemas.microsoft.com/sharepoint/v3"/>
    <xsd:import namespace="0fd97fa9-4265-4b00-a0c6-66ac4adb9a36"/>
    <xsd:import namespace="b1db4573-f224-421f-9ec2-7174908a8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97fa9-4265-4b00-a0c6-66ac4adb9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f57b533-a176-4645-b33c-7fea236c2a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b4573-f224-421f-9ec2-7174908a8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d7f3ae3-2350-433e-96a8-d6d4b9bbc3f9}" ma:internalName="TaxCatchAll" ma:showField="CatchAllData" ma:web="b1db4573-f224-421f-9ec2-7174908a8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E31618-7FD9-47E7-BFCE-D7D3D7F762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A3A7AB6-3804-4181-8240-BF2B64B0B9E7}">
  <ds:schemaRefs>
    <ds:schemaRef ds:uri="http://purl.org/dc/dcmitype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b1db4573-f224-421f-9ec2-7174908a857c"/>
    <ds:schemaRef ds:uri="0fd97fa9-4265-4b00-a0c6-66ac4adb9a3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3A7A16A-4B4E-4A80-8B43-9F4557E74C6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F215BD-9074-4692-B4AE-D0C349A8F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d97fa9-4265-4b00-a0c6-66ac4adb9a36"/>
    <ds:schemaRef ds:uri="b1db4573-f224-421f-9ec2-7174908a8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Sylvia Galeano</dc:creator>
  <cp:keywords/>
  <dc:description/>
  <cp:revision>1</cp:revision>
  <dcterms:created xsi:type="dcterms:W3CDTF">2023-11-01T18:08:34Z</dcterms:created>
  <dcterms:modified xsi:type="dcterms:W3CDTF">2025-03-06T18:28:58Z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0x0101001CF56C807E49B542AB0C3690E5C2BF03</vt:lpwstr>
  </property>
  <property fmtid="{D5CDD505-2E9C-101B-9397-08002B2CF9AE}" pid="3" name="MediaServiceImageTags">
    <vt:lpwstr/>
  </property>
</Properties>
</file>